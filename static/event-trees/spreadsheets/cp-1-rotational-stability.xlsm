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BDB7363F-8795-439B-97E2-FDA160983448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<sst xmlns="http://schemas.openxmlformats.org/spreadsheetml/2006/main" count="132" uniqueCount="65">
  <si>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</si>
  <si>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</si>
  <si>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</si>
  <si>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</si>
  <si>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</si>
  <si>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</si>
  <si>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</si>
  <si>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</si>
  <si>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</si>
  <si>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</si>
  <si>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</si>
  <si>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</si>
  <si>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</si>
  <si>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</si>
  <si>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</si>
  <si>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</si>
  <si>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</si>
  <si>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</si>
  <si>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</si>
  <si>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</si>
  <si>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</si>
  <si>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</si>
  <si>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</si>
  <si>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</si>
  <si>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</si>
  <si>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</si>
  <si>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</si>
  <si>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</si>
  <si>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</si>
  <si>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</si>
  <si>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</si>
  <si>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</si>
  <si>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</si>
  <si>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</si>
  <si>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</si>
  <si>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</si>
  <si>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</si>
  <si>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</si>
  <si>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</si>
  <si>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</si>
  <si>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</si>
  <si>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</si>
  <si>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</si>
  <si>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</si>
  <si>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</si>
  <si>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</si>
  <si>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</si>
  <si>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</si>
  <si>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</si>
  <si>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</si>
  <si>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</si>
  <si>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</si>
  <si>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</si>
  <si>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</si>
  <si>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</si>
  <si>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</si>
  <si>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</si>
  <si>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A head difference occurs across the wall creating a driving lateral force applied to the wall?</t>
  </si>
  <si>
    <t>The wall rotates semi-rigidly about a point below the ground surface on the resisting side of the wall?</t>
  </si>
  <si>
    <t>Soil on the leveed side of the wall fails to resist rotation?</t>
  </si>
  <si>
    <t>As the load increases, full passive pressure develops near the ground surface on the resisting side of the wall?</t>
  </si>
  <si>
    <t>The full passive pressure is the maximum amount of resisting soil pressure that can be developed?</t>
  </si>
  <si>
    <t>As the load increases, the full passive pressure develops at progressively lower on the wall and rotation continues?</t>
  </si>
  <si>
    <t>Overtopping and progressive scour erode resisting soil on the protected side of the wall?</t>
  </si>
  <si>
    <t>Sufficient erosion occurs to cause collapse of the wall?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</si>
</sst>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9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561975</xdr:colOff>
      <xdr:row>18</xdr:row>
      <xdr:rowOff>17557</xdr:rowOff>
    </xdr:from>
    <xdr:to>
      <xdr:col>20</xdr:col>
      <xdr:colOff>20467</xdr:colOff>
      <xdr:row>47</xdr:row>
      <xdr:rowOff>702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19C1F2-269E-2A4B-F45D-2C1A75253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81775" y="2932207"/>
          <a:ext cx="8488192" cy="42122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head difference occurs across the wall creating a driving lateral force applied to the wall?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wall rotates semi-rigidly about a point below the ground surface on the resisting side of the wall?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Soil on the leveed side of the wall fails to resist rotation?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As the load increases, full passive pressure develops near the ground surface on the resisting side of the wall?</a:t>
          </a:fld>
          <a:endParaRPr lang="en-US" sz="1100"/>
        </a:p>
      </xdr:txBody>
    </xdr:sp>
    <xdr:clientData/>
  </xdr:twoCellAnchor>
  <xdr:twoCellAnchor>
    <xdr:from>
      <xdr:col>43</xdr:col>
      <xdr:colOff>178593</xdr:colOff>
      <xdr:row>24</xdr:row>
      <xdr:rowOff>38100</xdr:rowOff>
    </xdr:from>
    <xdr:to>
      <xdr:col>49</xdr:col>
      <xdr:colOff>200024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8" y="4610100"/>
          <a:ext cx="1221581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full passive pressure is the maximum amount of resisting soil pressure that can be developed?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As the load increases, the full passive pressure develops at progressively lower on the wall and rotation continues?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Overtopping and progressive scour erode resisting soil on the protected side of the wall?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180975</xdr:colOff>
      <xdr:row>17</xdr:row>
      <xdr:rowOff>152400</xdr:rowOff>
    </xdr:to>
    <xdr:sp macro="" textlink="'Event Tree Input'!A136">
      <xdr:nvSpPr>
        <xdr:cNvPr id="66" name="N9Descr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20491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erosion occurs to cause collapse of the wall?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2"/>
      <c r="C1" s="42"/>
      <c r="D1" s="42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2"/>
      <c r="C2" s="42"/>
      <c r="D2" s="42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3"/>
      <c r="D3" s="43"/>
      <c r="E3" s="43"/>
      <c r="F3" s="43"/>
      <c r="G3" s="43"/>
      <c r="H3" s="43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4" t="s">
        <v>56</v>
      </c>
      <c r="E9" s="44"/>
      <c r="F9" s="24" t="s">
        <v>28</v>
      </c>
      <c r="G9" s="44"/>
      <c r="H9" s="44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9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55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57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58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59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60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61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62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 t="s">
        <v>54</v>
      </c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63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 t="s">
        <v>64</v>
      </c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56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1" t="s">
        <v>17</v>
      </c>
      <c r="B156" s="9" t="s">
        <v>23</v>
      </c>
      <c r="C156" s="9" t="s">
        <v>24</v>
      </c>
    </row>
    <row r="157" spans="1:5" x14ac:dyDescent="0.2">
      <c r="A157" s="41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Circle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>Circle</v>
      </c>
      <c r="C165" s="9" t="str">
        <f t="shared" si="0"/>
        <v>Triangle</v>
      </c>
      <c r="D165" s="9"/>
      <c r="E165" s="9"/>
    </row>
    <row r="166" spans="1:5" x14ac:dyDescent="0.2">
      <c r="A166" s="9">
        <v>9</v>
      </c>
      <c r="B166" s="9" t="str">
        <f t="shared" si="1"/>
        <v>Triangle</v>
      </c>
      <c r="C166" s="9" t="str">
        <f t="shared" si="0"/>
        <v>Triangle</v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8" priority="74">
      <formula>$D$9="Seismic Hazard"</formula>
    </cfRule>
    <cfRule type="expression" dxfId="27" priority="75">
      <formula>$D$9="Hydrologic Hazard"</formula>
    </cfRule>
  </conditionalFormatting>
  <conditionalFormatting sqref="A32:H37 A39:H45">
    <cfRule type="expression" dxfId="26" priority="23" stopIfTrue="1">
      <formula>$D$11&lt;2</formula>
    </cfRule>
  </conditionalFormatting>
  <conditionalFormatting sqref="A110:H114 A138:H142 A40:H44 A54:H58 A68:H72 A82:H86 A96:H100 A124:H128 A26:H30">
    <cfRule type="expression" dxfId="25" priority="9" stopIfTrue="1">
      <formula>$D$14="No"</formula>
    </cfRule>
  </conditionalFormatting>
  <conditionalFormatting sqref="A46:H51 A53:H59">
    <cfRule type="expression" dxfId="24" priority="21" stopIfTrue="1">
      <formula>$D$11&lt;3</formula>
    </cfRule>
  </conditionalFormatting>
  <conditionalFormatting sqref="A60:H65 A67:H73">
    <cfRule type="expression" dxfId="23" priority="19" stopIfTrue="1">
      <formula>$D$11&lt;4</formula>
    </cfRule>
  </conditionalFormatting>
  <conditionalFormatting sqref="A74:H79 A81:H87">
    <cfRule type="expression" dxfId="22" priority="16" stopIfTrue="1">
      <formula>$D$11&lt;5</formula>
    </cfRule>
  </conditionalFormatting>
  <conditionalFormatting sqref="A88:H93 A95:H101">
    <cfRule type="expression" dxfId="21" priority="14" stopIfTrue="1">
      <formula>$D$11&lt;6</formula>
    </cfRule>
  </conditionalFormatting>
  <conditionalFormatting sqref="A102:H107 A109:H115">
    <cfRule type="expression" dxfId="20" priority="15" stopIfTrue="1">
      <formula>$D$11&lt;7</formula>
    </cfRule>
  </conditionalFormatting>
  <conditionalFormatting sqref="A116:H121 A123:H129">
    <cfRule type="expression" dxfId="19" priority="10" stopIfTrue="1">
      <formula>$D$11&lt;8</formula>
    </cfRule>
  </conditionalFormatting>
  <conditionalFormatting sqref="A130:H143">
    <cfRule type="expression" dxfId="18" priority="8" stopIfTrue="1">
      <formula>$D$11&lt;9</formula>
    </cfRule>
  </conditionalFormatting>
  <conditionalFormatting sqref="A20:H21 A34:H35 A48:H49 A62:H63 A76:H77 A90:H91 A104:H105 A118:H119 A132:H133">
    <cfRule type="expression" dxfId="17" priority="29">
      <formula>$D$13="No"</formula>
    </cfRule>
  </conditionalFormatting>
  <conditionalFormatting sqref="A27:H30">
    <cfRule type="expression" dxfId="16" priority="25" stopIfTrue="1">
      <formula>$D$11&lt;2</formula>
    </cfRule>
  </conditionalFormatting>
  <conditionalFormatting sqref="A38:H38">
    <cfRule type="expression" dxfId="15" priority="7" stopIfTrue="1">
      <formula>$D$11&lt;2</formula>
    </cfRule>
  </conditionalFormatting>
  <conditionalFormatting sqref="A52:H52">
    <cfRule type="expression" dxfId="14" priority="6" stopIfTrue="1">
      <formula>$D$11&lt;3</formula>
    </cfRule>
  </conditionalFormatting>
  <conditionalFormatting sqref="A66:H66">
    <cfRule type="expression" dxfId="13" priority="5" stopIfTrue="1">
      <formula>$D$11&lt;4</formula>
    </cfRule>
  </conditionalFormatting>
  <conditionalFormatting sqref="A80:H80">
    <cfRule type="expression" dxfId="12" priority="4" stopIfTrue="1">
      <formula>$D$11&lt;5</formula>
    </cfRule>
  </conditionalFormatting>
  <conditionalFormatting sqref="A94:H94">
    <cfRule type="expression" dxfId="11" priority="3" stopIfTrue="1">
      <formula>$D$11&lt;6</formula>
    </cfRule>
  </conditionalFormatting>
  <conditionalFormatting sqref="A108:H108">
    <cfRule type="expression" dxfId="10" priority="2" stopIfTrue="1">
      <formula>$D$11&lt;7</formula>
    </cfRule>
  </conditionalFormatting>
  <conditionalFormatting sqref="A122:H122">
    <cfRule type="expression" dxfId="9" priority="1" stopIfTrue="1">
      <formula>$D$11&lt;8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5" t="s">
        <v>8</v>
      </c>
      <c r="B1" s="45"/>
      <c r="C1" s="45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7" t="s">
        <v>9</v>
      </c>
      <c r="AG1" s="47"/>
      <c r="AH1" s="47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7" t="s">
        <v>10</v>
      </c>
      <c r="BE1" s="47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</row>
    <row r="2" spans="1:80" ht="15" customHeight="1" x14ac:dyDescent="0.2">
      <c r="A2" s="45" t="s">
        <v>11</v>
      </c>
      <c r="B2" s="45"/>
      <c r="C2" s="45"/>
      <c r="D2" s="4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7" t="s">
        <v>9</v>
      </c>
      <c r="AG2" s="47"/>
      <c r="AH2" s="47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7" t="s">
        <v>10</v>
      </c>
      <c r="BE2" s="47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</row>
    <row r="3" spans="1:80" ht="15" customHeight="1" x14ac:dyDescent="0.2">
      <c r="A3" s="46" t="s">
        <v>12</v>
      </c>
      <c r="B3" s="46"/>
      <c r="C3" s="46"/>
      <c r="D3" s="46"/>
      <c r="E3" s="46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2" t="s">
        <v>25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52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51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51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51"/>
      <c r="K36" s="51"/>
      <c r="L36" s="51"/>
      <c r="M36" s="51"/>
      <c r="N36" s="51"/>
      <c r="O36" s="51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51"/>
      <c r="J37" s="51"/>
      <c r="K37" s="51"/>
      <c r="L37" s="51"/>
      <c r="M37" s="51"/>
      <c r="N37" s="51"/>
      <c r="O37" s="51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53" t="s">
        <v>19</v>
      </c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</row>
    <row r="55" spans="1:79" ht="15" customHeight="1" x14ac:dyDescent="0.2">
      <c r="A55" s="50" t="s">
        <v>53</v>
      </c>
      <c r="B55" s="50"/>
      <c r="C55" s="50"/>
      <c r="D55" s="50"/>
      <c r="E55" s="50"/>
      <c r="F55" s="50" t="str">
        <f>IF('Event Tree Input'!D9="Seismic Hazard","Yes","No")</f>
        <v>No</v>
      </c>
      <c r="G55" s="50"/>
      <c r="I55" s="41" t="s">
        <v>17</v>
      </c>
      <c r="J55" s="41"/>
      <c r="K55" s="50" t="s">
        <v>23</v>
      </c>
      <c r="L55" s="50"/>
      <c r="M55" s="50"/>
      <c r="N55" s="50" t="s">
        <v>24</v>
      </c>
      <c r="O55" s="50"/>
      <c r="P55" s="50"/>
    </row>
    <row r="56" spans="1:79" ht="15" customHeight="1" x14ac:dyDescent="0.2">
      <c r="I56" s="41"/>
      <c r="J56" s="41"/>
      <c r="K56" s="50" t="s">
        <v>22</v>
      </c>
      <c r="L56" s="50"/>
      <c r="M56" s="50"/>
      <c r="N56" s="50" t="s">
        <v>22</v>
      </c>
      <c r="O56" s="50"/>
      <c r="P56" s="50"/>
      <c r="S56" s="50" t="s">
        <v>17</v>
      </c>
      <c r="T56" s="50"/>
      <c r="U56" s="50" t="s">
        <v>27</v>
      </c>
      <c r="V56" s="50"/>
      <c r="W56" s="50"/>
      <c r="X56" s="50" t="s">
        <v>29</v>
      </c>
      <c r="Y56" s="50"/>
      <c r="Z56" s="50"/>
    </row>
    <row r="57" spans="1:79" ht="15" customHeight="1" x14ac:dyDescent="0.2">
      <c r="I57" s="50">
        <v>1</v>
      </c>
      <c r="J57" s="50"/>
      <c r="K57" s="50" t="str">
        <f>'Event Tree Input'!B158</f>
        <v>Circle</v>
      </c>
      <c r="L57" s="50"/>
      <c r="M57" s="50"/>
      <c r="N57" s="50" t="str">
        <f>'Event Tree Input'!C158</f>
        <v>Triangle</v>
      </c>
      <c r="O57" s="50"/>
      <c r="P57" s="50"/>
      <c r="S57" s="50">
        <v>1</v>
      </c>
      <c r="T57" s="50"/>
      <c r="U57" s="50" t="str">
        <f>IF('Event Tree Input'!$D$14="No","No",IF(AND('Event Tree Input'!$D$14="Yes",'Event Tree Input'!$D$11&gt;=S57),"Yes","No"))</f>
        <v>No</v>
      </c>
      <c r="V57" s="50"/>
      <c r="W57" s="50"/>
      <c r="X57" s="50" t="str">
        <f>'Event Tree Input'!$D$13</f>
        <v>No</v>
      </c>
      <c r="Y57" s="50"/>
      <c r="Z57" s="50"/>
    </row>
    <row r="58" spans="1:79" ht="15" customHeight="1" x14ac:dyDescent="0.2">
      <c r="I58" s="50">
        <v>2</v>
      </c>
      <c r="J58" s="50"/>
      <c r="K58" s="50" t="str">
        <f>'Event Tree Input'!B159</f>
        <v>Circle</v>
      </c>
      <c r="L58" s="50"/>
      <c r="M58" s="50"/>
      <c r="N58" s="50" t="str">
        <f>'Event Tree Input'!C159</f>
        <v>Triangle</v>
      </c>
      <c r="O58" s="50"/>
      <c r="P58" s="50"/>
      <c r="S58" s="50">
        <v>2</v>
      </c>
      <c r="T58" s="50"/>
      <c r="U58" s="50" t="str">
        <f>IF('Event Tree Input'!$D$14="No","No",IF(AND('Event Tree Input'!$D$14="Yes",'Event Tree Input'!$D$11&gt;=S58),"Yes","No"))</f>
        <v>No</v>
      </c>
      <c r="V58" s="50"/>
      <c r="W58" s="50"/>
      <c r="X58" s="50" t="str">
        <f>'Event Tree Input'!$D$13</f>
        <v>No</v>
      </c>
      <c r="Y58" s="50"/>
      <c r="Z58" s="50"/>
    </row>
    <row r="59" spans="1:79" ht="15" customHeight="1" x14ac:dyDescent="0.2">
      <c r="I59" s="50">
        <v>3</v>
      </c>
      <c r="J59" s="50"/>
      <c r="K59" s="50" t="str">
        <f>'Event Tree Input'!B160</f>
        <v>Circle</v>
      </c>
      <c r="L59" s="50"/>
      <c r="M59" s="50"/>
      <c r="N59" s="50" t="str">
        <f>'Event Tree Input'!C160</f>
        <v>Triangle</v>
      </c>
      <c r="O59" s="50"/>
      <c r="P59" s="50"/>
      <c r="S59" s="50">
        <v>3</v>
      </c>
      <c r="T59" s="50"/>
      <c r="U59" s="50" t="str">
        <f>IF('Event Tree Input'!$D$14="No","No",IF(AND('Event Tree Input'!$D$14="Yes",'Event Tree Input'!$D$11&gt;=S59),"Yes","No"))</f>
        <v>No</v>
      </c>
      <c r="V59" s="50"/>
      <c r="W59" s="50"/>
      <c r="X59" s="50" t="str">
        <f>'Event Tree Input'!$D$13</f>
        <v>No</v>
      </c>
      <c r="Y59" s="50"/>
      <c r="Z59" s="50"/>
    </row>
    <row r="60" spans="1:79" ht="15" customHeight="1" x14ac:dyDescent="0.2">
      <c r="I60" s="50">
        <v>4</v>
      </c>
      <c r="J60" s="50"/>
      <c r="K60" s="50" t="str">
        <f>'Event Tree Input'!B161</f>
        <v>Circle</v>
      </c>
      <c r="L60" s="50"/>
      <c r="M60" s="50"/>
      <c r="N60" s="50" t="str">
        <f>'Event Tree Input'!C161</f>
        <v>Triangle</v>
      </c>
      <c r="O60" s="50"/>
      <c r="P60" s="50"/>
      <c r="S60" s="50">
        <v>4</v>
      </c>
      <c r="T60" s="50"/>
      <c r="U60" s="50" t="str">
        <f>IF('Event Tree Input'!$D$14="No","No",IF(AND('Event Tree Input'!$D$14="Yes",'Event Tree Input'!$D$11&gt;=S60),"Yes","No"))</f>
        <v>No</v>
      </c>
      <c r="V60" s="50"/>
      <c r="W60" s="50"/>
      <c r="X60" s="50" t="str">
        <f>'Event Tree Input'!$D$13</f>
        <v>No</v>
      </c>
      <c r="Y60" s="50"/>
      <c r="Z60" s="50"/>
    </row>
    <row r="61" spans="1:79" ht="15" customHeight="1" x14ac:dyDescent="0.2">
      <c r="I61" s="50">
        <v>5</v>
      </c>
      <c r="J61" s="50"/>
      <c r="K61" s="50" t="str">
        <f>'Event Tree Input'!B162</f>
        <v>Circle</v>
      </c>
      <c r="L61" s="50"/>
      <c r="M61" s="50"/>
      <c r="N61" s="50" t="str">
        <f>'Event Tree Input'!C162</f>
        <v>Triangle</v>
      </c>
      <c r="O61" s="50"/>
      <c r="P61" s="50"/>
      <c r="S61" s="50">
        <v>5</v>
      </c>
      <c r="T61" s="50"/>
      <c r="U61" s="50" t="str">
        <f>IF('Event Tree Input'!$D$14="No","No",IF(AND('Event Tree Input'!$D$14="Yes",'Event Tree Input'!$D$11&gt;=S61),"Yes","No"))</f>
        <v>No</v>
      </c>
      <c r="V61" s="50"/>
      <c r="W61" s="50"/>
      <c r="X61" s="50" t="str">
        <f>'Event Tree Input'!$D$13</f>
        <v>No</v>
      </c>
      <c r="Y61" s="50"/>
      <c r="Z61" s="50"/>
    </row>
    <row r="62" spans="1:79" ht="15" customHeight="1" x14ac:dyDescent="0.2">
      <c r="I62" s="50">
        <v>6</v>
      </c>
      <c r="J62" s="50"/>
      <c r="K62" s="50" t="str">
        <f>'Event Tree Input'!B163</f>
        <v>Circle</v>
      </c>
      <c r="L62" s="50"/>
      <c r="M62" s="50"/>
      <c r="N62" s="50" t="str">
        <f>'Event Tree Input'!C163</f>
        <v>Triangle</v>
      </c>
      <c r="O62" s="50"/>
      <c r="P62" s="50"/>
      <c r="S62" s="50">
        <v>6</v>
      </c>
      <c r="T62" s="50"/>
      <c r="U62" s="50" t="str">
        <f>IF('Event Tree Input'!$D$14="No","No",IF(AND('Event Tree Input'!$D$14="Yes",'Event Tree Input'!$D$11&gt;=S62),"Yes","No"))</f>
        <v>No</v>
      </c>
      <c r="V62" s="50"/>
      <c r="W62" s="50"/>
      <c r="X62" s="50" t="str">
        <f>'Event Tree Input'!$D$13</f>
        <v>No</v>
      </c>
      <c r="Y62" s="50"/>
      <c r="Z62" s="50"/>
    </row>
    <row r="63" spans="1:79" ht="15" customHeight="1" x14ac:dyDescent="0.2">
      <c r="I63" s="50">
        <v>7</v>
      </c>
      <c r="J63" s="50"/>
      <c r="K63" s="50" t="str">
        <f>'Event Tree Input'!B164</f>
        <v>Circle</v>
      </c>
      <c r="L63" s="50"/>
      <c r="M63" s="50"/>
      <c r="N63" s="50" t="str">
        <f>'Event Tree Input'!C164</f>
        <v>Triangle</v>
      </c>
      <c r="O63" s="50"/>
      <c r="P63" s="50"/>
      <c r="S63" s="50">
        <v>7</v>
      </c>
      <c r="T63" s="50"/>
      <c r="U63" s="50" t="str">
        <f>IF('Event Tree Input'!$D$14="No","No",IF(AND('Event Tree Input'!$D$14="Yes",'Event Tree Input'!$D$11&gt;=S63),"Yes","No"))</f>
        <v>No</v>
      </c>
      <c r="V63" s="50"/>
      <c r="W63" s="50"/>
      <c r="X63" s="50" t="str">
        <f>'Event Tree Input'!$D$13</f>
        <v>No</v>
      </c>
      <c r="Y63" s="50"/>
      <c r="Z63" s="50"/>
    </row>
    <row r="64" spans="1:79" ht="15" customHeight="1" x14ac:dyDescent="0.2">
      <c r="I64" s="50">
        <v>8</v>
      </c>
      <c r="J64" s="50"/>
      <c r="K64" s="50" t="str">
        <f>'Event Tree Input'!B165</f>
        <v>Circle</v>
      </c>
      <c r="L64" s="50"/>
      <c r="M64" s="50"/>
      <c r="N64" s="50" t="str">
        <f>'Event Tree Input'!C165</f>
        <v>Triangle</v>
      </c>
      <c r="O64" s="50"/>
      <c r="P64" s="50"/>
      <c r="S64" s="50">
        <v>8</v>
      </c>
      <c r="T64" s="50"/>
      <c r="U64" s="50" t="str">
        <f>IF('Event Tree Input'!$D$14="No","No",IF(AND('Event Tree Input'!$D$14="Yes",'Event Tree Input'!$D$11&gt;=S64),"Yes","No"))</f>
        <v>No</v>
      </c>
      <c r="V64" s="50"/>
      <c r="W64" s="50"/>
      <c r="X64" s="50" t="str">
        <f>'Event Tree Input'!$D$13</f>
        <v>No</v>
      </c>
      <c r="Y64" s="50"/>
      <c r="Z64" s="50"/>
    </row>
    <row r="65" spans="2:26" ht="15" customHeight="1" x14ac:dyDescent="0.2">
      <c r="I65" s="50">
        <v>9</v>
      </c>
      <c r="J65" s="50"/>
      <c r="K65" s="50" t="str">
        <f>'Event Tree Input'!B166</f>
        <v>Triangle</v>
      </c>
      <c r="L65" s="50"/>
      <c r="M65" s="50"/>
      <c r="N65" s="50" t="str">
        <f>'Event Tree Input'!C166</f>
        <v>Triangle</v>
      </c>
      <c r="O65" s="50"/>
      <c r="P65" s="50"/>
      <c r="S65" s="50">
        <v>9</v>
      </c>
      <c r="T65" s="50"/>
      <c r="U65" s="50" t="str">
        <f>IF('Event Tree Input'!$D$14="No","No",IF(AND('Event Tree Input'!$D$14="Yes",'Event Tree Input'!$D$11&gt;=S65),"Yes","No"))</f>
        <v>No</v>
      </c>
      <c r="V65" s="50"/>
      <c r="W65" s="50"/>
      <c r="X65" s="50" t="str">
        <f>'Event Tree Input'!$D$13</f>
        <v>No</v>
      </c>
      <c r="Y65" s="50"/>
      <c r="Z65" s="50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9" t="str">
        <f>'Event Tree Input'!A27</f>
        <v>Node 1 Callout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29"/>
    </row>
    <row r="69" spans="2:26" ht="15" customHeight="1" x14ac:dyDescent="0.2"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29"/>
    </row>
    <row r="70" spans="2:26" ht="15" customHeight="1" x14ac:dyDescent="0.2"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29"/>
      <c r="X70" s="30"/>
      <c r="Y70" s="29"/>
    </row>
    <row r="71" spans="2:26" ht="15" customHeight="1" x14ac:dyDescent="0.2"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29"/>
      <c r="X71" s="30"/>
      <c r="Y71" s="29"/>
    </row>
    <row r="72" spans="2:26" ht="15" customHeight="1" x14ac:dyDescent="0.2"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29"/>
      <c r="X72" s="30"/>
      <c r="Y72" s="29"/>
    </row>
    <row r="73" spans="2:26" ht="15" customHeight="1" x14ac:dyDescent="0.2"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9" t="str">
        <f>'Event Tree Input'!A41</f>
        <v>Node 2 Callout</v>
      </c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2:26" ht="15" customHeight="1" x14ac:dyDescent="0.2"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30"/>
      <c r="X77" s="30"/>
    </row>
    <row r="78" spans="2:26" ht="15" customHeight="1" x14ac:dyDescent="0.2"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30"/>
      <c r="X78" s="30"/>
    </row>
    <row r="79" spans="2:26" ht="15" customHeight="1" x14ac:dyDescent="0.2"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30"/>
      <c r="X79" s="30"/>
    </row>
    <row r="80" spans="2:26" ht="15" customHeight="1" x14ac:dyDescent="0.2"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30"/>
      <c r="X80" s="30"/>
    </row>
    <row r="81" spans="2:24" ht="15" customHeight="1" x14ac:dyDescent="0.2"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9" t="str">
        <f>'Event Tree Input'!A55</f>
        <v>Node 3 Callout</v>
      </c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2:24" ht="15" customHeight="1" x14ac:dyDescent="0.2"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2:24" ht="15" customHeight="1" x14ac:dyDescent="0.2"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2:24" ht="15" customHeight="1" x14ac:dyDescent="0.2"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2:24" ht="15" customHeight="1" x14ac:dyDescent="0.2"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2:24" ht="15" customHeight="1" x14ac:dyDescent="0.2"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9" t="str">
        <f>'Event Tree Input'!A69</f>
        <v>Node 4 Callout</v>
      </c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2:24" ht="15" customHeight="1" x14ac:dyDescent="0.2"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2:24" ht="15" customHeight="1" x14ac:dyDescent="0.2"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2:24" ht="15" customHeight="1" x14ac:dyDescent="0.2"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2:24" ht="15" customHeight="1" x14ac:dyDescent="0.2"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2:22" ht="15" customHeight="1" x14ac:dyDescent="0.2"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9" t="str">
        <f>'Event Tree Input'!A83</f>
        <v>Node 5 Callout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2:22" ht="15" customHeight="1" x14ac:dyDescent="0.2"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2:22" ht="15" customHeight="1" x14ac:dyDescent="0.2"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2:22" ht="15" customHeight="1" x14ac:dyDescent="0.2"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2:22" ht="15" customHeight="1" x14ac:dyDescent="0.2"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2:22" ht="15" customHeight="1" x14ac:dyDescent="0.2"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9" t="str">
        <f>'Event Tree Input'!A97</f>
        <v>Node 6 Callout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2:22" ht="15" customHeight="1" x14ac:dyDescent="0.2"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2:22" ht="15" customHeight="1" x14ac:dyDescent="0.2"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2:22" ht="15" customHeight="1" x14ac:dyDescent="0.2"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2:22" ht="15" customHeight="1" x14ac:dyDescent="0.2"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2:22" ht="15" customHeight="1" x14ac:dyDescent="0.2"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9" t="str">
        <f>'Event Tree Input'!A111</f>
        <v>Node 7 Callout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2:22" ht="15" customHeight="1" x14ac:dyDescent="0.2"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2:22" ht="15" customHeight="1" x14ac:dyDescent="0.2"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2:22" ht="15" customHeight="1" x14ac:dyDescent="0.2"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2:22" ht="15" customHeight="1" x14ac:dyDescent="0.2"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2:22" ht="15" customHeight="1" x14ac:dyDescent="0.2"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9" t="str">
        <f>'Event Tree Input'!A125</f>
        <v>Node 8 Callout</v>
      </c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2:22" ht="15" customHeight="1" x14ac:dyDescent="0.2"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2:22" ht="15" customHeight="1" x14ac:dyDescent="0.2"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2:22" ht="15" customHeight="1" x14ac:dyDescent="0.2"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2:22" ht="15" customHeight="1" x14ac:dyDescent="0.2"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2:22" ht="15" customHeight="1" x14ac:dyDescent="0.2"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9" t="str">
        <f>'Event Tree Input'!A139</f>
        <v>Node 9 Callout</v>
      </c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2:22" ht="15" customHeight="1" x14ac:dyDescent="0.2"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2:22" ht="15" customHeight="1" x14ac:dyDescent="0.2"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2:22" ht="15" customHeight="1" x14ac:dyDescent="0.2"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2:22" ht="15" customHeight="1" x14ac:dyDescent="0.2"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2:22" ht="15" customHeight="1" x14ac:dyDescent="0.2"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A5C2ACF-D3F8-46A8-8E12-96D42ADF414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AED195-81C4-4EA9-842F-630AEAF0C90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91EEFE2-0574-4407-8C0F-246216983350}">
  <ds:schemaRefs>
    <ds:schemaRef ds:uri="http://schemas.microsoft.com/office/infopath/2007/PartnerControls"/>
    <ds:schemaRef ds:uri="a8f80ecd-cddb-46c8-b263-c25672b580c6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purl.org/dc/elements/1.1/"/>
    <ds:schemaRef ds:uri="http://purl.org/dc/terms/"/>
    <ds:schemaRef ds:uri="f254aa9d-3c64-433e-b325-d6b94ca3f69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