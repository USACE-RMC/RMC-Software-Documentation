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ACE\OneDrive\Desktop\Typical Sub-Event Tree Database\Files For Website\Toolboxes\"/>
    </mc:Choice>
  </mc:AlternateContent>
  <xr:revisionPtr revIDLastSave="0" documentId="13_ncr:1_{3A99EAC9-2BF5-4A04-BC77-E6E8B681E31D}" xr6:coauthVersionLast="47" xr6:coauthVersionMax="47" xr10:uidLastSave="{00000000-0000-0000-0000-000000000000}"/>
  <bookViews>
    <workbookView xWindow="-120" yWindow="-120" windowWidth="38640" windowHeight="21120" xr2:uid="{56B68278-A1A1-4B48-99ED-A4E7E2423F6B}"/>
  </bookViews>
  <sheets>
    <sheet name="Event Tree Input" sheetId="2" r:id="rId1"/>
    <sheet name="Event Tree" sheetId="14" r:id="rId2"/>
  </sheets>
  <definedNames>
    <definedName name="_AtRisk_SimSetting_AutomaticallyGenerateReports" hidden="1">FALSE</definedName>
    <definedName name="_AtRisk_SimSetting_AutomaticResultsDisplayMode" hidden="1">2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GoalSeekTargetValue" hidden="1">0</definedName>
    <definedName name="_AtRisk_SimSetting_LiveUpdate" hidden="1">TRUE</definedName>
    <definedName name="_AtRisk_SimSetting_LiveUpdatePeriod" hidden="1">-1</definedName>
    <definedName name="_AtRisk_SimSetting_MacroMode" hidden="1">0</definedName>
    <definedName name="_AtRisk_SimSetting_MacroRecalculationBehavior" hidden="1">0</definedName>
    <definedName name="_AtRisk_SimSetting_MaxAutoIterations" hidden="1">50000</definedName>
    <definedName name="_AtRisk_SimSetting_MultipleCPUCount" hidden="1">-1</definedName>
    <definedName name="_AtRisk_SimSetting_MultipleCPUManualCount" hidden="1">8</definedName>
    <definedName name="_AtRisk_SimSetting_MultipleCPUMode" hidden="1">2</definedName>
    <definedName name="_AtRisk_SimSetting_MultipleCPUModeV8" hidden="1">2</definedName>
    <definedName name="_AtRisk_SimSetting_RandomNumberGenerator" hidden="1">0</definedName>
    <definedName name="_AtRisk_SimSetting_ReportOptionCustomItemsCount" hidden="1">0</definedName>
    <definedName name="_AtRisk_SimSetting_ReportOptionDataMode" hidden="1">1</definedName>
    <definedName name="_AtRisk_SimSetting_ReportOptionReportMultiSimType" hidden="1">1</definedName>
    <definedName name="_AtRisk_SimSetting_ReportOptionReportPlacement" hidden="1">1</definedName>
    <definedName name="_AtRisk_SimSetting_ReportOptionReportSelection" hidden="1">0</definedName>
    <definedName name="_AtRisk_SimSetting_ReportOptionReportsFileType" hidden="1">1</definedName>
    <definedName name="_AtRisk_SimSetting_ReportOptionReportStyle" hidden="1">1</definedName>
    <definedName name="_AtRisk_SimSetting_ReportOptionSelectiveQR" hidden="1">FALSE</definedName>
    <definedName name="_AtRisk_SimSetting_ReportsList" hidden="1">0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Callouts">'Event Tree'!$V$52</definedName>
    <definedName name="Cont_Reference">#REF!</definedName>
    <definedName name="N1B1Shape">'Event Tree'!$K$54</definedName>
    <definedName name="N1B2Shape">'Event Tree'!$N$54</definedName>
    <definedName name="N1Call">'Event Tree'!$U$54</definedName>
    <definedName name="N1CallText">'Event Tree'!$B$65</definedName>
    <definedName name="N1Name">'Event Tree'!$X$54</definedName>
    <definedName name="N2B1Shape">'Event Tree'!$K$55</definedName>
    <definedName name="N2B2Shape">'Event Tree'!$N$55</definedName>
    <definedName name="N2Call">'Event Tree'!$U$55</definedName>
    <definedName name="N2CallText">'Event Tree'!$B$73</definedName>
    <definedName name="N2Name">'Event Tree'!$X$55</definedName>
    <definedName name="N3B1Shape">'Event Tree'!$K$56</definedName>
    <definedName name="N3B2Shape">'Event Tree'!$N$56</definedName>
    <definedName name="N3Call">'Event Tree'!$U$56</definedName>
    <definedName name="N3CallText">'Event Tree'!$B$81</definedName>
    <definedName name="N3Name">'Event Tree'!$X$56</definedName>
    <definedName name="N4B1Shape">'Event Tree'!$K$57</definedName>
    <definedName name="N4B2Shape">'Event Tree'!$N$57</definedName>
    <definedName name="N4Call">'Event Tree'!$U$57</definedName>
    <definedName name="N4CallText">'Event Tree'!$B$89</definedName>
    <definedName name="N4Name">'Event Tree'!$X$57</definedName>
    <definedName name="N5B1Shape">'Event Tree'!$K$58</definedName>
    <definedName name="N5B2Shape">'Event Tree'!$N$58</definedName>
    <definedName name="N5Call">'Event Tree'!$U$58</definedName>
    <definedName name="N5CallText">'Event Tree'!$B$97</definedName>
    <definedName name="N5Name">'Event Tree'!$X$58</definedName>
    <definedName name="N6B1Shape">'Event Tree'!$K$59</definedName>
    <definedName name="N6B2Shape">'Event Tree'!$N$59</definedName>
    <definedName name="N6Call">'Event Tree'!$U$59</definedName>
    <definedName name="N6CallText">'Event Tree'!$B$105</definedName>
    <definedName name="N6Name">'Event Tree'!$X$59</definedName>
    <definedName name="N7B1Shape">'Event Tree'!$K$60</definedName>
    <definedName name="N7B2Shape">'Event Tree'!$N$60</definedName>
    <definedName name="N7Call">'Event Tree'!$U$60</definedName>
    <definedName name="N7CallText">'Event Tree'!$B$113</definedName>
    <definedName name="N7Name">'Event Tree'!$X$60</definedName>
    <definedName name="N8B1Shape">'Event Tree'!$K$61</definedName>
    <definedName name="N8B2Shape">'Event Tree'!$N$61</definedName>
    <definedName name="N8Call">'Event Tree'!$U$61</definedName>
    <definedName name="N8CallText">'Event Tree'!$B$121</definedName>
    <definedName name="N8Name">'Event Tree'!$X$61</definedName>
    <definedName name="N9B1Shape">'Event Tree'!$K$62</definedName>
    <definedName name="N9B2Shape">'Event Tree'!$N$62</definedName>
    <definedName name="N9Call">'Event Tree'!$U$62</definedName>
    <definedName name="N9CallText">'Event Tree'!$B$129</definedName>
    <definedName name="N9Name">'Event Tree'!$X$62</definedName>
    <definedName name="Oval_Reference">#REF!</definedName>
    <definedName name="Pal_Workbook_GUID" hidden="1">"BP4PZSBBT3IIB14AVDRCTAYA"</definedName>
    <definedName name="_xlnm.Print_Area" localSheetId="1">'Event Tree'!$A$1:$BR$49</definedName>
    <definedName name="_xlnm.Print_Area" localSheetId="0">'Event Tree Input'!$A$1:$H$161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8</definedName>
    <definedName name="RiskMinimizeOnStart" hidden="1">FALSE</definedName>
    <definedName name="RiskMonitorConvergence" hidden="1">FALSE</definedName>
    <definedName name="RiskMultipleCPUSupportEnabled" hidden="1">FALSE</definedName>
    <definedName name="RiskNumIterations" hidden="1">10000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electedCell" hidden="1">"$B$62"</definedName>
    <definedName name="RiskSelectedNameCell1" hidden="1">"$A$62"</definedName>
    <definedName name="RiskSelectedNameCell2" hidden="1">"$B$49"</definedName>
    <definedName name="RiskSimulationResultsStorageLocation" hidden="1">"2"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FALSE</definedName>
    <definedName name="SeismicLoad">'Event Tree'!$F$52</definedName>
    <definedName name="test" hidden="1">5</definedName>
    <definedName name="Toolbox_Name">#REF!</definedName>
    <definedName name="Toolbox_Suite">#REF!</definedName>
    <definedName name="Toolbox_Version">#REF!</definedName>
    <definedName name="Triangle_Referenc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7" i="14" l="1"/>
  <c r="B33" i="14"/>
  <c r="F52" i="14"/>
  <c r="B129" i="14" l="1"/>
  <c r="B121" i="14"/>
  <c r="B113" i="14"/>
  <c r="B105" i="14"/>
  <c r="B97" i="14"/>
  <c r="B89" i="14"/>
  <c r="B81" i="14"/>
  <c r="B73" i="14"/>
  <c r="B65" i="14" l="1"/>
  <c r="X55" i="14" l="1"/>
  <c r="X56" i="14"/>
  <c r="X57" i="14"/>
  <c r="X58" i="14"/>
  <c r="X59" i="14"/>
  <c r="X60" i="14"/>
  <c r="X61" i="14"/>
  <c r="X62" i="14"/>
  <c r="X54" i="14"/>
  <c r="U55" i="14" l="1"/>
  <c r="U56" i="14"/>
  <c r="U57" i="14"/>
  <c r="U58" i="14"/>
  <c r="U59" i="14"/>
  <c r="U60" i="14"/>
  <c r="U61" i="14"/>
  <c r="U62" i="14"/>
  <c r="U54" i="14"/>
  <c r="B176" i="2" l="1"/>
  <c r="C177" i="2" l="1"/>
  <c r="C178" i="2"/>
  <c r="C179" i="2"/>
  <c r="C180" i="2"/>
  <c r="C181" i="2"/>
  <c r="C182" i="2"/>
  <c r="C183" i="2"/>
  <c r="C184" i="2"/>
  <c r="C176" i="2"/>
  <c r="B177" i="2"/>
  <c r="B178" i="2"/>
  <c r="B179" i="2"/>
  <c r="B180" i="2"/>
  <c r="B181" i="2"/>
  <c r="B182" i="2"/>
  <c r="B183" i="2"/>
  <c r="B184" i="2"/>
  <c r="K61" i="14" l="1"/>
  <c r="N62" i="14"/>
  <c r="K60" i="14"/>
  <c r="N61" i="14"/>
  <c r="K59" i="14"/>
  <c r="N60" i="14"/>
  <c r="K58" i="14"/>
  <c r="N59" i="14"/>
  <c r="K57" i="14"/>
  <c r="N58" i="14"/>
  <c r="K56" i="14"/>
  <c r="N57" i="14"/>
  <c r="K54" i="14"/>
  <c r="K55" i="14"/>
  <c r="N56" i="14"/>
  <c r="K62" i="14"/>
  <c r="N54" i="14"/>
  <c r="N55" i="14"/>
</calcChain>
</file>

<file path=xl/sharedStrings.xml><?xml version="1.0" encoding="utf-8"?>
<sst xmlns="http://schemas.openxmlformats.org/spreadsheetml/2006/main" count="154" uniqueCount="85">
  <si>
    <t>Node 1</t>
  </si>
  <si>
    <t>Node 2</t>
  </si>
  <si>
    <t>Node 3</t>
  </si>
  <si>
    <t>Node 4</t>
  </si>
  <si>
    <t>Node 5</t>
  </si>
  <si>
    <t>Node 6</t>
  </si>
  <si>
    <t>Node 7</t>
  </si>
  <si>
    <t>Node 9</t>
  </si>
  <si>
    <t>Prepared by:</t>
  </si>
  <si>
    <t>Office:</t>
  </si>
  <si>
    <t>Date:</t>
  </si>
  <si>
    <t>Checked by:</t>
  </si>
  <si>
    <t>Calculation Title:</t>
  </si>
  <si>
    <t>Number of event tree nodes</t>
  </si>
  <si>
    <t>◄ Use drop-down list.</t>
  </si>
  <si>
    <t>Yes</t>
  </si>
  <si>
    <t>No</t>
  </si>
  <si>
    <t>Node</t>
  </si>
  <si>
    <t>Event Tree Input</t>
  </si>
  <si>
    <t>Caution: Do not delete any of the following rows.</t>
  </si>
  <si>
    <t xml:space="preserve">Node 8 </t>
  </si>
  <si>
    <t>Initiating event</t>
  </si>
  <si>
    <t>Shape</t>
  </si>
  <si>
    <t>Branch 1</t>
  </si>
  <si>
    <t>Branch 2</t>
  </si>
  <si>
    <t>Event Tree</t>
  </si>
  <si>
    <t>Include nodal callouts?</t>
  </si>
  <si>
    <t>Callouts</t>
  </si>
  <si>
    <t>Other</t>
  </si>
  <si>
    <t>Flood Loading</t>
  </si>
  <si>
    <t>Names</t>
  </si>
  <si>
    <t>Step 2: Define node-specific information</t>
  </si>
  <si>
    <t>Step 1: Characterize the event tree</t>
  </si>
  <si>
    <t>Node 8</t>
  </si>
  <si>
    <t>Event Description</t>
  </si>
  <si>
    <t>Title</t>
  </si>
  <si>
    <t>Node 9 Title</t>
  </si>
  <si>
    <t>Callout</t>
  </si>
  <si>
    <t>Include node titles?</t>
  </si>
  <si>
    <t>Node 1 Callout</t>
  </si>
  <si>
    <t>Node 2 Callout</t>
  </si>
  <si>
    <t>Node 3 Callout</t>
  </si>
  <si>
    <t>Node 4 Callout</t>
  </si>
  <si>
    <t>Node 5 Callout</t>
  </si>
  <si>
    <t>Node 6 Callout</t>
  </si>
  <si>
    <t>Node 7 Callout</t>
  </si>
  <si>
    <t>Node 8 Callout</t>
  </si>
  <si>
    <t>Node 9 Callout</t>
  </si>
  <si>
    <t>◄ When nodal callouts are on, adjust text boxes and arrows as necessary.</t>
  </si>
  <si>
    <t>Description</t>
  </si>
  <si>
    <t>Max Char.</t>
  </si>
  <si>
    <t>Node 9 Description</t>
  </si>
  <si>
    <t>Directions for use</t>
  </si>
  <si>
    <t>1) Characterize the event tree in Step 1.</t>
  </si>
  <si>
    <t>2) Define node-specific information in Step 2.</t>
  </si>
  <si>
    <t>3) Select the 'Event Tree' worksheet and make adjustments to the event tree callout arrows and callout</t>
  </si>
  <si>
    <t xml:space="preserve">4) In the 'Event Tree' worksheet, select a range of cells that completely encompasses the event tree nodes </t>
  </si>
  <si>
    <t>and text boxes. Right click and select "Copy".</t>
  </si>
  <si>
    <t xml:space="preserve">5) In a Word document or PowerPoint presentation, open the 'Paste Special' dialogue box (Ctrl + Alt + v) </t>
  </si>
  <si>
    <t>and paste the event tree as an enhanced metafile.</t>
  </si>
  <si>
    <t>Limitations for use</t>
  </si>
  <si>
    <t>failure nodes.</t>
  </si>
  <si>
    <t>not to print an editable event tree from the worksheet.</t>
  </si>
  <si>
    <t>◄ See directions for copy and paste in the 'Event Tree Input' worksheet.</t>
  </si>
  <si>
    <t>◄ To change arrow type, right click the arrow and hover over "Connector Types."</t>
  </si>
  <si>
    <t>Seismic Hazard</t>
  </si>
  <si>
    <t>Unsuccessful Intervention</t>
  </si>
  <si>
    <t>Detection and intervention are unsuccessful?</t>
  </si>
  <si>
    <t>Breach</t>
  </si>
  <si>
    <t>Uncontrolled release of impounded water occurs?</t>
  </si>
  <si>
    <t>1) This worksheet constructs an event tree that is a single-linear progression to breach without multiple</t>
  </si>
  <si>
    <t xml:space="preserve">2) The intent of this worksheet is to copy and paste the event tree as an image into a report or presentation, </t>
  </si>
  <si>
    <t>◄ If using copy/paste, paste values only to preserve conditional formatting.</t>
  </si>
  <si>
    <t xml:space="preserve">    a) To make the background of the figure transparent, change the fill color of the project event tree cells to</t>
  </si>
  <si>
    <t xml:space="preserve">       "no fill" and uncheck the "Gridlines" box under View -&gt; Show in the Ribbon.</t>
  </si>
  <si>
    <t>boxes as necessary. If D32 of this worksheet is "No", this step is skipped.</t>
  </si>
  <si>
    <t>Progression: Clogging</t>
  </si>
  <si>
    <t>Leakage pathway fails to clog, and a stope develops?</t>
  </si>
  <si>
    <t>Initiating Mechanism</t>
  </si>
  <si>
    <t>Initial Slope Instability</t>
  </si>
  <si>
    <t>Initial slope instability failure occurs?</t>
  </si>
  <si>
    <t>Initial Failure Severity</t>
  </si>
  <si>
    <t>Initial failure lowers the crest and uncontrolled release of impounded water occurs?</t>
  </si>
  <si>
    <t>Decrease in shear strength or increase of load on the slope (i.e., increase in shear stress) occurs?</t>
  </si>
  <si>
    <t>Hydrologic Hazard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</si>
</sst>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;@"/>
  </numFmts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Arial"/>
      <family val="2"/>
    </font>
    <font>
      <u/>
      <sz val="10"/>
      <color theme="10"/>
      <name val="Arial"/>
      <family val="2"/>
    </font>
    <font>
      <sz val="10"/>
      <color theme="1"/>
      <name val="Arial"/>
      <family val="2"/>
    </font>
    <font>
      <u/>
      <sz val="10"/>
      <name val="Arial"/>
      <family val="2"/>
    </font>
    <font>
      <sz val="10"/>
      <color rgb="FF0070C0"/>
      <name val="Arial"/>
      <family val="2"/>
    </font>
    <font>
      <b/>
      <u/>
      <sz val="10"/>
      <color theme="1"/>
      <name val="Arial"/>
      <family val="2"/>
    </font>
    <font>
      <sz val="11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EF334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/>
    <xf numFmtId="0" fontId="1" fillId="0" borderId="0"/>
    <xf numFmtId="0" fontId="1" fillId="0" borderId="0"/>
    <xf numFmtId="0" fontId="1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4" fillId="0" borderId="0"/>
    <xf numFmtId="0" fontId="4" fillId="0" borderId="0"/>
  </cellStyleXfs>
  <cellXfs count="73">
    <xf numFmtId="0" fontId="0" fillId="0" borderId="0" xfId="0"/>
    <xf numFmtId="0" fontId="2" fillId="3" borderId="0" xfId="2" applyFont="1" applyFill="1"/>
    <xf numFmtId="0" fontId="1" fillId="4" borderId="0" xfId="8" applyFont="1" applyFill="1"/>
    <xf numFmtId="0" fontId="1" fillId="4" borderId="0" xfId="8" applyFont="1" applyFill="1" applyAlignment="1">
      <alignment horizontal="right"/>
    </xf>
    <xf numFmtId="0" fontId="1" fillId="2" borderId="0" xfId="8" applyFont="1" applyFill="1" applyAlignment="1">
      <alignment horizontal="right"/>
    </xf>
    <xf numFmtId="0" fontId="1" fillId="2" borderId="0" xfId="0" applyFont="1" applyFill="1"/>
    <xf numFmtId="0" fontId="6" fillId="0" borderId="0" xfId="0" applyFont="1"/>
    <xf numFmtId="0" fontId="4" fillId="5" borderId="2" xfId="8" applyFill="1" applyBorder="1" applyAlignment="1" applyProtection="1">
      <alignment horizontal="left"/>
      <protection locked="0"/>
    </xf>
    <xf numFmtId="164" fontId="4" fillId="5" borderId="2" xfId="8" applyNumberFormat="1" applyFill="1" applyBorder="1" applyAlignment="1" applyProtection="1">
      <alignment horizontal="left"/>
      <protection locked="0"/>
    </xf>
    <xf numFmtId="0" fontId="4" fillId="0" borderId="0" xfId="0" applyFont="1"/>
    <xf numFmtId="0" fontId="4" fillId="2" borderId="0" xfId="0" applyFont="1" applyFill="1"/>
    <xf numFmtId="0" fontId="4" fillId="5" borderId="2" xfId="0" applyFont="1" applyFill="1" applyBorder="1" applyAlignment="1" applyProtection="1">
      <alignment horizontal="left"/>
      <protection locked="0"/>
    </xf>
    <xf numFmtId="0" fontId="4" fillId="2" borderId="0" xfId="0" applyFont="1" applyFill="1" applyAlignment="1">
      <alignment vertical="center"/>
    </xf>
    <xf numFmtId="0" fontId="7" fillId="2" borderId="0" xfId="0" applyFont="1" applyFill="1"/>
    <xf numFmtId="0" fontId="1" fillId="0" borderId="0" xfId="2"/>
    <xf numFmtId="0" fontId="4" fillId="0" borderId="0" xfId="0" applyFont="1" applyAlignment="1">
      <alignment horizontal="center"/>
    </xf>
    <xf numFmtId="0" fontId="2" fillId="2" borderId="0" xfId="2" applyFont="1" applyFill="1" applyAlignment="1">
      <alignment horizontal="left"/>
    </xf>
    <xf numFmtId="0" fontId="1" fillId="2" borderId="0" xfId="2" applyFill="1" applyAlignment="1">
      <alignment wrapText="1"/>
    </xf>
    <xf numFmtId="0" fontId="4" fillId="2" borderId="0" xfId="0" applyFont="1" applyFill="1" applyAlignment="1">
      <alignment vertical="top" wrapText="1"/>
    </xf>
    <xf numFmtId="0" fontId="1" fillId="2" borderId="0" xfId="2" applyFill="1"/>
    <xf numFmtId="0" fontId="4" fillId="2" borderId="0" xfId="8" applyFill="1" applyAlignment="1" applyProtection="1">
      <alignment vertical="top" wrapText="1"/>
      <protection locked="0"/>
    </xf>
    <xf numFmtId="0" fontId="1" fillId="2" borderId="0" xfId="2" applyFill="1" applyAlignment="1">
      <alignment vertical="center" wrapText="1"/>
    </xf>
    <xf numFmtId="0" fontId="4" fillId="2" borderId="0" xfId="0" applyFont="1" applyFill="1" applyAlignment="1">
      <alignment horizontal="right"/>
    </xf>
    <xf numFmtId="0" fontId="4" fillId="0" borderId="0" xfId="0" applyFont="1" applyAlignment="1">
      <alignment vertical="center"/>
    </xf>
    <xf numFmtId="0" fontId="4" fillId="2" borderId="4" xfId="0" applyFont="1" applyFill="1" applyBorder="1" applyAlignment="1">
      <alignment vertical="center" wrapText="1"/>
    </xf>
    <xf numFmtId="0" fontId="4" fillId="2" borderId="0" xfId="0" applyFont="1" applyFill="1" applyAlignment="1">
      <alignment vertical="center" wrapText="1"/>
    </xf>
    <xf numFmtId="0" fontId="4" fillId="2" borderId="2" xfId="0" applyFont="1" applyFill="1" applyBorder="1" applyAlignment="1">
      <alignment vertical="center" wrapText="1"/>
    </xf>
    <xf numFmtId="0" fontId="8" fillId="0" borderId="0" xfId="0" applyFont="1"/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0" fontId="2" fillId="2" borderId="0" xfId="2" applyFont="1" applyFill="1"/>
    <xf numFmtId="0" fontId="5" fillId="2" borderId="0" xfId="2" applyFont="1" applyFill="1"/>
    <xf numFmtId="0" fontId="1" fillId="0" borderId="0" xfId="0" applyFont="1"/>
    <xf numFmtId="0" fontId="4" fillId="2" borderId="0" xfId="0" applyFont="1" applyFill="1" applyAlignment="1">
      <alignment horizontal="center" vertical="center"/>
    </xf>
    <xf numFmtId="0" fontId="4" fillId="0" borderId="0" xfId="0" applyFont="1" applyAlignment="1">
      <alignment wrapText="1"/>
    </xf>
    <xf numFmtId="0" fontId="1" fillId="0" borderId="0" xfId="2" applyAlignment="1">
      <alignment wrapText="1"/>
    </xf>
    <xf numFmtId="0" fontId="1" fillId="0" borderId="0" xfId="2" applyAlignment="1">
      <alignment vertical="center" wrapText="1"/>
    </xf>
    <xf numFmtId="0" fontId="4" fillId="0" borderId="3" xfId="0" applyFont="1" applyBorder="1"/>
    <xf numFmtId="0" fontId="4" fillId="0" borderId="4" xfId="0" applyFont="1" applyBorder="1" applyAlignment="1">
      <alignment vertical="center" wrapText="1"/>
    </xf>
    <xf numFmtId="0" fontId="4" fillId="0" borderId="1" xfId="0" applyFont="1" applyBorder="1"/>
    <xf numFmtId="0" fontId="4" fillId="0" borderId="0" xfId="0" applyFont="1" applyAlignment="1">
      <alignment vertical="center" wrapText="1"/>
    </xf>
    <xf numFmtId="0" fontId="4" fillId="0" borderId="5" xfId="0" applyFont="1" applyBorder="1"/>
    <xf numFmtId="0" fontId="4" fillId="0" borderId="2" xfId="0" applyFont="1" applyBorder="1" applyAlignment="1">
      <alignment vertical="center" wrapText="1"/>
    </xf>
    <xf numFmtId="0" fontId="4" fillId="0" borderId="2" xfId="0" applyFont="1" applyBorder="1"/>
    <xf numFmtId="0" fontId="2" fillId="0" borderId="0" xfId="2" applyFont="1" applyAlignment="1">
      <alignment horizontal="left"/>
    </xf>
    <xf numFmtId="0" fontId="4" fillId="0" borderId="0" xfId="0" applyFont="1" applyAlignment="1">
      <alignment horizontal="center" vertical="center"/>
    </xf>
    <xf numFmtId="0" fontId="4" fillId="0" borderId="2" xfId="0" applyFont="1" applyBorder="1" applyAlignment="1">
      <alignment vertical="top" wrapText="1"/>
    </xf>
    <xf numFmtId="0" fontId="4" fillId="0" borderId="0" xfId="0" applyFont="1" applyAlignment="1" applyProtection="1">
      <alignment vertical="center" wrapText="1"/>
      <protection locked="0"/>
    </xf>
    <xf numFmtId="0" fontId="4" fillId="0" borderId="1" xfId="0" applyFont="1" applyBorder="1" applyProtection="1">
      <protection locked="0"/>
    </xf>
    <xf numFmtId="0" fontId="4" fillId="0" borderId="1" xfId="0" applyFont="1" applyBorder="1" applyAlignment="1">
      <alignment vertical="top" wrapText="1"/>
    </xf>
    <xf numFmtId="0" fontId="4" fillId="0" borderId="5" xfId="0" applyFont="1" applyBorder="1" applyAlignment="1">
      <alignment vertical="top" wrapText="1"/>
    </xf>
    <xf numFmtId="0" fontId="4" fillId="0" borderId="7" xfId="0" applyFont="1" applyBorder="1" applyAlignment="1">
      <alignment vertical="top" wrapText="1"/>
    </xf>
    <xf numFmtId="0" fontId="4" fillId="0" borderId="0" xfId="0" applyFont="1" applyProtection="1">
      <protection locked="0"/>
    </xf>
    <xf numFmtId="0" fontId="4" fillId="0" borderId="0" xfId="0" applyFont="1" applyAlignment="1" applyProtection="1">
      <alignment vertical="top" wrapText="1"/>
      <protection locked="0"/>
    </xf>
    <xf numFmtId="0" fontId="4" fillId="0" borderId="2" xfId="0" applyFont="1" applyBorder="1" applyProtection="1">
      <protection locked="0"/>
    </xf>
    <xf numFmtId="0" fontId="4" fillId="0" borderId="2" xfId="0" applyFont="1" applyBorder="1" applyAlignment="1" applyProtection="1">
      <alignment vertical="top" wrapText="1"/>
      <protection locked="0"/>
    </xf>
    <xf numFmtId="0" fontId="4" fillId="0" borderId="1" xfId="0" applyFont="1" applyBorder="1" applyAlignment="1">
      <alignment wrapText="1"/>
    </xf>
    <xf numFmtId="0" fontId="4" fillId="0" borderId="1" xfId="0" applyFont="1" applyBorder="1" applyAlignment="1">
      <alignment vertical="center" wrapText="1"/>
    </xf>
    <xf numFmtId="0" fontId="4" fillId="0" borderId="2" xfId="0" applyFont="1" applyBorder="1" applyAlignment="1">
      <alignment wrapText="1"/>
    </xf>
    <xf numFmtId="0" fontId="4" fillId="5" borderId="0" xfId="8" applyFill="1" applyAlignment="1" applyProtection="1">
      <alignment horizontal="left" vertical="top" wrapText="1"/>
      <protection locked="0"/>
    </xf>
    <xf numFmtId="0" fontId="4" fillId="5" borderId="2" xfId="8" applyFill="1" applyBorder="1" applyAlignment="1" applyProtection="1">
      <alignment horizontal="left"/>
      <protection locked="0"/>
    </xf>
    <xf numFmtId="0" fontId="4" fillId="5" borderId="2" xfId="0" applyFont="1" applyFill="1" applyBorder="1" applyAlignment="1" applyProtection="1">
      <alignment horizontal="left"/>
      <protection locked="0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top" wrapText="1"/>
    </xf>
    <xf numFmtId="0" fontId="2" fillId="3" borderId="0" xfId="2" applyFont="1" applyFill="1" applyAlignment="1">
      <alignment horizontal="left"/>
    </xf>
    <xf numFmtId="0" fontId="4" fillId="0" borderId="0" xfId="0" applyFont="1" applyAlignment="1">
      <alignment horizontal="center"/>
    </xf>
    <xf numFmtId="0" fontId="1" fillId="2" borderId="0" xfId="8" applyFont="1" applyFill="1" applyAlignment="1">
      <alignment horizontal="left"/>
    </xf>
    <xf numFmtId="0" fontId="1" fillId="2" borderId="0" xfId="0" applyFont="1" applyFill="1" applyAlignment="1">
      <alignment horizontal="left"/>
    </xf>
    <xf numFmtId="0" fontId="1" fillId="2" borderId="0" xfId="8" applyFont="1" applyFill="1" applyAlignment="1">
      <alignment horizontal="right"/>
    </xf>
    <xf numFmtId="0" fontId="4" fillId="5" borderId="2" xfId="8" applyFill="1" applyBorder="1" applyAlignment="1" applyProtection="1">
      <alignment horizontal="left" vertical="top"/>
      <protection locked="0"/>
    </xf>
    <xf numFmtId="0" fontId="4" fillId="5" borderId="6" xfId="8" applyFill="1" applyBorder="1" applyAlignment="1" applyProtection="1">
      <alignment horizontal="left" vertical="top"/>
      <protection locked="0"/>
    </xf>
    <xf numFmtId="0" fontId="4" fillId="5" borderId="2" xfId="0" applyFont="1" applyFill="1" applyBorder="1" applyAlignment="1" applyProtection="1">
      <alignment horizontal="left" vertical="top"/>
      <protection locked="0"/>
    </xf>
    <xf numFmtId="14" fontId="4" fillId="5" borderId="2" xfId="8" applyNumberFormat="1" applyFill="1" applyBorder="1" applyAlignment="1" applyProtection="1">
      <alignment horizontal="left" vertical="top"/>
      <protection locked="0"/>
    </xf>
  </cellXfs>
  <cellStyles count="9">
    <cellStyle name="Hyperlink 2" xfId="4" xr:uid="{CECC2427-518E-4A69-BA07-57DF917B3191}"/>
    <cellStyle name="Normal" xfId="0" builtinId="0"/>
    <cellStyle name="Normal 2" xfId="2" xr:uid="{98A43E53-164E-4960-A2BB-317B0FCC08DE}"/>
    <cellStyle name="Normal 4" xfId="8" xr:uid="{B0BBEBA6-8E01-43A5-B311-A787C063FA15}"/>
    <cellStyle name="Normal 4 2" xfId="1" xr:uid="{E863137D-D914-421F-9112-0DB88FB197AA}"/>
    <cellStyle name="Normal 4 2 2" xfId="3" xr:uid="{D0C4138F-867E-49CF-980C-BB3ED14E5459}"/>
    <cellStyle name="Normal 6 2" xfId="6" xr:uid="{E2DCF6FD-4360-4E5F-B09D-F17EE2582376}"/>
    <cellStyle name="Normal 7" xfId="5" xr:uid="{529FF831-DFC4-410A-B18C-A3EB37ECB8E4}"/>
    <cellStyle name="Normal 7 2" xfId="7" xr:uid="{3D0251A6-0FFC-40EA-9794-273AB05A343E}"/>
  </cellStyles>
  <dxfs count="21">
    <dxf>
      <border>
        <bottom style="thin">
          <color auto="1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F99"/>
      <color rgb="FF00B050"/>
      <color rgb="FFFFFFCC"/>
      <color rgb="FF007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19050</xdr:colOff>
      <xdr:row>31</xdr:row>
      <xdr:rowOff>114299</xdr:rowOff>
    </xdr:from>
    <xdr:to>
      <xdr:col>21</xdr:col>
      <xdr:colOff>152400</xdr:colOff>
      <xdr:row>34</xdr:row>
      <xdr:rowOff>37718</xdr:rowOff>
    </xdr:to>
    <xdr:sp macro="" textlink="'Event Tree Input'!A39">
      <xdr:nvSpPr>
        <xdr:cNvPr id="41" name="N1Title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SpPr txBox="1"/>
      </xdr:nvSpPr>
      <xdr:spPr>
        <a:xfrm>
          <a:off x="3019425" y="6019799"/>
          <a:ext cx="1333500" cy="494919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69D4AF6-D54C-4C42-BAA3-52B69276E52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Initiating Mechanism</a:t>
          </a:fld>
          <a:endParaRPr lang="en-US" sz="1100"/>
        </a:p>
      </xdr:txBody>
    </xdr:sp>
    <xdr:clientData/>
  </xdr:twoCellAnchor>
  <xdr:twoCellAnchor>
    <xdr:from>
      <xdr:col>22</xdr:col>
      <xdr:colOff>100966</xdr:colOff>
      <xdr:row>24</xdr:row>
      <xdr:rowOff>99059</xdr:rowOff>
    </xdr:from>
    <xdr:to>
      <xdr:col>28</xdr:col>
      <xdr:colOff>19051</xdr:colOff>
      <xdr:row>27</xdr:row>
      <xdr:rowOff>22478</xdr:rowOff>
    </xdr:to>
    <xdr:sp macro="" textlink="'Event Tree Input'!A53">
      <xdr:nvSpPr>
        <xdr:cNvPr id="77" name="N2Title">
          <a:extLst>
            <a:ext uri="{FF2B5EF4-FFF2-40B4-BE49-F238E27FC236}">
              <a16:creationId xmlns:a16="http://schemas.microsoft.com/office/drawing/2014/main" id="{00000000-0008-0000-0500-00004D000000}"/>
            </a:ext>
          </a:extLst>
        </xdr:cNvPr>
        <xdr:cNvSpPr txBox="1"/>
      </xdr:nvSpPr>
      <xdr:spPr>
        <a:xfrm>
          <a:off x="4501516" y="4671059"/>
          <a:ext cx="1118235" cy="494919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B6492B0-02BB-4554-A758-C17D85B9CE1A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Initial Slope Instability</a:t>
          </a:fld>
          <a:endParaRPr lang="en-US" sz="1100"/>
        </a:p>
      </xdr:txBody>
    </xdr:sp>
    <xdr:clientData/>
  </xdr:twoCellAnchor>
  <xdr:twoCellAnchor>
    <xdr:from>
      <xdr:col>28</xdr:col>
      <xdr:colOff>123825</xdr:colOff>
      <xdr:row>17</xdr:row>
      <xdr:rowOff>28574</xdr:rowOff>
    </xdr:from>
    <xdr:to>
      <xdr:col>35</xdr:col>
      <xdr:colOff>57150</xdr:colOff>
      <xdr:row>19</xdr:row>
      <xdr:rowOff>142493</xdr:rowOff>
    </xdr:to>
    <xdr:sp macro="" textlink="'Event Tree Input'!A67">
      <xdr:nvSpPr>
        <xdr:cNvPr id="79" name="N3Title">
          <a:extLs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SpPr txBox="1"/>
      </xdr:nvSpPr>
      <xdr:spPr>
        <a:xfrm>
          <a:off x="5724525" y="3267074"/>
          <a:ext cx="1333500" cy="494919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432F4AB-A9CC-44FA-8435-8EB20B29818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Initial Failure Severity</a:t>
          </a:fld>
          <a:endParaRPr lang="en-US" sz="1100"/>
        </a:p>
      </xdr:txBody>
    </xdr:sp>
    <xdr:clientData/>
  </xdr:twoCellAnchor>
  <xdr:twoCellAnchor>
    <xdr:from>
      <xdr:col>36</xdr:col>
      <xdr:colOff>0</xdr:colOff>
      <xdr:row>22</xdr:row>
      <xdr:rowOff>0</xdr:rowOff>
    </xdr:from>
    <xdr:to>
      <xdr:col>41</xdr:col>
      <xdr:colOff>19050</xdr:colOff>
      <xdr:row>22</xdr:row>
      <xdr:rowOff>179070</xdr:rowOff>
    </xdr:to>
    <xdr:sp macro="" textlink="'Event Tree Input'!A81">
      <xdr:nvSpPr>
        <xdr:cNvPr id="83" name="N4Title" hidden="1">
          <a:extLst>
            <a:ext uri="{FF2B5EF4-FFF2-40B4-BE49-F238E27FC236}">
              <a16:creationId xmlns:a16="http://schemas.microsoft.com/office/drawing/2014/main" id="{00000000-0008-0000-0500-000053000000}"/>
            </a:ext>
          </a:extLst>
        </xdr:cNvPr>
        <xdr:cNvSpPr txBox="1"/>
      </xdr:nvSpPr>
      <xdr:spPr>
        <a:xfrm>
          <a:off x="7568565" y="4343399"/>
          <a:ext cx="1251585" cy="598171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2242954-56BB-4181-A758-985516CDAE9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Progression: Clogging</a:t>
          </a:fld>
          <a:endParaRPr lang="en-US" sz="1100"/>
        </a:p>
      </xdr:txBody>
    </xdr:sp>
    <xdr:clientData/>
  </xdr:twoCellAnchor>
  <xdr:twoCellAnchor>
    <xdr:from>
      <xdr:col>42</xdr:col>
      <xdr:colOff>0</xdr:colOff>
      <xdr:row>16</xdr:row>
      <xdr:rowOff>142874</xdr:rowOff>
    </xdr:from>
    <xdr:to>
      <xdr:col>47</xdr:col>
      <xdr:colOff>161925</xdr:colOff>
      <xdr:row>19</xdr:row>
      <xdr:rowOff>66674</xdr:rowOff>
    </xdr:to>
    <xdr:sp macro="" textlink="'Event Tree Input'!A109">
      <xdr:nvSpPr>
        <xdr:cNvPr id="85" name="N6Title" hidden="1">
          <a:extLst>
            <a:ext uri="{FF2B5EF4-FFF2-40B4-BE49-F238E27FC236}">
              <a16:creationId xmlns:a16="http://schemas.microsoft.com/office/drawing/2014/main" id="{00000000-0008-0000-0500-000055000000}"/>
            </a:ext>
          </a:extLst>
        </xdr:cNvPr>
        <xdr:cNvSpPr txBox="1"/>
      </xdr:nvSpPr>
      <xdr:spPr>
        <a:xfrm>
          <a:off x="10029825" y="2828924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BD80564-05C4-4A01-8758-FE0FD55DE67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Breach</a:t>
          </a:fld>
          <a:endParaRPr lang="en-US" sz="1100"/>
        </a:p>
      </xdr:txBody>
    </xdr:sp>
    <xdr:clientData/>
  </xdr:twoCellAnchor>
  <xdr:twoCellAnchor>
    <xdr:from>
      <xdr:col>48</xdr:col>
      <xdr:colOff>28575</xdr:colOff>
      <xdr:row>13</xdr:row>
      <xdr:rowOff>142874</xdr:rowOff>
    </xdr:from>
    <xdr:to>
      <xdr:col>54</xdr:col>
      <xdr:colOff>161925</xdr:colOff>
      <xdr:row>16</xdr:row>
      <xdr:rowOff>66674</xdr:rowOff>
    </xdr:to>
    <xdr:sp macro="" textlink="'Event Tree Input'!A123">
      <xdr:nvSpPr>
        <xdr:cNvPr id="91" name="N7Title" hidden="1">
          <a:extLst>
            <a:ext uri="{FF2B5EF4-FFF2-40B4-BE49-F238E27FC236}">
              <a16:creationId xmlns:a16="http://schemas.microsoft.com/office/drawing/2014/main" id="{00000000-0008-0000-0500-00005B000000}"/>
            </a:ext>
          </a:extLst>
        </xdr:cNvPr>
        <xdr:cNvSpPr txBox="1"/>
      </xdr:nvSpPr>
      <xdr:spPr>
        <a:xfrm>
          <a:off x="11430000" y="228599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47451A5-1A1F-4D6F-ADCB-5853D3B37F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Unsuccessful Intervention</a:t>
          </a:fld>
          <a:endParaRPr lang="en-US" sz="1100"/>
        </a:p>
      </xdr:txBody>
    </xdr:sp>
    <xdr:clientData/>
  </xdr:twoCellAnchor>
  <xdr:twoCellAnchor>
    <xdr:from>
      <xdr:col>55</xdr:col>
      <xdr:colOff>28575</xdr:colOff>
      <xdr:row>10</xdr:row>
      <xdr:rowOff>123824</xdr:rowOff>
    </xdr:from>
    <xdr:to>
      <xdr:col>61</xdr:col>
      <xdr:colOff>161925</xdr:colOff>
      <xdr:row>13</xdr:row>
      <xdr:rowOff>66674</xdr:rowOff>
    </xdr:to>
    <xdr:sp macro="" textlink="'Event Tree Input'!A137">
      <xdr:nvSpPr>
        <xdr:cNvPr id="92" name="N8Title" hidden="1">
          <a:extLst>
            <a:ext uri="{FF2B5EF4-FFF2-40B4-BE49-F238E27FC236}">
              <a16:creationId xmlns:a16="http://schemas.microsoft.com/office/drawing/2014/main" id="{00000000-0008-0000-0500-00005C000000}"/>
            </a:ext>
          </a:extLst>
        </xdr:cNvPr>
        <xdr:cNvSpPr txBox="1"/>
      </xdr:nvSpPr>
      <xdr:spPr>
        <a:xfrm>
          <a:off x="12830175" y="1743074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58142FD-C7A8-49DE-A237-57B36855006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Breach</a:t>
          </a:fld>
          <a:endParaRPr lang="en-US" sz="1100"/>
        </a:p>
      </xdr:txBody>
    </xdr:sp>
    <xdr:clientData/>
  </xdr:twoCellAnchor>
  <xdr:twoCellAnchor>
    <xdr:from>
      <xdr:col>62</xdr:col>
      <xdr:colOff>28575</xdr:colOff>
      <xdr:row>7</xdr:row>
      <xdr:rowOff>66674</xdr:rowOff>
    </xdr:from>
    <xdr:to>
      <xdr:col>68</xdr:col>
      <xdr:colOff>161925</xdr:colOff>
      <xdr:row>10</xdr:row>
      <xdr:rowOff>47624</xdr:rowOff>
    </xdr:to>
    <xdr:sp macro="" textlink="'Event Tree Input'!A151">
      <xdr:nvSpPr>
        <xdr:cNvPr id="93" name="N9Title" hidden="1">
          <a:extLst>
            <a:ext uri="{FF2B5EF4-FFF2-40B4-BE49-F238E27FC236}">
              <a16:creationId xmlns:a16="http://schemas.microsoft.com/office/drawing/2014/main" id="{00000000-0008-0000-0500-00005D000000}"/>
            </a:ext>
          </a:extLst>
        </xdr:cNvPr>
        <xdr:cNvSpPr txBox="1"/>
      </xdr:nvSpPr>
      <xdr:spPr>
        <a:xfrm>
          <a:off x="14230350" y="120014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AC8595F-8254-4EB2-81EB-C3A93AF71F0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Node 9 Title</a:t>
          </a:fld>
          <a:endParaRPr lang="en-US" sz="1100"/>
        </a:p>
      </xdr:txBody>
    </xdr:sp>
    <xdr:clientData/>
  </xdr:twoCellAnchor>
  <xdr:twoCellAnchor>
    <xdr:from>
      <xdr:col>51</xdr:col>
      <xdr:colOff>83343</xdr:colOff>
      <xdr:row>5</xdr:row>
      <xdr:rowOff>166688</xdr:rowOff>
    </xdr:from>
    <xdr:to>
      <xdr:col>57</xdr:col>
      <xdr:colOff>133348</xdr:colOff>
      <xdr:row>7</xdr:row>
      <xdr:rowOff>35720</xdr:rowOff>
    </xdr:to>
    <xdr:sp macro="" textlink="">
      <xdr:nvSpPr>
        <xdr:cNvPr id="90" name="N9Callout" hidden="1">
          <a:extLst>
            <a:ext uri="{FF2B5EF4-FFF2-40B4-BE49-F238E27FC236}">
              <a16:creationId xmlns:a16="http://schemas.microsoft.com/office/drawing/2014/main" id="{00000000-0008-0000-0500-00005A000000}"/>
            </a:ext>
          </a:extLst>
        </xdr:cNvPr>
        <xdr:cNvSpPr txBox="1"/>
      </xdr:nvSpPr>
      <xdr:spPr>
        <a:xfrm>
          <a:off x="12227718" y="1119188"/>
          <a:ext cx="1264443" cy="25003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9 Callout</a:t>
          </a:r>
        </a:p>
      </xdr:txBody>
    </xdr:sp>
    <xdr:clientData/>
  </xdr:twoCellAnchor>
  <xdr:twoCellAnchor>
    <xdr:from>
      <xdr:col>55</xdr:col>
      <xdr:colOff>95251</xdr:colOff>
      <xdr:row>24</xdr:row>
      <xdr:rowOff>64293</xdr:rowOff>
    </xdr:from>
    <xdr:to>
      <xdr:col>61</xdr:col>
      <xdr:colOff>119063</xdr:colOff>
      <xdr:row>26</xdr:row>
      <xdr:rowOff>59531</xdr:rowOff>
    </xdr:to>
    <xdr:sp macro="" textlink="">
      <xdr:nvSpPr>
        <xdr:cNvPr id="88" name="N8Callout" hidden="1">
          <a:extLst>
            <a:ext uri="{FF2B5EF4-FFF2-40B4-BE49-F238E27FC236}">
              <a16:creationId xmlns:a16="http://schemas.microsoft.com/office/drawing/2014/main" id="{00000000-0008-0000-0500-000058000000}"/>
            </a:ext>
          </a:extLst>
        </xdr:cNvPr>
        <xdr:cNvSpPr txBox="1"/>
      </xdr:nvSpPr>
      <xdr:spPr>
        <a:xfrm>
          <a:off x="13049251" y="5207793"/>
          <a:ext cx="1238250" cy="3762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8 Callout</a:t>
          </a:r>
        </a:p>
      </xdr:txBody>
    </xdr:sp>
    <xdr:clientData/>
  </xdr:twoCellAnchor>
  <xdr:twoCellAnchor>
    <xdr:from>
      <xdr:col>42</xdr:col>
      <xdr:colOff>0</xdr:colOff>
      <xdr:row>10</xdr:row>
      <xdr:rowOff>95250</xdr:rowOff>
    </xdr:from>
    <xdr:to>
      <xdr:col>47</xdr:col>
      <xdr:colOff>166688</xdr:colOff>
      <xdr:row>12</xdr:row>
      <xdr:rowOff>23812</xdr:rowOff>
    </xdr:to>
    <xdr:sp macro="" textlink="">
      <xdr:nvSpPr>
        <xdr:cNvPr id="87" name="N7Callout" hidden="1">
          <a:extLst>
            <a:ext uri="{FF2B5EF4-FFF2-40B4-BE49-F238E27FC236}">
              <a16:creationId xmlns:a16="http://schemas.microsoft.com/office/drawing/2014/main" id="{00000000-0008-0000-0500-000057000000}"/>
            </a:ext>
          </a:extLst>
        </xdr:cNvPr>
        <xdr:cNvSpPr txBox="1"/>
      </xdr:nvSpPr>
      <xdr:spPr>
        <a:xfrm>
          <a:off x="10179844" y="2000250"/>
          <a:ext cx="1321594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7 Callout</a:t>
          </a:r>
        </a:p>
      </xdr:txBody>
    </xdr:sp>
    <xdr:clientData/>
  </xdr:twoCellAnchor>
  <xdr:twoCellAnchor>
    <xdr:from>
      <xdr:col>46</xdr:col>
      <xdr:colOff>142874</xdr:colOff>
      <xdr:row>28</xdr:row>
      <xdr:rowOff>142876</xdr:rowOff>
    </xdr:from>
    <xdr:to>
      <xdr:col>52</xdr:col>
      <xdr:colOff>142875</xdr:colOff>
      <xdr:row>30</xdr:row>
      <xdr:rowOff>47626</xdr:rowOff>
    </xdr:to>
    <xdr:sp macro="" textlink="">
      <xdr:nvSpPr>
        <xdr:cNvPr id="86" name="N6Callout" hidden="1">
          <a:extLst>
            <a:ext uri="{FF2B5EF4-FFF2-40B4-BE49-F238E27FC236}">
              <a16:creationId xmlns:a16="http://schemas.microsoft.com/office/drawing/2014/main" id="{00000000-0008-0000-0500-000056000000}"/>
            </a:ext>
          </a:extLst>
        </xdr:cNvPr>
        <xdr:cNvSpPr txBox="1"/>
      </xdr:nvSpPr>
      <xdr:spPr>
        <a:xfrm>
          <a:off x="11275218" y="6048376"/>
          <a:ext cx="1214438" cy="2857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6 Callout</a:t>
          </a:r>
        </a:p>
      </xdr:txBody>
    </xdr:sp>
    <xdr:clientData/>
  </xdr:twoCellAnchor>
  <xdr:twoCellAnchor>
    <xdr:from>
      <xdr:col>35</xdr:col>
      <xdr:colOff>23812</xdr:colOff>
      <xdr:row>15</xdr:row>
      <xdr:rowOff>142876</xdr:rowOff>
    </xdr:from>
    <xdr:to>
      <xdr:col>40</xdr:col>
      <xdr:colOff>83344</xdr:colOff>
      <xdr:row>17</xdr:row>
      <xdr:rowOff>71438</xdr:rowOff>
    </xdr:to>
    <xdr:sp macro="" textlink="">
      <xdr:nvSpPr>
        <xdr:cNvPr id="82" name="N5Callout" hidden="1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SpPr txBox="1"/>
      </xdr:nvSpPr>
      <xdr:spPr>
        <a:xfrm>
          <a:off x="7108031" y="3000376"/>
          <a:ext cx="1273969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5 Callout</a:t>
          </a:r>
        </a:p>
      </xdr:txBody>
    </xdr:sp>
    <xdr:clientData/>
  </xdr:twoCellAnchor>
  <xdr:twoCellAnchor>
    <xdr:from>
      <xdr:col>39</xdr:col>
      <xdr:colOff>95252</xdr:colOff>
      <xdr:row>34</xdr:row>
      <xdr:rowOff>23812</xdr:rowOff>
    </xdr:from>
    <xdr:to>
      <xdr:col>42</xdr:col>
      <xdr:colOff>0</xdr:colOff>
      <xdr:row>35</xdr:row>
      <xdr:rowOff>107156</xdr:rowOff>
    </xdr:to>
    <xdr:sp macro="" textlink="">
      <xdr:nvSpPr>
        <xdr:cNvPr id="81" name="N4Callout" hidden="1">
          <a:extLs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SpPr txBox="1"/>
      </xdr:nvSpPr>
      <xdr:spPr>
        <a:xfrm>
          <a:off x="8191502" y="7072312"/>
          <a:ext cx="1262061" cy="27384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4 Callout</a:t>
          </a:r>
        </a:p>
      </xdr:txBody>
    </xdr:sp>
    <xdr:clientData/>
  </xdr:twoCellAnchor>
  <xdr:twoCellAnchor>
    <xdr:from>
      <xdr:col>22</xdr:col>
      <xdr:colOff>142874</xdr:colOff>
      <xdr:row>21</xdr:row>
      <xdr:rowOff>107155</xdr:rowOff>
    </xdr:from>
    <xdr:to>
      <xdr:col>29</xdr:col>
      <xdr:colOff>0</xdr:colOff>
      <xdr:row>22</xdr:row>
      <xdr:rowOff>0</xdr:rowOff>
    </xdr:to>
    <xdr:sp macro="" textlink="">
      <xdr:nvSpPr>
        <xdr:cNvPr id="80" name="N3Callout" hidden="1">
          <a:extLs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SpPr txBox="1"/>
      </xdr:nvSpPr>
      <xdr:spPr>
        <a:xfrm>
          <a:off x="4595812" y="4107655"/>
          <a:ext cx="1273969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3 Callout</a:t>
          </a:r>
        </a:p>
      </xdr:txBody>
    </xdr:sp>
    <xdr:clientData/>
  </xdr:twoCellAnchor>
  <xdr:twoCellAnchor>
    <xdr:from>
      <xdr:col>19</xdr:col>
      <xdr:colOff>190501</xdr:colOff>
      <xdr:row>41</xdr:row>
      <xdr:rowOff>83344</xdr:rowOff>
    </xdr:from>
    <xdr:to>
      <xdr:col>26</xdr:col>
      <xdr:colOff>23813</xdr:colOff>
      <xdr:row>43</xdr:row>
      <xdr:rowOff>0</xdr:rowOff>
    </xdr:to>
    <xdr:sp macro="" textlink="">
      <xdr:nvSpPr>
        <xdr:cNvPr id="31" name="N1Callout" hidden="1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SpPr txBox="1"/>
      </xdr:nvSpPr>
      <xdr:spPr>
        <a:xfrm>
          <a:off x="4036220" y="8465344"/>
          <a:ext cx="1250156" cy="29765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1 Callout</a:t>
          </a:r>
        </a:p>
      </xdr:txBody>
    </xdr:sp>
    <xdr:clientData/>
  </xdr:twoCellAnchor>
  <xdr:twoCellAnchor>
    <xdr:from>
      <xdr:col>13</xdr:col>
      <xdr:colOff>71439</xdr:colOff>
      <xdr:row>23</xdr:row>
      <xdr:rowOff>11906</xdr:rowOff>
    </xdr:from>
    <xdr:to>
      <xdr:col>19</xdr:col>
      <xdr:colOff>95251</xdr:colOff>
      <xdr:row>24</xdr:row>
      <xdr:rowOff>83344</xdr:rowOff>
    </xdr:to>
    <xdr:sp macro="" textlink="">
      <xdr:nvSpPr>
        <xdr:cNvPr id="78" name="N2Callout" hidden="1">
          <a:extLst>
            <a:ext uri="{FF2B5EF4-FFF2-40B4-BE49-F238E27FC236}">
              <a16:creationId xmlns:a16="http://schemas.microsoft.com/office/drawing/2014/main" id="{00000000-0008-0000-0500-00004E000000}"/>
            </a:ext>
          </a:extLst>
        </xdr:cNvPr>
        <xdr:cNvSpPr txBox="1"/>
      </xdr:nvSpPr>
      <xdr:spPr>
        <a:xfrm>
          <a:off x="2702720" y="4964906"/>
          <a:ext cx="1238250" cy="2619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2 Callout</a:t>
          </a:r>
        </a:p>
      </xdr:txBody>
    </xdr:sp>
    <xdr:clientData/>
  </xdr:twoCellAnchor>
  <xdr:twoCellAnchor>
    <xdr:from>
      <xdr:col>9</xdr:col>
      <xdr:colOff>180975</xdr:colOff>
      <xdr:row>38</xdr:row>
      <xdr:rowOff>147490</xdr:rowOff>
    </xdr:from>
    <xdr:to>
      <xdr:col>12</xdr:col>
      <xdr:colOff>27104</xdr:colOff>
      <xdr:row>41</xdr:row>
      <xdr:rowOff>37942</xdr:rowOff>
    </xdr:to>
    <xdr:sp macro="" textlink="">
      <xdr:nvSpPr>
        <xdr:cNvPr id="2" name="Load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777515" y="5680828"/>
          <a:ext cx="442669" cy="435439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14</xdr:col>
      <xdr:colOff>64220</xdr:colOff>
      <xdr:row>39</xdr:row>
      <xdr:rowOff>52240</xdr:rowOff>
    </xdr:from>
    <xdr:to>
      <xdr:col>15</xdr:col>
      <xdr:colOff>138518</xdr:colOff>
      <xdr:row>40</xdr:row>
      <xdr:rowOff>136062</xdr:rowOff>
    </xdr:to>
    <xdr:sp macro="" textlink="">
      <xdr:nvSpPr>
        <xdr:cNvPr id="3" name="N1Num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>
          <a:spLocks noChangeAspect="1"/>
        </xdr:cNvSpPr>
      </xdr:nvSpPr>
      <xdr:spPr>
        <a:xfrm>
          <a:off x="1654993" y="5767240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1</a:t>
          </a:r>
        </a:p>
      </xdr:txBody>
    </xdr:sp>
    <xdr:clientData/>
  </xdr:twoCellAnchor>
  <xdr:twoCellAnchor>
    <xdr:from>
      <xdr:col>21</xdr:col>
      <xdr:colOff>64220</xdr:colOff>
      <xdr:row>34</xdr:row>
      <xdr:rowOff>52240</xdr:rowOff>
    </xdr:from>
    <xdr:to>
      <xdr:col>22</xdr:col>
      <xdr:colOff>138518</xdr:colOff>
      <xdr:row>35</xdr:row>
      <xdr:rowOff>136062</xdr:rowOff>
    </xdr:to>
    <xdr:sp macro="" textlink="">
      <xdr:nvSpPr>
        <xdr:cNvPr id="4" name="N2Num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>
          <a:spLocks noChangeAspect="1"/>
        </xdr:cNvSpPr>
      </xdr:nvSpPr>
      <xdr:spPr>
        <a:xfrm>
          <a:off x="3046920" y="5222253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2</a:t>
          </a:r>
        </a:p>
      </xdr:txBody>
    </xdr:sp>
    <xdr:clientData/>
  </xdr:twoCellAnchor>
  <xdr:twoCellAnchor>
    <xdr:from>
      <xdr:col>22</xdr:col>
      <xdr:colOff>2383</xdr:colOff>
      <xdr:row>44</xdr:row>
      <xdr:rowOff>59457</xdr:rowOff>
    </xdr:from>
    <xdr:to>
      <xdr:col>23</xdr:col>
      <xdr:colOff>23072</xdr:colOff>
      <xdr:row>45</xdr:row>
      <xdr:rowOff>134510</xdr:rowOff>
    </xdr:to>
    <xdr:sp macro="" textlink="">
      <xdr:nvSpPr>
        <xdr:cNvPr id="5" name="N1B2Tri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 rot="16200000">
          <a:off x="4380513" y="8463877"/>
          <a:ext cx="265553" cy="220714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54695</xdr:colOff>
      <xdr:row>27</xdr:row>
      <xdr:rowOff>61765</xdr:rowOff>
    </xdr:from>
    <xdr:to>
      <xdr:col>29</xdr:col>
      <xdr:colOff>128993</xdr:colOff>
      <xdr:row>28</xdr:row>
      <xdr:rowOff>145587</xdr:rowOff>
    </xdr:to>
    <xdr:sp macro="" textlink="">
      <xdr:nvSpPr>
        <xdr:cNvPr id="6" name="N3Num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>
          <a:spLocks noChangeAspect="1"/>
        </xdr:cNvSpPr>
      </xdr:nvSpPr>
      <xdr:spPr>
        <a:xfrm>
          <a:off x="5655395" y="5776765"/>
          <a:ext cx="274323" cy="274322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3</a:t>
          </a:r>
        </a:p>
      </xdr:txBody>
    </xdr:sp>
    <xdr:clientData/>
  </xdr:twoCellAnchor>
  <xdr:twoCellAnchor>
    <xdr:from>
      <xdr:col>29</xdr:col>
      <xdr:colOff>2383</xdr:colOff>
      <xdr:row>41</xdr:row>
      <xdr:rowOff>59457</xdr:rowOff>
    </xdr:from>
    <xdr:to>
      <xdr:col>30</xdr:col>
      <xdr:colOff>23072</xdr:colOff>
      <xdr:row>42</xdr:row>
      <xdr:rowOff>134510</xdr:rowOff>
    </xdr:to>
    <xdr:sp macro="" textlink="">
      <xdr:nvSpPr>
        <xdr:cNvPr id="7" name="N2B2Tri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 rot="16200000">
          <a:off x="5780688" y="7892377"/>
          <a:ext cx="265553" cy="220714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64220</xdr:colOff>
      <xdr:row>26</xdr:row>
      <xdr:rowOff>52240</xdr:rowOff>
    </xdr:from>
    <xdr:to>
      <xdr:col>36</xdr:col>
      <xdr:colOff>0</xdr:colOff>
      <xdr:row>27</xdr:row>
      <xdr:rowOff>136062</xdr:rowOff>
    </xdr:to>
    <xdr:sp macro="" textlink="">
      <xdr:nvSpPr>
        <xdr:cNvPr id="8" name="N4Num" hidden="1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>
          <a:spLocks noChangeAspect="1"/>
        </xdr:cNvSpPr>
      </xdr:nvSpPr>
      <xdr:spPr>
        <a:xfrm>
          <a:off x="5830773" y="4132279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4</a:t>
          </a:r>
        </a:p>
      </xdr:txBody>
    </xdr:sp>
    <xdr:clientData/>
  </xdr:twoCellAnchor>
  <xdr:twoCellAnchor>
    <xdr:from>
      <xdr:col>41</xdr:col>
      <xdr:colOff>64220</xdr:colOff>
      <xdr:row>23</xdr:row>
      <xdr:rowOff>52240</xdr:rowOff>
    </xdr:from>
    <xdr:to>
      <xdr:col>42</xdr:col>
      <xdr:colOff>0</xdr:colOff>
      <xdr:row>24</xdr:row>
      <xdr:rowOff>136062</xdr:rowOff>
    </xdr:to>
    <xdr:sp macro="" textlink="">
      <xdr:nvSpPr>
        <xdr:cNvPr id="9" name="N5Num" hidden="1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>
          <a:spLocks noChangeAspect="1"/>
        </xdr:cNvSpPr>
      </xdr:nvSpPr>
      <xdr:spPr>
        <a:xfrm>
          <a:off x="7222699" y="3587292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5</a:t>
          </a:r>
        </a:p>
      </xdr:txBody>
    </xdr:sp>
    <xdr:clientData/>
  </xdr:twoCellAnchor>
  <xdr:twoCellAnchor>
    <xdr:from>
      <xdr:col>47</xdr:col>
      <xdr:colOff>64220</xdr:colOff>
      <xdr:row>20</xdr:row>
      <xdr:rowOff>52240</xdr:rowOff>
    </xdr:from>
    <xdr:to>
      <xdr:col>48</xdr:col>
      <xdr:colOff>138518</xdr:colOff>
      <xdr:row>21</xdr:row>
      <xdr:rowOff>136062</xdr:rowOff>
    </xdr:to>
    <xdr:sp macro="" textlink="">
      <xdr:nvSpPr>
        <xdr:cNvPr id="11" name="N7Num" hidden="1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>
          <a:spLocks noChangeAspect="1"/>
        </xdr:cNvSpPr>
      </xdr:nvSpPr>
      <xdr:spPr>
        <a:xfrm>
          <a:off x="10006552" y="2497317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7</a:t>
          </a:r>
        </a:p>
      </xdr:txBody>
    </xdr:sp>
    <xdr:clientData/>
  </xdr:twoCellAnchor>
  <xdr:twoCellAnchor>
    <xdr:from>
      <xdr:col>54</xdr:col>
      <xdr:colOff>64220</xdr:colOff>
      <xdr:row>17</xdr:row>
      <xdr:rowOff>52240</xdr:rowOff>
    </xdr:from>
    <xdr:to>
      <xdr:col>55</xdr:col>
      <xdr:colOff>138518</xdr:colOff>
      <xdr:row>18</xdr:row>
      <xdr:rowOff>136062</xdr:rowOff>
    </xdr:to>
    <xdr:sp macro="" textlink="">
      <xdr:nvSpPr>
        <xdr:cNvPr id="12" name="N8Num" hidden="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>
          <a:spLocks noChangeAspect="1"/>
        </xdr:cNvSpPr>
      </xdr:nvSpPr>
      <xdr:spPr>
        <a:xfrm>
          <a:off x="11398479" y="1952330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8</a:t>
          </a:r>
        </a:p>
      </xdr:txBody>
    </xdr:sp>
    <xdr:clientData/>
  </xdr:twoCellAnchor>
  <xdr:twoCellAnchor>
    <xdr:from>
      <xdr:col>61</xdr:col>
      <xdr:colOff>64220</xdr:colOff>
      <xdr:row>14</xdr:row>
      <xdr:rowOff>52240</xdr:rowOff>
    </xdr:from>
    <xdr:to>
      <xdr:col>62</xdr:col>
      <xdr:colOff>138518</xdr:colOff>
      <xdr:row>15</xdr:row>
      <xdr:rowOff>136062</xdr:rowOff>
    </xdr:to>
    <xdr:sp macro="" textlink="">
      <xdr:nvSpPr>
        <xdr:cNvPr id="13" name="N9Num" hidden="1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>
          <a:spLocks noChangeAspect="1"/>
        </xdr:cNvSpPr>
      </xdr:nvSpPr>
      <xdr:spPr>
        <a:xfrm>
          <a:off x="12790406" y="1407343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9</a:t>
          </a:r>
          <a:endParaRPr lang="en-US" sz="1400" b="1">
            <a:solidFill>
              <a:schemeClr val="bg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57</xdr:col>
      <xdr:colOff>2386</xdr:colOff>
      <xdr:row>25</xdr:row>
      <xdr:rowOff>59458</xdr:rowOff>
    </xdr:from>
    <xdr:to>
      <xdr:col>58</xdr:col>
      <xdr:colOff>23075</xdr:colOff>
      <xdr:row>26</xdr:row>
      <xdr:rowOff>134511</xdr:rowOff>
    </xdr:to>
    <xdr:sp macro="" textlink="">
      <xdr:nvSpPr>
        <xdr:cNvPr id="15" name="N3B2Tri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 rot="16200000">
          <a:off x="11381391" y="4844378"/>
          <a:ext cx="265553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41</xdr:col>
      <xdr:colOff>76200</xdr:colOff>
      <xdr:row>29</xdr:row>
      <xdr:rowOff>54695</xdr:rowOff>
    </xdr:from>
    <xdr:to>
      <xdr:col>42</xdr:col>
      <xdr:colOff>0</xdr:colOff>
      <xdr:row>30</xdr:row>
      <xdr:rowOff>129748</xdr:rowOff>
    </xdr:to>
    <xdr:sp macro="" textlink="">
      <xdr:nvSpPr>
        <xdr:cNvPr id="16" name="N4B2Tri" hidden="1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SpPr/>
      </xdr:nvSpPr>
      <xdr:spPr>
        <a:xfrm rot="16200000">
          <a:off x="7216089" y="4698311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47</xdr:col>
      <xdr:colOff>66675</xdr:colOff>
      <xdr:row>23</xdr:row>
      <xdr:rowOff>54695</xdr:rowOff>
    </xdr:from>
    <xdr:to>
      <xdr:col>48</xdr:col>
      <xdr:colOff>87364</xdr:colOff>
      <xdr:row>24</xdr:row>
      <xdr:rowOff>129748</xdr:rowOff>
    </xdr:to>
    <xdr:sp macro="" textlink="">
      <xdr:nvSpPr>
        <xdr:cNvPr id="18" name="N6B2Tri" hidden="1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/>
      </xdr:nvSpPr>
      <xdr:spPr>
        <a:xfrm rot="16200000">
          <a:off x="9990417" y="3608337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61</xdr:col>
      <xdr:colOff>66675</xdr:colOff>
      <xdr:row>20</xdr:row>
      <xdr:rowOff>54695</xdr:rowOff>
    </xdr:from>
    <xdr:to>
      <xdr:col>62</xdr:col>
      <xdr:colOff>87364</xdr:colOff>
      <xdr:row>21</xdr:row>
      <xdr:rowOff>129748</xdr:rowOff>
    </xdr:to>
    <xdr:sp macro="" textlink="">
      <xdr:nvSpPr>
        <xdr:cNvPr id="20" name="N8B2Tri" hidden="1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SpPr/>
      </xdr:nvSpPr>
      <xdr:spPr>
        <a:xfrm rot="16200000">
          <a:off x="12774271" y="25183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68</xdr:col>
      <xdr:colOff>65681</xdr:colOff>
      <xdr:row>11</xdr:row>
      <xdr:rowOff>54695</xdr:rowOff>
    </xdr:from>
    <xdr:to>
      <xdr:col>69</xdr:col>
      <xdr:colOff>86370</xdr:colOff>
      <xdr:row>12</xdr:row>
      <xdr:rowOff>129749</xdr:rowOff>
    </xdr:to>
    <xdr:sp macro="" textlink="">
      <xdr:nvSpPr>
        <xdr:cNvPr id="21" name="N9B1Tri" hidden="1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SpPr/>
      </xdr:nvSpPr>
      <xdr:spPr>
        <a:xfrm rot="16200000">
          <a:off x="14165203" y="883401"/>
          <a:ext cx="256716" cy="219536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68</xdr:col>
      <xdr:colOff>63534</xdr:colOff>
      <xdr:row>17</xdr:row>
      <xdr:rowOff>55382</xdr:rowOff>
    </xdr:from>
    <xdr:to>
      <xdr:col>69</xdr:col>
      <xdr:colOff>84222</xdr:colOff>
      <xdr:row>18</xdr:row>
      <xdr:rowOff>130435</xdr:rowOff>
    </xdr:to>
    <xdr:sp macro="" textlink="">
      <xdr:nvSpPr>
        <xdr:cNvPr id="22" name="N9B2Tri" hidden="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SpPr/>
      </xdr:nvSpPr>
      <xdr:spPr>
        <a:xfrm rot="16200000">
          <a:off x="14163056" y="19740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21</xdr:col>
      <xdr:colOff>77267</xdr:colOff>
      <xdr:row>34</xdr:row>
      <xdr:rowOff>55169</xdr:rowOff>
    </xdr:from>
    <xdr:to>
      <xdr:col>22</xdr:col>
      <xdr:colOff>97956</xdr:colOff>
      <xdr:row>35</xdr:row>
      <xdr:rowOff>130223</xdr:rowOff>
    </xdr:to>
    <xdr:sp macro="" textlink="">
      <xdr:nvSpPr>
        <xdr:cNvPr id="23" name="N1B1Tri" hidden="1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SpPr/>
      </xdr:nvSpPr>
      <xdr:spPr>
        <a:xfrm rot="16200000">
          <a:off x="3059984" y="5225852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77268</xdr:colOff>
      <xdr:row>29</xdr:row>
      <xdr:rowOff>55150</xdr:rowOff>
    </xdr:from>
    <xdr:to>
      <xdr:col>29</xdr:col>
      <xdr:colOff>97957</xdr:colOff>
      <xdr:row>30</xdr:row>
      <xdr:rowOff>130204</xdr:rowOff>
    </xdr:to>
    <xdr:sp macro="" textlink="">
      <xdr:nvSpPr>
        <xdr:cNvPr id="24" name="N2B1Tri" hidden="1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SpPr/>
      </xdr:nvSpPr>
      <xdr:spPr>
        <a:xfrm rot="16200000">
          <a:off x="4460160" y="468290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41</xdr:col>
      <xdr:colOff>77270</xdr:colOff>
      <xdr:row>23</xdr:row>
      <xdr:rowOff>55130</xdr:rowOff>
    </xdr:from>
    <xdr:to>
      <xdr:col>42</xdr:col>
      <xdr:colOff>0</xdr:colOff>
      <xdr:row>24</xdr:row>
      <xdr:rowOff>130184</xdr:rowOff>
    </xdr:to>
    <xdr:sp macro="" textlink="">
      <xdr:nvSpPr>
        <xdr:cNvPr id="26" name="N4B1Tri" hidden="1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SpPr/>
      </xdr:nvSpPr>
      <xdr:spPr>
        <a:xfrm rot="16200000">
          <a:off x="7260512" y="359703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47</xdr:col>
      <xdr:colOff>67747</xdr:colOff>
      <xdr:row>20</xdr:row>
      <xdr:rowOff>55101</xdr:rowOff>
    </xdr:from>
    <xdr:to>
      <xdr:col>48</xdr:col>
      <xdr:colOff>88436</xdr:colOff>
      <xdr:row>21</xdr:row>
      <xdr:rowOff>130155</xdr:rowOff>
    </xdr:to>
    <xdr:sp macro="" textlink="">
      <xdr:nvSpPr>
        <xdr:cNvPr id="28" name="N6B1Tri" hidden="1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SpPr/>
      </xdr:nvSpPr>
      <xdr:spPr>
        <a:xfrm rot="16200000">
          <a:off x="10051339" y="2511159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54</xdr:col>
      <xdr:colOff>67748</xdr:colOff>
      <xdr:row>17</xdr:row>
      <xdr:rowOff>55085</xdr:rowOff>
    </xdr:from>
    <xdr:to>
      <xdr:col>55</xdr:col>
      <xdr:colOff>88437</xdr:colOff>
      <xdr:row>18</xdr:row>
      <xdr:rowOff>130139</xdr:rowOff>
    </xdr:to>
    <xdr:sp macro="" textlink="">
      <xdr:nvSpPr>
        <xdr:cNvPr id="29" name="N7B1Tri" hidden="1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SpPr/>
      </xdr:nvSpPr>
      <xdr:spPr>
        <a:xfrm rot="16200000">
          <a:off x="11451515" y="196821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61</xdr:col>
      <xdr:colOff>67749</xdr:colOff>
      <xdr:row>14</xdr:row>
      <xdr:rowOff>55070</xdr:rowOff>
    </xdr:from>
    <xdr:to>
      <xdr:col>62</xdr:col>
      <xdr:colOff>88438</xdr:colOff>
      <xdr:row>15</xdr:row>
      <xdr:rowOff>130124</xdr:rowOff>
    </xdr:to>
    <xdr:sp macro="" textlink="">
      <xdr:nvSpPr>
        <xdr:cNvPr id="30" name="N8B1Tri" hidden="1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SpPr/>
      </xdr:nvSpPr>
      <xdr:spPr>
        <a:xfrm rot="16200000">
          <a:off x="12851691" y="142527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58</xdr:col>
      <xdr:colOff>47625</xdr:colOff>
      <xdr:row>21</xdr:row>
      <xdr:rowOff>59531</xdr:rowOff>
    </xdr:from>
    <xdr:to>
      <xdr:col>58</xdr:col>
      <xdr:colOff>47626</xdr:colOff>
      <xdr:row>24</xdr:row>
      <xdr:rowOff>11905</xdr:rowOff>
    </xdr:to>
    <xdr:cxnSp macro="">
      <xdr:nvCxnSpPr>
        <xdr:cNvPr id="130" name="N8Arrow" hidden="1">
          <a:extLst>
            <a:ext uri="{FF2B5EF4-FFF2-40B4-BE49-F238E27FC236}">
              <a16:creationId xmlns:a16="http://schemas.microsoft.com/office/drawing/2014/main" id="{00000000-0008-0000-0500-000082000000}"/>
            </a:ext>
          </a:extLst>
        </xdr:cNvPr>
        <xdr:cNvCxnSpPr/>
      </xdr:nvCxnSpPr>
      <xdr:spPr>
        <a:xfrm>
          <a:off x="13608844" y="4060031"/>
          <a:ext cx="1" cy="1095374"/>
        </a:xfrm>
        <a:prstGeom prst="straightConnector1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15704</xdr:colOff>
      <xdr:row>36</xdr:row>
      <xdr:rowOff>76199</xdr:rowOff>
    </xdr:from>
    <xdr:to>
      <xdr:col>21</xdr:col>
      <xdr:colOff>143648</xdr:colOff>
      <xdr:row>43</xdr:row>
      <xdr:rowOff>123824</xdr:rowOff>
    </xdr:to>
    <xdr:sp macro="" textlink="'Event Tree Input'!A42">
      <xdr:nvSpPr>
        <xdr:cNvPr id="14" name="N1Descr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 txBox="1"/>
      </xdr:nvSpPr>
      <xdr:spPr>
        <a:xfrm>
          <a:off x="3216104" y="6934199"/>
          <a:ext cx="1128069" cy="1381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D4C25913-1A64-40AE-A557-7F2DF157F632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Decrease in shear strength or increase of load on the slope (i.e., increase in shear stress) occurs?</a:t>
          </a:fld>
          <a:endParaRPr lang="en-US" sz="1100"/>
        </a:p>
      </xdr:txBody>
    </xdr:sp>
    <xdr:clientData/>
  </xdr:twoCellAnchor>
  <xdr:twoCellAnchor>
    <xdr:from>
      <xdr:col>23</xdr:col>
      <xdr:colOff>54768</xdr:colOff>
      <xdr:row>30</xdr:row>
      <xdr:rowOff>57150</xdr:rowOff>
    </xdr:from>
    <xdr:to>
      <xdr:col>28</xdr:col>
      <xdr:colOff>179355</xdr:colOff>
      <xdr:row>39</xdr:row>
      <xdr:rowOff>114300</xdr:rowOff>
    </xdr:to>
    <xdr:sp macro="" textlink="'Event Tree Input'!A56">
      <xdr:nvSpPr>
        <xdr:cNvPr id="58" name="N2Descr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SpPr txBox="1"/>
      </xdr:nvSpPr>
      <xdr:spPr>
        <a:xfrm>
          <a:off x="4655343" y="5772150"/>
          <a:ext cx="1124712" cy="1771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23217786-DCF7-4408-9E32-BF2377362C6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Initial slope instability failure occurs?</a:t>
          </a:fld>
          <a:endParaRPr lang="en-US" sz="1100"/>
        </a:p>
      </xdr:txBody>
    </xdr:sp>
    <xdr:clientData/>
  </xdr:twoCellAnchor>
  <xdr:twoCellAnchor>
    <xdr:from>
      <xdr:col>30</xdr:col>
      <xdr:colOff>14287</xdr:colOff>
      <xdr:row>25</xdr:row>
      <xdr:rowOff>104775</xdr:rowOff>
    </xdr:from>
    <xdr:to>
      <xdr:col>36</xdr:col>
      <xdr:colOff>123824</xdr:colOff>
      <xdr:row>31</xdr:row>
      <xdr:rowOff>28575</xdr:rowOff>
    </xdr:to>
    <xdr:sp macro="" textlink="'Event Tree Input'!A70">
      <xdr:nvSpPr>
        <xdr:cNvPr id="59" name="N3Descr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SpPr txBox="1"/>
      </xdr:nvSpPr>
      <xdr:spPr>
        <a:xfrm>
          <a:off x="6015037" y="4867275"/>
          <a:ext cx="1309687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AC39B62-B40E-4B48-97D1-0D61F48215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Initial failure lowers the crest and uncontrolled release of impounded water occurs?</a:t>
          </a:fld>
          <a:endParaRPr lang="en-US" sz="1100"/>
        </a:p>
      </xdr:txBody>
    </xdr:sp>
    <xdr:clientData/>
  </xdr:twoCellAnchor>
  <xdr:twoCellAnchor>
    <xdr:from>
      <xdr:col>36</xdr:col>
      <xdr:colOff>0</xdr:colOff>
      <xdr:row>24</xdr:row>
      <xdr:rowOff>38100</xdr:rowOff>
    </xdr:from>
    <xdr:to>
      <xdr:col>41</xdr:col>
      <xdr:colOff>100774</xdr:colOff>
      <xdr:row>29</xdr:row>
      <xdr:rowOff>152400</xdr:rowOff>
    </xdr:to>
    <xdr:sp macro="" textlink="'Event Tree Input'!A84">
      <xdr:nvSpPr>
        <xdr:cNvPr id="60" name="N4Descr" hidden="1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SpPr txBox="1"/>
      </xdr:nvSpPr>
      <xdr:spPr>
        <a:xfrm>
          <a:off x="7377112" y="5181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6FBC72-25DC-4325-B26C-0F16790D404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Leakage pathway fails to clog, and a stope develops?</a:t>
          </a:fld>
          <a:endParaRPr lang="en-US" sz="1100"/>
        </a:p>
      </xdr:txBody>
    </xdr:sp>
    <xdr:clientData/>
  </xdr:twoCellAnchor>
  <xdr:twoCellAnchor>
    <xdr:from>
      <xdr:col>42</xdr:col>
      <xdr:colOff>0</xdr:colOff>
      <xdr:row>21</xdr:row>
      <xdr:rowOff>38100</xdr:rowOff>
    </xdr:from>
    <xdr:to>
      <xdr:col>47</xdr:col>
      <xdr:colOff>100774</xdr:colOff>
      <xdr:row>23</xdr:row>
      <xdr:rowOff>152400</xdr:rowOff>
    </xdr:to>
    <xdr:sp macro="" textlink="'Event Tree Input'!A112">
      <xdr:nvSpPr>
        <xdr:cNvPr id="62" name="N6Descr" hidden="1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SpPr txBox="1"/>
      </xdr:nvSpPr>
      <xdr:spPr>
        <a:xfrm>
          <a:off x="10177462" y="4038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C75C90-A5D8-4AFE-BB3A-85153218BCE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Uncontrolled release of impounded water occurs?</a:t>
          </a:fld>
          <a:endParaRPr lang="en-US" sz="1100"/>
        </a:p>
      </xdr:txBody>
    </xdr:sp>
    <xdr:clientData/>
  </xdr:twoCellAnchor>
  <xdr:twoCellAnchor>
    <xdr:from>
      <xdr:col>48</xdr:col>
      <xdr:colOff>178594</xdr:colOff>
      <xdr:row>18</xdr:row>
      <xdr:rowOff>38100</xdr:rowOff>
    </xdr:from>
    <xdr:to>
      <xdr:col>54</xdr:col>
      <xdr:colOff>103156</xdr:colOff>
      <xdr:row>22</xdr:row>
      <xdr:rowOff>0</xdr:rowOff>
    </xdr:to>
    <xdr:sp macro="" textlink="'Event Tree Input'!A126">
      <xdr:nvSpPr>
        <xdr:cNvPr id="64" name="N7Descr" hidden="1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SpPr txBox="1"/>
      </xdr:nvSpPr>
      <xdr:spPr>
        <a:xfrm>
          <a:off x="11580019" y="3467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43BC8269-56F4-4CFD-87BE-074666FD6D41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Detection and intervention are unsuccessful?</a:t>
          </a:fld>
          <a:endParaRPr lang="en-US" sz="1100"/>
        </a:p>
      </xdr:txBody>
    </xdr:sp>
    <xdr:clientData/>
  </xdr:twoCellAnchor>
  <xdr:twoCellAnchor>
    <xdr:from>
      <xdr:col>55</xdr:col>
      <xdr:colOff>176212</xdr:colOff>
      <xdr:row>15</xdr:row>
      <xdr:rowOff>38100</xdr:rowOff>
    </xdr:from>
    <xdr:to>
      <xdr:col>61</xdr:col>
      <xdr:colOff>100774</xdr:colOff>
      <xdr:row>20</xdr:row>
      <xdr:rowOff>152400</xdr:rowOff>
    </xdr:to>
    <xdr:sp macro="" textlink="'Event Tree Input'!A140">
      <xdr:nvSpPr>
        <xdr:cNvPr id="65" name="N8Descr" hidden="1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SpPr txBox="1"/>
      </xdr:nvSpPr>
      <xdr:spPr>
        <a:xfrm>
          <a:off x="12977812" y="2895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745D4977-564C-42ED-901E-8C7F45B3119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Uncontrolled release of impounded water occurs?</a:t>
          </a:fld>
          <a:endParaRPr lang="en-US" sz="1100"/>
        </a:p>
      </xdr:txBody>
    </xdr:sp>
    <xdr:clientData/>
  </xdr:twoCellAnchor>
  <xdr:twoCellAnchor>
    <xdr:from>
      <xdr:col>62</xdr:col>
      <xdr:colOff>176212</xdr:colOff>
      <xdr:row>12</xdr:row>
      <xdr:rowOff>38100</xdr:rowOff>
    </xdr:from>
    <xdr:to>
      <xdr:col>68</xdr:col>
      <xdr:colOff>100774</xdr:colOff>
      <xdr:row>17</xdr:row>
      <xdr:rowOff>152400</xdr:rowOff>
    </xdr:to>
    <xdr:sp macro="" textlink="'Event Tree Input'!A154">
      <xdr:nvSpPr>
        <xdr:cNvPr id="66" name="N9Descr" hidden="1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SpPr txBox="1"/>
      </xdr:nvSpPr>
      <xdr:spPr>
        <a:xfrm>
          <a:off x="14377987" y="2324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C15BE28D-35A2-42B9-8859-0145931983F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Node 9 Description</a:t>
          </a:fld>
          <a:endParaRPr lang="en-US" sz="1100"/>
        </a:p>
      </xdr:txBody>
    </xdr:sp>
    <xdr:clientData/>
  </xdr:twoCellAnchor>
  <xdr:twoCellAnchor>
    <xdr:from>
      <xdr:col>2</xdr:col>
      <xdr:colOff>151246</xdr:colOff>
      <xdr:row>34</xdr:row>
      <xdr:rowOff>146803</xdr:rowOff>
    </xdr:from>
    <xdr:to>
      <xdr:col>4</xdr:col>
      <xdr:colOff>197400</xdr:colOff>
      <xdr:row>37</xdr:row>
      <xdr:rowOff>37255</xdr:rowOff>
    </xdr:to>
    <xdr:sp macro="" textlink="">
      <xdr:nvSpPr>
        <xdr:cNvPr id="67" name="Load2" hidden="1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SpPr/>
      </xdr:nvSpPr>
      <xdr:spPr>
        <a:xfrm>
          <a:off x="551296" y="6633328"/>
          <a:ext cx="446204" cy="433377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17</xdr:col>
      <xdr:colOff>95250</xdr:colOff>
      <xdr:row>38</xdr:row>
      <xdr:rowOff>11906</xdr:rowOff>
    </xdr:from>
    <xdr:to>
      <xdr:col>19</xdr:col>
      <xdr:colOff>190501</xdr:colOff>
      <xdr:row>42</xdr:row>
      <xdr:rowOff>41672</xdr:rowOff>
    </xdr:to>
    <xdr:cxnSp macro="">
      <xdr:nvCxnSpPr>
        <xdr:cNvPr id="150" name="N1Arrow" hidden="1">
          <a:extLst>
            <a:ext uri="{FF2B5EF4-FFF2-40B4-BE49-F238E27FC236}">
              <a16:creationId xmlns:a16="http://schemas.microsoft.com/office/drawing/2014/main" id="{00000000-0008-0000-0500-000096000000}"/>
            </a:ext>
          </a:extLst>
        </xdr:cNvPr>
        <xdr:cNvCxnSpPr>
          <a:endCxn id="31" idx="1"/>
        </xdr:cNvCxnSpPr>
      </xdr:nvCxnSpPr>
      <xdr:spPr>
        <a:xfrm rot="16200000" flipH="1">
          <a:off x="3390305" y="7968257"/>
          <a:ext cx="791766" cy="500064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miter lim="800000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85250</xdr:colOff>
      <xdr:row>16</xdr:row>
      <xdr:rowOff>105252</xdr:rowOff>
    </xdr:from>
    <xdr:to>
      <xdr:col>42</xdr:col>
      <xdr:colOff>0</xdr:colOff>
      <xdr:row>19</xdr:row>
      <xdr:rowOff>140969</xdr:rowOff>
    </xdr:to>
    <xdr:cxnSp macro="">
      <xdr:nvCxnSpPr>
        <xdr:cNvPr id="89" name="N5Arrow" hidden="1">
          <a:extLst>
            <a:ext uri="{FF2B5EF4-FFF2-40B4-BE49-F238E27FC236}">
              <a16:creationId xmlns:a16="http://schemas.microsoft.com/office/drawing/2014/main" id="{00000000-0008-0000-0500-000059000000}"/>
            </a:ext>
          </a:extLst>
        </xdr:cNvPr>
        <xdr:cNvCxnSpPr>
          <a:cxnSpLocks/>
          <a:endCxn id="82" idx="3"/>
        </xdr:cNvCxnSpPr>
      </xdr:nvCxnSpPr>
      <xdr:spPr>
        <a:xfrm rot="16200000" flipV="1">
          <a:off x="8865872" y="2964180"/>
          <a:ext cx="607217" cy="985361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17</xdr:row>
      <xdr:rowOff>28574</xdr:rowOff>
    </xdr:from>
    <xdr:to>
      <xdr:col>31</xdr:col>
      <xdr:colOff>190500</xdr:colOff>
      <xdr:row>21</xdr:row>
      <xdr:rowOff>148828</xdr:rowOff>
    </xdr:to>
    <xdr:cxnSp macro="">
      <xdr:nvCxnSpPr>
        <xdr:cNvPr id="43" name="N3Arrow" hidden="1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CxnSpPr>
          <a:stCxn id="79" idx="0"/>
          <a:endCxn id="80" idx="3"/>
        </xdr:cNvCxnSpPr>
      </xdr:nvCxnSpPr>
      <xdr:spPr>
        <a:xfrm rot="16200000" flipH="1" flipV="1">
          <a:off x="5654873" y="3412926"/>
          <a:ext cx="882254" cy="590550"/>
        </a:xfrm>
        <a:prstGeom prst="bentConnector4">
          <a:avLst>
            <a:gd name="adj1" fmla="val -25911"/>
            <a:gd name="adj2" fmla="val -151613"/>
          </a:avLst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83342</xdr:colOff>
      <xdr:row>29</xdr:row>
      <xdr:rowOff>11906</xdr:rowOff>
    </xdr:from>
    <xdr:to>
      <xdr:col>39</xdr:col>
      <xdr:colOff>95251</xdr:colOff>
      <xdr:row>34</xdr:row>
      <xdr:rowOff>160734</xdr:rowOff>
    </xdr:to>
    <xdr:cxnSp macro="">
      <xdr:nvCxnSpPr>
        <xdr:cNvPr id="63" name="N4Arrow" hidden="1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CxnSpPr>
          <a:endCxn id="81" idx="1"/>
        </xdr:cNvCxnSpPr>
      </xdr:nvCxnSpPr>
      <xdr:spPr>
        <a:xfrm rot="16200000" flipH="1">
          <a:off x="7432477" y="6450209"/>
          <a:ext cx="1101328" cy="416721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173039</xdr:colOff>
      <xdr:row>23</xdr:row>
      <xdr:rowOff>30161</xdr:rowOff>
    </xdr:from>
    <xdr:to>
      <xdr:col>46</xdr:col>
      <xdr:colOff>142873</xdr:colOff>
      <xdr:row>29</xdr:row>
      <xdr:rowOff>95251</xdr:rowOff>
    </xdr:to>
    <xdr:cxnSp macro="">
      <xdr:nvCxnSpPr>
        <xdr:cNvPr id="144" name="N6Arrow" hidden="1">
          <a:extLst>
            <a:ext uri="{FF2B5EF4-FFF2-40B4-BE49-F238E27FC236}">
              <a16:creationId xmlns:a16="http://schemas.microsoft.com/office/drawing/2014/main" id="{00000000-0008-0000-0500-000090000000}"/>
            </a:ext>
          </a:extLst>
        </xdr:cNvPr>
        <xdr:cNvCxnSpPr>
          <a:endCxn id="86" idx="1"/>
        </xdr:cNvCxnSpPr>
      </xdr:nvCxnSpPr>
      <xdr:spPr>
        <a:xfrm rot="16200000" flipH="1">
          <a:off x="10382646" y="5298679"/>
          <a:ext cx="1208090" cy="577053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133348</xdr:colOff>
      <xdr:row>6</xdr:row>
      <xdr:rowOff>101204</xdr:rowOff>
    </xdr:from>
    <xdr:to>
      <xdr:col>65</xdr:col>
      <xdr:colOff>95250</xdr:colOff>
      <xdr:row>7</xdr:row>
      <xdr:rowOff>66674</xdr:rowOff>
    </xdr:to>
    <xdr:cxnSp macro="">
      <xdr:nvCxnSpPr>
        <xdr:cNvPr id="112" name="N9Arrow" hidden="1">
          <a:extLst>
            <a:ext uri="{FF2B5EF4-FFF2-40B4-BE49-F238E27FC236}">
              <a16:creationId xmlns:a16="http://schemas.microsoft.com/office/drawing/2014/main" id="{00000000-0008-0000-0500-000070000000}"/>
            </a:ext>
          </a:extLst>
        </xdr:cNvPr>
        <xdr:cNvCxnSpPr>
          <a:stCxn id="93" idx="0"/>
          <a:endCxn id="90" idx="3"/>
        </xdr:cNvCxnSpPr>
      </xdr:nvCxnSpPr>
      <xdr:spPr>
        <a:xfrm rot="16200000" flipV="1">
          <a:off x="14204752" y="531613"/>
          <a:ext cx="155970" cy="1581152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95251</xdr:colOff>
      <xdr:row>23</xdr:row>
      <xdr:rowOff>142875</xdr:rowOff>
    </xdr:from>
    <xdr:to>
      <xdr:col>25</xdr:col>
      <xdr:colOff>60009</xdr:colOff>
      <xdr:row>24</xdr:row>
      <xdr:rowOff>99059</xdr:rowOff>
    </xdr:to>
    <xdr:cxnSp macro="">
      <xdr:nvCxnSpPr>
        <xdr:cNvPr id="106" name="N2Arrow" hidden="1">
          <a:extLst>
            <a:ext uri="{FF2B5EF4-FFF2-40B4-BE49-F238E27FC236}">
              <a16:creationId xmlns:a16="http://schemas.microsoft.com/office/drawing/2014/main" id="{00000000-0008-0000-0500-00006A000000}"/>
            </a:ext>
          </a:extLst>
        </xdr:cNvPr>
        <xdr:cNvCxnSpPr>
          <a:stCxn id="77" idx="0"/>
          <a:endCxn id="78" idx="3"/>
        </xdr:cNvCxnSpPr>
      </xdr:nvCxnSpPr>
      <xdr:spPr>
        <a:xfrm rot="16200000" flipV="1">
          <a:off x="4404838" y="4015263"/>
          <a:ext cx="146684" cy="1164908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166689</xdr:colOff>
      <xdr:row>11</xdr:row>
      <xdr:rowOff>59531</xdr:rowOff>
    </xdr:from>
    <xdr:to>
      <xdr:col>51</xdr:col>
      <xdr:colOff>95251</xdr:colOff>
      <xdr:row>13</xdr:row>
      <xdr:rowOff>142874</xdr:rowOff>
    </xdr:to>
    <xdr:cxnSp macro="">
      <xdr:nvCxnSpPr>
        <xdr:cNvPr id="107" name="N7Arrow" hidden="1">
          <a:extLst>
            <a:ext uri="{FF2B5EF4-FFF2-40B4-BE49-F238E27FC236}">
              <a16:creationId xmlns:a16="http://schemas.microsoft.com/office/drawing/2014/main" id="{00000000-0008-0000-0500-00006B000000}"/>
            </a:ext>
          </a:extLst>
        </xdr:cNvPr>
        <xdr:cNvCxnSpPr>
          <a:stCxn id="91" idx="0"/>
          <a:endCxn id="87" idx="3"/>
        </xdr:cNvCxnSpPr>
      </xdr:nvCxnSpPr>
      <xdr:spPr>
        <a:xfrm rot="16200000" flipV="1">
          <a:off x="11638361" y="2018109"/>
          <a:ext cx="464343" cy="738187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54695</xdr:colOff>
      <xdr:row>34</xdr:row>
      <xdr:rowOff>52240</xdr:rowOff>
    </xdr:from>
    <xdr:to>
      <xdr:col>36</xdr:col>
      <xdr:colOff>128993</xdr:colOff>
      <xdr:row>35</xdr:row>
      <xdr:rowOff>136062</xdr:rowOff>
    </xdr:to>
    <xdr:sp macro="" textlink="">
      <xdr:nvSpPr>
        <xdr:cNvPr id="46" name="N3Num">
          <a:extLs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SpPr>
          <a:spLocks noChangeAspect="1"/>
        </xdr:cNvSpPr>
      </xdr:nvSpPr>
      <xdr:spPr>
        <a:xfrm>
          <a:off x="7055570" y="6529240"/>
          <a:ext cx="274323" cy="274322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4</a:t>
          </a:r>
        </a:p>
      </xdr:txBody>
    </xdr:sp>
    <xdr:clientData/>
  </xdr:twoCellAnchor>
  <xdr:twoCellAnchor>
    <xdr:from>
      <xdr:col>42</xdr:col>
      <xdr:colOff>45170</xdr:colOff>
      <xdr:row>31</xdr:row>
      <xdr:rowOff>52240</xdr:rowOff>
    </xdr:from>
    <xdr:to>
      <xdr:col>43</xdr:col>
      <xdr:colOff>119468</xdr:colOff>
      <xdr:row>32</xdr:row>
      <xdr:rowOff>136062</xdr:rowOff>
    </xdr:to>
    <xdr:sp macro="" textlink="">
      <xdr:nvSpPr>
        <xdr:cNvPr id="47" name="N3Num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SpPr>
          <a:spLocks noChangeAspect="1"/>
        </xdr:cNvSpPr>
      </xdr:nvSpPr>
      <xdr:spPr>
        <a:xfrm>
          <a:off x="8446220" y="5957740"/>
          <a:ext cx="274323" cy="274322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5</a:t>
          </a:r>
        </a:p>
      </xdr:txBody>
    </xdr:sp>
    <xdr:clientData/>
  </xdr:twoCellAnchor>
  <xdr:twoCellAnchor>
    <xdr:from>
      <xdr:col>49</xdr:col>
      <xdr:colOff>54695</xdr:colOff>
      <xdr:row>28</xdr:row>
      <xdr:rowOff>52240</xdr:rowOff>
    </xdr:from>
    <xdr:to>
      <xdr:col>50</xdr:col>
      <xdr:colOff>128993</xdr:colOff>
      <xdr:row>29</xdr:row>
      <xdr:rowOff>136062</xdr:rowOff>
    </xdr:to>
    <xdr:sp macro="" textlink="">
      <xdr:nvSpPr>
        <xdr:cNvPr id="48" name="N3Num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SpPr>
          <a:spLocks noChangeAspect="1"/>
        </xdr:cNvSpPr>
      </xdr:nvSpPr>
      <xdr:spPr>
        <a:xfrm>
          <a:off x="9855920" y="5386240"/>
          <a:ext cx="274323" cy="274322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6</a:t>
          </a:r>
        </a:p>
      </xdr:txBody>
    </xdr:sp>
    <xdr:clientData/>
  </xdr:twoCellAnchor>
  <xdr:twoCellAnchor>
    <xdr:from>
      <xdr:col>35</xdr:col>
      <xdr:colOff>133350</xdr:colOff>
      <xdr:row>17</xdr:row>
      <xdr:rowOff>9524</xdr:rowOff>
    </xdr:from>
    <xdr:to>
      <xdr:col>42</xdr:col>
      <xdr:colOff>66675</xdr:colOff>
      <xdr:row>19</xdr:row>
      <xdr:rowOff>123443</xdr:rowOff>
    </xdr:to>
    <xdr:sp macro="" textlink="'Event Tree Input'!A67">
      <xdr:nvSpPr>
        <xdr:cNvPr id="51" name="N3Title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SpPr txBox="1"/>
      </xdr:nvSpPr>
      <xdr:spPr>
        <a:xfrm>
          <a:off x="7134225" y="3248024"/>
          <a:ext cx="1333500" cy="494919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Continuation</a:t>
          </a:r>
        </a:p>
      </xdr:txBody>
    </xdr:sp>
    <xdr:clientData/>
  </xdr:twoCellAnchor>
  <xdr:twoCellAnchor>
    <xdr:from>
      <xdr:col>42</xdr:col>
      <xdr:colOff>142875</xdr:colOff>
      <xdr:row>17</xdr:row>
      <xdr:rowOff>19049</xdr:rowOff>
    </xdr:from>
    <xdr:to>
      <xdr:col>49</xdr:col>
      <xdr:colOff>76200</xdr:colOff>
      <xdr:row>19</xdr:row>
      <xdr:rowOff>132968</xdr:rowOff>
    </xdr:to>
    <xdr:sp macro="" textlink="'Event Tree Input'!A67">
      <xdr:nvSpPr>
        <xdr:cNvPr id="52" name="N3Title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SpPr txBox="1"/>
      </xdr:nvSpPr>
      <xdr:spPr>
        <a:xfrm>
          <a:off x="8543925" y="3257549"/>
          <a:ext cx="1333500" cy="494919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Unsuccessful</a:t>
          </a:r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 Intervention</a:t>
          </a:r>
          <a:endParaRPr lang="en-US" sz="1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50</xdr:col>
      <xdr:colOff>38100</xdr:colOff>
      <xdr:row>17</xdr:row>
      <xdr:rowOff>38099</xdr:rowOff>
    </xdr:from>
    <xdr:to>
      <xdr:col>56</xdr:col>
      <xdr:colOff>171450</xdr:colOff>
      <xdr:row>19</xdr:row>
      <xdr:rowOff>152018</xdr:rowOff>
    </xdr:to>
    <xdr:sp macro="" textlink="'Event Tree Input'!A67">
      <xdr:nvSpPr>
        <xdr:cNvPr id="53" name="N3Title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SpPr txBox="1"/>
      </xdr:nvSpPr>
      <xdr:spPr>
        <a:xfrm>
          <a:off x="10039350" y="3276599"/>
          <a:ext cx="1333500" cy="494919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Breach</a:t>
          </a:r>
        </a:p>
      </xdr:txBody>
    </xdr:sp>
    <xdr:clientData/>
  </xdr:twoCellAnchor>
  <xdr:twoCellAnchor>
    <xdr:from>
      <xdr:col>57</xdr:col>
      <xdr:colOff>2385</xdr:colOff>
      <xdr:row>31</xdr:row>
      <xdr:rowOff>59458</xdr:rowOff>
    </xdr:from>
    <xdr:to>
      <xdr:col>58</xdr:col>
      <xdr:colOff>23074</xdr:colOff>
      <xdr:row>32</xdr:row>
      <xdr:rowOff>134511</xdr:rowOff>
    </xdr:to>
    <xdr:sp macro="" textlink="">
      <xdr:nvSpPr>
        <xdr:cNvPr id="55" name="N3B2Tri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SpPr/>
      </xdr:nvSpPr>
      <xdr:spPr>
        <a:xfrm rot="16200000">
          <a:off x="11381390" y="5987378"/>
          <a:ext cx="265553" cy="220714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50</xdr:col>
      <xdr:colOff>2385</xdr:colOff>
      <xdr:row>34</xdr:row>
      <xdr:rowOff>59459</xdr:rowOff>
    </xdr:from>
    <xdr:to>
      <xdr:col>51</xdr:col>
      <xdr:colOff>23074</xdr:colOff>
      <xdr:row>35</xdr:row>
      <xdr:rowOff>134512</xdr:rowOff>
    </xdr:to>
    <xdr:sp macro="" textlink="">
      <xdr:nvSpPr>
        <xdr:cNvPr id="56" name="N3B2Tri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SpPr/>
      </xdr:nvSpPr>
      <xdr:spPr>
        <a:xfrm rot="16200000">
          <a:off x="9981215" y="6558879"/>
          <a:ext cx="265553" cy="220714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43</xdr:col>
      <xdr:colOff>2386</xdr:colOff>
      <xdr:row>37</xdr:row>
      <xdr:rowOff>59459</xdr:rowOff>
    </xdr:from>
    <xdr:to>
      <xdr:col>44</xdr:col>
      <xdr:colOff>23075</xdr:colOff>
      <xdr:row>38</xdr:row>
      <xdr:rowOff>134512</xdr:rowOff>
    </xdr:to>
    <xdr:sp macro="" textlink="">
      <xdr:nvSpPr>
        <xdr:cNvPr id="57" name="N3B2Tri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SpPr/>
      </xdr:nvSpPr>
      <xdr:spPr>
        <a:xfrm rot="16200000">
          <a:off x="8581041" y="7130379"/>
          <a:ext cx="265553" cy="220714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57</xdr:col>
      <xdr:colOff>2386</xdr:colOff>
      <xdr:row>20</xdr:row>
      <xdr:rowOff>59459</xdr:rowOff>
    </xdr:from>
    <xdr:to>
      <xdr:col>58</xdr:col>
      <xdr:colOff>23075</xdr:colOff>
      <xdr:row>21</xdr:row>
      <xdr:rowOff>134512</xdr:rowOff>
    </xdr:to>
    <xdr:sp macro="" textlink="">
      <xdr:nvSpPr>
        <xdr:cNvPr id="68" name="N3B2Tri">
          <a:extLst>
            <a:ext uri="{FF2B5EF4-FFF2-40B4-BE49-F238E27FC236}">
              <a16:creationId xmlns:a16="http://schemas.microsoft.com/office/drawing/2014/main" id="{00000000-0008-0000-0500-000044000000}"/>
            </a:ext>
          </a:extLst>
        </xdr:cNvPr>
        <xdr:cNvSpPr/>
      </xdr:nvSpPr>
      <xdr:spPr>
        <a:xfrm rot="16200000">
          <a:off x="11381391" y="3891879"/>
          <a:ext cx="265553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36</xdr:col>
      <xdr:colOff>147638</xdr:colOff>
      <xdr:row>32</xdr:row>
      <xdr:rowOff>0</xdr:rowOff>
    </xdr:from>
    <xdr:to>
      <xdr:col>42</xdr:col>
      <xdr:colOff>123825</xdr:colOff>
      <xdr:row>38</xdr:row>
      <xdr:rowOff>0</xdr:rowOff>
    </xdr:to>
    <xdr:sp macro="" textlink="'Event Tree Input'!A70">
      <xdr:nvSpPr>
        <xdr:cNvPr id="69" name="N3Descr">
          <a:extLs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SpPr txBox="1"/>
      </xdr:nvSpPr>
      <xdr:spPr>
        <a:xfrm>
          <a:off x="7348538" y="6096000"/>
          <a:ext cx="1176337" cy="1143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</a:t>
          </a:r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 higher shear strength zone exists to arrest retrogressive instability?</a:t>
          </a:r>
          <a:endParaRPr lang="en-US" sz="1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43</xdr:col>
      <xdr:colOff>185737</xdr:colOff>
      <xdr:row>29</xdr:row>
      <xdr:rowOff>0</xdr:rowOff>
    </xdr:from>
    <xdr:to>
      <xdr:col>49</xdr:col>
      <xdr:colOff>133350</xdr:colOff>
      <xdr:row>34</xdr:row>
      <xdr:rowOff>180975</xdr:rowOff>
    </xdr:to>
    <xdr:sp macro="" textlink="'Event Tree Input'!A70">
      <xdr:nvSpPr>
        <xdr:cNvPr id="70" name="N3Descr">
          <a:extLst>
            <a:ext uri="{FF2B5EF4-FFF2-40B4-BE49-F238E27FC236}">
              <a16:creationId xmlns:a16="http://schemas.microsoft.com/office/drawing/2014/main" id="{00000000-0008-0000-0500-000046000000}"/>
            </a:ext>
          </a:extLst>
        </xdr:cNvPr>
        <xdr:cNvSpPr txBox="1"/>
      </xdr:nvSpPr>
      <xdr:spPr>
        <a:xfrm>
          <a:off x="8786812" y="5524500"/>
          <a:ext cx="1147763" cy="11334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Detection</a:t>
          </a:r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 and intervention are unsuccessful?</a:t>
          </a:r>
          <a:endParaRPr lang="en-US" sz="1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50</xdr:col>
      <xdr:colOff>185737</xdr:colOff>
      <xdr:row>26</xdr:row>
      <xdr:rowOff>57150</xdr:rowOff>
    </xdr:from>
    <xdr:to>
      <xdr:col>56</xdr:col>
      <xdr:colOff>190500</xdr:colOff>
      <xdr:row>31</xdr:row>
      <xdr:rowOff>171450</xdr:rowOff>
    </xdr:to>
    <xdr:sp macro="" textlink="'Event Tree Input'!A70">
      <xdr:nvSpPr>
        <xdr:cNvPr id="71" name="N3Descr">
          <a:extLst>
            <a:ext uri="{FF2B5EF4-FFF2-40B4-BE49-F238E27FC236}">
              <a16:creationId xmlns:a16="http://schemas.microsoft.com/office/drawing/2014/main" id="{00000000-0008-0000-0500-000047000000}"/>
            </a:ext>
          </a:extLst>
        </xdr:cNvPr>
        <xdr:cNvSpPr txBox="1"/>
      </xdr:nvSpPr>
      <xdr:spPr>
        <a:xfrm>
          <a:off x="10186987" y="5010150"/>
          <a:ext cx="1204913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Retrogressive</a:t>
          </a:r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 instability advances through the crest and uncontrolled release of impounded water occurs?</a:t>
          </a:r>
          <a:endParaRPr lang="en-US" sz="1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05"/>
  <dimension ref="A1:O187"/>
  <sheetViews>
    <sheetView tabSelected="1" zoomScaleNormal="100" zoomScalePageLayoutView="40" workbookViewId="0"/>
  </sheetViews>
  <sheetFormatPr defaultColWidth="9.140625" defaultRowHeight="12.75" x14ac:dyDescent="0.2"/>
  <cols>
    <col min="1" max="33" width="11.28515625" style="9" customWidth="1"/>
    <col min="34" max="16384" width="9.140625" style="9"/>
  </cols>
  <sheetData>
    <row r="1" spans="1:8" ht="12.75" customHeight="1" x14ac:dyDescent="0.2">
      <c r="A1" s="2" t="s">
        <v>8</v>
      </c>
      <c r="B1" s="60"/>
      <c r="C1" s="60"/>
      <c r="D1" s="60"/>
      <c r="E1" s="3" t="s">
        <v>9</v>
      </c>
      <c r="F1" s="7"/>
      <c r="G1" s="4" t="s">
        <v>10</v>
      </c>
      <c r="H1" s="8"/>
    </row>
    <row r="2" spans="1:8" x14ac:dyDescent="0.2">
      <c r="A2" s="2" t="s">
        <v>11</v>
      </c>
      <c r="B2" s="60"/>
      <c r="C2" s="60"/>
      <c r="D2" s="60"/>
      <c r="E2" s="3" t="s">
        <v>9</v>
      </c>
      <c r="F2" s="7"/>
      <c r="G2" s="4" t="s">
        <v>10</v>
      </c>
      <c r="H2" s="8"/>
    </row>
    <row r="3" spans="1:8" x14ac:dyDescent="0.2">
      <c r="A3" s="5" t="s">
        <v>12</v>
      </c>
      <c r="B3" s="10"/>
      <c r="C3" s="61"/>
      <c r="D3" s="61"/>
      <c r="E3" s="61"/>
      <c r="F3" s="61"/>
      <c r="G3" s="61"/>
      <c r="H3" s="61"/>
    </row>
    <row r="4" spans="1:8" x14ac:dyDescent="0.2">
      <c r="A4" s="10"/>
      <c r="B4" s="10"/>
      <c r="C4" s="10"/>
      <c r="D4" s="10"/>
      <c r="E4" s="10"/>
      <c r="F4" s="10"/>
      <c r="G4" s="10"/>
      <c r="H4" s="10"/>
    </row>
    <row r="5" spans="1:8" x14ac:dyDescent="0.2">
      <c r="A5" s="1" t="s">
        <v>18</v>
      </c>
      <c r="B5" s="1"/>
      <c r="C5" s="1"/>
      <c r="D5" s="1"/>
      <c r="E5" s="1"/>
      <c r="F5" s="1"/>
      <c r="G5" s="1"/>
      <c r="H5" s="1"/>
    </row>
    <row r="6" spans="1:8" x14ac:dyDescent="0.2">
      <c r="A6" s="19"/>
      <c r="B6" s="30"/>
      <c r="C6" s="30"/>
      <c r="D6" s="30"/>
      <c r="E6" s="30"/>
      <c r="F6" s="30"/>
      <c r="G6" s="30"/>
      <c r="H6" s="30"/>
    </row>
    <row r="7" spans="1:8" x14ac:dyDescent="0.2">
      <c r="A7" s="31" t="s">
        <v>60</v>
      </c>
      <c r="B7" s="30"/>
      <c r="C7" s="30"/>
      <c r="D7" s="30"/>
      <c r="E7" s="30"/>
      <c r="F7" s="30"/>
      <c r="G7" s="30"/>
      <c r="H7" s="30"/>
    </row>
    <row r="8" spans="1:8" x14ac:dyDescent="0.2">
      <c r="A8" s="19" t="s">
        <v>70</v>
      </c>
      <c r="B8" s="30"/>
      <c r="C8" s="30"/>
      <c r="D8" s="30"/>
      <c r="E8" s="30"/>
      <c r="F8" s="30"/>
      <c r="G8" s="30"/>
      <c r="H8" s="30"/>
    </row>
    <row r="9" spans="1:8" x14ac:dyDescent="0.2">
      <c r="A9" s="19" t="s">
        <v>61</v>
      </c>
      <c r="B9" s="30"/>
      <c r="C9" s="30"/>
      <c r="D9" s="30"/>
      <c r="E9" s="30"/>
      <c r="F9" s="30"/>
      <c r="G9" s="30"/>
      <c r="H9" s="30"/>
    </row>
    <row r="10" spans="1:8" x14ac:dyDescent="0.2">
      <c r="A10" s="19" t="s">
        <v>71</v>
      </c>
      <c r="B10" s="30"/>
      <c r="C10" s="30"/>
      <c r="D10" s="30"/>
      <c r="E10" s="30"/>
      <c r="F10" s="30"/>
      <c r="G10" s="30"/>
      <c r="H10" s="30"/>
    </row>
    <row r="11" spans="1:8" x14ac:dyDescent="0.2">
      <c r="A11" s="19" t="s">
        <v>62</v>
      </c>
      <c r="B11" s="30"/>
      <c r="C11" s="30"/>
      <c r="D11" s="30"/>
      <c r="E11" s="30"/>
      <c r="F11" s="30"/>
      <c r="G11" s="30"/>
      <c r="H11" s="30"/>
    </row>
    <row r="12" spans="1:8" x14ac:dyDescent="0.2">
      <c r="A12" s="19"/>
      <c r="B12" s="30"/>
      <c r="C12" s="30"/>
      <c r="D12" s="30"/>
      <c r="E12" s="30"/>
      <c r="F12" s="30"/>
      <c r="G12" s="30"/>
      <c r="H12" s="30"/>
    </row>
    <row r="13" spans="1:8" x14ac:dyDescent="0.2">
      <c r="A13" s="31" t="s">
        <v>52</v>
      </c>
      <c r="B13" s="30"/>
      <c r="C13" s="30"/>
      <c r="D13" s="30"/>
      <c r="E13" s="30"/>
      <c r="F13" s="30"/>
      <c r="G13" s="30"/>
      <c r="H13" s="30"/>
    </row>
    <row r="14" spans="1:8" x14ac:dyDescent="0.2">
      <c r="A14" s="19" t="s">
        <v>53</v>
      </c>
      <c r="B14" s="30"/>
      <c r="C14" s="30"/>
      <c r="D14" s="30"/>
      <c r="E14" s="30"/>
      <c r="F14" s="30"/>
      <c r="G14" s="30"/>
      <c r="H14" s="30"/>
    </row>
    <row r="15" spans="1:8" x14ac:dyDescent="0.2">
      <c r="A15" s="19" t="s">
        <v>54</v>
      </c>
      <c r="B15" s="30"/>
      <c r="C15" s="30"/>
      <c r="D15" s="30"/>
      <c r="E15" s="30"/>
      <c r="F15" s="30"/>
      <c r="G15" s="30"/>
      <c r="H15" s="30"/>
    </row>
    <row r="16" spans="1:8" x14ac:dyDescent="0.2">
      <c r="A16" s="19" t="s">
        <v>55</v>
      </c>
      <c r="B16" s="30"/>
      <c r="C16" s="30"/>
      <c r="D16" s="30"/>
      <c r="E16" s="30"/>
      <c r="F16" s="30"/>
      <c r="G16" s="30"/>
      <c r="H16" s="30"/>
    </row>
    <row r="17" spans="1:9" x14ac:dyDescent="0.2">
      <c r="A17" s="19" t="s">
        <v>75</v>
      </c>
      <c r="B17" s="30"/>
      <c r="C17" s="30"/>
      <c r="D17" s="30"/>
      <c r="E17" s="30"/>
      <c r="F17" s="30"/>
      <c r="G17" s="30"/>
      <c r="H17" s="30"/>
    </row>
    <row r="18" spans="1:9" x14ac:dyDescent="0.2">
      <c r="A18" s="19" t="s">
        <v>56</v>
      </c>
      <c r="B18" s="30"/>
      <c r="C18" s="30"/>
      <c r="D18" s="30"/>
      <c r="E18" s="30"/>
      <c r="F18" s="30"/>
      <c r="G18" s="30"/>
      <c r="H18" s="30"/>
    </row>
    <row r="19" spans="1:9" x14ac:dyDescent="0.2">
      <c r="A19" s="19" t="s">
        <v>57</v>
      </c>
      <c r="B19" s="30"/>
      <c r="C19" s="30"/>
      <c r="D19" s="30"/>
      <c r="E19" s="30"/>
      <c r="F19" s="30"/>
      <c r="G19" s="30"/>
      <c r="H19" s="30"/>
    </row>
    <row r="20" spans="1:9" x14ac:dyDescent="0.2">
      <c r="A20" s="19" t="s">
        <v>73</v>
      </c>
      <c r="B20" s="30"/>
      <c r="C20" s="30"/>
      <c r="D20" s="30"/>
      <c r="E20" s="30"/>
      <c r="F20" s="30"/>
      <c r="G20" s="30"/>
      <c r="H20" s="30"/>
    </row>
    <row r="21" spans="1:9" x14ac:dyDescent="0.2">
      <c r="A21" s="19" t="s">
        <v>74</v>
      </c>
      <c r="B21" s="30"/>
      <c r="C21" s="30"/>
      <c r="D21" s="30"/>
      <c r="E21" s="30"/>
      <c r="F21" s="30"/>
      <c r="G21" s="30"/>
      <c r="H21" s="30"/>
    </row>
    <row r="22" spans="1:9" x14ac:dyDescent="0.2">
      <c r="A22" s="19" t="s">
        <v>58</v>
      </c>
      <c r="B22" s="30"/>
      <c r="C22" s="30"/>
      <c r="D22" s="30"/>
      <c r="E22" s="30"/>
      <c r="F22" s="30"/>
      <c r="G22" s="30"/>
      <c r="H22" s="30"/>
    </row>
    <row r="23" spans="1:9" x14ac:dyDescent="0.2">
      <c r="A23" s="19" t="s">
        <v>59</v>
      </c>
      <c r="B23" s="30"/>
      <c r="C23" s="30"/>
      <c r="D23" s="30"/>
      <c r="E23" s="30"/>
      <c r="F23" s="30"/>
      <c r="G23" s="30"/>
      <c r="H23" s="30"/>
    </row>
    <row r="24" spans="1:9" x14ac:dyDescent="0.2">
      <c r="A24" s="5"/>
      <c r="B24" s="10"/>
      <c r="C24" s="10"/>
      <c r="D24" s="10"/>
      <c r="E24" s="10"/>
      <c r="F24" s="10"/>
      <c r="G24" s="10"/>
      <c r="H24" s="10"/>
    </row>
    <row r="25" spans="1:9" x14ac:dyDescent="0.2">
      <c r="A25" s="1" t="s">
        <v>32</v>
      </c>
      <c r="B25" s="1"/>
      <c r="C25" s="1"/>
      <c r="D25" s="1"/>
      <c r="E25" s="1"/>
      <c r="F25" s="1"/>
      <c r="G25" s="1"/>
      <c r="H25" s="1"/>
    </row>
    <row r="26" spans="1:9" x14ac:dyDescent="0.2">
      <c r="A26" s="10"/>
      <c r="B26" s="10"/>
      <c r="C26" s="10"/>
      <c r="D26" s="10"/>
      <c r="E26" s="10"/>
      <c r="F26" s="10"/>
      <c r="G26" s="10"/>
      <c r="H26" s="10"/>
    </row>
    <row r="27" spans="1:9" x14ac:dyDescent="0.2">
      <c r="A27" s="10" t="s">
        <v>21</v>
      </c>
      <c r="B27" s="10"/>
      <c r="C27" s="10"/>
      <c r="D27" s="61" t="s">
        <v>28</v>
      </c>
      <c r="E27" s="61"/>
      <c r="F27" s="22" t="s">
        <v>28</v>
      </c>
      <c r="G27" s="61" t="s">
        <v>84</v>
      </c>
      <c r="H27" s="61"/>
      <c r="I27" s="6" t="s">
        <v>14</v>
      </c>
    </row>
    <row r="28" spans="1:9" x14ac:dyDescent="0.2">
      <c r="A28" s="10"/>
      <c r="B28" s="10"/>
      <c r="C28" s="10"/>
      <c r="D28" s="10"/>
      <c r="E28" s="10"/>
      <c r="F28" s="10"/>
      <c r="G28" s="10"/>
      <c r="H28" s="10"/>
    </row>
    <row r="29" spans="1:9" x14ac:dyDescent="0.2">
      <c r="A29" s="10" t="s">
        <v>13</v>
      </c>
      <c r="B29" s="10"/>
      <c r="C29" s="10"/>
      <c r="D29" s="11">
        <v>3</v>
      </c>
      <c r="E29" s="10"/>
      <c r="F29" s="10"/>
      <c r="G29" s="10"/>
      <c r="H29" s="10"/>
      <c r="I29" s="6" t="s">
        <v>14</v>
      </c>
    </row>
    <row r="30" spans="1:9" x14ac:dyDescent="0.2">
      <c r="A30" s="10"/>
      <c r="B30" s="10"/>
      <c r="C30" s="10"/>
      <c r="D30" s="10"/>
      <c r="E30" s="10"/>
      <c r="F30" s="10"/>
      <c r="G30" s="10"/>
      <c r="H30" s="10"/>
    </row>
    <row r="31" spans="1:9" x14ac:dyDescent="0.2">
      <c r="A31" s="10" t="s">
        <v>38</v>
      </c>
      <c r="B31" s="10"/>
      <c r="C31" s="10"/>
      <c r="D31" s="11" t="s">
        <v>15</v>
      </c>
      <c r="E31" s="10"/>
      <c r="F31" s="10"/>
      <c r="G31" s="10"/>
      <c r="H31" s="10"/>
      <c r="I31" s="6" t="s">
        <v>14</v>
      </c>
    </row>
    <row r="32" spans="1:9" x14ac:dyDescent="0.2">
      <c r="A32" s="10" t="s">
        <v>26</v>
      </c>
      <c r="B32" s="10"/>
      <c r="C32" s="10"/>
      <c r="D32" s="11" t="s">
        <v>16</v>
      </c>
      <c r="E32" s="10"/>
      <c r="F32" s="10"/>
      <c r="G32" s="10"/>
      <c r="H32" s="10"/>
      <c r="I32" s="6" t="s">
        <v>14</v>
      </c>
    </row>
    <row r="33" spans="1:9" x14ac:dyDescent="0.2">
      <c r="A33" s="10"/>
      <c r="B33" s="10"/>
      <c r="C33" s="10"/>
      <c r="D33" s="10"/>
      <c r="E33" s="10"/>
      <c r="F33" s="10"/>
      <c r="G33" s="10"/>
      <c r="H33" s="10"/>
    </row>
    <row r="34" spans="1:9" x14ac:dyDescent="0.2">
      <c r="A34" s="1" t="s">
        <v>31</v>
      </c>
      <c r="B34" s="1"/>
      <c r="C34" s="1"/>
      <c r="D34" s="1"/>
      <c r="E34" s="1"/>
      <c r="F34" s="1"/>
      <c r="G34" s="1"/>
      <c r="H34" s="1"/>
      <c r="I34" s="32" t="s">
        <v>72</v>
      </c>
    </row>
    <row r="35" spans="1:9" x14ac:dyDescent="0.2">
      <c r="A35" s="10"/>
      <c r="B35" s="10"/>
      <c r="C35" s="10"/>
      <c r="D35" s="10"/>
      <c r="E35" s="10"/>
      <c r="F35" s="10"/>
      <c r="G35" s="10"/>
      <c r="H35" s="10"/>
    </row>
    <row r="36" spans="1:9" x14ac:dyDescent="0.2">
      <c r="A36" s="13" t="s">
        <v>0</v>
      </c>
      <c r="B36" s="10"/>
      <c r="C36" s="10"/>
      <c r="D36" s="10"/>
      <c r="E36" s="10"/>
      <c r="F36" s="10"/>
      <c r="G36" s="10"/>
      <c r="H36" s="10"/>
    </row>
    <row r="37" spans="1:9" ht="8.1" customHeight="1" x14ac:dyDescent="0.2">
      <c r="A37" s="13"/>
      <c r="B37" s="10"/>
      <c r="C37" s="10"/>
      <c r="D37" s="10"/>
      <c r="E37" s="10"/>
      <c r="F37" s="10"/>
      <c r="G37" s="10"/>
      <c r="H37" s="10"/>
    </row>
    <row r="38" spans="1:9" ht="12.75" customHeight="1" x14ac:dyDescent="0.2">
      <c r="A38" s="10" t="s">
        <v>35</v>
      </c>
      <c r="B38" s="10"/>
      <c r="C38" s="10"/>
      <c r="D38" s="10"/>
      <c r="E38" s="10"/>
      <c r="F38" s="10"/>
      <c r="G38" s="10"/>
      <c r="H38" s="10"/>
    </row>
    <row r="39" spans="1:9" ht="12.75" customHeight="1" x14ac:dyDescent="0.2">
      <c r="A39" s="59" t="s">
        <v>78</v>
      </c>
      <c r="B39" s="59"/>
      <c r="C39" s="59"/>
      <c r="D39" s="59"/>
      <c r="E39" s="59"/>
      <c r="F39" s="59"/>
      <c r="G39" s="59"/>
      <c r="H39" s="59"/>
    </row>
    <row r="40" spans="1:9" ht="8.1" customHeight="1" x14ac:dyDescent="0.2">
      <c r="A40" s="20"/>
      <c r="B40" s="20"/>
      <c r="C40" s="20"/>
      <c r="D40" s="20"/>
      <c r="E40" s="20"/>
      <c r="F40" s="20"/>
      <c r="G40" s="20"/>
      <c r="H40" s="20"/>
    </row>
    <row r="41" spans="1:9" x14ac:dyDescent="0.2">
      <c r="A41" s="12" t="s">
        <v>34</v>
      </c>
      <c r="B41" s="12"/>
      <c r="C41" s="12"/>
      <c r="D41" s="12"/>
      <c r="E41" s="12"/>
      <c r="F41" s="12"/>
      <c r="G41" s="12"/>
      <c r="H41" s="12"/>
    </row>
    <row r="42" spans="1:9" ht="12.75" customHeight="1" x14ac:dyDescent="0.2">
      <c r="A42" s="59" t="s">
        <v>83</v>
      </c>
      <c r="B42" s="59"/>
      <c r="C42" s="59"/>
      <c r="D42" s="59"/>
      <c r="E42" s="59"/>
      <c r="F42" s="59"/>
      <c r="G42" s="59"/>
      <c r="H42" s="59"/>
      <c r="I42" s="14"/>
    </row>
    <row r="43" spans="1:9" ht="8.1" customHeight="1" x14ac:dyDescent="0.2">
      <c r="A43" s="10"/>
      <c r="B43" s="10"/>
      <c r="C43" s="12"/>
      <c r="D43" s="12"/>
      <c r="E43" s="12"/>
      <c r="F43" s="12"/>
      <c r="G43" s="12"/>
      <c r="H43" s="12"/>
    </row>
    <row r="44" spans="1:9" x14ac:dyDescent="0.2">
      <c r="A44" s="12" t="s">
        <v>37</v>
      </c>
      <c r="B44" s="10"/>
      <c r="C44" s="10"/>
      <c r="D44" s="10"/>
      <c r="E44" s="10"/>
      <c r="F44" s="10"/>
      <c r="G44" s="10"/>
      <c r="H44" s="10"/>
    </row>
    <row r="45" spans="1:9" ht="12.75" customHeight="1" x14ac:dyDescent="0.2">
      <c r="A45" s="59" t="s">
        <v>39</v>
      </c>
      <c r="B45" s="59"/>
      <c r="C45" s="59"/>
      <c r="D45" s="59"/>
      <c r="E45" s="59"/>
      <c r="F45" s="59"/>
      <c r="G45" s="59"/>
      <c r="H45" s="59"/>
      <c r="I45" s="14"/>
    </row>
    <row r="46" spans="1:9" ht="12.75" customHeight="1" x14ac:dyDescent="0.2">
      <c r="A46" s="59"/>
      <c r="B46" s="59"/>
      <c r="C46" s="59"/>
      <c r="D46" s="59"/>
      <c r="E46" s="59"/>
      <c r="F46" s="59"/>
      <c r="G46" s="59"/>
      <c r="H46" s="59"/>
    </row>
    <row r="47" spans="1:9" ht="12.75" customHeight="1" x14ac:dyDescent="0.2">
      <c r="A47" s="59"/>
      <c r="B47" s="59"/>
      <c r="C47" s="59"/>
      <c r="D47" s="59"/>
      <c r="E47" s="59"/>
      <c r="F47" s="59"/>
      <c r="G47" s="59"/>
      <c r="H47" s="59"/>
    </row>
    <row r="48" spans="1:9" ht="12.75" customHeight="1" x14ac:dyDescent="0.2">
      <c r="A48" s="59"/>
      <c r="B48" s="59"/>
      <c r="C48" s="59"/>
      <c r="D48" s="59"/>
      <c r="E48" s="59"/>
      <c r="F48" s="59"/>
      <c r="G48" s="59"/>
      <c r="H48" s="59"/>
    </row>
    <row r="49" spans="1:9" x14ac:dyDescent="0.2">
      <c r="A49" s="10"/>
      <c r="B49" s="10"/>
      <c r="C49" s="10"/>
      <c r="D49" s="10"/>
      <c r="E49" s="10"/>
      <c r="F49" s="10"/>
      <c r="G49" s="10"/>
      <c r="H49" s="10"/>
    </row>
    <row r="50" spans="1:9" x14ac:dyDescent="0.2">
      <c r="A50" s="13" t="s">
        <v>1</v>
      </c>
      <c r="B50" s="10"/>
      <c r="C50" s="10"/>
      <c r="D50" s="10"/>
      <c r="E50" s="10"/>
      <c r="F50" s="10"/>
      <c r="G50" s="10"/>
      <c r="H50" s="10"/>
    </row>
    <row r="51" spans="1:9" ht="8.1" customHeight="1" x14ac:dyDescent="0.2">
      <c r="A51" s="13"/>
      <c r="B51" s="10"/>
      <c r="C51" s="10"/>
      <c r="D51" s="10"/>
      <c r="E51" s="10"/>
      <c r="F51" s="10"/>
      <c r="G51" s="10"/>
      <c r="H51" s="10"/>
    </row>
    <row r="52" spans="1:9" x14ac:dyDescent="0.2">
      <c r="A52" s="10" t="s">
        <v>35</v>
      </c>
      <c r="B52" s="10"/>
      <c r="C52" s="10"/>
      <c r="D52" s="10"/>
      <c r="E52" s="10"/>
      <c r="F52" s="10"/>
      <c r="G52" s="10"/>
      <c r="H52" s="10"/>
    </row>
    <row r="53" spans="1:9" ht="12.75" customHeight="1" x14ac:dyDescent="0.2">
      <c r="A53" s="59" t="s">
        <v>79</v>
      </c>
      <c r="B53" s="59"/>
      <c r="C53" s="59"/>
      <c r="D53" s="59"/>
      <c r="E53" s="59"/>
      <c r="F53" s="59"/>
      <c r="G53" s="59"/>
      <c r="H53" s="59"/>
    </row>
    <row r="54" spans="1:9" ht="8.1" customHeight="1" x14ac:dyDescent="0.2">
      <c r="A54" s="20"/>
      <c r="B54" s="20"/>
      <c r="C54" s="20"/>
      <c r="D54" s="20"/>
      <c r="E54" s="20"/>
      <c r="F54" s="20"/>
      <c r="G54" s="20"/>
      <c r="H54" s="20"/>
    </row>
    <row r="55" spans="1:9" x14ac:dyDescent="0.2">
      <c r="A55" s="12" t="s">
        <v>34</v>
      </c>
      <c r="B55" s="12"/>
      <c r="C55" s="12"/>
      <c r="D55" s="12"/>
      <c r="E55" s="12"/>
      <c r="F55" s="12"/>
      <c r="G55" s="12"/>
      <c r="H55" s="12"/>
    </row>
    <row r="56" spans="1:9" ht="12.75" customHeight="1" x14ac:dyDescent="0.2">
      <c r="A56" s="59" t="s">
        <v>80</v>
      </c>
      <c r="B56" s="59"/>
      <c r="C56" s="59"/>
      <c r="D56" s="59"/>
      <c r="E56" s="59"/>
      <c r="F56" s="59"/>
      <c r="G56" s="59"/>
      <c r="H56" s="59"/>
      <c r="I56" s="14"/>
    </row>
    <row r="57" spans="1:9" ht="8.1" customHeight="1" x14ac:dyDescent="0.2">
      <c r="A57" s="10"/>
      <c r="B57" s="10"/>
      <c r="C57" s="12"/>
      <c r="D57" s="12"/>
      <c r="E57" s="12"/>
      <c r="F57" s="12"/>
      <c r="G57" s="12"/>
      <c r="H57" s="12"/>
    </row>
    <row r="58" spans="1:9" x14ac:dyDescent="0.2">
      <c r="A58" s="12" t="s">
        <v>37</v>
      </c>
      <c r="B58" s="10"/>
      <c r="C58" s="10"/>
      <c r="D58" s="10"/>
      <c r="E58" s="10"/>
      <c r="F58" s="10"/>
      <c r="G58" s="10"/>
      <c r="H58" s="10"/>
    </row>
    <row r="59" spans="1:9" ht="12.75" customHeight="1" x14ac:dyDescent="0.2">
      <c r="A59" s="59" t="s">
        <v>40</v>
      </c>
      <c r="B59" s="59"/>
      <c r="C59" s="59"/>
      <c r="D59" s="59"/>
      <c r="E59" s="59"/>
      <c r="F59" s="59"/>
      <c r="G59" s="59"/>
      <c r="H59" s="59"/>
      <c r="I59" s="14"/>
    </row>
    <row r="60" spans="1:9" ht="12.75" customHeight="1" x14ac:dyDescent="0.2">
      <c r="A60" s="59"/>
      <c r="B60" s="59"/>
      <c r="C60" s="59"/>
      <c r="D60" s="59"/>
      <c r="E60" s="59"/>
      <c r="F60" s="59"/>
      <c r="G60" s="59"/>
      <c r="H60" s="59"/>
    </row>
    <row r="61" spans="1:9" ht="12.75" customHeight="1" x14ac:dyDescent="0.2">
      <c r="A61" s="59"/>
      <c r="B61" s="59"/>
      <c r="C61" s="59"/>
      <c r="D61" s="59"/>
      <c r="E61" s="59"/>
      <c r="F61" s="59"/>
      <c r="G61" s="59"/>
      <c r="H61" s="59"/>
    </row>
    <row r="62" spans="1:9" ht="12.75" customHeight="1" x14ac:dyDescent="0.2">
      <c r="A62" s="59"/>
      <c r="B62" s="59"/>
      <c r="C62" s="59"/>
      <c r="D62" s="59"/>
      <c r="E62" s="59"/>
      <c r="F62" s="59"/>
      <c r="G62" s="59"/>
      <c r="H62" s="59"/>
    </row>
    <row r="63" spans="1:9" x14ac:dyDescent="0.2">
      <c r="A63" s="10"/>
      <c r="B63" s="10"/>
      <c r="C63" s="10"/>
      <c r="D63" s="10"/>
      <c r="E63" s="10"/>
      <c r="F63" s="10"/>
      <c r="G63" s="10"/>
      <c r="H63" s="10"/>
    </row>
    <row r="64" spans="1:9" x14ac:dyDescent="0.2">
      <c r="A64" s="13" t="s">
        <v>2</v>
      </c>
      <c r="B64" s="10"/>
      <c r="C64" s="10"/>
      <c r="D64" s="10"/>
      <c r="E64" s="10"/>
      <c r="F64" s="10"/>
      <c r="G64" s="10"/>
      <c r="H64" s="10"/>
    </row>
    <row r="65" spans="1:9" ht="8.1" customHeight="1" x14ac:dyDescent="0.2">
      <c r="A65" s="13"/>
      <c r="B65" s="10"/>
      <c r="C65" s="10"/>
      <c r="D65" s="10"/>
      <c r="E65" s="10"/>
      <c r="F65" s="10"/>
      <c r="G65" s="10"/>
      <c r="H65" s="10"/>
    </row>
    <row r="66" spans="1:9" x14ac:dyDescent="0.2">
      <c r="A66" s="10" t="s">
        <v>35</v>
      </c>
      <c r="B66" s="10"/>
      <c r="C66" s="10"/>
      <c r="D66" s="10"/>
      <c r="E66" s="10"/>
      <c r="F66" s="10"/>
      <c r="G66" s="10"/>
      <c r="H66" s="10"/>
    </row>
    <row r="67" spans="1:9" ht="12.75" customHeight="1" x14ac:dyDescent="0.2">
      <c r="A67" s="59" t="s">
        <v>81</v>
      </c>
      <c r="B67" s="59"/>
      <c r="C67" s="59"/>
      <c r="D67" s="59"/>
      <c r="E67" s="59"/>
      <c r="F67" s="59"/>
      <c r="G67" s="59"/>
      <c r="H67" s="59"/>
    </row>
    <row r="68" spans="1:9" ht="8.1" customHeight="1" x14ac:dyDescent="0.2">
      <c r="A68" s="20"/>
      <c r="B68" s="20"/>
      <c r="C68" s="20"/>
      <c r="D68" s="20"/>
      <c r="E68" s="20"/>
      <c r="F68" s="20"/>
      <c r="G68" s="20"/>
      <c r="H68" s="20"/>
    </row>
    <row r="69" spans="1:9" x14ac:dyDescent="0.2">
      <c r="A69" s="12" t="s">
        <v>34</v>
      </c>
      <c r="B69" s="12"/>
      <c r="C69" s="12"/>
      <c r="D69" s="12"/>
      <c r="E69" s="12"/>
      <c r="F69" s="12"/>
      <c r="G69" s="12"/>
      <c r="H69" s="12"/>
    </row>
    <row r="70" spans="1:9" ht="12.75" customHeight="1" x14ac:dyDescent="0.2">
      <c r="A70" s="59" t="s">
        <v>82</v>
      </c>
      <c r="B70" s="59"/>
      <c r="C70" s="59"/>
      <c r="D70" s="59"/>
      <c r="E70" s="59"/>
      <c r="F70" s="59"/>
      <c r="G70" s="59"/>
      <c r="H70" s="59"/>
      <c r="I70" s="14"/>
    </row>
    <row r="71" spans="1:9" ht="8.1" customHeight="1" x14ac:dyDescent="0.2">
      <c r="A71" s="10"/>
      <c r="B71" s="10"/>
      <c r="C71" s="12"/>
      <c r="D71" s="12"/>
      <c r="E71" s="12"/>
      <c r="F71" s="12"/>
      <c r="G71" s="12"/>
      <c r="H71" s="12"/>
    </row>
    <row r="72" spans="1:9" x14ac:dyDescent="0.2">
      <c r="A72" s="12" t="s">
        <v>37</v>
      </c>
      <c r="B72" s="10"/>
      <c r="C72" s="10"/>
      <c r="D72" s="10"/>
      <c r="E72" s="10"/>
      <c r="F72" s="10"/>
      <c r="G72" s="10"/>
      <c r="H72" s="10"/>
    </row>
    <row r="73" spans="1:9" ht="12.75" customHeight="1" x14ac:dyDescent="0.2">
      <c r="A73" s="59" t="s">
        <v>41</v>
      </c>
      <c r="B73" s="59"/>
      <c r="C73" s="59"/>
      <c r="D73" s="59"/>
      <c r="E73" s="59"/>
      <c r="F73" s="59"/>
      <c r="G73" s="59"/>
      <c r="H73" s="59"/>
      <c r="I73" s="14"/>
    </row>
    <row r="74" spans="1:9" ht="12.75" customHeight="1" x14ac:dyDescent="0.2">
      <c r="A74" s="59"/>
      <c r="B74" s="59"/>
      <c r="C74" s="59"/>
      <c r="D74" s="59"/>
      <c r="E74" s="59"/>
      <c r="F74" s="59"/>
      <c r="G74" s="59"/>
      <c r="H74" s="59"/>
    </row>
    <row r="75" spans="1:9" ht="12.75" customHeight="1" x14ac:dyDescent="0.2">
      <c r="A75" s="59"/>
      <c r="B75" s="59"/>
      <c r="C75" s="59"/>
      <c r="D75" s="59"/>
      <c r="E75" s="59"/>
      <c r="F75" s="59"/>
      <c r="G75" s="59"/>
      <c r="H75" s="59"/>
    </row>
    <row r="76" spans="1:9" ht="12.75" customHeight="1" x14ac:dyDescent="0.2">
      <c r="A76" s="59"/>
      <c r="B76" s="59"/>
      <c r="C76" s="59"/>
      <c r="D76" s="59"/>
      <c r="E76" s="59"/>
      <c r="F76" s="59"/>
      <c r="G76" s="59"/>
      <c r="H76" s="59"/>
    </row>
    <row r="77" spans="1:9" x14ac:dyDescent="0.2">
      <c r="A77" s="10"/>
      <c r="B77" s="10"/>
      <c r="C77" s="10"/>
      <c r="D77" s="10"/>
      <c r="E77" s="10"/>
      <c r="F77" s="10"/>
      <c r="G77" s="10"/>
      <c r="H77" s="10"/>
    </row>
    <row r="78" spans="1:9" x14ac:dyDescent="0.2">
      <c r="A78" s="13" t="s">
        <v>3</v>
      </c>
      <c r="B78" s="10"/>
      <c r="C78" s="10"/>
      <c r="D78" s="10"/>
      <c r="E78" s="10"/>
      <c r="F78" s="10"/>
      <c r="G78" s="10"/>
      <c r="H78" s="10"/>
    </row>
    <row r="79" spans="1:9" ht="8.1" customHeight="1" x14ac:dyDescent="0.2">
      <c r="A79" s="13"/>
      <c r="B79" s="10"/>
      <c r="C79" s="10"/>
      <c r="D79" s="10"/>
      <c r="E79" s="10"/>
      <c r="F79" s="10"/>
      <c r="G79" s="10"/>
      <c r="H79" s="10"/>
    </row>
    <row r="80" spans="1:9" x14ac:dyDescent="0.2">
      <c r="A80" s="10" t="s">
        <v>35</v>
      </c>
      <c r="B80" s="10"/>
      <c r="C80" s="10"/>
      <c r="D80" s="10"/>
      <c r="E80" s="10"/>
      <c r="F80" s="10"/>
      <c r="G80" s="10"/>
      <c r="H80" s="10"/>
    </row>
    <row r="81" spans="1:9" ht="12.75" customHeight="1" x14ac:dyDescent="0.2">
      <c r="A81" s="59" t="s">
        <v>76</v>
      </c>
      <c r="B81" s="59"/>
      <c r="C81" s="59"/>
      <c r="D81" s="59"/>
      <c r="E81" s="59"/>
      <c r="F81" s="59"/>
      <c r="G81" s="59"/>
      <c r="H81" s="59"/>
    </row>
    <row r="82" spans="1:9" ht="8.1" customHeight="1" x14ac:dyDescent="0.2">
      <c r="A82" s="20"/>
      <c r="B82" s="20"/>
      <c r="C82" s="20"/>
      <c r="D82" s="20"/>
      <c r="E82" s="20"/>
      <c r="F82" s="20"/>
      <c r="G82" s="20"/>
      <c r="H82" s="20"/>
    </row>
    <row r="83" spans="1:9" x14ac:dyDescent="0.2">
      <c r="A83" s="12" t="s">
        <v>34</v>
      </c>
      <c r="B83" s="12"/>
      <c r="C83" s="12"/>
      <c r="D83" s="12"/>
      <c r="E83" s="12"/>
      <c r="F83" s="12"/>
      <c r="G83" s="12"/>
      <c r="H83" s="12"/>
    </row>
    <row r="84" spans="1:9" ht="12.75" customHeight="1" x14ac:dyDescent="0.2">
      <c r="A84" s="59" t="s">
        <v>77</v>
      </c>
      <c r="B84" s="59"/>
      <c r="C84" s="59"/>
      <c r="D84" s="59"/>
      <c r="E84" s="59"/>
      <c r="F84" s="59"/>
      <c r="G84" s="59"/>
      <c r="H84" s="59"/>
      <c r="I84" s="14"/>
    </row>
    <row r="85" spans="1:9" ht="8.1" customHeight="1" x14ac:dyDescent="0.2">
      <c r="A85" s="10"/>
      <c r="B85" s="10"/>
      <c r="C85" s="12"/>
      <c r="D85" s="12"/>
      <c r="E85" s="12"/>
      <c r="F85" s="12"/>
      <c r="G85" s="12"/>
      <c r="H85" s="12"/>
    </row>
    <row r="86" spans="1:9" x14ac:dyDescent="0.2">
      <c r="A86" s="12" t="s">
        <v>37</v>
      </c>
      <c r="B86" s="10"/>
      <c r="C86" s="10"/>
      <c r="D86" s="10"/>
      <c r="E86" s="10"/>
      <c r="F86" s="10"/>
      <c r="G86" s="10"/>
      <c r="H86" s="10"/>
    </row>
    <row r="87" spans="1:9" ht="12.75" customHeight="1" x14ac:dyDescent="0.2">
      <c r="A87" s="59" t="s">
        <v>42</v>
      </c>
      <c r="B87" s="59"/>
      <c r="C87" s="59"/>
      <c r="D87" s="59"/>
      <c r="E87" s="59"/>
      <c r="F87" s="59"/>
      <c r="G87" s="59"/>
      <c r="H87" s="59"/>
      <c r="I87" s="14"/>
    </row>
    <row r="88" spans="1:9" ht="12.75" customHeight="1" x14ac:dyDescent="0.2">
      <c r="A88" s="59"/>
      <c r="B88" s="59"/>
      <c r="C88" s="59"/>
      <c r="D88" s="59"/>
      <c r="E88" s="59"/>
      <c r="F88" s="59"/>
      <c r="G88" s="59"/>
      <c r="H88" s="59"/>
    </row>
    <row r="89" spans="1:9" ht="12.75" customHeight="1" x14ac:dyDescent="0.2">
      <c r="A89" s="59"/>
      <c r="B89" s="59"/>
      <c r="C89" s="59"/>
      <c r="D89" s="59"/>
      <c r="E89" s="59"/>
      <c r="F89" s="59"/>
      <c r="G89" s="59"/>
      <c r="H89" s="59"/>
    </row>
    <row r="90" spans="1:9" ht="12.75" customHeight="1" x14ac:dyDescent="0.2">
      <c r="A90" s="59"/>
      <c r="B90" s="59"/>
      <c r="C90" s="59"/>
      <c r="D90" s="59"/>
      <c r="E90" s="59"/>
      <c r="F90" s="59"/>
      <c r="G90" s="59"/>
      <c r="H90" s="59"/>
    </row>
    <row r="91" spans="1:9" x14ac:dyDescent="0.2">
      <c r="A91" s="10"/>
      <c r="B91" s="10"/>
      <c r="C91" s="10"/>
      <c r="D91" s="10"/>
      <c r="E91" s="10"/>
      <c r="F91" s="10"/>
      <c r="G91" s="10"/>
      <c r="H91" s="10"/>
    </row>
    <row r="92" spans="1:9" x14ac:dyDescent="0.2">
      <c r="A92" s="13" t="s">
        <v>4</v>
      </c>
      <c r="B92" s="10"/>
      <c r="C92" s="10"/>
      <c r="D92" s="10"/>
      <c r="E92" s="10"/>
      <c r="F92" s="10"/>
      <c r="G92" s="10"/>
      <c r="H92" s="10"/>
    </row>
    <row r="93" spans="1:9" ht="8.1" customHeight="1" x14ac:dyDescent="0.2">
      <c r="A93" s="13"/>
      <c r="B93" s="10"/>
      <c r="C93" s="10"/>
      <c r="D93" s="10"/>
      <c r="E93" s="10"/>
      <c r="F93" s="10"/>
      <c r="G93" s="10"/>
      <c r="H93" s="10"/>
    </row>
    <row r="94" spans="1:9" x14ac:dyDescent="0.2">
      <c r="A94" s="10" t="s">
        <v>35</v>
      </c>
      <c r="B94" s="10"/>
      <c r="C94" s="10"/>
      <c r="D94" s="10"/>
      <c r="E94" s="10"/>
      <c r="F94" s="10"/>
      <c r="G94" s="10"/>
      <c r="H94" s="10"/>
    </row>
    <row r="95" spans="1:9" ht="12.75" customHeight="1" x14ac:dyDescent="0.2">
      <c r="A95" s="59" t="s">
        <v>66</v>
      </c>
      <c r="B95" s="59"/>
      <c r="C95" s="59"/>
      <c r="D95" s="59"/>
      <c r="E95" s="59"/>
      <c r="F95" s="59"/>
      <c r="G95" s="59"/>
      <c r="H95" s="59"/>
    </row>
    <row r="96" spans="1:9" ht="8.1" customHeight="1" x14ac:dyDescent="0.2">
      <c r="A96" s="20"/>
      <c r="B96" s="20"/>
      <c r="C96" s="20"/>
      <c r="D96" s="20"/>
      <c r="E96" s="20"/>
      <c r="F96" s="20"/>
      <c r="G96" s="20"/>
      <c r="H96" s="20"/>
    </row>
    <row r="97" spans="1:9" x14ac:dyDescent="0.2">
      <c r="A97" s="12" t="s">
        <v>34</v>
      </c>
      <c r="B97" s="12"/>
      <c r="C97" s="12"/>
      <c r="D97" s="12"/>
      <c r="E97" s="12"/>
      <c r="F97" s="12"/>
      <c r="G97" s="12"/>
      <c r="H97" s="12"/>
    </row>
    <row r="98" spans="1:9" ht="12.75" customHeight="1" x14ac:dyDescent="0.2">
      <c r="A98" s="59" t="s">
        <v>67</v>
      </c>
      <c r="B98" s="59"/>
      <c r="C98" s="59"/>
      <c r="D98" s="59"/>
      <c r="E98" s="59"/>
      <c r="F98" s="59"/>
      <c r="G98" s="59"/>
      <c r="H98" s="59"/>
      <c r="I98" s="14"/>
    </row>
    <row r="99" spans="1:9" ht="8.1" customHeight="1" x14ac:dyDescent="0.2">
      <c r="A99" s="10"/>
      <c r="B99" s="10"/>
      <c r="C99" s="12"/>
      <c r="D99" s="12"/>
      <c r="E99" s="12"/>
      <c r="F99" s="12"/>
      <c r="G99" s="12"/>
      <c r="H99" s="12"/>
    </row>
    <row r="100" spans="1:9" x14ac:dyDescent="0.2">
      <c r="A100" s="12" t="s">
        <v>37</v>
      </c>
      <c r="B100" s="10"/>
      <c r="C100" s="10"/>
      <c r="D100" s="10"/>
      <c r="E100" s="10"/>
      <c r="F100" s="10"/>
      <c r="G100" s="10"/>
      <c r="H100" s="10"/>
    </row>
    <row r="101" spans="1:9" ht="12.75" customHeight="1" x14ac:dyDescent="0.2">
      <c r="A101" s="59" t="s">
        <v>43</v>
      </c>
      <c r="B101" s="59"/>
      <c r="C101" s="59"/>
      <c r="D101" s="59"/>
      <c r="E101" s="59"/>
      <c r="F101" s="59"/>
      <c r="G101" s="59"/>
      <c r="H101" s="59"/>
      <c r="I101" s="14"/>
    </row>
    <row r="102" spans="1:9" ht="12.75" customHeight="1" x14ac:dyDescent="0.2">
      <c r="A102" s="59"/>
      <c r="B102" s="59"/>
      <c r="C102" s="59"/>
      <c r="D102" s="59"/>
      <c r="E102" s="59"/>
      <c r="F102" s="59"/>
      <c r="G102" s="59"/>
      <c r="H102" s="59"/>
    </row>
    <row r="103" spans="1:9" ht="12.75" customHeight="1" x14ac:dyDescent="0.2">
      <c r="A103" s="59"/>
      <c r="B103" s="59"/>
      <c r="C103" s="59"/>
      <c r="D103" s="59"/>
      <c r="E103" s="59"/>
      <c r="F103" s="59"/>
      <c r="G103" s="59"/>
      <c r="H103" s="59"/>
    </row>
    <row r="104" spans="1:9" ht="12.75" customHeight="1" x14ac:dyDescent="0.2">
      <c r="A104" s="59"/>
      <c r="B104" s="59"/>
      <c r="C104" s="59"/>
      <c r="D104" s="59"/>
      <c r="E104" s="59"/>
      <c r="F104" s="59"/>
      <c r="G104" s="59"/>
      <c r="H104" s="59"/>
    </row>
    <row r="105" spans="1:9" x14ac:dyDescent="0.2">
      <c r="A105" s="10"/>
      <c r="B105" s="10"/>
      <c r="C105" s="10"/>
      <c r="D105" s="10"/>
      <c r="E105" s="10"/>
      <c r="F105" s="10"/>
      <c r="G105" s="10"/>
      <c r="H105" s="10"/>
    </row>
    <row r="106" spans="1:9" x14ac:dyDescent="0.2">
      <c r="A106" s="13" t="s">
        <v>5</v>
      </c>
      <c r="B106" s="10"/>
      <c r="C106" s="10"/>
      <c r="D106" s="10"/>
      <c r="E106" s="10"/>
      <c r="F106" s="10"/>
      <c r="G106" s="10"/>
      <c r="H106" s="10"/>
    </row>
    <row r="107" spans="1:9" ht="8.1" customHeight="1" x14ac:dyDescent="0.2">
      <c r="A107" s="13"/>
      <c r="B107" s="10"/>
      <c r="C107" s="10"/>
      <c r="D107" s="10"/>
      <c r="E107" s="10"/>
      <c r="F107" s="10"/>
      <c r="G107" s="10"/>
      <c r="H107" s="10"/>
    </row>
    <row r="108" spans="1:9" x14ac:dyDescent="0.2">
      <c r="A108" s="10" t="s">
        <v>35</v>
      </c>
      <c r="B108" s="10"/>
      <c r="C108" s="10"/>
      <c r="D108" s="10"/>
      <c r="E108" s="10"/>
      <c r="F108" s="10"/>
      <c r="G108" s="10"/>
      <c r="H108" s="10"/>
    </row>
    <row r="109" spans="1:9" ht="12.75" customHeight="1" x14ac:dyDescent="0.2">
      <c r="A109" s="59" t="s">
        <v>68</v>
      </c>
      <c r="B109" s="59"/>
      <c r="C109" s="59"/>
      <c r="D109" s="59"/>
      <c r="E109" s="59"/>
      <c r="F109" s="59"/>
      <c r="G109" s="59"/>
      <c r="H109" s="59"/>
    </row>
    <row r="110" spans="1:9" ht="8.1" customHeight="1" x14ac:dyDescent="0.2">
      <c r="A110" s="20"/>
      <c r="B110" s="20"/>
      <c r="C110" s="20"/>
      <c r="D110" s="20"/>
      <c r="E110" s="20"/>
      <c r="F110" s="20"/>
      <c r="G110" s="20"/>
      <c r="H110" s="20"/>
    </row>
    <row r="111" spans="1:9" x14ac:dyDescent="0.2">
      <c r="A111" s="12" t="s">
        <v>34</v>
      </c>
      <c r="B111" s="12"/>
      <c r="C111" s="12"/>
      <c r="D111" s="12"/>
      <c r="E111" s="12"/>
      <c r="F111" s="12"/>
      <c r="G111" s="12"/>
      <c r="H111" s="12"/>
    </row>
    <row r="112" spans="1:9" ht="12.75" customHeight="1" x14ac:dyDescent="0.2">
      <c r="A112" s="59" t="s">
        <v>69</v>
      </c>
      <c r="B112" s="59"/>
      <c r="C112" s="59"/>
      <c r="D112" s="59"/>
      <c r="E112" s="59"/>
      <c r="F112" s="59"/>
      <c r="G112" s="59"/>
      <c r="H112" s="59"/>
      <c r="I112" s="14"/>
    </row>
    <row r="113" spans="1:9" ht="8.1" customHeight="1" x14ac:dyDescent="0.2">
      <c r="A113" s="10"/>
      <c r="B113" s="10"/>
      <c r="C113" s="12"/>
      <c r="D113" s="12"/>
      <c r="E113" s="12"/>
      <c r="F113" s="12"/>
      <c r="G113" s="12"/>
      <c r="H113" s="12"/>
    </row>
    <row r="114" spans="1:9" x14ac:dyDescent="0.2">
      <c r="A114" s="12" t="s">
        <v>37</v>
      </c>
      <c r="B114" s="10"/>
      <c r="C114" s="10"/>
      <c r="D114" s="10"/>
      <c r="E114" s="10"/>
      <c r="F114" s="10"/>
      <c r="G114" s="10"/>
      <c r="H114" s="10"/>
    </row>
    <row r="115" spans="1:9" ht="12.75" customHeight="1" x14ac:dyDescent="0.2">
      <c r="A115" s="59" t="s">
        <v>44</v>
      </c>
      <c r="B115" s="59"/>
      <c r="C115" s="59"/>
      <c r="D115" s="59"/>
      <c r="E115" s="59"/>
      <c r="F115" s="59"/>
      <c r="G115" s="59"/>
      <c r="H115" s="59"/>
      <c r="I115" s="14"/>
    </row>
    <row r="116" spans="1:9" ht="12.75" customHeight="1" x14ac:dyDescent="0.2">
      <c r="A116" s="59"/>
      <c r="B116" s="59"/>
      <c r="C116" s="59"/>
      <c r="D116" s="59"/>
      <c r="E116" s="59"/>
      <c r="F116" s="59"/>
      <c r="G116" s="59"/>
      <c r="H116" s="59"/>
    </row>
    <row r="117" spans="1:9" ht="12.75" customHeight="1" x14ac:dyDescent="0.2">
      <c r="A117" s="59"/>
      <c r="B117" s="59"/>
      <c r="C117" s="59"/>
      <c r="D117" s="59"/>
      <c r="E117" s="59"/>
      <c r="F117" s="59"/>
      <c r="G117" s="59"/>
      <c r="H117" s="59"/>
    </row>
    <row r="118" spans="1:9" ht="12.75" customHeight="1" x14ac:dyDescent="0.2">
      <c r="A118" s="59"/>
      <c r="B118" s="59"/>
      <c r="C118" s="59"/>
      <c r="D118" s="59"/>
      <c r="E118" s="59"/>
      <c r="F118" s="59"/>
      <c r="G118" s="59"/>
      <c r="H118" s="59"/>
    </row>
    <row r="119" spans="1:9" x14ac:dyDescent="0.2">
      <c r="A119" s="10"/>
      <c r="B119" s="10"/>
      <c r="C119" s="10"/>
      <c r="D119" s="10"/>
      <c r="E119" s="10"/>
      <c r="F119" s="10"/>
      <c r="G119" s="10"/>
      <c r="H119" s="10"/>
    </row>
    <row r="120" spans="1:9" x14ac:dyDescent="0.2">
      <c r="A120" s="13" t="s">
        <v>6</v>
      </c>
      <c r="B120" s="10"/>
      <c r="C120" s="10"/>
      <c r="D120" s="10"/>
      <c r="E120" s="10"/>
      <c r="F120" s="10"/>
      <c r="G120" s="10"/>
      <c r="H120" s="10"/>
    </row>
    <row r="121" spans="1:9" ht="8.1" customHeight="1" x14ac:dyDescent="0.2">
      <c r="A121" s="13"/>
      <c r="B121" s="10"/>
      <c r="C121" s="10"/>
      <c r="D121" s="10"/>
      <c r="E121" s="10"/>
      <c r="F121" s="10"/>
      <c r="G121" s="10"/>
      <c r="H121" s="10"/>
    </row>
    <row r="122" spans="1:9" x14ac:dyDescent="0.2">
      <c r="A122" s="10" t="s">
        <v>35</v>
      </c>
      <c r="B122" s="10"/>
      <c r="C122" s="10"/>
      <c r="D122" s="10"/>
      <c r="E122" s="10"/>
      <c r="F122" s="10"/>
      <c r="G122" s="10"/>
      <c r="H122" s="10"/>
    </row>
    <row r="123" spans="1:9" ht="12.75" customHeight="1" x14ac:dyDescent="0.2">
      <c r="A123" s="59" t="s">
        <v>66</v>
      </c>
      <c r="B123" s="59"/>
      <c r="C123" s="59"/>
      <c r="D123" s="59"/>
      <c r="E123" s="59"/>
      <c r="F123" s="59"/>
      <c r="G123" s="59"/>
      <c r="H123" s="59"/>
    </row>
    <row r="124" spans="1:9" ht="8.1" customHeight="1" x14ac:dyDescent="0.2">
      <c r="A124" s="20"/>
      <c r="B124" s="20"/>
      <c r="C124" s="20"/>
      <c r="D124" s="20"/>
      <c r="E124" s="20"/>
      <c r="F124" s="20"/>
      <c r="G124" s="20"/>
      <c r="H124" s="20"/>
    </row>
    <row r="125" spans="1:9" x14ac:dyDescent="0.2">
      <c r="A125" s="12" t="s">
        <v>34</v>
      </c>
      <c r="B125" s="12"/>
      <c r="C125" s="12"/>
      <c r="D125" s="12"/>
      <c r="E125" s="12"/>
      <c r="F125" s="12"/>
      <c r="G125" s="12"/>
      <c r="H125" s="12"/>
    </row>
    <row r="126" spans="1:9" ht="12.75" customHeight="1" x14ac:dyDescent="0.2">
      <c r="A126" s="59" t="s">
        <v>67</v>
      </c>
      <c r="B126" s="59"/>
      <c r="C126" s="59"/>
      <c r="D126" s="59"/>
      <c r="E126" s="59"/>
      <c r="F126" s="59"/>
      <c r="G126" s="59"/>
      <c r="H126" s="59"/>
      <c r="I126" s="14"/>
    </row>
    <row r="127" spans="1:9" ht="8.1" customHeight="1" x14ac:dyDescent="0.2">
      <c r="A127" s="10"/>
      <c r="B127" s="10"/>
      <c r="C127" s="12"/>
      <c r="D127" s="12"/>
      <c r="E127" s="12"/>
      <c r="F127" s="12"/>
      <c r="G127" s="12"/>
      <c r="H127" s="12"/>
    </row>
    <row r="128" spans="1:9" x14ac:dyDescent="0.2">
      <c r="A128" s="12" t="s">
        <v>37</v>
      </c>
      <c r="B128" s="10"/>
      <c r="C128" s="10"/>
      <c r="D128" s="10"/>
      <c r="E128" s="10"/>
      <c r="F128" s="10"/>
      <c r="G128" s="10"/>
      <c r="H128" s="10"/>
    </row>
    <row r="129" spans="1:15" ht="12.75" customHeight="1" x14ac:dyDescent="0.25">
      <c r="A129" s="59" t="s">
        <v>45</v>
      </c>
      <c r="B129" s="59"/>
      <c r="C129" s="59"/>
      <c r="D129" s="59"/>
      <c r="E129" s="59"/>
      <c r="F129" s="59"/>
      <c r="G129" s="59"/>
      <c r="H129" s="59"/>
      <c r="I129" s="14"/>
      <c r="O129" s="27"/>
    </row>
    <row r="130" spans="1:15" ht="12.75" customHeight="1" x14ac:dyDescent="0.2">
      <c r="A130" s="59"/>
      <c r="B130" s="59"/>
      <c r="C130" s="59"/>
      <c r="D130" s="59"/>
      <c r="E130" s="59"/>
      <c r="F130" s="59"/>
      <c r="G130" s="59"/>
      <c r="H130" s="59"/>
    </row>
    <row r="131" spans="1:15" ht="12.75" customHeight="1" x14ac:dyDescent="0.2">
      <c r="A131" s="59"/>
      <c r="B131" s="59"/>
      <c r="C131" s="59"/>
      <c r="D131" s="59"/>
      <c r="E131" s="59"/>
      <c r="F131" s="59"/>
      <c r="G131" s="59"/>
      <c r="H131" s="59"/>
    </row>
    <row r="132" spans="1:15" ht="12.75" customHeight="1" x14ac:dyDescent="0.2">
      <c r="A132" s="59"/>
      <c r="B132" s="59"/>
      <c r="C132" s="59"/>
      <c r="D132" s="59"/>
      <c r="E132" s="59"/>
      <c r="F132" s="59"/>
      <c r="G132" s="59"/>
      <c r="H132" s="59"/>
    </row>
    <row r="133" spans="1:15" ht="12.75" customHeight="1" x14ac:dyDescent="0.2">
      <c r="A133" s="10"/>
      <c r="B133" s="10"/>
      <c r="C133" s="10"/>
      <c r="D133" s="10"/>
      <c r="E133" s="10"/>
      <c r="F133" s="10"/>
      <c r="G133" s="10"/>
      <c r="H133" s="10"/>
    </row>
    <row r="134" spans="1:15" x14ac:dyDescent="0.2">
      <c r="A134" s="13" t="s">
        <v>33</v>
      </c>
      <c r="B134" s="10"/>
      <c r="C134" s="10"/>
      <c r="D134" s="10"/>
      <c r="E134" s="10"/>
      <c r="F134" s="10"/>
      <c r="G134" s="10"/>
      <c r="H134" s="10"/>
    </row>
    <row r="135" spans="1:15" ht="8.1" customHeight="1" x14ac:dyDescent="0.2">
      <c r="A135" s="13"/>
      <c r="B135" s="10"/>
      <c r="C135" s="10"/>
      <c r="D135" s="10"/>
      <c r="E135" s="10"/>
      <c r="F135" s="10"/>
      <c r="G135" s="10"/>
      <c r="H135" s="10"/>
    </row>
    <row r="136" spans="1:15" x14ac:dyDescent="0.2">
      <c r="A136" s="10" t="s">
        <v>35</v>
      </c>
      <c r="B136" s="10"/>
      <c r="C136" s="10"/>
      <c r="D136" s="10"/>
      <c r="E136" s="10"/>
      <c r="F136" s="10"/>
      <c r="G136" s="10"/>
      <c r="H136" s="10"/>
    </row>
    <row r="137" spans="1:15" ht="12.75" customHeight="1" x14ac:dyDescent="0.2">
      <c r="A137" s="59" t="s">
        <v>68</v>
      </c>
      <c r="B137" s="59"/>
      <c r="C137" s="59"/>
      <c r="D137" s="59"/>
      <c r="E137" s="59"/>
      <c r="F137" s="59"/>
      <c r="G137" s="59"/>
      <c r="H137" s="59"/>
    </row>
    <row r="138" spans="1:15" ht="8.1" customHeight="1" x14ac:dyDescent="0.2">
      <c r="A138" s="20"/>
      <c r="B138" s="20"/>
      <c r="C138" s="20"/>
      <c r="D138" s="20"/>
      <c r="E138" s="20"/>
      <c r="F138" s="20"/>
      <c r="G138" s="20"/>
      <c r="H138" s="20"/>
    </row>
    <row r="139" spans="1:15" x14ac:dyDescent="0.2">
      <c r="A139" s="12" t="s">
        <v>34</v>
      </c>
      <c r="B139" s="12"/>
      <c r="C139" s="12"/>
      <c r="D139" s="12"/>
      <c r="E139" s="12"/>
      <c r="F139" s="12"/>
      <c r="G139" s="12"/>
      <c r="H139" s="12"/>
    </row>
    <row r="140" spans="1:15" ht="12.75" customHeight="1" x14ac:dyDescent="0.2">
      <c r="A140" s="59" t="s">
        <v>69</v>
      </c>
      <c r="B140" s="59"/>
      <c r="C140" s="59"/>
      <c r="D140" s="59"/>
      <c r="E140" s="59"/>
      <c r="F140" s="59"/>
      <c r="G140" s="59"/>
      <c r="H140" s="59"/>
      <c r="I140" s="14"/>
    </row>
    <row r="141" spans="1:15" ht="8.1" customHeight="1" x14ac:dyDescent="0.2">
      <c r="A141" s="10"/>
      <c r="B141" s="10"/>
      <c r="C141" s="12"/>
      <c r="D141" s="12"/>
      <c r="E141" s="12"/>
      <c r="F141" s="12"/>
      <c r="G141" s="12"/>
      <c r="H141" s="12"/>
    </row>
    <row r="142" spans="1:15" x14ac:dyDescent="0.2">
      <c r="A142" s="12" t="s">
        <v>37</v>
      </c>
      <c r="B142" s="10"/>
      <c r="C142" s="10"/>
      <c r="D142" s="10"/>
      <c r="E142" s="10"/>
      <c r="F142" s="10"/>
      <c r="G142" s="10"/>
      <c r="H142" s="10"/>
    </row>
    <row r="143" spans="1:15" ht="12.75" customHeight="1" x14ac:dyDescent="0.2">
      <c r="A143" s="59" t="s">
        <v>46</v>
      </c>
      <c r="B143" s="59"/>
      <c r="C143" s="59"/>
      <c r="D143" s="59"/>
      <c r="E143" s="59"/>
      <c r="F143" s="59"/>
      <c r="G143" s="59"/>
      <c r="H143" s="59"/>
      <c r="I143" s="14"/>
    </row>
    <row r="144" spans="1:15" ht="12.75" customHeight="1" x14ac:dyDescent="0.2">
      <c r="A144" s="59"/>
      <c r="B144" s="59"/>
      <c r="C144" s="59"/>
      <c r="D144" s="59"/>
      <c r="E144" s="59"/>
      <c r="F144" s="59"/>
      <c r="G144" s="59"/>
      <c r="H144" s="59"/>
    </row>
    <row r="145" spans="1:9" ht="12.75" customHeight="1" x14ac:dyDescent="0.2">
      <c r="A145" s="59"/>
      <c r="B145" s="59"/>
      <c r="C145" s="59"/>
      <c r="D145" s="59"/>
      <c r="E145" s="59"/>
      <c r="F145" s="59"/>
      <c r="G145" s="59"/>
      <c r="H145" s="59"/>
    </row>
    <row r="146" spans="1:9" ht="12.75" customHeight="1" x14ac:dyDescent="0.2">
      <c r="A146" s="59"/>
      <c r="B146" s="59"/>
      <c r="C146" s="59"/>
      <c r="D146" s="59"/>
      <c r="E146" s="59"/>
      <c r="F146" s="59"/>
      <c r="G146" s="59"/>
      <c r="H146" s="59"/>
    </row>
    <row r="147" spans="1:9" x14ac:dyDescent="0.2">
      <c r="A147" s="10"/>
      <c r="B147" s="10"/>
      <c r="C147" s="10"/>
      <c r="D147" s="10"/>
      <c r="E147" s="10"/>
      <c r="F147" s="10"/>
      <c r="G147" s="10"/>
      <c r="H147" s="10"/>
    </row>
    <row r="148" spans="1:9" x14ac:dyDescent="0.2">
      <c r="A148" s="13" t="s">
        <v>7</v>
      </c>
      <c r="B148" s="10"/>
      <c r="C148" s="10"/>
      <c r="D148" s="10"/>
      <c r="E148" s="10"/>
      <c r="F148" s="10"/>
      <c r="G148" s="10"/>
      <c r="H148" s="10"/>
    </row>
    <row r="149" spans="1:9" ht="8.1" customHeight="1" x14ac:dyDescent="0.2">
      <c r="A149" s="13"/>
      <c r="B149" s="10"/>
      <c r="C149" s="10"/>
      <c r="D149" s="10"/>
      <c r="E149" s="10"/>
      <c r="F149" s="10"/>
      <c r="G149" s="10"/>
      <c r="H149" s="10"/>
    </row>
    <row r="150" spans="1:9" x14ac:dyDescent="0.2">
      <c r="A150" s="10" t="s">
        <v>35</v>
      </c>
      <c r="B150" s="10"/>
      <c r="C150" s="10"/>
      <c r="D150" s="10"/>
      <c r="E150" s="10"/>
      <c r="F150" s="10"/>
      <c r="G150" s="10"/>
      <c r="H150" s="10"/>
    </row>
    <row r="151" spans="1:9" ht="12.75" customHeight="1" x14ac:dyDescent="0.2">
      <c r="A151" s="59" t="s">
        <v>36</v>
      </c>
      <c r="B151" s="59"/>
      <c r="C151" s="59"/>
      <c r="D151" s="59"/>
      <c r="E151" s="59"/>
      <c r="F151" s="59"/>
      <c r="G151" s="59"/>
      <c r="H151" s="59"/>
    </row>
    <row r="152" spans="1:9" ht="8.1" customHeight="1" x14ac:dyDescent="0.2">
      <c r="A152" s="20"/>
      <c r="B152" s="20"/>
      <c r="C152" s="20"/>
      <c r="D152" s="20"/>
      <c r="E152" s="20"/>
      <c r="F152" s="20"/>
      <c r="G152" s="20"/>
      <c r="H152" s="20"/>
    </row>
    <row r="153" spans="1:9" x14ac:dyDescent="0.2">
      <c r="A153" s="12" t="s">
        <v>34</v>
      </c>
      <c r="B153" s="12"/>
      <c r="C153" s="12"/>
      <c r="D153" s="12"/>
      <c r="E153" s="12"/>
      <c r="F153" s="12"/>
      <c r="G153" s="12"/>
      <c r="H153" s="12"/>
    </row>
    <row r="154" spans="1:9" ht="12.75" customHeight="1" x14ac:dyDescent="0.2">
      <c r="A154" s="59" t="s">
        <v>51</v>
      </c>
      <c r="B154" s="59"/>
      <c r="C154" s="59"/>
      <c r="D154" s="59"/>
      <c r="E154" s="59"/>
      <c r="F154" s="59"/>
      <c r="G154" s="59"/>
      <c r="H154" s="59"/>
      <c r="I154" s="14"/>
    </row>
    <row r="155" spans="1:9" ht="8.1" customHeight="1" x14ac:dyDescent="0.2">
      <c r="A155" s="10"/>
      <c r="B155" s="10"/>
      <c r="C155" s="12"/>
      <c r="D155" s="12"/>
      <c r="E155" s="12"/>
      <c r="F155" s="12"/>
      <c r="G155" s="12"/>
      <c r="H155" s="12"/>
    </row>
    <row r="156" spans="1:9" x14ac:dyDescent="0.2">
      <c r="A156" s="12" t="s">
        <v>37</v>
      </c>
      <c r="B156" s="10"/>
      <c r="C156" s="10"/>
      <c r="D156" s="10"/>
      <c r="E156" s="10"/>
      <c r="F156" s="10"/>
      <c r="G156" s="10"/>
      <c r="H156" s="10"/>
    </row>
    <row r="157" spans="1:9" ht="12.75" customHeight="1" x14ac:dyDescent="0.2">
      <c r="A157" s="59" t="s">
        <v>47</v>
      </c>
      <c r="B157" s="59"/>
      <c r="C157" s="59"/>
      <c r="D157" s="59"/>
      <c r="E157" s="59"/>
      <c r="F157" s="59"/>
      <c r="G157" s="59"/>
      <c r="H157" s="59"/>
      <c r="I157" s="14"/>
    </row>
    <row r="158" spans="1:9" ht="12.75" customHeight="1" x14ac:dyDescent="0.2">
      <c r="A158" s="59"/>
      <c r="B158" s="59"/>
      <c r="C158" s="59"/>
      <c r="D158" s="59"/>
      <c r="E158" s="59"/>
      <c r="F158" s="59"/>
      <c r="G158" s="59"/>
      <c r="H158" s="59"/>
    </row>
    <row r="159" spans="1:9" ht="12.75" customHeight="1" x14ac:dyDescent="0.2">
      <c r="A159" s="59"/>
      <c r="B159" s="59"/>
      <c r="C159" s="59"/>
      <c r="D159" s="59"/>
      <c r="E159" s="59"/>
      <c r="F159" s="59"/>
      <c r="G159" s="59"/>
      <c r="H159" s="59"/>
    </row>
    <row r="160" spans="1:9" ht="12.75" customHeight="1" x14ac:dyDescent="0.2">
      <c r="A160" s="59"/>
      <c r="B160" s="59"/>
      <c r="C160" s="59"/>
      <c r="D160" s="59"/>
      <c r="E160" s="59"/>
      <c r="F160" s="59"/>
      <c r="G160" s="59"/>
      <c r="H160" s="59"/>
    </row>
    <row r="161" spans="1:8" x14ac:dyDescent="0.2">
      <c r="A161" s="10"/>
      <c r="B161" s="10"/>
      <c r="C161" s="10"/>
      <c r="D161" s="10"/>
      <c r="E161" s="10"/>
      <c r="F161" s="10"/>
      <c r="G161" s="10"/>
      <c r="H161" s="10"/>
    </row>
    <row r="162" spans="1:8" s="14" customFormat="1" x14ac:dyDescent="0.2">
      <c r="A162" s="1" t="s">
        <v>19</v>
      </c>
      <c r="B162" s="1"/>
      <c r="C162" s="1"/>
      <c r="D162" s="1"/>
      <c r="E162" s="1"/>
      <c r="F162" s="1"/>
      <c r="G162" s="1"/>
      <c r="H162" s="1"/>
    </row>
    <row r="164" spans="1:8" x14ac:dyDescent="0.2">
      <c r="A164" s="9" t="s">
        <v>29</v>
      </c>
      <c r="C164" s="9">
        <v>1</v>
      </c>
      <c r="E164" s="9" t="s">
        <v>0</v>
      </c>
    </row>
    <row r="165" spans="1:8" x14ac:dyDescent="0.2">
      <c r="A165" s="9" t="s">
        <v>65</v>
      </c>
      <c r="C165" s="9">
        <v>2</v>
      </c>
      <c r="E165" s="9" t="s">
        <v>1</v>
      </c>
    </row>
    <row r="166" spans="1:8" x14ac:dyDescent="0.2">
      <c r="A166" s="9" t="s">
        <v>28</v>
      </c>
      <c r="C166" s="9">
        <v>3</v>
      </c>
      <c r="E166" s="9" t="s">
        <v>2</v>
      </c>
    </row>
    <row r="167" spans="1:8" x14ac:dyDescent="0.2">
      <c r="C167" s="9">
        <v>4</v>
      </c>
      <c r="E167" s="9" t="s">
        <v>3</v>
      </c>
    </row>
    <row r="168" spans="1:8" x14ac:dyDescent="0.2">
      <c r="A168" s="9" t="s">
        <v>15</v>
      </c>
      <c r="C168" s="9">
        <v>5</v>
      </c>
      <c r="E168" s="9" t="s">
        <v>4</v>
      </c>
    </row>
    <row r="169" spans="1:8" x14ac:dyDescent="0.2">
      <c r="A169" s="9" t="s">
        <v>16</v>
      </c>
      <c r="C169" s="9">
        <v>6</v>
      </c>
      <c r="E169" s="9" t="s">
        <v>5</v>
      </c>
    </row>
    <row r="170" spans="1:8" x14ac:dyDescent="0.2">
      <c r="C170" s="9">
        <v>7</v>
      </c>
      <c r="E170" s="9" t="s">
        <v>6</v>
      </c>
    </row>
    <row r="171" spans="1:8" x14ac:dyDescent="0.2">
      <c r="C171" s="9">
        <v>8</v>
      </c>
      <c r="E171" s="9" t="s">
        <v>20</v>
      </c>
    </row>
    <row r="172" spans="1:8" x14ac:dyDescent="0.2">
      <c r="C172" s="9">
        <v>9</v>
      </c>
      <c r="E172" s="9" t="s">
        <v>7</v>
      </c>
    </row>
    <row r="174" spans="1:8" x14ac:dyDescent="0.2">
      <c r="A174" s="62" t="s">
        <v>17</v>
      </c>
      <c r="B174" s="15" t="s">
        <v>23</v>
      </c>
      <c r="C174" s="15" t="s">
        <v>24</v>
      </c>
    </row>
    <row r="175" spans="1:8" x14ac:dyDescent="0.2">
      <c r="A175" s="62"/>
      <c r="B175" s="15" t="s">
        <v>22</v>
      </c>
      <c r="C175" s="15" t="s">
        <v>22</v>
      </c>
    </row>
    <row r="176" spans="1:8" x14ac:dyDescent="0.2">
      <c r="A176" s="15">
        <v>1</v>
      </c>
      <c r="B176" s="15" t="str">
        <f>IF($D$29&lt;A176,"",IF($D$29=A176,"Triangle","Circle"))</f>
        <v>Circle</v>
      </c>
      <c r="C176" s="15" t="str">
        <f t="shared" ref="C176:C184" si="0">IF($D$29&lt;A176,"","Triangle")</f>
        <v>Triangle</v>
      </c>
      <c r="D176" s="15"/>
      <c r="E176" s="15"/>
    </row>
    <row r="177" spans="1:5" x14ac:dyDescent="0.2">
      <c r="A177" s="15">
        <v>2</v>
      </c>
      <c r="B177" s="15" t="str">
        <f t="shared" ref="B177:B184" si="1">IF($D$29&lt;A177,"",IF($D$29=A177,"Triangle","Circle"))</f>
        <v>Circle</v>
      </c>
      <c r="C177" s="15" t="str">
        <f t="shared" si="0"/>
        <v>Triangle</v>
      </c>
      <c r="D177" s="15"/>
      <c r="E177" s="15"/>
    </row>
    <row r="178" spans="1:5" x14ac:dyDescent="0.2">
      <c r="A178" s="15">
        <v>3</v>
      </c>
      <c r="B178" s="15" t="str">
        <f t="shared" si="1"/>
        <v>Triangle</v>
      </c>
      <c r="C178" s="15" t="str">
        <f t="shared" si="0"/>
        <v>Triangle</v>
      </c>
      <c r="D178" s="15"/>
      <c r="E178" s="15"/>
    </row>
    <row r="179" spans="1:5" x14ac:dyDescent="0.2">
      <c r="A179" s="15">
        <v>4</v>
      </c>
      <c r="B179" s="15" t="str">
        <f t="shared" si="1"/>
        <v/>
      </c>
      <c r="C179" s="15" t="str">
        <f t="shared" si="0"/>
        <v/>
      </c>
      <c r="D179" s="15"/>
      <c r="E179" s="15"/>
    </row>
    <row r="180" spans="1:5" x14ac:dyDescent="0.2">
      <c r="A180" s="15">
        <v>5</v>
      </c>
      <c r="B180" s="15" t="str">
        <f t="shared" si="1"/>
        <v/>
      </c>
      <c r="C180" s="15" t="str">
        <f t="shared" si="0"/>
        <v/>
      </c>
      <c r="D180" s="15"/>
      <c r="E180" s="15"/>
    </row>
    <row r="181" spans="1:5" x14ac:dyDescent="0.2">
      <c r="A181" s="15">
        <v>6</v>
      </c>
      <c r="B181" s="15" t="str">
        <f t="shared" si="1"/>
        <v/>
      </c>
      <c r="C181" s="15" t="str">
        <f t="shared" si="0"/>
        <v/>
      </c>
      <c r="D181" s="15"/>
      <c r="E181" s="15"/>
    </row>
    <row r="182" spans="1:5" x14ac:dyDescent="0.2">
      <c r="A182" s="15">
        <v>7</v>
      </c>
      <c r="B182" s="15" t="str">
        <f t="shared" si="1"/>
        <v/>
      </c>
      <c r="C182" s="15" t="str">
        <f t="shared" si="0"/>
        <v/>
      </c>
      <c r="D182" s="15"/>
      <c r="E182" s="15"/>
    </row>
    <row r="183" spans="1:5" x14ac:dyDescent="0.2">
      <c r="A183" s="15">
        <v>8</v>
      </c>
      <c r="B183" s="15" t="str">
        <f t="shared" si="1"/>
        <v/>
      </c>
      <c r="C183" s="15" t="str">
        <f t="shared" si="0"/>
        <v/>
      </c>
      <c r="D183" s="15"/>
      <c r="E183" s="15"/>
    </row>
    <row r="184" spans="1:5" x14ac:dyDescent="0.2">
      <c r="A184" s="15">
        <v>9</v>
      </c>
      <c r="B184" s="15" t="str">
        <f t="shared" si="1"/>
        <v/>
      </c>
      <c r="C184" s="15" t="str">
        <f t="shared" si="0"/>
        <v/>
      </c>
      <c r="D184" s="15"/>
      <c r="E184" s="15"/>
    </row>
    <row r="186" spans="1:5" x14ac:dyDescent="0.2">
      <c r="A186" s="15"/>
      <c r="B186" s="15" t="s">
        <v>49</v>
      </c>
      <c r="C186" s="15" t="s">
        <v>37</v>
      </c>
    </row>
    <row r="187" spans="1:5" x14ac:dyDescent="0.2">
      <c r="A187" s="15" t="s">
        <v>50</v>
      </c>
      <c r="B187" s="15">
        <v>75</v>
      </c>
      <c r="C187" s="15">
        <v>375</v>
      </c>
    </row>
  </sheetData>
  <mergeCells count="33">
    <mergeCell ref="A73:H76"/>
    <mergeCell ref="A84:H84"/>
    <mergeCell ref="A87:H90"/>
    <mergeCell ref="A98:H98"/>
    <mergeCell ref="A101:H104"/>
    <mergeCell ref="A81:H81"/>
    <mergeCell ref="A95:H95"/>
    <mergeCell ref="A109:H109"/>
    <mergeCell ref="A123:H123"/>
    <mergeCell ref="A174:A175"/>
    <mergeCell ref="A140:H140"/>
    <mergeCell ref="A143:H146"/>
    <mergeCell ref="A154:H154"/>
    <mergeCell ref="A157:H160"/>
    <mergeCell ref="A137:H137"/>
    <mergeCell ref="A151:H151"/>
    <mergeCell ref="A112:H112"/>
    <mergeCell ref="A115:H118"/>
    <mergeCell ref="A126:H126"/>
    <mergeCell ref="A129:H132"/>
    <mergeCell ref="A70:H70"/>
    <mergeCell ref="B1:D1"/>
    <mergeCell ref="B2:D2"/>
    <mergeCell ref="C3:H3"/>
    <mergeCell ref="A59:H62"/>
    <mergeCell ref="D27:E27"/>
    <mergeCell ref="A45:H48"/>
    <mergeCell ref="A42:H42"/>
    <mergeCell ref="A56:H56"/>
    <mergeCell ref="A39:H39"/>
    <mergeCell ref="A53:H53"/>
    <mergeCell ref="A67:H67"/>
    <mergeCell ref="G27:H27"/>
  </mergeCells>
  <conditionalFormatting sqref="F27:H27">
    <cfRule type="expression" dxfId="20" priority="67">
      <formula>$D$27="Seismic Hazard"</formula>
    </cfRule>
    <cfRule type="expression" dxfId="19" priority="68">
      <formula>$D$27="Flood Loading"</formula>
    </cfRule>
  </conditionalFormatting>
  <conditionalFormatting sqref="A50:H63">
    <cfRule type="expression" dxfId="18" priority="16" stopIfTrue="1">
      <formula>$D$29&lt;2</formula>
    </cfRule>
  </conditionalFormatting>
  <conditionalFormatting sqref="A128:H132 A156:H160 A58:H62 A72:H76 A86:H90 A100:H104 A114:H118 A142:H146 A44:H48">
    <cfRule type="expression" dxfId="17" priority="2" stopIfTrue="1">
      <formula>$D$32="No"</formula>
    </cfRule>
  </conditionalFormatting>
  <conditionalFormatting sqref="A64:H77">
    <cfRule type="expression" dxfId="16" priority="14" stopIfTrue="1">
      <formula>$D$29&lt;3</formula>
    </cfRule>
  </conditionalFormatting>
  <conditionalFormatting sqref="A78:H91">
    <cfRule type="expression" dxfId="15" priority="12" stopIfTrue="1">
      <formula>$D$29&lt;4</formula>
    </cfRule>
  </conditionalFormatting>
  <conditionalFormatting sqref="A92:H105">
    <cfRule type="expression" dxfId="14" priority="9" stopIfTrue="1">
      <formula>$D$29&lt;5</formula>
    </cfRule>
  </conditionalFormatting>
  <conditionalFormatting sqref="A106:H119">
    <cfRule type="expression" dxfId="13" priority="7" stopIfTrue="1">
      <formula>$D$29&lt;6</formula>
    </cfRule>
  </conditionalFormatting>
  <conditionalFormatting sqref="A120:H133">
    <cfRule type="expression" dxfId="12" priority="8" stopIfTrue="1">
      <formula>$D$29&lt;7</formula>
    </cfRule>
  </conditionalFormatting>
  <conditionalFormatting sqref="A134:H147">
    <cfRule type="expression" dxfId="11" priority="3" stopIfTrue="1">
      <formula>$D$29&lt;8</formula>
    </cfRule>
  </conditionalFormatting>
  <conditionalFormatting sqref="A148:H161">
    <cfRule type="expression" dxfId="10" priority="1" stopIfTrue="1">
      <formula>$D$29&lt;9</formula>
    </cfRule>
  </conditionalFormatting>
  <conditionalFormatting sqref="A38:H39 A52:H53 A66:H67 A80:H81 A94:H95 A108:H109 A122:H123 A136:H137 A150:H151">
    <cfRule type="expression" dxfId="9" priority="22">
      <formula>$D$31="No"</formula>
    </cfRule>
  </conditionalFormatting>
  <conditionalFormatting sqref="A45:H48">
    <cfRule type="expression" dxfId="8" priority="18" stopIfTrue="1">
      <formula>$D$29&lt;2</formula>
    </cfRule>
  </conditionalFormatting>
  <dataValidations count="3">
    <dataValidation type="list" allowBlank="1" showInputMessage="1" showErrorMessage="1" sqref="D29" xr:uid="{11CBF4A3-4ADB-48CF-A016-167A8F057629}">
      <formula1>$C$164:$C$172</formula1>
    </dataValidation>
    <dataValidation type="list" allowBlank="1" showInputMessage="1" showErrorMessage="1" sqref="D27:E27" xr:uid="{A1B3158B-AC72-43C1-B417-765C9D431084}">
      <formula1>$A$164:$A$166</formula1>
    </dataValidation>
    <dataValidation type="list" allowBlank="1" showInputMessage="1" showErrorMessage="1" sqref="D31:D32" xr:uid="{D0D72A24-EC89-4478-A7AC-24228165B458}">
      <formula1>$A$168:$A$169</formula1>
    </dataValidation>
  </dataValidations>
  <pageMargins left="0.7" right="0.7" top="0.75" bottom="0.75" header="0.3" footer="0.3"/>
  <pageSetup orientation="portrait" r:id="rId1"/>
  <headerFooter>
    <oddFooter>&amp;LRMC Event Tree Toolbox
&amp;A&amp;RVersion 2.0
Page &amp;P of &amp;N</oddFooter>
  </headerFooter>
  <rowBreaks count="2" manualBreakCount="2">
    <brk id="49" max="16383" man="1"/>
    <brk id="105" max="1638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2780D-9654-4FD2-8EB5-D30F10260B4F}">
  <sheetPr codeName="Sheet06">
    <pageSetUpPr fitToPage="1"/>
  </sheetPr>
  <dimension ref="A1:BS134"/>
  <sheetViews>
    <sheetView showGridLines="0" zoomScaleNormal="100" workbookViewId="0">
      <selection sqref="A1:D1"/>
    </sheetView>
  </sheetViews>
  <sheetFormatPr defaultColWidth="11.28515625" defaultRowHeight="15" customHeight="1" x14ac:dyDescent="0.2"/>
  <cols>
    <col min="1" max="70" width="3" style="9" customWidth="1"/>
    <col min="71" max="16384" width="11.28515625" style="9"/>
  </cols>
  <sheetData>
    <row r="1" spans="1:71" ht="15" customHeight="1" x14ac:dyDescent="0.2">
      <c r="A1" s="66" t="s">
        <v>8</v>
      </c>
      <c r="B1" s="66"/>
      <c r="C1" s="66"/>
      <c r="D1" s="66"/>
      <c r="E1" s="69"/>
      <c r="F1" s="69"/>
      <c r="G1" s="69"/>
      <c r="H1" s="69"/>
      <c r="I1" s="69"/>
      <c r="J1" s="69"/>
      <c r="K1" s="69"/>
      <c r="L1" s="69"/>
      <c r="M1" s="69"/>
      <c r="N1" s="69"/>
      <c r="O1" s="69"/>
      <c r="P1" s="69"/>
      <c r="Q1" s="69"/>
      <c r="R1" s="69"/>
      <c r="S1" s="69"/>
      <c r="T1" s="69"/>
      <c r="U1" s="69"/>
      <c r="V1" s="69"/>
      <c r="W1" s="69"/>
      <c r="X1" s="69"/>
      <c r="Y1" s="69"/>
      <c r="Z1" s="69"/>
      <c r="AA1" s="69"/>
      <c r="AB1" s="69"/>
      <c r="AC1" s="69"/>
      <c r="AD1" s="69"/>
      <c r="AE1" s="69"/>
      <c r="AF1" s="68" t="s">
        <v>9</v>
      </c>
      <c r="AG1" s="68"/>
      <c r="AH1" s="68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8"/>
      <c r="AV1" s="68"/>
      <c r="AW1" s="72"/>
      <c r="AX1" s="69"/>
      <c r="AY1" s="69"/>
      <c r="AZ1" s="69"/>
      <c r="BA1" s="69"/>
      <c r="BB1" s="69"/>
      <c r="BC1" s="69"/>
      <c r="BD1" s="69"/>
      <c r="BE1" s="69"/>
      <c r="BF1" s="69"/>
      <c r="BG1" s="69"/>
      <c r="BH1" s="69"/>
      <c r="BI1" s="69"/>
      <c r="BJ1" s="69"/>
      <c r="BK1" s="69"/>
      <c r="BL1" s="69"/>
      <c r="BM1" s="69"/>
      <c r="BN1" s="69"/>
      <c r="BO1" s="69"/>
      <c r="BP1" s="69"/>
      <c r="BQ1" s="69"/>
      <c r="BR1" s="69"/>
    </row>
    <row r="2" spans="1:71" ht="15" customHeight="1" x14ac:dyDescent="0.2">
      <c r="A2" s="66" t="s">
        <v>11</v>
      </c>
      <c r="B2" s="66"/>
      <c r="C2" s="66"/>
      <c r="D2" s="66"/>
      <c r="E2" s="70"/>
      <c r="F2" s="70"/>
      <c r="G2" s="70"/>
      <c r="H2" s="70"/>
      <c r="I2" s="70"/>
      <c r="J2" s="70"/>
      <c r="K2" s="70"/>
      <c r="L2" s="70"/>
      <c r="M2" s="70"/>
      <c r="N2" s="70"/>
      <c r="O2" s="70"/>
      <c r="P2" s="70"/>
      <c r="Q2" s="70"/>
      <c r="R2" s="70"/>
      <c r="S2" s="70"/>
      <c r="T2" s="70"/>
      <c r="U2" s="70"/>
      <c r="V2" s="70"/>
      <c r="W2" s="70"/>
      <c r="X2" s="70"/>
      <c r="Y2" s="70"/>
      <c r="Z2" s="70"/>
      <c r="AA2" s="70"/>
      <c r="AB2" s="70"/>
      <c r="AC2" s="70"/>
      <c r="AD2" s="70"/>
      <c r="AE2" s="70"/>
      <c r="AF2" s="68" t="s">
        <v>9</v>
      </c>
      <c r="AG2" s="68"/>
      <c r="AH2" s="68"/>
      <c r="AI2" s="70"/>
      <c r="AJ2" s="70"/>
      <c r="AK2" s="70"/>
      <c r="AL2" s="70"/>
      <c r="AM2" s="70"/>
      <c r="AN2" s="70"/>
      <c r="AO2" s="70"/>
      <c r="AP2" s="70"/>
      <c r="AQ2" s="70"/>
      <c r="AR2" s="70"/>
      <c r="AS2" s="70"/>
      <c r="AT2" s="70"/>
      <c r="AU2" s="68"/>
      <c r="AV2" s="68"/>
      <c r="AW2" s="70"/>
      <c r="AX2" s="70"/>
      <c r="AY2" s="70"/>
      <c r="AZ2" s="70"/>
      <c r="BA2" s="70"/>
      <c r="BB2" s="70"/>
      <c r="BC2" s="70"/>
      <c r="BD2" s="70"/>
      <c r="BE2" s="70"/>
      <c r="BF2" s="70"/>
      <c r="BG2" s="70"/>
      <c r="BH2" s="70"/>
      <c r="BI2" s="70"/>
      <c r="BJ2" s="70"/>
      <c r="BK2" s="70"/>
      <c r="BL2" s="70"/>
      <c r="BM2" s="70"/>
      <c r="BN2" s="70"/>
      <c r="BO2" s="70"/>
      <c r="BP2" s="70"/>
      <c r="BQ2" s="70"/>
      <c r="BR2" s="70"/>
    </row>
    <row r="3" spans="1:71" ht="15" customHeight="1" x14ac:dyDescent="0.2">
      <c r="A3" s="67" t="s">
        <v>12</v>
      </c>
      <c r="B3" s="67"/>
      <c r="C3" s="67"/>
      <c r="D3" s="67"/>
      <c r="E3" s="67"/>
      <c r="F3" s="71"/>
      <c r="G3" s="71"/>
      <c r="H3" s="71"/>
      <c r="I3" s="71"/>
      <c r="J3" s="71"/>
      <c r="K3" s="71"/>
      <c r="L3" s="71"/>
      <c r="M3" s="71"/>
      <c r="N3" s="71"/>
      <c r="O3" s="71"/>
      <c r="P3" s="71"/>
      <c r="Q3" s="71"/>
      <c r="R3" s="71"/>
      <c r="S3" s="71"/>
      <c r="T3" s="71"/>
      <c r="U3" s="71"/>
      <c r="V3" s="71"/>
      <c r="W3" s="71"/>
      <c r="X3" s="71"/>
      <c r="Y3" s="71"/>
      <c r="Z3" s="71"/>
      <c r="AA3" s="71"/>
      <c r="AB3" s="71"/>
      <c r="AC3" s="71"/>
      <c r="AD3" s="71"/>
      <c r="AE3" s="71"/>
      <c r="AF3" s="71"/>
      <c r="AG3" s="71"/>
      <c r="AH3" s="71"/>
      <c r="AI3" s="71"/>
      <c r="AJ3" s="71"/>
      <c r="AK3" s="71"/>
      <c r="AL3" s="71"/>
      <c r="AM3" s="71"/>
      <c r="AN3" s="71"/>
      <c r="AO3" s="71"/>
      <c r="AP3" s="71"/>
      <c r="AQ3" s="71"/>
      <c r="AR3" s="71"/>
      <c r="AS3" s="71"/>
      <c r="AT3" s="71"/>
      <c r="AU3" s="71"/>
      <c r="AV3" s="71"/>
      <c r="AW3" s="71"/>
      <c r="AX3" s="71"/>
      <c r="AY3" s="71"/>
      <c r="AZ3" s="71"/>
      <c r="BA3" s="71"/>
      <c r="BB3" s="71"/>
      <c r="BC3" s="71"/>
      <c r="BD3" s="71"/>
      <c r="BE3" s="71"/>
      <c r="BF3" s="71"/>
      <c r="BG3" s="71"/>
      <c r="BH3" s="71"/>
      <c r="BI3" s="71"/>
      <c r="BJ3" s="71"/>
      <c r="BK3" s="71"/>
      <c r="BL3" s="71"/>
      <c r="BM3" s="71"/>
      <c r="BN3" s="71"/>
      <c r="BO3" s="71"/>
      <c r="BP3" s="71"/>
      <c r="BQ3" s="71"/>
      <c r="BR3" s="71"/>
    </row>
    <row r="4" spans="1:71" ht="15" customHeight="1" x14ac:dyDescent="0.2">
      <c r="A4" s="10"/>
      <c r="B4" s="10"/>
      <c r="C4" s="10"/>
      <c r="D4" s="10"/>
      <c r="E4" s="10"/>
      <c r="F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</row>
    <row r="5" spans="1:71" ht="15" customHeight="1" x14ac:dyDescent="0.2">
      <c r="A5" s="64" t="s">
        <v>25</v>
      </c>
      <c r="B5" s="64"/>
      <c r="C5" s="64"/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4"/>
      <c r="X5" s="64"/>
      <c r="Y5" s="64"/>
      <c r="Z5" s="64"/>
      <c r="AA5" s="64"/>
      <c r="AB5" s="64"/>
      <c r="AC5" s="64"/>
      <c r="AD5" s="64"/>
      <c r="AE5" s="64"/>
      <c r="AF5" s="64"/>
      <c r="AG5" s="64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64"/>
      <c r="AZ5" s="64"/>
      <c r="BA5" s="64"/>
      <c r="BB5" s="64"/>
      <c r="BC5" s="64"/>
      <c r="BD5" s="64"/>
      <c r="BE5" s="64"/>
      <c r="BF5" s="64"/>
      <c r="BG5" s="64"/>
      <c r="BH5" s="64"/>
      <c r="BI5" s="64"/>
      <c r="BJ5" s="64"/>
      <c r="BK5" s="64"/>
      <c r="BL5" s="64"/>
      <c r="BM5" s="64"/>
      <c r="BN5" s="64"/>
      <c r="BO5" s="64"/>
      <c r="BP5" s="64"/>
      <c r="BQ5" s="64"/>
      <c r="BR5" s="64"/>
    </row>
    <row r="6" spans="1:71" ht="15" customHeight="1" x14ac:dyDescent="0.2">
      <c r="A6" s="10"/>
      <c r="B6" s="10"/>
      <c r="C6" s="10"/>
      <c r="D6" s="10"/>
      <c r="E6" s="10"/>
      <c r="F6" s="10"/>
      <c r="G6" s="10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  <c r="AQ6" s="16"/>
      <c r="AR6" s="16"/>
      <c r="AS6" s="16"/>
      <c r="AT6" s="16"/>
      <c r="AU6" s="16"/>
      <c r="AV6" s="16"/>
      <c r="AW6" s="16"/>
      <c r="AX6" s="16"/>
      <c r="AY6" s="16"/>
      <c r="AZ6" s="16"/>
      <c r="BA6" s="16"/>
      <c r="BB6" s="16"/>
      <c r="BC6" s="16"/>
      <c r="BD6" s="16"/>
      <c r="BE6" s="16"/>
      <c r="BF6" s="16"/>
      <c r="BG6" s="16"/>
      <c r="BH6" s="16"/>
      <c r="BI6" s="16"/>
      <c r="BJ6" s="16"/>
      <c r="BK6" s="16"/>
      <c r="BL6" s="16"/>
      <c r="BM6" s="16"/>
      <c r="BN6" s="16"/>
      <c r="BO6" s="16"/>
      <c r="BP6" s="16"/>
      <c r="BQ6" s="16"/>
      <c r="BR6" s="16"/>
    </row>
    <row r="7" spans="1:71" ht="15" customHeight="1" x14ac:dyDescent="0.2">
      <c r="A7" s="10"/>
      <c r="B7" s="10"/>
      <c r="C7" s="10"/>
      <c r="D7" s="10"/>
      <c r="E7" s="10"/>
      <c r="F7" s="10"/>
      <c r="G7" s="10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6"/>
      <c r="AG7" s="16"/>
      <c r="AH7" s="16"/>
      <c r="AI7" s="16"/>
      <c r="AJ7" s="19"/>
      <c r="AK7" s="19"/>
      <c r="AL7" s="19"/>
      <c r="AM7" s="19"/>
      <c r="AN7" s="19"/>
      <c r="AO7" s="19"/>
      <c r="AP7" s="10"/>
      <c r="AQ7" s="17"/>
      <c r="AR7" s="17"/>
      <c r="AS7" s="17"/>
      <c r="AT7" s="17"/>
      <c r="AU7" s="17"/>
      <c r="AV7" s="17"/>
      <c r="AW7" s="17"/>
      <c r="AX7" s="17"/>
      <c r="AY7" s="17"/>
      <c r="AZ7" s="17"/>
      <c r="BA7" s="17"/>
      <c r="BB7" s="17"/>
      <c r="BC7" s="17"/>
      <c r="BD7" s="17"/>
      <c r="BE7" s="17"/>
      <c r="BF7" s="17"/>
      <c r="BG7" s="17"/>
      <c r="BH7" s="17"/>
      <c r="BI7" s="17"/>
      <c r="BJ7" s="17"/>
      <c r="BK7" s="17"/>
      <c r="BL7" s="17"/>
      <c r="BM7" s="17"/>
      <c r="BN7" s="17"/>
      <c r="BO7" s="17"/>
      <c r="BP7" s="17"/>
      <c r="BQ7" s="17"/>
      <c r="BR7" s="16"/>
      <c r="BS7" s="14" t="s">
        <v>48</v>
      </c>
    </row>
    <row r="8" spans="1:71" ht="15" customHeight="1" x14ac:dyDescent="0.2">
      <c r="A8" s="10"/>
      <c r="B8" s="10"/>
      <c r="C8" s="10"/>
      <c r="D8" s="10"/>
      <c r="E8" s="10"/>
      <c r="F8" s="10"/>
      <c r="G8" s="10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  <c r="AF8" s="16"/>
      <c r="AG8" s="16"/>
      <c r="AH8" s="16"/>
      <c r="AI8" s="16"/>
      <c r="AJ8" s="19"/>
      <c r="AK8" s="19"/>
      <c r="AL8" s="19"/>
      <c r="AM8" s="19"/>
      <c r="AN8" s="19"/>
      <c r="AO8" s="19"/>
      <c r="AP8" s="17"/>
      <c r="AQ8" s="17"/>
      <c r="AR8" s="17"/>
      <c r="AS8" s="17"/>
      <c r="AT8" s="17"/>
      <c r="AU8" s="17"/>
      <c r="AV8" s="17"/>
      <c r="AW8" s="17"/>
      <c r="AX8" s="17"/>
      <c r="AY8" s="17"/>
      <c r="AZ8" s="17"/>
      <c r="BA8" s="17"/>
      <c r="BB8" s="17"/>
      <c r="BC8" s="17"/>
      <c r="BD8" s="17"/>
      <c r="BE8" s="17"/>
      <c r="BF8" s="17"/>
      <c r="BG8" s="17"/>
      <c r="BH8" s="17"/>
      <c r="BI8" s="17"/>
      <c r="BJ8" s="17"/>
      <c r="BK8" s="17"/>
      <c r="BL8" s="17"/>
      <c r="BM8" s="17"/>
      <c r="BN8" s="17"/>
      <c r="BO8" s="17"/>
      <c r="BP8" s="17"/>
      <c r="BQ8" s="17"/>
      <c r="BR8" s="16"/>
    </row>
    <row r="9" spans="1:71" ht="15" customHeight="1" x14ac:dyDescent="0.2">
      <c r="A9" s="10"/>
      <c r="B9" s="10"/>
      <c r="C9" s="10"/>
      <c r="D9" s="10"/>
      <c r="E9" s="10"/>
      <c r="F9" s="10"/>
      <c r="G9" s="10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  <c r="AA9" s="16"/>
      <c r="AB9" s="16"/>
      <c r="AC9" s="16"/>
      <c r="AD9" s="16"/>
      <c r="AE9" s="16"/>
      <c r="AF9" s="16"/>
      <c r="AG9" s="16"/>
      <c r="AH9" s="16"/>
      <c r="AI9" s="16"/>
      <c r="AJ9" s="19"/>
      <c r="AK9" s="19"/>
      <c r="AL9" s="19"/>
      <c r="AM9" s="19"/>
      <c r="AN9" s="19"/>
      <c r="AO9" s="19"/>
      <c r="AP9" s="10"/>
      <c r="AQ9" s="17"/>
      <c r="AR9" s="17"/>
      <c r="AS9" s="17"/>
      <c r="AT9" s="17"/>
      <c r="AU9" s="17"/>
      <c r="AV9" s="17"/>
      <c r="AW9" s="17"/>
      <c r="AX9" s="17"/>
      <c r="AY9" s="17"/>
      <c r="AZ9" s="17"/>
      <c r="BA9" s="17"/>
      <c r="BB9" s="17"/>
      <c r="BC9" s="17"/>
      <c r="BD9" s="17"/>
      <c r="BE9" s="17"/>
      <c r="BF9" s="17"/>
      <c r="BG9" s="17"/>
      <c r="BH9" s="17"/>
      <c r="BI9" s="17"/>
      <c r="BJ9" s="17"/>
      <c r="BK9" s="21"/>
      <c r="BL9" s="21"/>
      <c r="BM9" s="21"/>
      <c r="BN9" s="21"/>
      <c r="BO9" s="21"/>
      <c r="BP9" s="21"/>
      <c r="BQ9" s="21"/>
      <c r="BR9" s="16"/>
      <c r="BS9" s="14" t="s">
        <v>64</v>
      </c>
    </row>
    <row r="10" spans="1:71" ht="15" customHeight="1" x14ac:dyDescent="0.2">
      <c r="A10" s="10"/>
      <c r="B10" s="10"/>
      <c r="C10" s="10"/>
      <c r="D10" s="10"/>
      <c r="H10" s="44"/>
      <c r="I10" s="44"/>
      <c r="J10" s="44"/>
      <c r="K10" s="44"/>
      <c r="L10" s="44"/>
      <c r="M10" s="44"/>
      <c r="N10" s="44"/>
      <c r="O10" s="44"/>
      <c r="P10" s="44"/>
      <c r="Q10" s="44"/>
      <c r="R10" s="44"/>
      <c r="S10" s="44"/>
      <c r="T10" s="44"/>
      <c r="U10" s="44"/>
      <c r="V10" s="44"/>
      <c r="W10" s="44"/>
      <c r="X10" s="44"/>
      <c r="Y10" s="44"/>
      <c r="Z10" s="44"/>
      <c r="AA10" s="44"/>
      <c r="AB10" s="44"/>
      <c r="AC10" s="44"/>
      <c r="AD10" s="44"/>
      <c r="AE10" s="44"/>
      <c r="AF10" s="44"/>
      <c r="AG10" s="44"/>
      <c r="AH10" s="44"/>
      <c r="AI10" s="44"/>
      <c r="AJ10" s="14"/>
      <c r="AK10" s="14"/>
      <c r="AL10" s="14"/>
      <c r="AM10" s="14"/>
      <c r="AN10" s="14"/>
      <c r="AO10" s="14"/>
      <c r="AP10" s="35"/>
      <c r="AQ10" s="35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6"/>
      <c r="BL10" s="36"/>
      <c r="BM10" s="21"/>
      <c r="BN10" s="21"/>
      <c r="BO10" s="21"/>
      <c r="BP10" s="21"/>
      <c r="BQ10" s="21"/>
      <c r="BR10" s="16"/>
    </row>
    <row r="11" spans="1:71" ht="15" customHeight="1" x14ac:dyDescent="0.2">
      <c r="A11" s="10"/>
      <c r="B11" s="10"/>
      <c r="C11" s="10"/>
      <c r="D11" s="10"/>
      <c r="H11" s="44"/>
      <c r="I11" s="44"/>
      <c r="J11" s="44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44"/>
      <c r="AJ11" s="14"/>
      <c r="AK11" s="14"/>
      <c r="AL11" s="14"/>
      <c r="AM11" s="14"/>
      <c r="AN11" s="14"/>
      <c r="AO11" s="14"/>
      <c r="AQ11" s="35"/>
      <c r="AR11" s="35"/>
      <c r="AS11" s="35"/>
      <c r="AT11" s="35"/>
      <c r="AU11" s="35"/>
      <c r="AV11" s="14"/>
      <c r="AW11" s="14"/>
      <c r="AX11" s="14"/>
      <c r="AY11" s="35"/>
      <c r="AZ11" s="35"/>
      <c r="BA11" s="35"/>
      <c r="BB11" s="35"/>
      <c r="BC11" s="35"/>
      <c r="BD11" s="35"/>
      <c r="BE11" s="35"/>
      <c r="BF11" s="35"/>
      <c r="BG11" s="35"/>
      <c r="BH11" s="35"/>
      <c r="BI11" s="35"/>
      <c r="BJ11" s="35"/>
      <c r="BK11" s="35"/>
      <c r="BL11" s="35"/>
      <c r="BM11" s="17"/>
      <c r="BN11" s="17"/>
      <c r="BO11" s="17"/>
      <c r="BP11" s="17"/>
      <c r="BQ11" s="16"/>
      <c r="BR11" s="16"/>
      <c r="BS11" s="14" t="s">
        <v>63</v>
      </c>
    </row>
    <row r="12" spans="1:71" ht="15" customHeight="1" x14ac:dyDescent="0.2">
      <c r="A12" s="10"/>
      <c r="B12" s="10"/>
      <c r="C12" s="10"/>
      <c r="D12" s="10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5"/>
      <c r="AQ12" s="35"/>
      <c r="AR12" s="35"/>
      <c r="AS12" s="35"/>
      <c r="AT12" s="35"/>
      <c r="AU12" s="35"/>
      <c r="AV12" s="35"/>
      <c r="AW12" s="35"/>
      <c r="AX12" s="35"/>
      <c r="AY12" s="35"/>
      <c r="AZ12" s="35"/>
      <c r="BA12" s="35"/>
      <c r="BB12" s="35"/>
      <c r="BC12" s="35"/>
      <c r="BD12" s="36"/>
      <c r="BE12" s="36"/>
      <c r="BF12" s="36"/>
      <c r="BG12" s="36"/>
      <c r="BH12" s="36"/>
      <c r="BI12" s="36"/>
      <c r="BJ12" s="36"/>
      <c r="BM12" s="10"/>
      <c r="BN12" s="10"/>
      <c r="BO12" s="10"/>
      <c r="BP12" s="10"/>
      <c r="BQ12" s="10"/>
      <c r="BR12" s="10"/>
    </row>
    <row r="13" spans="1:71" ht="15" customHeight="1" x14ac:dyDescent="0.2">
      <c r="A13" s="10"/>
      <c r="B13" s="10"/>
      <c r="C13" s="10"/>
      <c r="D13" s="10"/>
      <c r="L13" s="34"/>
      <c r="M13" s="34"/>
      <c r="N13" s="34"/>
      <c r="O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5"/>
      <c r="AQ13" s="35"/>
      <c r="AR13" s="35"/>
      <c r="AS13" s="35"/>
      <c r="AT13" s="35"/>
      <c r="AU13" s="35"/>
      <c r="AV13" s="35"/>
      <c r="AW13" s="35"/>
      <c r="AX13" s="35"/>
      <c r="AY13" s="35"/>
      <c r="AZ13" s="35"/>
      <c r="BA13" s="35"/>
      <c r="BB13" s="35"/>
      <c r="BC13" s="35"/>
      <c r="BD13" s="36"/>
      <c r="BE13" s="36"/>
      <c r="BF13" s="36"/>
      <c r="BG13" s="36"/>
      <c r="BH13" s="36"/>
      <c r="BI13" s="36"/>
      <c r="BJ13" s="36"/>
      <c r="BK13" s="37"/>
      <c r="BL13" s="38"/>
      <c r="BM13" s="24"/>
      <c r="BN13" s="24"/>
      <c r="BO13" s="24"/>
      <c r="BP13" s="24"/>
      <c r="BQ13" s="24"/>
      <c r="BR13" s="10"/>
    </row>
    <row r="14" spans="1:71" ht="15" customHeight="1" x14ac:dyDescent="0.2">
      <c r="A14" s="10"/>
      <c r="B14" s="10"/>
      <c r="C14" s="10"/>
      <c r="D14" s="10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  <c r="AB14" s="34"/>
      <c r="AC14" s="34"/>
      <c r="AD14" s="34"/>
      <c r="AE14" s="34"/>
      <c r="AF14" s="34"/>
      <c r="AG14" s="34"/>
      <c r="AH14" s="34"/>
      <c r="AI14" s="34"/>
      <c r="AJ14" s="34"/>
      <c r="AK14" s="34"/>
      <c r="AL14" s="34"/>
      <c r="AM14" s="34"/>
      <c r="AN14" s="34"/>
      <c r="AO14" s="34"/>
      <c r="AP14" s="35"/>
      <c r="AQ14" s="35"/>
      <c r="AR14" s="35"/>
      <c r="AS14" s="35"/>
      <c r="AT14" s="35"/>
      <c r="AU14" s="35"/>
      <c r="AV14" s="35"/>
      <c r="AW14" s="35"/>
      <c r="AX14" s="35"/>
      <c r="AY14" s="35"/>
      <c r="AZ14" s="35"/>
      <c r="BA14" s="35"/>
      <c r="BB14" s="35"/>
      <c r="BC14" s="35"/>
      <c r="BD14" s="35"/>
      <c r="BE14" s="35"/>
      <c r="BF14" s="35"/>
      <c r="BG14" s="35"/>
      <c r="BH14" s="35"/>
      <c r="BI14" s="35"/>
      <c r="BK14" s="39"/>
      <c r="BL14" s="40"/>
      <c r="BM14" s="25"/>
      <c r="BN14" s="25"/>
      <c r="BO14" s="25"/>
      <c r="BP14" s="25"/>
      <c r="BQ14" s="25"/>
      <c r="BR14" s="10"/>
    </row>
    <row r="15" spans="1:71" ht="15" customHeight="1" x14ac:dyDescent="0.2">
      <c r="A15" s="10"/>
      <c r="B15" s="10"/>
      <c r="C15" s="10"/>
      <c r="D15" s="10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5"/>
      <c r="AQ15" s="35"/>
      <c r="AR15" s="35"/>
      <c r="AS15" s="35"/>
      <c r="AT15" s="35"/>
      <c r="AU15" s="35"/>
      <c r="AV15" s="35"/>
      <c r="AW15" s="36"/>
      <c r="AX15" s="36"/>
      <c r="AY15" s="36"/>
      <c r="AZ15" s="36"/>
      <c r="BA15" s="36"/>
      <c r="BB15" s="36"/>
      <c r="BC15" s="36"/>
      <c r="BK15" s="39"/>
      <c r="BL15" s="40"/>
      <c r="BM15" s="25"/>
      <c r="BN15" s="25"/>
      <c r="BO15" s="25"/>
      <c r="BP15" s="25"/>
      <c r="BQ15" s="25"/>
      <c r="BR15" s="10"/>
    </row>
    <row r="16" spans="1:71" ht="15" customHeight="1" x14ac:dyDescent="0.2">
      <c r="A16" s="10"/>
      <c r="B16" s="10"/>
      <c r="C16" s="10"/>
      <c r="D16" s="10"/>
      <c r="J16" s="28"/>
      <c r="K16" s="28"/>
      <c r="L16" s="28"/>
      <c r="M16" s="28"/>
      <c r="N16" s="28"/>
      <c r="O16" s="28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34"/>
      <c r="AL16" s="34"/>
      <c r="AM16" s="34"/>
      <c r="AN16" s="34"/>
      <c r="AO16" s="34"/>
      <c r="AP16" s="35"/>
      <c r="AQ16" s="35"/>
      <c r="AR16" s="35"/>
      <c r="AS16" s="35"/>
      <c r="AT16" s="35"/>
      <c r="AU16" s="35"/>
      <c r="AV16" s="35"/>
      <c r="AW16" s="36"/>
      <c r="AX16" s="36"/>
      <c r="AY16" s="36"/>
      <c r="AZ16" s="36"/>
      <c r="BA16" s="36"/>
      <c r="BB16" s="36"/>
      <c r="BC16" s="36"/>
      <c r="BD16" s="37"/>
      <c r="BE16" s="38"/>
      <c r="BF16" s="38"/>
      <c r="BG16" s="38"/>
      <c r="BH16" s="38"/>
      <c r="BI16" s="38"/>
      <c r="BJ16" s="38"/>
      <c r="BK16" s="39"/>
      <c r="BL16" s="40"/>
      <c r="BM16" s="25"/>
      <c r="BN16" s="25"/>
      <c r="BO16" s="25"/>
      <c r="BP16" s="25"/>
      <c r="BQ16" s="25"/>
      <c r="BR16" s="10"/>
    </row>
    <row r="17" spans="1:70" ht="15" customHeight="1" x14ac:dyDescent="0.2">
      <c r="A17" s="10"/>
      <c r="B17" s="10"/>
      <c r="C17" s="10"/>
      <c r="D17" s="10"/>
      <c r="J17" s="28"/>
      <c r="K17" s="28"/>
      <c r="L17" s="28"/>
      <c r="M17" s="28"/>
      <c r="N17" s="28"/>
      <c r="O17" s="28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C17" s="34"/>
      <c r="AD17" s="34"/>
      <c r="AE17" s="34"/>
      <c r="AF17" s="34"/>
      <c r="AG17" s="34"/>
      <c r="AH17" s="34"/>
      <c r="AI17" s="34"/>
      <c r="AJ17" s="34"/>
      <c r="AK17" s="34"/>
      <c r="AL17" s="34"/>
      <c r="AM17" s="34"/>
      <c r="AN17" s="34"/>
      <c r="AO17" s="34"/>
      <c r="AP17" s="35"/>
      <c r="AQ17" s="35"/>
      <c r="AR17" s="35"/>
      <c r="AS17" s="35"/>
      <c r="AT17" s="35"/>
      <c r="AU17" s="35"/>
      <c r="AV17" s="35"/>
      <c r="AW17" s="35"/>
      <c r="AX17" s="35"/>
      <c r="AY17" s="35"/>
      <c r="AZ17" s="35"/>
      <c r="BA17" s="35"/>
      <c r="BB17" s="35"/>
      <c r="BD17" s="39"/>
      <c r="BE17" s="40"/>
      <c r="BF17" s="40"/>
      <c r="BG17" s="40"/>
      <c r="BH17" s="40"/>
      <c r="BI17" s="40"/>
      <c r="BJ17" s="40"/>
      <c r="BK17" s="39"/>
      <c r="BL17" s="40"/>
      <c r="BM17" s="25"/>
      <c r="BN17" s="25"/>
      <c r="BO17" s="25"/>
      <c r="BP17" s="25"/>
      <c r="BQ17" s="25"/>
      <c r="BR17" s="10"/>
    </row>
    <row r="18" spans="1:70" ht="15" customHeight="1" x14ac:dyDescent="0.2">
      <c r="A18" s="10"/>
      <c r="B18" s="10"/>
      <c r="C18" s="10"/>
      <c r="D18" s="10"/>
      <c r="J18" s="28"/>
      <c r="K18" s="28"/>
      <c r="L18" s="28"/>
      <c r="M18" s="28"/>
      <c r="N18" s="28"/>
      <c r="O18" s="28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5"/>
      <c r="AQ18" s="35"/>
      <c r="AR18" s="35"/>
      <c r="AS18" s="35"/>
      <c r="AT18" s="35"/>
      <c r="AU18" s="35"/>
      <c r="AV18" s="35"/>
      <c r="BD18" s="39"/>
      <c r="BE18" s="40"/>
      <c r="BF18" s="40"/>
      <c r="BG18" s="40"/>
      <c r="BH18" s="40"/>
      <c r="BI18" s="40"/>
      <c r="BJ18" s="40"/>
      <c r="BK18" s="41"/>
      <c r="BL18" s="42"/>
      <c r="BM18" s="26"/>
      <c r="BN18" s="26"/>
      <c r="BO18" s="26"/>
      <c r="BP18" s="26"/>
      <c r="BQ18" s="26"/>
      <c r="BR18" s="10"/>
    </row>
    <row r="19" spans="1:70" ht="15" customHeight="1" x14ac:dyDescent="0.2">
      <c r="A19" s="10"/>
      <c r="B19" s="10"/>
      <c r="C19" s="10"/>
      <c r="D19" s="10"/>
      <c r="J19" s="28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5"/>
      <c r="AQ19" s="35"/>
      <c r="AR19" s="35"/>
      <c r="AS19" s="35"/>
      <c r="AT19" s="35"/>
      <c r="AU19" s="35"/>
      <c r="AV19" s="35"/>
      <c r="AW19" s="37"/>
      <c r="AX19" s="38"/>
      <c r="AY19" s="38"/>
      <c r="AZ19" s="38"/>
      <c r="BA19" s="38"/>
      <c r="BB19" s="38"/>
      <c r="BC19" s="38"/>
      <c r="BD19" s="39"/>
      <c r="BE19" s="40"/>
      <c r="BF19" s="40"/>
      <c r="BG19" s="40"/>
      <c r="BH19" s="40"/>
      <c r="BI19" s="40"/>
      <c r="BJ19" s="40"/>
      <c r="BM19" s="10"/>
      <c r="BN19" s="10"/>
      <c r="BO19" s="10"/>
      <c r="BP19" s="10"/>
      <c r="BQ19" s="10"/>
      <c r="BR19" s="10"/>
    </row>
    <row r="20" spans="1:70" ht="15" customHeight="1" x14ac:dyDescent="0.2">
      <c r="A20" s="10"/>
      <c r="B20" s="10"/>
      <c r="C20" s="10"/>
      <c r="D20" s="10"/>
      <c r="J20" s="28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W20" s="39"/>
      <c r="AX20" s="40"/>
      <c r="AY20" s="40"/>
      <c r="AZ20" s="40"/>
      <c r="BA20" s="40"/>
      <c r="BB20" s="40"/>
      <c r="BC20" s="40"/>
      <c r="BD20" s="39"/>
      <c r="BE20" s="40"/>
      <c r="BF20" s="40"/>
      <c r="BG20" s="40"/>
      <c r="BH20" s="40"/>
      <c r="BI20" s="40"/>
      <c r="BJ20" s="40"/>
      <c r="BM20" s="10"/>
      <c r="BN20" s="10"/>
      <c r="BO20" s="10"/>
      <c r="BP20" s="10"/>
      <c r="BQ20" s="10"/>
      <c r="BR20" s="10"/>
    </row>
    <row r="21" spans="1:70" ht="15" customHeight="1" x14ac:dyDescent="0.2">
      <c r="A21" s="10"/>
      <c r="B21" s="10"/>
      <c r="C21" s="10"/>
      <c r="D21" s="10"/>
      <c r="J21" s="28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58"/>
      <c r="AE21" s="58"/>
      <c r="AF21" s="58"/>
      <c r="AG21" s="58"/>
      <c r="AH21" s="58"/>
      <c r="AI21" s="58"/>
      <c r="AJ21" s="58"/>
      <c r="AK21" s="58"/>
      <c r="AL21" s="58"/>
      <c r="AM21" s="58"/>
      <c r="AN21" s="58"/>
      <c r="AO21" s="58"/>
      <c r="AP21" s="58"/>
      <c r="AQ21" s="58"/>
      <c r="AR21" s="58"/>
      <c r="AS21" s="58"/>
      <c r="AT21" s="58"/>
      <c r="AU21" s="58"/>
      <c r="AV21" s="58"/>
      <c r="AW21" s="58"/>
      <c r="AX21" s="42"/>
      <c r="AY21" s="42"/>
      <c r="AZ21" s="42"/>
      <c r="BA21" s="42"/>
      <c r="BB21" s="42"/>
      <c r="BC21" s="42"/>
      <c r="BD21" s="58"/>
      <c r="BE21" s="58"/>
      <c r="BF21" s="42"/>
      <c r="BG21" s="42"/>
      <c r="BH21" s="42"/>
      <c r="BI21" s="42"/>
      <c r="BJ21" s="42"/>
      <c r="BM21" s="10"/>
      <c r="BN21" s="10"/>
      <c r="BO21" s="10"/>
      <c r="BP21" s="10"/>
      <c r="BQ21" s="10"/>
      <c r="BR21" s="10"/>
    </row>
    <row r="22" spans="1:70" ht="15" customHeight="1" x14ac:dyDescent="0.2">
      <c r="A22" s="10"/>
      <c r="B22" s="10"/>
      <c r="C22" s="10"/>
      <c r="D22" s="10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56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  <c r="AZ22" s="34"/>
      <c r="BA22" s="34"/>
      <c r="BB22" s="34"/>
      <c r="BC22" s="40"/>
      <c r="BD22" s="34"/>
      <c r="BE22" s="34"/>
      <c r="BM22" s="10"/>
      <c r="BN22" s="10"/>
      <c r="BO22" s="10"/>
      <c r="BP22" s="10"/>
      <c r="BQ22" s="10"/>
      <c r="BR22" s="10"/>
    </row>
    <row r="23" spans="1:70" ht="15" customHeight="1" x14ac:dyDescent="0.2">
      <c r="A23" s="10"/>
      <c r="B23" s="10"/>
      <c r="C23" s="10"/>
      <c r="D23" s="10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/>
      <c r="AA23" s="34"/>
      <c r="AB23" s="34"/>
      <c r="AC23" s="34"/>
      <c r="AD23" s="56"/>
      <c r="AE23" s="34"/>
      <c r="AF23" s="34"/>
      <c r="AG23" s="34"/>
      <c r="AH23" s="34"/>
      <c r="AQ23" s="34"/>
      <c r="AR23" s="34"/>
      <c r="AS23" s="34"/>
      <c r="AT23" s="34"/>
      <c r="AU23" s="34"/>
      <c r="AV23" s="34"/>
      <c r="AW23" s="34"/>
      <c r="AX23" s="34"/>
      <c r="AY23" s="34"/>
      <c r="AZ23" s="34"/>
      <c r="BA23" s="34"/>
      <c r="BB23" s="34"/>
      <c r="BH23" s="28"/>
      <c r="BI23" s="28"/>
      <c r="BJ23" s="28"/>
      <c r="BK23" s="28"/>
      <c r="BL23" s="28"/>
      <c r="BM23" s="18"/>
      <c r="BN23" s="18"/>
      <c r="BO23" s="18"/>
      <c r="BP23" s="18"/>
      <c r="BQ23" s="18"/>
      <c r="BR23" s="10"/>
    </row>
    <row r="24" spans="1:70" ht="15" customHeight="1" x14ac:dyDescent="0.2">
      <c r="A24" s="10"/>
      <c r="B24" s="10"/>
      <c r="C24" s="10"/>
      <c r="D24" s="10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C24" s="34"/>
      <c r="AD24" s="57"/>
      <c r="AE24" s="40"/>
      <c r="AF24" s="40"/>
      <c r="AG24" s="40"/>
      <c r="AH24" s="40"/>
      <c r="AI24" s="40"/>
      <c r="AJ24" s="40"/>
      <c r="AK24" s="43"/>
      <c r="AL24" s="43"/>
      <c r="AM24" s="43"/>
      <c r="AN24" s="43"/>
      <c r="AO24" s="43"/>
      <c r="AQ24" s="40"/>
      <c r="AR24" s="40"/>
      <c r="AS24" s="40"/>
      <c r="AT24" s="40"/>
      <c r="AU24" s="40"/>
      <c r="AV24" s="40"/>
      <c r="AX24" s="28"/>
      <c r="AY24" s="28"/>
      <c r="AZ24" s="28"/>
      <c r="BA24" s="28"/>
      <c r="BB24" s="28"/>
      <c r="BC24" s="28"/>
      <c r="BD24" s="28"/>
      <c r="BE24" s="28"/>
      <c r="BF24" s="28"/>
      <c r="BG24" s="28"/>
      <c r="BH24" s="28"/>
      <c r="BI24" s="28"/>
      <c r="BJ24" s="28"/>
      <c r="BK24" s="28"/>
      <c r="BL24" s="28"/>
      <c r="BM24" s="18"/>
      <c r="BN24" s="18"/>
      <c r="BO24" s="18"/>
      <c r="BP24" s="18"/>
      <c r="BQ24" s="18"/>
      <c r="BR24" s="18"/>
    </row>
    <row r="25" spans="1:70" ht="15" customHeight="1" x14ac:dyDescent="0.2">
      <c r="A25" s="10"/>
      <c r="B25" s="10"/>
      <c r="C25" s="10"/>
      <c r="D25" s="10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57"/>
      <c r="AE25" s="40"/>
      <c r="AF25" s="40"/>
      <c r="AG25" s="40"/>
      <c r="AH25" s="40"/>
      <c r="AI25" s="40"/>
      <c r="AJ25" s="40"/>
      <c r="AK25" s="38"/>
      <c r="AL25" s="38"/>
      <c r="AM25" s="38"/>
      <c r="AN25" s="38"/>
      <c r="AO25" s="38"/>
      <c r="AP25" s="40"/>
      <c r="AX25" s="28"/>
      <c r="AY25" s="28"/>
      <c r="AZ25" s="28"/>
      <c r="BA25" s="28"/>
      <c r="BB25" s="28"/>
      <c r="BC25" s="28"/>
      <c r="BD25" s="28"/>
      <c r="BE25" s="28"/>
      <c r="BF25" s="28"/>
      <c r="BG25" s="28"/>
      <c r="BH25" s="28"/>
      <c r="BI25" s="28"/>
      <c r="BJ25" s="28"/>
      <c r="BK25" s="28"/>
      <c r="BL25" s="28"/>
      <c r="BM25" s="18"/>
      <c r="BN25" s="18"/>
      <c r="BO25" s="18"/>
      <c r="BP25" s="18"/>
      <c r="BQ25" s="18"/>
      <c r="BR25" s="18"/>
    </row>
    <row r="26" spans="1:70" ht="15" customHeight="1" x14ac:dyDescent="0.2">
      <c r="A26" s="10"/>
      <c r="B26" s="10"/>
      <c r="C26" s="10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D26" s="56"/>
      <c r="AE26" s="34"/>
      <c r="AF26" s="34"/>
      <c r="AG26" s="34"/>
      <c r="AH26" s="34"/>
      <c r="AK26" s="40"/>
      <c r="AL26" s="40"/>
      <c r="AM26" s="40"/>
      <c r="AN26" s="40"/>
      <c r="AO26" s="40"/>
      <c r="AP26" s="40"/>
      <c r="AR26" s="34"/>
      <c r="AS26" s="34"/>
      <c r="AT26" s="34"/>
      <c r="AU26" s="34"/>
      <c r="AV26" s="34"/>
      <c r="AW26" s="34"/>
      <c r="AX26" s="28"/>
      <c r="AY26" s="46"/>
      <c r="AZ26" s="46"/>
      <c r="BA26" s="46"/>
      <c r="BB26" s="46"/>
      <c r="BC26" s="46"/>
      <c r="BD26" s="46"/>
      <c r="BE26" s="46"/>
      <c r="BF26" s="28"/>
      <c r="BG26" s="28"/>
      <c r="BH26" s="28"/>
      <c r="BI26" s="28"/>
      <c r="BJ26" s="28"/>
      <c r="BK26" s="28"/>
      <c r="BL26" s="28"/>
      <c r="BM26" s="18"/>
      <c r="BN26" s="18"/>
      <c r="BO26" s="18"/>
      <c r="BP26" s="18"/>
      <c r="BQ26" s="18"/>
      <c r="BR26" s="18"/>
    </row>
    <row r="27" spans="1:70" ht="15" customHeight="1" x14ac:dyDescent="0.2">
      <c r="A27" s="10"/>
      <c r="B27" s="10"/>
      <c r="C27" s="10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40"/>
      <c r="X27" s="40"/>
      <c r="Y27" s="40"/>
      <c r="Z27" s="40"/>
      <c r="AA27" s="40"/>
      <c r="AB27" s="40"/>
      <c r="AC27" s="40"/>
      <c r="AD27" s="39"/>
      <c r="AK27" s="40"/>
      <c r="AL27" s="40"/>
      <c r="AM27" s="40"/>
      <c r="AN27" s="40"/>
      <c r="AO27" s="40"/>
      <c r="AP27" s="40"/>
      <c r="AR27" s="34"/>
      <c r="AS27" s="34"/>
      <c r="AT27" s="34"/>
      <c r="AU27" s="34"/>
      <c r="AV27" s="34"/>
      <c r="AW27" s="34"/>
      <c r="AX27" s="28"/>
      <c r="AY27" s="49"/>
      <c r="AZ27" s="28"/>
      <c r="BA27" s="28"/>
      <c r="BB27" s="28"/>
      <c r="BC27" s="28"/>
      <c r="BD27" s="28"/>
      <c r="BE27" s="28"/>
      <c r="BF27" s="28"/>
      <c r="BG27" s="28"/>
      <c r="BH27" s="28"/>
      <c r="BI27" s="28"/>
      <c r="BJ27" s="28"/>
      <c r="BK27" s="28"/>
      <c r="BL27" s="28"/>
      <c r="BM27" s="18"/>
      <c r="BN27" s="18"/>
      <c r="BO27" s="18"/>
      <c r="BP27" s="18"/>
      <c r="BQ27" s="18"/>
      <c r="BR27" s="18"/>
    </row>
    <row r="28" spans="1:70" ht="15" customHeight="1" x14ac:dyDescent="0.2">
      <c r="A28" s="10"/>
      <c r="B28" s="10"/>
      <c r="C28" s="10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42"/>
      <c r="X28" s="42"/>
      <c r="Y28" s="42"/>
      <c r="Z28" s="42"/>
      <c r="AA28" s="42"/>
      <c r="AB28" s="42"/>
      <c r="AC28" s="42"/>
      <c r="AD28" s="39"/>
      <c r="AE28" s="40"/>
      <c r="AF28" s="40"/>
      <c r="AG28" s="40"/>
      <c r="AH28" s="40"/>
      <c r="AI28" s="40"/>
      <c r="AJ28" s="40"/>
      <c r="AK28" s="40"/>
      <c r="AL28" s="40"/>
      <c r="AM28" s="40"/>
      <c r="AN28" s="40"/>
      <c r="AO28" s="40"/>
      <c r="AP28" s="40"/>
      <c r="AT28" s="28"/>
      <c r="AU28" s="28"/>
      <c r="AV28" s="28"/>
      <c r="AW28" s="28"/>
      <c r="AX28" s="28"/>
      <c r="AY28" s="49"/>
      <c r="AZ28" s="28"/>
      <c r="BA28" s="28"/>
      <c r="BB28" s="28"/>
      <c r="BC28" s="28"/>
      <c r="BD28" s="28"/>
      <c r="BE28" s="28"/>
      <c r="BF28" s="28"/>
      <c r="BG28" s="28"/>
      <c r="BH28" s="28"/>
      <c r="BI28" s="28"/>
      <c r="BJ28" s="28"/>
      <c r="BK28" s="28"/>
      <c r="BL28" s="28"/>
      <c r="BM28" s="18"/>
      <c r="BN28" s="18"/>
      <c r="BO28" s="18"/>
      <c r="BP28" s="18"/>
      <c r="BQ28" s="18"/>
      <c r="BR28" s="18"/>
    </row>
    <row r="29" spans="1:70" ht="15" customHeight="1" x14ac:dyDescent="0.2">
      <c r="A29" s="10"/>
      <c r="B29" s="10"/>
      <c r="C29" s="10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56"/>
      <c r="X29" s="34"/>
      <c r="Y29" s="34"/>
      <c r="Z29" s="34"/>
      <c r="AA29" s="34"/>
      <c r="AB29" s="34"/>
      <c r="AD29" s="39"/>
      <c r="AE29" s="40"/>
      <c r="AF29" s="40"/>
      <c r="AG29" s="40"/>
      <c r="AH29" s="47"/>
      <c r="AI29" s="47"/>
      <c r="AJ29" s="47"/>
      <c r="AK29" s="47"/>
      <c r="AL29" s="47"/>
      <c r="AM29" s="47"/>
      <c r="AN29" s="40"/>
      <c r="AO29" s="40"/>
      <c r="AP29" s="40"/>
      <c r="AR29" s="43"/>
      <c r="AS29" s="43"/>
      <c r="AT29" s="46"/>
      <c r="AU29" s="46"/>
      <c r="AV29" s="46"/>
      <c r="AW29" s="46"/>
      <c r="AX29" s="51"/>
      <c r="AY29" s="49"/>
      <c r="AZ29" s="28"/>
      <c r="BA29" s="28"/>
      <c r="BB29" s="28"/>
      <c r="BC29" s="28"/>
      <c r="BD29" s="28"/>
      <c r="BE29" s="28"/>
      <c r="BF29" s="28"/>
      <c r="BG29" s="28"/>
      <c r="BH29" s="28"/>
      <c r="BI29" s="28"/>
      <c r="BJ29" s="28"/>
      <c r="BK29" s="28"/>
      <c r="BL29" s="28"/>
      <c r="BM29" s="18"/>
      <c r="BN29" s="18"/>
      <c r="BO29" s="18"/>
      <c r="BP29" s="18"/>
      <c r="BQ29" s="18"/>
      <c r="BR29" s="18"/>
    </row>
    <row r="30" spans="1:70" ht="15" customHeight="1" x14ac:dyDescent="0.2">
      <c r="A30" s="10"/>
      <c r="B30" s="10"/>
      <c r="C30" s="10"/>
      <c r="P30" s="40"/>
      <c r="Q30" s="40"/>
      <c r="R30" s="40"/>
      <c r="S30" s="40"/>
      <c r="T30" s="40"/>
      <c r="U30" s="40"/>
      <c r="V30" s="40"/>
      <c r="W30" s="39"/>
      <c r="AD30" s="39"/>
      <c r="AE30" s="40"/>
      <c r="AF30" s="40"/>
      <c r="AG30" s="40"/>
      <c r="AH30" s="47"/>
      <c r="AI30" s="47"/>
      <c r="AJ30" s="47"/>
      <c r="AK30" s="47"/>
      <c r="AL30" s="47"/>
      <c r="AM30" s="47"/>
      <c r="AN30" s="40"/>
      <c r="AO30" s="40"/>
      <c r="AP30" s="40"/>
      <c r="AQ30" s="28"/>
      <c r="AR30" s="49"/>
      <c r="AS30" s="28"/>
      <c r="AT30" s="28"/>
      <c r="AU30" s="28"/>
      <c r="AV30" s="28"/>
      <c r="AW30" s="28"/>
      <c r="AX30" s="28"/>
      <c r="AY30" s="49"/>
      <c r="AZ30" s="28"/>
      <c r="BA30" s="28"/>
      <c r="BB30" s="28"/>
      <c r="BC30" s="28"/>
      <c r="BD30" s="28"/>
      <c r="BE30" s="28"/>
      <c r="BH30" s="28"/>
      <c r="BI30" s="28"/>
      <c r="BJ30" s="28"/>
      <c r="BK30" s="28"/>
      <c r="BL30" s="28"/>
      <c r="BM30" s="18"/>
      <c r="BN30" s="18"/>
      <c r="BO30" s="18"/>
      <c r="BP30" s="18"/>
      <c r="BQ30" s="18"/>
      <c r="BR30" s="10"/>
    </row>
    <row r="31" spans="1:70" ht="15" customHeight="1" x14ac:dyDescent="0.2">
      <c r="A31" s="10"/>
      <c r="B31" s="10"/>
      <c r="C31" s="10"/>
      <c r="D31" s="10"/>
      <c r="P31" s="40"/>
      <c r="Q31" s="40"/>
      <c r="R31" s="40"/>
      <c r="S31" s="40"/>
      <c r="T31" s="40"/>
      <c r="U31" s="40"/>
      <c r="V31" s="40"/>
      <c r="W31" s="39"/>
      <c r="X31" s="40"/>
      <c r="Y31" s="40"/>
      <c r="Z31" s="40"/>
      <c r="AA31" s="40"/>
      <c r="AB31" s="40"/>
      <c r="AC31" s="40"/>
      <c r="AD31" s="39"/>
      <c r="AE31" s="40"/>
      <c r="AF31" s="40"/>
      <c r="AG31" s="40"/>
      <c r="AH31" s="47"/>
      <c r="AI31" s="47"/>
      <c r="AJ31" s="47"/>
      <c r="AK31" s="52"/>
      <c r="AL31" s="52"/>
      <c r="AM31" s="52"/>
      <c r="AN31" s="52"/>
      <c r="AO31" s="52"/>
      <c r="AP31" s="52"/>
      <c r="AQ31" s="28"/>
      <c r="AR31" s="49"/>
      <c r="AS31" s="28"/>
      <c r="AT31" s="28"/>
      <c r="AU31" s="28"/>
      <c r="AV31" s="28"/>
      <c r="AW31" s="28"/>
      <c r="AX31" s="28"/>
      <c r="AY31" s="49"/>
      <c r="AZ31" s="28"/>
      <c r="BA31" s="28"/>
      <c r="BB31" s="28"/>
      <c r="BC31" s="28"/>
      <c r="BD31" s="28"/>
      <c r="BE31" s="28"/>
      <c r="BF31" s="28"/>
      <c r="BG31" s="28"/>
      <c r="BH31" s="28"/>
      <c r="BI31" s="28"/>
      <c r="BJ31" s="28"/>
      <c r="BK31" s="28"/>
      <c r="BL31" s="28"/>
      <c r="BM31" s="18"/>
      <c r="BN31" s="18"/>
      <c r="BO31" s="18"/>
      <c r="BP31" s="18"/>
      <c r="BQ31" s="18"/>
      <c r="BR31" s="10"/>
    </row>
    <row r="32" spans="1:70" ht="15" customHeight="1" x14ac:dyDescent="0.2">
      <c r="A32" s="10"/>
      <c r="B32" s="10"/>
      <c r="C32" s="10"/>
      <c r="D32" s="10"/>
      <c r="W32" s="39"/>
      <c r="X32" s="40"/>
      <c r="Y32" s="40"/>
      <c r="Z32" s="40"/>
      <c r="AA32" s="40"/>
      <c r="AB32" s="40"/>
      <c r="AC32" s="40"/>
      <c r="AD32" s="39"/>
      <c r="AE32" s="40"/>
      <c r="AF32" s="40"/>
      <c r="AG32" s="40"/>
      <c r="AH32" s="47"/>
      <c r="AI32" s="47"/>
      <c r="AJ32" s="47"/>
      <c r="AK32" s="54"/>
      <c r="AL32" s="54"/>
      <c r="AM32" s="55"/>
      <c r="AN32" s="46"/>
      <c r="AO32" s="46"/>
      <c r="AP32" s="46"/>
      <c r="AQ32" s="46"/>
      <c r="AR32" s="49"/>
      <c r="AS32" s="28"/>
      <c r="AT32" s="28"/>
      <c r="AU32" s="28"/>
      <c r="AV32" s="28"/>
      <c r="AW32" s="28"/>
      <c r="AX32" s="28"/>
      <c r="AY32" s="50"/>
      <c r="AZ32" s="46"/>
      <c r="BA32" s="46"/>
      <c r="BB32" s="46"/>
      <c r="BC32" s="46"/>
      <c r="BD32" s="46"/>
      <c r="BE32" s="46"/>
      <c r="BF32" s="28"/>
      <c r="BG32" s="28"/>
      <c r="BH32" s="28"/>
      <c r="BI32" s="28"/>
      <c r="BJ32" s="28"/>
      <c r="BK32" s="28"/>
      <c r="BL32" s="28"/>
      <c r="BM32" s="18"/>
      <c r="BN32" s="18"/>
      <c r="BO32" s="18"/>
      <c r="BP32" s="18"/>
      <c r="BQ32" s="18"/>
      <c r="BR32" s="10"/>
    </row>
    <row r="33" spans="1:70" ht="15" customHeight="1" x14ac:dyDescent="0.2">
      <c r="A33" s="10"/>
      <c r="B33" s="33" t="str">
        <f>IF('Event Tree Input'!D27="Seismic Hazard","Seismic Hazard","")</f>
        <v/>
      </c>
      <c r="C33" s="33"/>
      <c r="D33" s="33"/>
      <c r="E33" s="45"/>
      <c r="F33" s="45"/>
      <c r="G33" s="45"/>
      <c r="H33" s="45"/>
      <c r="W33" s="39"/>
      <c r="X33" s="40"/>
      <c r="Y33" s="40"/>
      <c r="Z33" s="40"/>
      <c r="AA33" s="40"/>
      <c r="AB33" s="40"/>
      <c r="AC33" s="40"/>
      <c r="AD33" s="39"/>
      <c r="AE33" s="40"/>
      <c r="AF33" s="40"/>
      <c r="AG33" s="40"/>
      <c r="AH33" s="47"/>
      <c r="AI33" s="47"/>
      <c r="AJ33" s="47"/>
      <c r="AK33" s="48"/>
      <c r="AL33" s="53"/>
      <c r="AM33" s="53"/>
      <c r="AO33" s="28"/>
      <c r="AP33" s="28"/>
      <c r="AQ33" s="28"/>
      <c r="AR33" s="49"/>
      <c r="AS33" s="28"/>
      <c r="AT33" s="28"/>
      <c r="AU33" s="28"/>
      <c r="AV33" s="28"/>
      <c r="AW33" s="28"/>
      <c r="AX33" s="28"/>
      <c r="AY33" s="28"/>
      <c r="AZ33" s="28"/>
      <c r="BA33" s="28"/>
      <c r="BB33" s="28"/>
      <c r="BC33" s="28"/>
      <c r="BD33" s="28"/>
      <c r="BE33" s="28"/>
      <c r="BF33" s="28"/>
      <c r="BG33" s="28"/>
      <c r="BH33" s="28"/>
      <c r="BI33" s="28"/>
      <c r="BJ33" s="28"/>
      <c r="BK33" s="28"/>
      <c r="BL33" s="28"/>
      <c r="BM33" s="18"/>
      <c r="BN33" s="18"/>
      <c r="BO33" s="18"/>
      <c r="BP33" s="18"/>
      <c r="BQ33" s="18"/>
      <c r="BR33" s="10"/>
    </row>
    <row r="34" spans="1:70" ht="15" customHeight="1" x14ac:dyDescent="0.2">
      <c r="A34" s="10"/>
      <c r="B34" s="33"/>
      <c r="C34" s="33"/>
      <c r="D34" s="33"/>
      <c r="E34" s="45"/>
      <c r="F34" s="45"/>
      <c r="G34" s="45"/>
      <c r="H34" s="45"/>
      <c r="W34" s="39"/>
      <c r="X34" s="40"/>
      <c r="Y34" s="40"/>
      <c r="Z34" s="40"/>
      <c r="AA34" s="40"/>
      <c r="AB34" s="40"/>
      <c r="AC34" s="40"/>
      <c r="AD34" s="39"/>
      <c r="AH34" s="52"/>
      <c r="AI34" s="52"/>
      <c r="AJ34" s="52"/>
      <c r="AK34" s="48"/>
      <c r="AL34" s="53"/>
      <c r="AM34" s="53"/>
      <c r="AN34" s="28"/>
      <c r="AO34" s="28"/>
      <c r="AP34" s="28"/>
      <c r="AQ34" s="28"/>
      <c r="AR34" s="49"/>
      <c r="AS34" s="28"/>
      <c r="AT34" s="28"/>
      <c r="AU34" s="28"/>
      <c r="AV34" s="28"/>
      <c r="AW34" s="28"/>
      <c r="AX34" s="28"/>
      <c r="AY34" s="28"/>
      <c r="AZ34" s="28"/>
      <c r="BA34" s="28"/>
      <c r="BB34" s="28"/>
      <c r="BC34" s="28"/>
      <c r="BD34" s="28"/>
      <c r="BE34" s="28"/>
      <c r="BF34" s="28"/>
      <c r="BG34" s="28"/>
      <c r="BH34" s="28"/>
      <c r="BI34" s="28"/>
      <c r="BJ34" s="28"/>
      <c r="BM34" s="10"/>
      <c r="BN34" s="10"/>
      <c r="BO34" s="10"/>
      <c r="BP34" s="10"/>
      <c r="BQ34" s="10"/>
      <c r="BR34" s="10"/>
    </row>
    <row r="35" spans="1:70" ht="15" customHeight="1" x14ac:dyDescent="0.2">
      <c r="A35" s="10"/>
      <c r="B35" s="10"/>
      <c r="C35" s="10"/>
      <c r="D35" s="10"/>
      <c r="W35" s="39"/>
      <c r="X35" s="40"/>
      <c r="Y35" s="40"/>
      <c r="Z35" s="40"/>
      <c r="AA35" s="40"/>
      <c r="AB35" s="40"/>
      <c r="AC35" s="40"/>
      <c r="AD35" s="41"/>
      <c r="AE35" s="43"/>
      <c r="AF35" s="43"/>
      <c r="AG35" s="43"/>
      <c r="AH35" s="43"/>
      <c r="AI35" s="43"/>
      <c r="AJ35" s="43"/>
      <c r="AK35" s="39"/>
      <c r="AL35" s="28"/>
      <c r="AM35" s="28"/>
      <c r="AN35" s="28"/>
      <c r="AO35" s="28"/>
      <c r="AP35" s="28"/>
      <c r="AQ35" s="28"/>
      <c r="AR35" s="50"/>
      <c r="AS35" s="46"/>
      <c r="AT35" s="46"/>
      <c r="AU35" s="46"/>
      <c r="AV35" s="46"/>
      <c r="AW35" s="46"/>
      <c r="AX35" s="46"/>
      <c r="AY35" s="28"/>
      <c r="AZ35" s="28"/>
      <c r="BA35" s="28"/>
      <c r="BB35" s="28"/>
      <c r="BC35" s="28"/>
      <c r="BD35" s="28"/>
      <c r="BE35" s="28"/>
      <c r="BF35" s="28"/>
      <c r="BG35" s="28"/>
      <c r="BH35" s="28"/>
      <c r="BI35" s="28"/>
      <c r="BJ35" s="28"/>
      <c r="BM35" s="10"/>
      <c r="BN35" s="10"/>
      <c r="BO35" s="10"/>
      <c r="BP35" s="10"/>
      <c r="BQ35" s="10"/>
      <c r="BR35" s="10"/>
    </row>
    <row r="36" spans="1:70" ht="15" customHeight="1" x14ac:dyDescent="0.2">
      <c r="A36" s="10"/>
      <c r="B36" s="10"/>
      <c r="C36" s="10"/>
      <c r="D36" s="10"/>
      <c r="P36" s="37"/>
      <c r="Q36" s="38"/>
      <c r="R36" s="38"/>
      <c r="S36" s="38"/>
      <c r="T36" s="38"/>
      <c r="U36" s="38"/>
      <c r="V36" s="38"/>
      <c r="W36" s="39"/>
      <c r="X36" s="40"/>
      <c r="Y36" s="40"/>
      <c r="Z36" s="40"/>
      <c r="AB36" s="40"/>
      <c r="AC36" s="40"/>
      <c r="AK36" s="39"/>
      <c r="AL36" s="28"/>
      <c r="AM36" s="28"/>
      <c r="AN36" s="28"/>
      <c r="AO36" s="28"/>
      <c r="AP36" s="28"/>
      <c r="AQ36" s="28"/>
      <c r="AR36" s="28"/>
      <c r="AS36" s="28"/>
      <c r="AT36" s="28"/>
      <c r="AU36" s="28"/>
      <c r="AV36" s="28"/>
      <c r="AW36" s="28"/>
      <c r="AX36" s="28"/>
      <c r="AY36" s="28"/>
      <c r="AZ36" s="28"/>
      <c r="BA36" s="28"/>
      <c r="BB36" s="28"/>
      <c r="BC36" s="28"/>
      <c r="BD36" s="28"/>
      <c r="BE36" s="28"/>
      <c r="BM36" s="10"/>
      <c r="BN36" s="10"/>
      <c r="BO36" s="10"/>
      <c r="BP36" s="10"/>
      <c r="BQ36" s="10"/>
      <c r="BR36" s="10"/>
    </row>
    <row r="37" spans="1:70" ht="15" customHeight="1" x14ac:dyDescent="0.2">
      <c r="A37" s="10"/>
      <c r="B37" s="10"/>
      <c r="C37" s="10"/>
      <c r="D37" s="10"/>
      <c r="I37" s="62" t="str">
        <f>IF('Event Tree Input'!D27="Flood Loading","Flood Loading",IF('Event Tree Input'!D27="Seismic Hazard","Coincident Stage",IF('Event Tree Input'!D27="Other",IF(ISBLANK('Event Tree Input'!G27),"",'Event Tree Input'!G27))))</f>
        <v>Hydrologic Hazard</v>
      </c>
      <c r="J37" s="62"/>
      <c r="K37" s="62"/>
      <c r="L37" s="62"/>
      <c r="M37" s="62"/>
      <c r="N37" s="62"/>
      <c r="O37" s="62"/>
      <c r="P37" s="39"/>
      <c r="Q37" s="40"/>
      <c r="R37" s="40"/>
      <c r="S37" s="40"/>
      <c r="T37" s="40"/>
      <c r="U37" s="40"/>
      <c r="V37" s="40"/>
      <c r="W37" s="39"/>
      <c r="AF37" s="28"/>
      <c r="AG37" s="28"/>
      <c r="AH37" s="28"/>
      <c r="AI37" s="28"/>
      <c r="AJ37" s="28"/>
      <c r="AK37" s="49"/>
      <c r="AL37" s="28"/>
      <c r="AM37" s="28"/>
      <c r="AN37" s="28"/>
      <c r="AO37" s="28"/>
      <c r="AP37" s="28"/>
      <c r="AQ37" s="28"/>
      <c r="AR37" s="28"/>
      <c r="AS37" s="28"/>
      <c r="AT37" s="28"/>
      <c r="AU37" s="28"/>
      <c r="AV37" s="28"/>
      <c r="AW37" s="28"/>
      <c r="AX37" s="28"/>
      <c r="AY37" s="28"/>
      <c r="AZ37" s="28"/>
      <c r="BA37" s="28"/>
      <c r="BB37" s="28"/>
      <c r="BC37" s="28"/>
      <c r="BD37" s="28"/>
      <c r="BE37" s="28"/>
      <c r="BM37" s="10"/>
      <c r="BN37" s="10"/>
      <c r="BO37" s="10"/>
      <c r="BP37" s="10"/>
      <c r="BQ37" s="10"/>
      <c r="BR37" s="10"/>
    </row>
    <row r="38" spans="1:70" ht="15" customHeight="1" x14ac:dyDescent="0.2">
      <c r="A38" s="10"/>
      <c r="B38" s="10"/>
      <c r="C38" s="10"/>
      <c r="D38" s="10"/>
      <c r="I38" s="62"/>
      <c r="J38" s="62"/>
      <c r="K38" s="62"/>
      <c r="L38" s="62"/>
      <c r="M38" s="62"/>
      <c r="N38" s="62"/>
      <c r="O38" s="62"/>
      <c r="P38" s="39"/>
      <c r="Q38" s="40"/>
      <c r="R38" s="40"/>
      <c r="S38" s="40"/>
      <c r="T38" s="40"/>
      <c r="U38" s="40"/>
      <c r="V38" s="40"/>
      <c r="W38" s="39"/>
      <c r="AF38" s="28"/>
      <c r="AG38" s="28"/>
      <c r="AH38" s="28"/>
      <c r="AI38" s="28"/>
      <c r="AJ38" s="28"/>
      <c r="AK38" s="50"/>
      <c r="AL38" s="46"/>
      <c r="AM38" s="46"/>
      <c r="AN38" s="46"/>
      <c r="AO38" s="46"/>
      <c r="AP38" s="46"/>
      <c r="AQ38" s="46"/>
      <c r="AR38" s="28"/>
      <c r="AS38" s="28"/>
      <c r="AT38" s="28"/>
      <c r="AU38" s="28"/>
      <c r="AV38" s="28"/>
      <c r="AW38" s="28"/>
      <c r="AX38" s="28"/>
      <c r="AY38" s="28"/>
      <c r="AZ38" s="28"/>
      <c r="BA38" s="28"/>
      <c r="BB38" s="28"/>
      <c r="BC38" s="28"/>
      <c r="BD38" s="28"/>
      <c r="BE38" s="28"/>
      <c r="BM38" s="10"/>
      <c r="BN38" s="10"/>
      <c r="BO38" s="10"/>
      <c r="BP38" s="10"/>
      <c r="BQ38" s="10"/>
      <c r="BR38" s="10"/>
    </row>
    <row r="39" spans="1:70" ht="15" customHeight="1" x14ac:dyDescent="0.2">
      <c r="A39" s="10"/>
      <c r="B39" s="10"/>
      <c r="C39" s="10"/>
      <c r="D39" s="10"/>
      <c r="P39" s="39"/>
      <c r="Q39" s="40"/>
      <c r="R39" s="40"/>
      <c r="S39" s="40"/>
      <c r="T39" s="40"/>
      <c r="U39" s="40"/>
      <c r="V39" s="40"/>
      <c r="W39" s="39"/>
      <c r="AA39" s="28"/>
      <c r="AB39" s="28"/>
      <c r="AC39" s="28"/>
      <c r="AD39" s="28"/>
      <c r="AE39" s="28"/>
      <c r="AF39" s="28"/>
      <c r="AG39" s="28"/>
      <c r="AH39" s="28"/>
      <c r="AI39" s="28"/>
      <c r="AJ39" s="28"/>
      <c r="AK39" s="28"/>
      <c r="AL39" s="28"/>
      <c r="AM39" s="28"/>
      <c r="AN39" s="28"/>
      <c r="AO39" s="28"/>
      <c r="AP39" s="28"/>
      <c r="AQ39" s="28"/>
      <c r="AR39" s="28"/>
      <c r="AS39" s="28"/>
      <c r="AT39" s="28"/>
      <c r="AU39" s="28"/>
      <c r="AV39" s="28"/>
      <c r="AW39" s="28"/>
      <c r="AX39" s="28"/>
      <c r="AY39" s="28"/>
      <c r="AZ39" s="28"/>
      <c r="BA39" s="28"/>
      <c r="BB39" s="28"/>
      <c r="BC39" s="28"/>
      <c r="BD39" s="28"/>
      <c r="BE39" s="28"/>
      <c r="BM39" s="10"/>
      <c r="BN39" s="10"/>
      <c r="BO39" s="10"/>
      <c r="BP39" s="10"/>
      <c r="BQ39" s="10"/>
      <c r="BR39" s="10"/>
    </row>
    <row r="40" spans="1:70" ht="15" customHeight="1" x14ac:dyDescent="0.2">
      <c r="A40" s="10"/>
      <c r="B40" s="10"/>
      <c r="C40" s="10"/>
      <c r="D40" s="10"/>
      <c r="I40" s="43"/>
      <c r="J40" s="43"/>
      <c r="K40" s="43"/>
      <c r="L40" s="43"/>
      <c r="M40" s="43"/>
      <c r="N40" s="43"/>
      <c r="O40" s="43"/>
      <c r="P40" s="39"/>
      <c r="W40" s="39"/>
      <c r="Y40" s="28"/>
      <c r="Z40" s="28"/>
      <c r="AA40" s="28"/>
      <c r="AB40" s="28"/>
      <c r="AC40" s="28"/>
      <c r="AD40" s="28"/>
      <c r="AE40" s="28"/>
      <c r="AF40" s="28"/>
      <c r="AG40" s="28"/>
      <c r="AH40" s="28"/>
      <c r="AI40" s="28"/>
      <c r="AJ40" s="28"/>
      <c r="AK40" s="28"/>
      <c r="AL40" s="28"/>
      <c r="AM40" s="28"/>
      <c r="AN40" s="28"/>
      <c r="AO40" s="28"/>
      <c r="AP40" s="28"/>
      <c r="AQ40" s="28"/>
      <c r="AR40" s="28"/>
      <c r="AS40" s="28"/>
      <c r="AT40" s="28"/>
      <c r="AU40" s="28"/>
      <c r="AV40" s="28"/>
      <c r="BM40" s="10"/>
      <c r="BN40" s="10"/>
      <c r="BO40" s="10"/>
      <c r="BP40" s="10"/>
      <c r="BQ40" s="10"/>
      <c r="BR40" s="10"/>
    </row>
    <row r="41" spans="1:70" ht="15" customHeight="1" x14ac:dyDescent="0.2">
      <c r="A41" s="10"/>
      <c r="B41" s="10"/>
      <c r="C41" s="10"/>
      <c r="D41" s="10"/>
      <c r="P41" s="39"/>
      <c r="S41" s="28"/>
      <c r="T41" s="28"/>
      <c r="U41" s="28"/>
      <c r="V41" s="28"/>
      <c r="W41" s="49"/>
      <c r="X41" s="28"/>
      <c r="Y41" s="28"/>
      <c r="Z41" s="28"/>
      <c r="AA41" s="28"/>
      <c r="AB41" s="28"/>
      <c r="AC41" s="28"/>
      <c r="AD41" s="28"/>
      <c r="AE41" s="28"/>
      <c r="AF41" s="28"/>
      <c r="AG41" s="28"/>
      <c r="AH41" s="28"/>
      <c r="AI41" s="28"/>
      <c r="AJ41" s="28"/>
      <c r="AK41" s="28"/>
      <c r="AL41" s="28"/>
      <c r="AM41" s="28"/>
      <c r="AN41" s="28"/>
      <c r="AO41" s="28"/>
      <c r="AP41" s="28"/>
      <c r="AQ41" s="28"/>
      <c r="AR41" s="28"/>
      <c r="AS41" s="28"/>
      <c r="AT41" s="28"/>
      <c r="AU41" s="28"/>
      <c r="AV41" s="28"/>
      <c r="BM41" s="10"/>
      <c r="BN41" s="10"/>
      <c r="BO41" s="10"/>
      <c r="BP41" s="10"/>
      <c r="BQ41" s="10"/>
      <c r="BR41" s="10"/>
    </row>
    <row r="42" spans="1:70" ht="15" customHeight="1" x14ac:dyDescent="0.2">
      <c r="A42" s="10"/>
      <c r="B42" s="10"/>
      <c r="C42" s="10"/>
      <c r="D42" s="10"/>
      <c r="P42" s="39"/>
      <c r="R42" s="28"/>
      <c r="S42" s="28"/>
      <c r="T42" s="28"/>
      <c r="U42" s="28"/>
      <c r="V42" s="28"/>
      <c r="W42" s="50"/>
      <c r="X42" s="46"/>
      <c r="Y42" s="46"/>
      <c r="Z42" s="46"/>
      <c r="AA42" s="46"/>
      <c r="AB42" s="46"/>
      <c r="AC42" s="46"/>
      <c r="AD42" s="28"/>
      <c r="AE42" s="28"/>
      <c r="AF42" s="28"/>
      <c r="AG42" s="28"/>
      <c r="AH42" s="28"/>
      <c r="AI42" s="28"/>
      <c r="AJ42" s="28"/>
      <c r="AK42" s="28"/>
      <c r="AL42" s="28"/>
      <c r="AM42" s="28"/>
      <c r="AN42" s="28"/>
      <c r="AO42" s="28"/>
      <c r="AP42" s="28"/>
      <c r="AQ42" s="28"/>
      <c r="AR42" s="28"/>
      <c r="AS42" s="28"/>
      <c r="AT42" s="28"/>
      <c r="AU42" s="28"/>
      <c r="BM42" s="10"/>
      <c r="BN42" s="10"/>
      <c r="BO42" s="10"/>
      <c r="BP42" s="10"/>
      <c r="BQ42" s="10"/>
      <c r="BR42" s="10"/>
    </row>
    <row r="43" spans="1:70" ht="15" customHeight="1" x14ac:dyDescent="0.2">
      <c r="A43" s="10"/>
      <c r="B43" s="10"/>
      <c r="C43" s="10"/>
      <c r="D43" s="10"/>
      <c r="P43" s="39"/>
      <c r="R43" s="28"/>
      <c r="S43" s="28"/>
      <c r="T43" s="28"/>
      <c r="U43" s="28"/>
      <c r="V43" s="28"/>
      <c r="W43" s="28"/>
      <c r="X43" s="28"/>
      <c r="Y43" s="28"/>
      <c r="Z43" s="28"/>
      <c r="AA43" s="28"/>
      <c r="AB43" s="28"/>
      <c r="AC43" s="28"/>
      <c r="AD43" s="28"/>
      <c r="AE43" s="28"/>
      <c r="AF43" s="28"/>
      <c r="AG43" s="28"/>
      <c r="AH43" s="28"/>
      <c r="AI43" s="28"/>
      <c r="AJ43" s="28"/>
      <c r="AK43" s="28"/>
      <c r="AL43" s="28"/>
      <c r="AM43" s="28"/>
      <c r="AN43" s="28"/>
      <c r="AO43" s="28"/>
      <c r="AP43" s="28"/>
      <c r="AQ43" s="28"/>
      <c r="BM43" s="10"/>
      <c r="BN43" s="10"/>
      <c r="BO43" s="10"/>
      <c r="BP43" s="10"/>
      <c r="BQ43" s="10"/>
      <c r="BR43" s="10"/>
    </row>
    <row r="44" spans="1:70" ht="15" customHeight="1" x14ac:dyDescent="0.2">
      <c r="A44" s="10"/>
      <c r="B44" s="10"/>
      <c r="C44" s="10"/>
      <c r="D44" s="10"/>
      <c r="P44" s="39"/>
      <c r="R44" s="28"/>
      <c r="S44" s="28"/>
      <c r="T44" s="28"/>
      <c r="U44" s="28"/>
      <c r="V44" s="28"/>
      <c r="W44" s="28"/>
      <c r="X44" s="28"/>
      <c r="Y44" s="28"/>
      <c r="Z44" s="28"/>
      <c r="AA44" s="28"/>
      <c r="AB44" s="28"/>
      <c r="AC44" s="28"/>
      <c r="AD44" s="28"/>
      <c r="AE44" s="28"/>
      <c r="AF44" s="28"/>
      <c r="AG44" s="28"/>
      <c r="AH44" s="28"/>
      <c r="AI44" s="28"/>
      <c r="AJ44" s="28"/>
      <c r="AK44" s="28"/>
      <c r="AL44" s="28"/>
      <c r="AM44" s="28"/>
      <c r="AN44" s="28"/>
      <c r="AO44" s="28"/>
      <c r="AP44" s="28"/>
      <c r="BM44" s="10"/>
      <c r="BN44" s="10"/>
      <c r="BO44" s="10"/>
      <c r="BP44" s="10"/>
      <c r="BQ44" s="10"/>
      <c r="BR44" s="10"/>
    </row>
    <row r="45" spans="1:70" ht="15" customHeight="1" x14ac:dyDescent="0.2">
      <c r="A45" s="10"/>
      <c r="B45" s="10"/>
      <c r="C45" s="10"/>
      <c r="D45" s="10"/>
      <c r="P45" s="41"/>
      <c r="Q45" s="43"/>
      <c r="R45" s="46"/>
      <c r="S45" s="46"/>
      <c r="T45" s="46"/>
      <c r="U45" s="46"/>
      <c r="V45" s="46"/>
      <c r="W45" s="28"/>
      <c r="X45" s="28"/>
      <c r="Y45" s="28"/>
      <c r="Z45" s="28"/>
      <c r="AA45" s="28"/>
      <c r="AB45" s="28"/>
      <c r="AC45" s="28"/>
      <c r="AD45" s="28"/>
      <c r="AE45" s="28"/>
      <c r="AF45" s="28"/>
      <c r="AG45" s="28"/>
      <c r="AH45" s="28"/>
      <c r="AI45" s="28"/>
      <c r="AJ45" s="28"/>
      <c r="AK45" s="28"/>
      <c r="AL45" s="28"/>
      <c r="AM45" s="28"/>
      <c r="AN45" s="28"/>
      <c r="AO45" s="28"/>
      <c r="AP45" s="28"/>
      <c r="BM45" s="10"/>
      <c r="BN45" s="10"/>
      <c r="BO45" s="10"/>
      <c r="BP45" s="10"/>
      <c r="BQ45" s="10"/>
      <c r="BR45" s="10"/>
    </row>
    <row r="46" spans="1:70" ht="15" customHeight="1" x14ac:dyDescent="0.2">
      <c r="A46" s="10"/>
      <c r="B46" s="10"/>
      <c r="C46" s="10"/>
      <c r="D46" s="10"/>
      <c r="R46" s="28"/>
      <c r="S46" s="28"/>
      <c r="T46" s="28"/>
      <c r="U46" s="28"/>
      <c r="V46" s="28"/>
      <c r="W46" s="28"/>
      <c r="X46" s="28"/>
      <c r="Y46" s="28"/>
      <c r="Z46" s="28"/>
      <c r="AA46" s="28"/>
      <c r="AB46" s="28"/>
      <c r="AC46" s="28"/>
      <c r="AD46" s="28"/>
      <c r="AE46" s="28"/>
      <c r="AF46" s="28"/>
      <c r="AG46" s="28"/>
      <c r="AH46" s="28"/>
      <c r="AI46" s="28"/>
      <c r="AJ46" s="28"/>
      <c r="AK46" s="28"/>
      <c r="AL46" s="28"/>
      <c r="AM46" s="28"/>
      <c r="AN46" s="28"/>
      <c r="AO46" s="28"/>
      <c r="AP46" s="28"/>
      <c r="BM46" s="10"/>
      <c r="BN46" s="10"/>
      <c r="BO46" s="10"/>
      <c r="BP46" s="10"/>
      <c r="BQ46" s="10"/>
      <c r="BR46" s="10"/>
    </row>
    <row r="47" spans="1:70" ht="15" customHeight="1" x14ac:dyDescent="0.2">
      <c r="A47" s="10"/>
      <c r="B47" s="10"/>
      <c r="C47" s="10"/>
      <c r="D47" s="10"/>
      <c r="R47" s="28"/>
      <c r="S47" s="28"/>
      <c r="T47" s="28"/>
      <c r="U47" s="28"/>
      <c r="V47" s="28"/>
      <c r="W47" s="28"/>
      <c r="X47" s="28"/>
      <c r="Y47" s="28"/>
      <c r="Z47" s="28"/>
      <c r="AA47" s="28"/>
      <c r="AB47" s="28"/>
      <c r="AC47" s="28"/>
      <c r="AD47" s="28"/>
      <c r="AE47" s="28"/>
      <c r="AF47" s="28"/>
      <c r="AG47" s="28"/>
      <c r="AH47" s="28"/>
      <c r="AI47" s="28"/>
      <c r="AJ47" s="28"/>
      <c r="AK47" s="28"/>
      <c r="AL47" s="28"/>
      <c r="AM47" s="28"/>
      <c r="AN47" s="28"/>
      <c r="AO47" s="28"/>
      <c r="AP47" s="28"/>
      <c r="BM47" s="10"/>
      <c r="BN47" s="10"/>
      <c r="BO47" s="10"/>
      <c r="BP47" s="10"/>
      <c r="BQ47" s="10"/>
      <c r="BR47" s="10"/>
    </row>
    <row r="48" spans="1:70" ht="15" customHeight="1" x14ac:dyDescent="0.2">
      <c r="A48" s="10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8"/>
      <c r="AA48" s="18"/>
      <c r="AB48" s="18"/>
      <c r="AC48" s="18"/>
      <c r="AD48" s="18"/>
      <c r="AE48" s="18"/>
      <c r="AF48" s="18"/>
      <c r="AG48" s="18"/>
      <c r="AH48" s="18"/>
      <c r="AI48" s="18"/>
      <c r="AJ48" s="18"/>
      <c r="AK48" s="18"/>
      <c r="AL48" s="18"/>
      <c r="AM48" s="18"/>
      <c r="AN48" s="18"/>
      <c r="AO48" s="18"/>
      <c r="AP48" s="18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</row>
    <row r="49" spans="1:70" ht="15" customHeight="1" x14ac:dyDescent="0.2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8"/>
      <c r="AA49" s="18"/>
      <c r="AB49" s="18"/>
      <c r="AC49" s="18"/>
      <c r="AD49" s="18"/>
      <c r="AE49" s="18"/>
      <c r="AF49" s="18"/>
      <c r="AG49" s="18"/>
      <c r="AH49" s="18"/>
      <c r="AI49" s="18"/>
      <c r="AJ49" s="18"/>
      <c r="AK49" s="18"/>
      <c r="AL49" s="18"/>
      <c r="AM49" s="18"/>
      <c r="AN49" s="18"/>
      <c r="AO49" s="18"/>
      <c r="AP49" s="18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</row>
    <row r="50" spans="1:70" s="14" customFormat="1" ht="15" customHeight="1" x14ac:dyDescent="0.2">
      <c r="A50" s="64" t="s">
        <v>19</v>
      </c>
      <c r="B50" s="64"/>
      <c r="C50" s="64"/>
      <c r="D50" s="64"/>
      <c r="E50" s="64"/>
      <c r="F50" s="64"/>
      <c r="G50" s="64"/>
      <c r="H50" s="64"/>
      <c r="I50" s="64"/>
      <c r="J50" s="64"/>
      <c r="K50" s="64"/>
      <c r="L50" s="64"/>
      <c r="M50" s="64"/>
      <c r="N50" s="64"/>
      <c r="O50" s="64"/>
      <c r="P50" s="64"/>
      <c r="Q50" s="64"/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64"/>
      <c r="AF50" s="64"/>
      <c r="AG50" s="64"/>
      <c r="AH50" s="64"/>
      <c r="AI50" s="64"/>
      <c r="AJ50" s="64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4"/>
      <c r="AV50" s="64"/>
      <c r="AW50" s="64"/>
      <c r="AX50" s="64"/>
      <c r="AY50" s="64"/>
      <c r="AZ50" s="64"/>
      <c r="BA50" s="64"/>
      <c r="BB50" s="64"/>
      <c r="BC50" s="64"/>
      <c r="BD50" s="64"/>
      <c r="BE50" s="64"/>
      <c r="BF50" s="64"/>
      <c r="BG50" s="64"/>
      <c r="BH50" s="64"/>
      <c r="BI50" s="64"/>
      <c r="BJ50" s="64"/>
      <c r="BK50" s="64"/>
      <c r="BL50" s="64"/>
      <c r="BM50" s="64"/>
      <c r="BN50" s="64"/>
      <c r="BO50" s="64"/>
      <c r="BP50" s="64"/>
      <c r="BQ50" s="64"/>
      <c r="BR50" s="64"/>
    </row>
    <row r="52" spans="1:70" ht="15" customHeight="1" x14ac:dyDescent="0.2">
      <c r="A52" s="65" t="s">
        <v>65</v>
      </c>
      <c r="B52" s="65"/>
      <c r="C52" s="65"/>
      <c r="D52" s="65"/>
      <c r="E52" s="65"/>
      <c r="F52" s="65" t="str">
        <f>IF('Event Tree Input'!D27="Seismic Hazard","Yes","No")</f>
        <v>No</v>
      </c>
      <c r="G52" s="65"/>
      <c r="I52" s="62" t="s">
        <v>17</v>
      </c>
      <c r="J52" s="62"/>
      <c r="K52" s="65" t="s">
        <v>23</v>
      </c>
      <c r="L52" s="65"/>
      <c r="M52" s="65"/>
      <c r="N52" s="65" t="s">
        <v>24</v>
      </c>
      <c r="O52" s="65"/>
      <c r="P52" s="65"/>
    </row>
    <row r="53" spans="1:70" ht="15" customHeight="1" x14ac:dyDescent="0.2">
      <c r="I53" s="62"/>
      <c r="J53" s="62"/>
      <c r="K53" s="65" t="s">
        <v>22</v>
      </c>
      <c r="L53" s="65"/>
      <c r="M53" s="65"/>
      <c r="N53" s="65" t="s">
        <v>22</v>
      </c>
      <c r="O53" s="65"/>
      <c r="P53" s="65"/>
      <c r="S53" s="65" t="s">
        <v>17</v>
      </c>
      <c r="T53" s="65"/>
      <c r="U53" s="65" t="s">
        <v>27</v>
      </c>
      <c r="V53" s="65"/>
      <c r="W53" s="65"/>
      <c r="X53" s="65" t="s">
        <v>30</v>
      </c>
      <c r="Y53" s="65"/>
      <c r="Z53" s="65"/>
    </row>
    <row r="54" spans="1:70" ht="15" customHeight="1" x14ac:dyDescent="0.2">
      <c r="I54" s="65">
        <v>1</v>
      </c>
      <c r="J54" s="65"/>
      <c r="K54" s="65" t="str">
        <f>'Event Tree Input'!B176</f>
        <v>Circle</v>
      </c>
      <c r="L54" s="65"/>
      <c r="M54" s="65"/>
      <c r="N54" s="65" t="str">
        <f>'Event Tree Input'!C176</f>
        <v>Triangle</v>
      </c>
      <c r="O54" s="65"/>
      <c r="P54" s="65"/>
      <c r="S54" s="65">
        <v>1</v>
      </c>
      <c r="T54" s="65"/>
      <c r="U54" s="65" t="str">
        <f>IF('Event Tree Input'!$D$32="No","No",IF(AND('Event Tree Input'!$D$32="Yes",'Event Tree Input'!$D$29&gt;=S54),"Yes","No"))</f>
        <v>No</v>
      </c>
      <c r="V54" s="65"/>
      <c r="W54" s="65"/>
      <c r="X54" s="65" t="str">
        <f>'Event Tree Input'!$D$31</f>
        <v>Yes</v>
      </c>
      <c r="Y54" s="65"/>
      <c r="Z54" s="65"/>
    </row>
    <row r="55" spans="1:70" ht="15" customHeight="1" x14ac:dyDescent="0.2">
      <c r="I55" s="65">
        <v>2</v>
      </c>
      <c r="J55" s="65"/>
      <c r="K55" s="65" t="str">
        <f>'Event Tree Input'!B177</f>
        <v>Circle</v>
      </c>
      <c r="L55" s="65"/>
      <c r="M55" s="65"/>
      <c r="N55" s="65" t="str">
        <f>'Event Tree Input'!C177</f>
        <v>Triangle</v>
      </c>
      <c r="O55" s="65"/>
      <c r="P55" s="65"/>
      <c r="S55" s="65">
        <v>2</v>
      </c>
      <c r="T55" s="65"/>
      <c r="U55" s="65" t="str">
        <f>IF('Event Tree Input'!$D$32="No","No",IF(AND('Event Tree Input'!$D$32="Yes",'Event Tree Input'!$D$29&gt;=S55),"Yes","No"))</f>
        <v>No</v>
      </c>
      <c r="V55" s="65"/>
      <c r="W55" s="65"/>
      <c r="X55" s="65" t="str">
        <f>'Event Tree Input'!$D$31</f>
        <v>Yes</v>
      </c>
      <c r="Y55" s="65"/>
      <c r="Z55" s="65"/>
    </row>
    <row r="56" spans="1:70" ht="15" customHeight="1" x14ac:dyDescent="0.2">
      <c r="I56" s="65">
        <v>3</v>
      </c>
      <c r="J56" s="65"/>
      <c r="K56" s="65" t="str">
        <f>'Event Tree Input'!B178</f>
        <v>Triangle</v>
      </c>
      <c r="L56" s="65"/>
      <c r="M56" s="65"/>
      <c r="N56" s="65" t="str">
        <f>'Event Tree Input'!C178</f>
        <v>Triangle</v>
      </c>
      <c r="O56" s="65"/>
      <c r="P56" s="65"/>
      <c r="S56" s="65">
        <v>3</v>
      </c>
      <c r="T56" s="65"/>
      <c r="U56" s="65" t="str">
        <f>IF('Event Tree Input'!$D$32="No","No",IF(AND('Event Tree Input'!$D$32="Yes",'Event Tree Input'!$D$29&gt;=S56),"Yes","No"))</f>
        <v>No</v>
      </c>
      <c r="V56" s="65"/>
      <c r="W56" s="65"/>
      <c r="X56" s="65" t="str">
        <f>'Event Tree Input'!$D$31</f>
        <v>Yes</v>
      </c>
      <c r="Y56" s="65"/>
      <c r="Z56" s="65"/>
    </row>
    <row r="57" spans="1:70" ht="15" customHeight="1" x14ac:dyDescent="0.2">
      <c r="I57" s="65">
        <v>4</v>
      </c>
      <c r="J57" s="65"/>
      <c r="K57" s="65" t="str">
        <f>'Event Tree Input'!B179</f>
        <v/>
      </c>
      <c r="L57" s="65"/>
      <c r="M57" s="65"/>
      <c r="N57" s="65" t="str">
        <f>'Event Tree Input'!C179</f>
        <v/>
      </c>
      <c r="O57" s="65"/>
      <c r="P57" s="65"/>
      <c r="S57" s="65">
        <v>4</v>
      </c>
      <c r="T57" s="65"/>
      <c r="U57" s="65" t="str">
        <f>IF('Event Tree Input'!$D$32="No","No",IF(AND('Event Tree Input'!$D$32="Yes",'Event Tree Input'!$D$29&gt;=S57),"Yes","No"))</f>
        <v>No</v>
      </c>
      <c r="V57" s="65"/>
      <c r="W57" s="65"/>
      <c r="X57" s="65" t="str">
        <f>'Event Tree Input'!$D$31</f>
        <v>Yes</v>
      </c>
      <c r="Y57" s="65"/>
      <c r="Z57" s="65"/>
    </row>
    <row r="58" spans="1:70" ht="15" customHeight="1" x14ac:dyDescent="0.2">
      <c r="I58" s="65">
        <v>5</v>
      </c>
      <c r="J58" s="65"/>
      <c r="K58" s="65" t="str">
        <f>'Event Tree Input'!B180</f>
        <v/>
      </c>
      <c r="L58" s="65"/>
      <c r="M58" s="65"/>
      <c r="N58" s="65" t="str">
        <f>'Event Tree Input'!C180</f>
        <v/>
      </c>
      <c r="O58" s="65"/>
      <c r="P58" s="65"/>
      <c r="S58" s="65">
        <v>5</v>
      </c>
      <c r="T58" s="65"/>
      <c r="U58" s="65" t="str">
        <f>IF('Event Tree Input'!$D$32="No","No",IF(AND('Event Tree Input'!$D$32="Yes",'Event Tree Input'!$D$29&gt;=S58),"Yes","No"))</f>
        <v>No</v>
      </c>
      <c r="V58" s="65"/>
      <c r="W58" s="65"/>
      <c r="X58" s="65" t="str">
        <f>'Event Tree Input'!$D$31</f>
        <v>Yes</v>
      </c>
      <c r="Y58" s="65"/>
      <c r="Z58" s="65"/>
    </row>
    <row r="59" spans="1:70" ht="15" customHeight="1" x14ac:dyDescent="0.2">
      <c r="I59" s="65">
        <v>6</v>
      </c>
      <c r="J59" s="65"/>
      <c r="K59" s="65" t="str">
        <f>'Event Tree Input'!B181</f>
        <v/>
      </c>
      <c r="L59" s="65"/>
      <c r="M59" s="65"/>
      <c r="N59" s="65" t="str">
        <f>'Event Tree Input'!C181</f>
        <v/>
      </c>
      <c r="O59" s="65"/>
      <c r="P59" s="65"/>
      <c r="S59" s="65">
        <v>6</v>
      </c>
      <c r="T59" s="65"/>
      <c r="U59" s="65" t="str">
        <f>IF('Event Tree Input'!$D$32="No","No",IF(AND('Event Tree Input'!$D$32="Yes",'Event Tree Input'!$D$29&gt;=S59),"Yes","No"))</f>
        <v>No</v>
      </c>
      <c r="V59" s="65"/>
      <c r="W59" s="65"/>
      <c r="X59" s="65" t="str">
        <f>'Event Tree Input'!$D$31</f>
        <v>Yes</v>
      </c>
      <c r="Y59" s="65"/>
      <c r="Z59" s="65"/>
    </row>
    <row r="60" spans="1:70" ht="15" customHeight="1" x14ac:dyDescent="0.2">
      <c r="I60" s="65">
        <v>7</v>
      </c>
      <c r="J60" s="65"/>
      <c r="K60" s="65" t="str">
        <f>'Event Tree Input'!B182</f>
        <v/>
      </c>
      <c r="L60" s="65"/>
      <c r="M60" s="65"/>
      <c r="N60" s="65" t="str">
        <f>'Event Tree Input'!C182</f>
        <v/>
      </c>
      <c r="O60" s="65"/>
      <c r="P60" s="65"/>
      <c r="S60" s="65">
        <v>7</v>
      </c>
      <c r="T60" s="65"/>
      <c r="U60" s="65" t="str">
        <f>IF('Event Tree Input'!$D$32="No","No",IF(AND('Event Tree Input'!$D$32="Yes",'Event Tree Input'!$D$29&gt;=S60),"Yes","No"))</f>
        <v>No</v>
      </c>
      <c r="V60" s="65"/>
      <c r="W60" s="65"/>
      <c r="X60" s="65" t="str">
        <f>'Event Tree Input'!$D$31</f>
        <v>Yes</v>
      </c>
      <c r="Y60" s="65"/>
      <c r="Z60" s="65"/>
    </row>
    <row r="61" spans="1:70" ht="15" customHeight="1" x14ac:dyDescent="0.2">
      <c r="I61" s="65">
        <v>8</v>
      </c>
      <c r="J61" s="65"/>
      <c r="K61" s="65" t="str">
        <f>'Event Tree Input'!B183</f>
        <v/>
      </c>
      <c r="L61" s="65"/>
      <c r="M61" s="65"/>
      <c r="N61" s="65" t="str">
        <f>'Event Tree Input'!C183</f>
        <v/>
      </c>
      <c r="O61" s="65"/>
      <c r="P61" s="65"/>
      <c r="S61" s="65">
        <v>8</v>
      </c>
      <c r="T61" s="65"/>
      <c r="U61" s="65" t="str">
        <f>IF('Event Tree Input'!$D$32="No","No",IF(AND('Event Tree Input'!$D$32="Yes",'Event Tree Input'!$D$29&gt;=S61),"Yes","No"))</f>
        <v>No</v>
      </c>
      <c r="V61" s="65"/>
      <c r="W61" s="65"/>
      <c r="X61" s="65" t="str">
        <f>'Event Tree Input'!$D$31</f>
        <v>Yes</v>
      </c>
      <c r="Y61" s="65"/>
      <c r="Z61" s="65"/>
    </row>
    <row r="62" spans="1:70" ht="15" customHeight="1" x14ac:dyDescent="0.2">
      <c r="I62" s="65">
        <v>9</v>
      </c>
      <c r="J62" s="65"/>
      <c r="K62" s="65" t="str">
        <f>'Event Tree Input'!B184</f>
        <v/>
      </c>
      <c r="L62" s="65"/>
      <c r="M62" s="65"/>
      <c r="N62" s="65" t="str">
        <f>'Event Tree Input'!C184</f>
        <v/>
      </c>
      <c r="O62" s="65"/>
      <c r="P62" s="65"/>
      <c r="S62" s="65">
        <v>9</v>
      </c>
      <c r="T62" s="65"/>
      <c r="U62" s="65" t="str">
        <f>IF('Event Tree Input'!$D$32="No","No",IF(AND('Event Tree Input'!$D$32="Yes",'Event Tree Input'!$D$29&gt;=S62),"Yes","No"))</f>
        <v>No</v>
      </c>
      <c r="V62" s="65"/>
      <c r="W62" s="65"/>
      <c r="X62" s="65" t="str">
        <f>'Event Tree Input'!$D$31</f>
        <v>Yes</v>
      </c>
      <c r="Y62" s="65"/>
      <c r="Z62" s="65"/>
    </row>
    <row r="64" spans="1:70" ht="15" customHeight="1" x14ac:dyDescent="0.2">
      <c r="B64" s="9" t="s">
        <v>39</v>
      </c>
      <c r="M64" s="23"/>
      <c r="N64" s="23"/>
      <c r="O64" s="23"/>
    </row>
    <row r="65" spans="2:25" ht="15" customHeight="1" x14ac:dyDescent="0.2">
      <c r="B65" s="63" t="str">
        <f>'Event Tree Input'!A45</f>
        <v>Node 1 Callout</v>
      </c>
      <c r="C65" s="63"/>
      <c r="D65" s="63"/>
      <c r="E65" s="63"/>
      <c r="F65" s="63"/>
      <c r="G65" s="63"/>
      <c r="H65" s="63"/>
      <c r="I65" s="63"/>
      <c r="J65" s="63"/>
      <c r="K65" s="63"/>
      <c r="L65" s="63"/>
      <c r="M65" s="63"/>
      <c r="N65" s="63"/>
      <c r="O65" s="63"/>
      <c r="P65" s="63"/>
      <c r="Q65" s="63"/>
      <c r="R65" s="63"/>
      <c r="S65" s="63"/>
      <c r="T65" s="63"/>
      <c r="U65" s="63"/>
      <c r="V65" s="63"/>
      <c r="W65" s="28"/>
    </row>
    <row r="66" spans="2:25" ht="15" customHeight="1" x14ac:dyDescent="0.2">
      <c r="B66" s="63"/>
      <c r="C66" s="63"/>
      <c r="D66" s="63"/>
      <c r="E66" s="63"/>
      <c r="F66" s="63"/>
      <c r="G66" s="63"/>
      <c r="H66" s="63"/>
      <c r="I66" s="63"/>
      <c r="J66" s="63"/>
      <c r="K66" s="63"/>
      <c r="L66" s="63"/>
      <c r="M66" s="63"/>
      <c r="N66" s="63"/>
      <c r="O66" s="63"/>
      <c r="P66" s="63"/>
      <c r="Q66" s="63"/>
      <c r="R66" s="63"/>
      <c r="S66" s="63"/>
      <c r="T66" s="63"/>
      <c r="U66" s="63"/>
      <c r="V66" s="63"/>
      <c r="W66" s="28"/>
    </row>
    <row r="67" spans="2:25" ht="15" customHeight="1" x14ac:dyDescent="0.2">
      <c r="B67" s="63"/>
      <c r="C67" s="63"/>
      <c r="D67" s="63"/>
      <c r="E67" s="63"/>
      <c r="F67" s="63"/>
      <c r="G67" s="63"/>
      <c r="H67" s="63"/>
      <c r="I67" s="63"/>
      <c r="J67" s="63"/>
      <c r="K67" s="63"/>
      <c r="L67" s="63"/>
      <c r="M67" s="63"/>
      <c r="N67" s="63"/>
      <c r="O67" s="63"/>
      <c r="P67" s="63"/>
      <c r="Q67" s="63"/>
      <c r="R67" s="63"/>
      <c r="S67" s="63"/>
      <c r="T67" s="63"/>
      <c r="U67" s="63"/>
      <c r="V67" s="63"/>
      <c r="W67" s="28"/>
      <c r="X67" s="29"/>
      <c r="Y67" s="28"/>
    </row>
    <row r="68" spans="2:25" ht="15" customHeight="1" x14ac:dyDescent="0.2">
      <c r="B68" s="63"/>
      <c r="C68" s="63"/>
      <c r="D68" s="63"/>
      <c r="E68" s="63"/>
      <c r="F68" s="63"/>
      <c r="G68" s="63"/>
      <c r="H68" s="63"/>
      <c r="I68" s="63"/>
      <c r="J68" s="63"/>
      <c r="K68" s="63"/>
      <c r="L68" s="63"/>
      <c r="M68" s="63"/>
      <c r="N68" s="63"/>
      <c r="O68" s="63"/>
      <c r="P68" s="63"/>
      <c r="Q68" s="63"/>
      <c r="R68" s="63"/>
      <c r="S68" s="63"/>
      <c r="T68" s="63"/>
      <c r="U68" s="63"/>
      <c r="V68" s="63"/>
      <c r="W68" s="28"/>
      <c r="X68" s="29"/>
      <c r="Y68" s="28"/>
    </row>
    <row r="69" spans="2:25" ht="15" customHeight="1" x14ac:dyDescent="0.2">
      <c r="B69" s="63"/>
      <c r="C69" s="63"/>
      <c r="D69" s="63"/>
      <c r="E69" s="63"/>
      <c r="F69" s="63"/>
      <c r="G69" s="63"/>
      <c r="H69" s="63"/>
      <c r="I69" s="63"/>
      <c r="J69" s="63"/>
      <c r="K69" s="63"/>
      <c r="L69" s="63"/>
      <c r="M69" s="63"/>
      <c r="N69" s="63"/>
      <c r="O69" s="63"/>
      <c r="P69" s="63"/>
      <c r="Q69" s="63"/>
      <c r="R69" s="63"/>
      <c r="S69" s="63"/>
      <c r="T69" s="63"/>
      <c r="U69" s="63"/>
      <c r="V69" s="63"/>
      <c r="W69" s="28"/>
      <c r="X69" s="29"/>
      <c r="Y69" s="28"/>
    </row>
    <row r="70" spans="2:25" ht="15" customHeight="1" x14ac:dyDescent="0.2">
      <c r="B70" s="63"/>
      <c r="C70" s="63"/>
      <c r="D70" s="63"/>
      <c r="E70" s="63"/>
      <c r="F70" s="63"/>
      <c r="G70" s="63"/>
      <c r="H70" s="63"/>
      <c r="I70" s="63"/>
      <c r="J70" s="63"/>
      <c r="K70" s="63"/>
      <c r="L70" s="63"/>
      <c r="M70" s="63"/>
      <c r="N70" s="63"/>
      <c r="O70" s="63"/>
      <c r="P70" s="63"/>
      <c r="Q70" s="63"/>
      <c r="R70" s="63"/>
      <c r="S70" s="63"/>
      <c r="T70" s="63"/>
      <c r="U70" s="63"/>
      <c r="V70" s="63"/>
      <c r="W70" s="28"/>
      <c r="X70" s="29"/>
      <c r="Y70" s="28"/>
    </row>
    <row r="71" spans="2:25" ht="15" customHeight="1" x14ac:dyDescent="0.2">
      <c r="B71" s="28"/>
      <c r="C71" s="28"/>
      <c r="D71" s="28"/>
      <c r="E71" s="28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28"/>
      <c r="R71" s="28"/>
      <c r="S71" s="28"/>
      <c r="T71" s="28"/>
      <c r="U71" s="28"/>
      <c r="V71" s="28"/>
      <c r="W71" s="28"/>
      <c r="X71" s="29"/>
      <c r="Y71" s="28"/>
    </row>
    <row r="72" spans="2:25" ht="15" customHeight="1" x14ac:dyDescent="0.2">
      <c r="B72" s="9" t="s">
        <v>40</v>
      </c>
      <c r="M72" s="23"/>
      <c r="N72" s="23"/>
      <c r="O72" s="23"/>
      <c r="W72" s="28"/>
      <c r="X72" s="28"/>
      <c r="Y72" s="28"/>
    </row>
    <row r="73" spans="2:25" ht="15" customHeight="1" x14ac:dyDescent="0.2">
      <c r="B73" s="63" t="str">
        <f>'Event Tree Input'!A59</f>
        <v>Node 2 Callout</v>
      </c>
      <c r="C73" s="63"/>
      <c r="D73" s="63"/>
      <c r="E73" s="63"/>
      <c r="F73" s="63"/>
      <c r="G73" s="63"/>
      <c r="H73" s="63"/>
      <c r="I73" s="63"/>
      <c r="J73" s="63"/>
      <c r="K73" s="63"/>
      <c r="L73" s="63"/>
      <c r="M73" s="63"/>
      <c r="N73" s="63"/>
      <c r="O73" s="63"/>
      <c r="P73" s="63"/>
      <c r="Q73" s="63"/>
      <c r="R73" s="63"/>
      <c r="S73" s="63"/>
      <c r="T73" s="63"/>
      <c r="U73" s="63"/>
      <c r="V73" s="63"/>
    </row>
    <row r="74" spans="2:25" ht="15" customHeight="1" x14ac:dyDescent="0.2">
      <c r="B74" s="63"/>
      <c r="C74" s="63"/>
      <c r="D74" s="63"/>
      <c r="E74" s="63"/>
      <c r="F74" s="63"/>
      <c r="G74" s="63"/>
      <c r="H74" s="63"/>
      <c r="I74" s="63"/>
      <c r="J74" s="63"/>
      <c r="K74" s="63"/>
      <c r="L74" s="63"/>
      <c r="M74" s="63"/>
      <c r="N74" s="63"/>
      <c r="O74" s="63"/>
      <c r="P74" s="63"/>
      <c r="Q74" s="63"/>
      <c r="R74" s="63"/>
      <c r="S74" s="63"/>
      <c r="T74" s="63"/>
      <c r="U74" s="63"/>
      <c r="V74" s="63"/>
      <c r="W74" s="29"/>
      <c r="X74" s="29"/>
    </row>
    <row r="75" spans="2:25" ht="15" customHeight="1" x14ac:dyDescent="0.2">
      <c r="B75" s="63"/>
      <c r="C75" s="63"/>
      <c r="D75" s="63"/>
      <c r="E75" s="63"/>
      <c r="F75" s="63"/>
      <c r="G75" s="63"/>
      <c r="H75" s="63"/>
      <c r="I75" s="63"/>
      <c r="J75" s="63"/>
      <c r="K75" s="63"/>
      <c r="L75" s="63"/>
      <c r="M75" s="63"/>
      <c r="N75" s="63"/>
      <c r="O75" s="63"/>
      <c r="P75" s="63"/>
      <c r="Q75" s="63"/>
      <c r="R75" s="63"/>
      <c r="S75" s="63"/>
      <c r="T75" s="63"/>
      <c r="U75" s="63"/>
      <c r="V75" s="63"/>
      <c r="W75" s="29"/>
      <c r="X75" s="29"/>
    </row>
    <row r="76" spans="2:25" ht="15" customHeight="1" x14ac:dyDescent="0.2">
      <c r="B76" s="63"/>
      <c r="C76" s="63"/>
      <c r="D76" s="63"/>
      <c r="E76" s="63"/>
      <c r="F76" s="63"/>
      <c r="G76" s="63"/>
      <c r="H76" s="63"/>
      <c r="I76" s="63"/>
      <c r="J76" s="63"/>
      <c r="K76" s="63"/>
      <c r="L76" s="63"/>
      <c r="M76" s="63"/>
      <c r="N76" s="63"/>
      <c r="O76" s="63"/>
      <c r="P76" s="63"/>
      <c r="Q76" s="63"/>
      <c r="R76" s="63"/>
      <c r="S76" s="63"/>
      <c r="T76" s="63"/>
      <c r="U76" s="63"/>
      <c r="V76" s="63"/>
      <c r="W76" s="29"/>
      <c r="X76" s="29"/>
    </row>
    <row r="77" spans="2:25" ht="15" customHeight="1" x14ac:dyDescent="0.2">
      <c r="B77" s="63"/>
      <c r="C77" s="63"/>
      <c r="D77" s="63"/>
      <c r="E77" s="63"/>
      <c r="F77" s="63"/>
      <c r="G77" s="63"/>
      <c r="H77" s="63"/>
      <c r="I77" s="63"/>
      <c r="J77" s="63"/>
      <c r="K77" s="63"/>
      <c r="L77" s="63"/>
      <c r="M77" s="63"/>
      <c r="N77" s="63"/>
      <c r="O77" s="63"/>
      <c r="P77" s="63"/>
      <c r="Q77" s="63"/>
      <c r="R77" s="63"/>
      <c r="S77" s="63"/>
      <c r="T77" s="63"/>
      <c r="U77" s="63"/>
      <c r="V77" s="63"/>
      <c r="W77" s="29"/>
      <c r="X77" s="29"/>
    </row>
    <row r="78" spans="2:25" ht="15" customHeight="1" x14ac:dyDescent="0.2">
      <c r="B78" s="63"/>
      <c r="C78" s="63"/>
      <c r="D78" s="63"/>
      <c r="E78" s="63"/>
      <c r="F78" s="63"/>
      <c r="G78" s="63"/>
      <c r="H78" s="63"/>
      <c r="I78" s="63"/>
      <c r="J78" s="63"/>
      <c r="K78" s="63"/>
      <c r="L78" s="63"/>
      <c r="M78" s="63"/>
      <c r="N78" s="63"/>
      <c r="O78" s="63"/>
      <c r="P78" s="63"/>
      <c r="Q78" s="63"/>
      <c r="R78" s="63"/>
      <c r="S78" s="63"/>
      <c r="T78" s="63"/>
      <c r="U78" s="63"/>
      <c r="V78" s="63"/>
      <c r="W78" s="29"/>
      <c r="X78" s="29"/>
    </row>
    <row r="80" spans="2:25" ht="15" customHeight="1" x14ac:dyDescent="0.2">
      <c r="B80" s="9" t="s">
        <v>41</v>
      </c>
      <c r="M80" s="23"/>
      <c r="N80" s="23"/>
      <c r="O80" s="23"/>
    </row>
    <row r="81" spans="2:22" ht="15" customHeight="1" x14ac:dyDescent="0.2">
      <c r="B81" s="63" t="str">
        <f>'Event Tree Input'!A73</f>
        <v>Node 3 Callout</v>
      </c>
      <c r="C81" s="63"/>
      <c r="D81" s="63"/>
      <c r="E81" s="63"/>
      <c r="F81" s="63"/>
      <c r="G81" s="63"/>
      <c r="H81" s="63"/>
      <c r="I81" s="63"/>
      <c r="J81" s="63"/>
      <c r="K81" s="63"/>
      <c r="L81" s="63"/>
      <c r="M81" s="63"/>
      <c r="N81" s="63"/>
      <c r="O81" s="63"/>
      <c r="P81" s="63"/>
      <c r="Q81" s="63"/>
      <c r="R81" s="63"/>
      <c r="S81" s="63"/>
      <c r="T81" s="63"/>
      <c r="U81" s="63"/>
      <c r="V81" s="63"/>
    </row>
    <row r="82" spans="2:22" ht="15" customHeight="1" x14ac:dyDescent="0.2">
      <c r="B82" s="63"/>
      <c r="C82" s="63"/>
      <c r="D82" s="63"/>
      <c r="E82" s="63"/>
      <c r="F82" s="63"/>
      <c r="G82" s="63"/>
      <c r="H82" s="63"/>
      <c r="I82" s="63"/>
      <c r="J82" s="63"/>
      <c r="K82" s="63"/>
      <c r="L82" s="63"/>
      <c r="M82" s="63"/>
      <c r="N82" s="63"/>
      <c r="O82" s="63"/>
      <c r="P82" s="63"/>
      <c r="Q82" s="63"/>
      <c r="R82" s="63"/>
      <c r="S82" s="63"/>
      <c r="T82" s="63"/>
      <c r="U82" s="63"/>
      <c r="V82" s="63"/>
    </row>
    <row r="83" spans="2:22" ht="15" customHeight="1" x14ac:dyDescent="0.2">
      <c r="B83" s="63"/>
      <c r="C83" s="63"/>
      <c r="D83" s="63"/>
      <c r="E83" s="63"/>
      <c r="F83" s="63"/>
      <c r="G83" s="63"/>
      <c r="H83" s="63"/>
      <c r="I83" s="63"/>
      <c r="J83" s="63"/>
      <c r="K83" s="63"/>
      <c r="L83" s="63"/>
      <c r="M83" s="63"/>
      <c r="N83" s="63"/>
      <c r="O83" s="63"/>
      <c r="P83" s="63"/>
      <c r="Q83" s="63"/>
      <c r="R83" s="63"/>
      <c r="S83" s="63"/>
      <c r="T83" s="63"/>
      <c r="U83" s="63"/>
      <c r="V83" s="63"/>
    </row>
    <row r="84" spans="2:22" ht="15" customHeight="1" x14ac:dyDescent="0.2">
      <c r="B84" s="63"/>
      <c r="C84" s="63"/>
      <c r="D84" s="63"/>
      <c r="E84" s="63"/>
      <c r="F84" s="63"/>
      <c r="G84" s="63"/>
      <c r="H84" s="63"/>
      <c r="I84" s="63"/>
      <c r="J84" s="63"/>
      <c r="K84" s="63"/>
      <c r="L84" s="63"/>
      <c r="M84" s="63"/>
      <c r="N84" s="63"/>
      <c r="O84" s="63"/>
      <c r="P84" s="63"/>
      <c r="Q84" s="63"/>
      <c r="R84" s="63"/>
      <c r="S84" s="63"/>
      <c r="T84" s="63"/>
      <c r="U84" s="63"/>
      <c r="V84" s="63"/>
    </row>
    <row r="85" spans="2:22" ht="15" customHeight="1" x14ac:dyDescent="0.2">
      <c r="B85" s="63"/>
      <c r="C85" s="63"/>
      <c r="D85" s="63"/>
      <c r="E85" s="63"/>
      <c r="F85" s="63"/>
      <c r="G85" s="63"/>
      <c r="H85" s="63"/>
      <c r="I85" s="63"/>
      <c r="J85" s="63"/>
      <c r="K85" s="63"/>
      <c r="L85" s="63"/>
      <c r="M85" s="63"/>
      <c r="N85" s="63"/>
      <c r="O85" s="63"/>
      <c r="P85" s="63"/>
      <c r="Q85" s="63"/>
      <c r="R85" s="63"/>
      <c r="S85" s="63"/>
      <c r="T85" s="63"/>
      <c r="U85" s="63"/>
      <c r="V85" s="63"/>
    </row>
    <row r="86" spans="2:22" ht="15" customHeight="1" x14ac:dyDescent="0.2">
      <c r="B86" s="63"/>
      <c r="C86" s="63"/>
      <c r="D86" s="63"/>
      <c r="E86" s="63"/>
      <c r="F86" s="63"/>
      <c r="G86" s="63"/>
      <c r="H86" s="63"/>
      <c r="I86" s="63"/>
      <c r="J86" s="63"/>
      <c r="K86" s="63"/>
      <c r="L86" s="63"/>
      <c r="M86" s="63"/>
      <c r="N86" s="63"/>
      <c r="O86" s="63"/>
      <c r="P86" s="63"/>
      <c r="Q86" s="63"/>
      <c r="R86" s="63"/>
      <c r="S86" s="63"/>
      <c r="T86" s="63"/>
      <c r="U86" s="63"/>
      <c r="V86" s="63"/>
    </row>
    <row r="88" spans="2:22" ht="15" customHeight="1" x14ac:dyDescent="0.2">
      <c r="B88" s="9" t="s">
        <v>42</v>
      </c>
      <c r="M88" s="23"/>
      <c r="N88" s="23"/>
      <c r="O88" s="23"/>
    </row>
    <row r="89" spans="2:22" ht="15" customHeight="1" x14ac:dyDescent="0.2">
      <c r="B89" s="63" t="str">
        <f>'Event Tree Input'!A87</f>
        <v>Node 4 Callout</v>
      </c>
      <c r="C89" s="63"/>
      <c r="D89" s="63"/>
      <c r="E89" s="63"/>
      <c r="F89" s="63"/>
      <c r="G89" s="63"/>
      <c r="H89" s="63"/>
      <c r="I89" s="63"/>
      <c r="J89" s="63"/>
      <c r="K89" s="63"/>
      <c r="L89" s="63"/>
      <c r="M89" s="63"/>
      <c r="N89" s="63"/>
      <c r="O89" s="63"/>
      <c r="P89" s="63"/>
      <c r="Q89" s="63"/>
      <c r="R89" s="63"/>
      <c r="S89" s="63"/>
      <c r="T89" s="63"/>
      <c r="U89" s="63"/>
      <c r="V89" s="63"/>
    </row>
    <row r="90" spans="2:22" ht="15" customHeight="1" x14ac:dyDescent="0.2">
      <c r="B90" s="63"/>
      <c r="C90" s="63"/>
      <c r="D90" s="63"/>
      <c r="E90" s="63"/>
      <c r="F90" s="63"/>
      <c r="G90" s="63"/>
      <c r="H90" s="63"/>
      <c r="I90" s="63"/>
      <c r="J90" s="63"/>
      <c r="K90" s="63"/>
      <c r="L90" s="63"/>
      <c r="M90" s="63"/>
      <c r="N90" s="63"/>
      <c r="O90" s="63"/>
      <c r="P90" s="63"/>
      <c r="Q90" s="63"/>
      <c r="R90" s="63"/>
      <c r="S90" s="63"/>
      <c r="T90" s="63"/>
      <c r="U90" s="63"/>
      <c r="V90" s="63"/>
    </row>
    <row r="91" spans="2:22" ht="15" customHeight="1" x14ac:dyDescent="0.2">
      <c r="B91" s="63"/>
      <c r="C91" s="63"/>
      <c r="D91" s="63"/>
      <c r="E91" s="63"/>
      <c r="F91" s="63"/>
      <c r="G91" s="63"/>
      <c r="H91" s="63"/>
      <c r="I91" s="63"/>
      <c r="J91" s="63"/>
      <c r="K91" s="63"/>
      <c r="L91" s="63"/>
      <c r="M91" s="63"/>
      <c r="N91" s="63"/>
      <c r="O91" s="63"/>
      <c r="P91" s="63"/>
      <c r="Q91" s="63"/>
      <c r="R91" s="63"/>
      <c r="S91" s="63"/>
      <c r="T91" s="63"/>
      <c r="U91" s="63"/>
      <c r="V91" s="63"/>
    </row>
    <row r="92" spans="2:22" ht="15" customHeight="1" x14ac:dyDescent="0.2">
      <c r="B92" s="63"/>
      <c r="C92" s="63"/>
      <c r="D92" s="63"/>
      <c r="E92" s="63"/>
      <c r="F92" s="63"/>
      <c r="G92" s="63"/>
      <c r="H92" s="63"/>
      <c r="I92" s="63"/>
      <c r="J92" s="63"/>
      <c r="K92" s="63"/>
      <c r="L92" s="63"/>
      <c r="M92" s="63"/>
      <c r="N92" s="63"/>
      <c r="O92" s="63"/>
      <c r="P92" s="63"/>
      <c r="Q92" s="63"/>
      <c r="R92" s="63"/>
      <c r="S92" s="63"/>
      <c r="T92" s="63"/>
      <c r="U92" s="63"/>
      <c r="V92" s="63"/>
    </row>
    <row r="93" spans="2:22" ht="15" customHeight="1" x14ac:dyDescent="0.2">
      <c r="B93" s="63"/>
      <c r="C93" s="63"/>
      <c r="D93" s="63"/>
      <c r="E93" s="63"/>
      <c r="F93" s="63"/>
      <c r="G93" s="63"/>
      <c r="H93" s="63"/>
      <c r="I93" s="63"/>
      <c r="J93" s="63"/>
      <c r="K93" s="63"/>
      <c r="L93" s="63"/>
      <c r="M93" s="63"/>
      <c r="N93" s="63"/>
      <c r="O93" s="63"/>
      <c r="P93" s="63"/>
      <c r="Q93" s="63"/>
      <c r="R93" s="63"/>
      <c r="S93" s="63"/>
      <c r="T93" s="63"/>
      <c r="U93" s="63"/>
      <c r="V93" s="63"/>
    </row>
    <row r="94" spans="2:22" ht="15" customHeight="1" x14ac:dyDescent="0.2">
      <c r="B94" s="63"/>
      <c r="C94" s="63"/>
      <c r="D94" s="63"/>
      <c r="E94" s="63"/>
      <c r="F94" s="63"/>
      <c r="G94" s="63"/>
      <c r="H94" s="63"/>
      <c r="I94" s="63"/>
      <c r="J94" s="63"/>
      <c r="K94" s="63"/>
      <c r="L94" s="63"/>
      <c r="M94" s="63"/>
      <c r="N94" s="63"/>
      <c r="O94" s="63"/>
      <c r="P94" s="63"/>
      <c r="Q94" s="63"/>
      <c r="R94" s="63"/>
      <c r="S94" s="63"/>
      <c r="T94" s="63"/>
      <c r="U94" s="63"/>
      <c r="V94" s="63"/>
    </row>
    <row r="96" spans="2:22" ht="15" customHeight="1" x14ac:dyDescent="0.2">
      <c r="B96" s="9" t="s">
        <v>43</v>
      </c>
      <c r="M96" s="23"/>
      <c r="N96" s="23"/>
      <c r="O96" s="23"/>
    </row>
    <row r="97" spans="2:22" ht="15" customHeight="1" x14ac:dyDescent="0.2">
      <c r="B97" s="63" t="str">
        <f>'Event Tree Input'!A101</f>
        <v>Node 5 Callout</v>
      </c>
      <c r="C97" s="63"/>
      <c r="D97" s="63"/>
      <c r="E97" s="63"/>
      <c r="F97" s="63"/>
      <c r="G97" s="63"/>
      <c r="H97" s="63"/>
      <c r="I97" s="63"/>
      <c r="J97" s="63"/>
      <c r="K97" s="63"/>
      <c r="L97" s="63"/>
      <c r="M97" s="63"/>
      <c r="N97" s="63"/>
      <c r="O97" s="63"/>
      <c r="P97" s="63"/>
      <c r="Q97" s="63"/>
      <c r="R97" s="63"/>
      <c r="S97" s="63"/>
      <c r="T97" s="63"/>
      <c r="U97" s="63"/>
      <c r="V97" s="63"/>
    </row>
    <row r="98" spans="2:22" ht="15" customHeight="1" x14ac:dyDescent="0.2">
      <c r="B98" s="63"/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</row>
    <row r="99" spans="2:22" ht="15" customHeight="1" x14ac:dyDescent="0.2">
      <c r="B99" s="63"/>
      <c r="C99" s="63"/>
      <c r="D99" s="63"/>
      <c r="E99" s="63"/>
      <c r="F99" s="63"/>
      <c r="G99" s="63"/>
      <c r="H99" s="63"/>
      <c r="I99" s="63"/>
      <c r="J99" s="63"/>
      <c r="K99" s="63"/>
      <c r="L99" s="63"/>
      <c r="M99" s="63"/>
      <c r="N99" s="63"/>
      <c r="O99" s="63"/>
      <c r="P99" s="63"/>
      <c r="Q99" s="63"/>
      <c r="R99" s="63"/>
      <c r="S99" s="63"/>
      <c r="T99" s="63"/>
      <c r="U99" s="63"/>
      <c r="V99" s="63"/>
    </row>
    <row r="100" spans="2:22" ht="15" customHeight="1" x14ac:dyDescent="0.2">
      <c r="B100" s="63"/>
      <c r="C100" s="63"/>
      <c r="D100" s="63"/>
      <c r="E100" s="63"/>
      <c r="F100" s="63"/>
      <c r="G100" s="63"/>
      <c r="H100" s="63"/>
      <c r="I100" s="63"/>
      <c r="J100" s="63"/>
      <c r="K100" s="63"/>
      <c r="L100" s="63"/>
      <c r="M100" s="63"/>
      <c r="N100" s="63"/>
      <c r="O100" s="63"/>
      <c r="P100" s="63"/>
      <c r="Q100" s="63"/>
      <c r="R100" s="63"/>
      <c r="S100" s="63"/>
      <c r="T100" s="63"/>
      <c r="U100" s="63"/>
      <c r="V100" s="63"/>
    </row>
    <row r="101" spans="2:22" ht="15" customHeight="1" x14ac:dyDescent="0.2">
      <c r="B101" s="63"/>
      <c r="C101" s="63"/>
      <c r="D101" s="63"/>
      <c r="E101" s="63"/>
      <c r="F101" s="63"/>
      <c r="G101" s="63"/>
      <c r="H101" s="63"/>
      <c r="I101" s="63"/>
      <c r="J101" s="63"/>
      <c r="K101" s="63"/>
      <c r="L101" s="63"/>
      <c r="M101" s="63"/>
      <c r="N101" s="63"/>
      <c r="O101" s="63"/>
      <c r="P101" s="63"/>
      <c r="Q101" s="63"/>
      <c r="R101" s="63"/>
      <c r="S101" s="63"/>
      <c r="T101" s="63"/>
      <c r="U101" s="63"/>
      <c r="V101" s="63"/>
    </row>
    <row r="102" spans="2:22" ht="15" customHeight="1" x14ac:dyDescent="0.2">
      <c r="B102" s="63"/>
      <c r="C102" s="63"/>
      <c r="D102" s="63"/>
      <c r="E102" s="63"/>
      <c r="F102" s="63"/>
      <c r="G102" s="63"/>
      <c r="H102" s="63"/>
      <c r="I102" s="63"/>
      <c r="J102" s="63"/>
      <c r="K102" s="63"/>
      <c r="L102" s="63"/>
      <c r="M102" s="63"/>
      <c r="N102" s="63"/>
      <c r="O102" s="63"/>
      <c r="P102" s="63"/>
      <c r="Q102" s="63"/>
      <c r="R102" s="63"/>
      <c r="S102" s="63"/>
      <c r="T102" s="63"/>
      <c r="U102" s="63"/>
      <c r="V102" s="63"/>
    </row>
    <row r="104" spans="2:22" ht="15" customHeight="1" x14ac:dyDescent="0.2">
      <c r="B104" s="9" t="s">
        <v>44</v>
      </c>
      <c r="M104" s="23"/>
      <c r="N104" s="23"/>
      <c r="O104" s="23"/>
    </row>
    <row r="105" spans="2:22" ht="15" customHeight="1" x14ac:dyDescent="0.2">
      <c r="B105" s="63" t="str">
        <f>'Event Tree Input'!A115</f>
        <v>Node 6 Callout</v>
      </c>
      <c r="C105" s="63"/>
      <c r="D105" s="63"/>
      <c r="E105" s="63"/>
      <c r="F105" s="63"/>
      <c r="G105" s="63"/>
      <c r="H105" s="63"/>
      <c r="I105" s="63"/>
      <c r="J105" s="63"/>
      <c r="K105" s="63"/>
      <c r="L105" s="63"/>
      <c r="M105" s="63"/>
      <c r="N105" s="63"/>
      <c r="O105" s="63"/>
      <c r="P105" s="63"/>
      <c r="Q105" s="63"/>
      <c r="R105" s="63"/>
      <c r="S105" s="63"/>
      <c r="T105" s="63"/>
      <c r="U105" s="63"/>
      <c r="V105" s="63"/>
    </row>
    <row r="106" spans="2:22" ht="15" customHeight="1" x14ac:dyDescent="0.2">
      <c r="B106" s="63"/>
      <c r="C106" s="63"/>
      <c r="D106" s="63"/>
      <c r="E106" s="63"/>
      <c r="F106" s="63"/>
      <c r="G106" s="63"/>
      <c r="H106" s="63"/>
      <c r="I106" s="63"/>
      <c r="J106" s="63"/>
      <c r="K106" s="63"/>
      <c r="L106" s="63"/>
      <c r="M106" s="63"/>
      <c r="N106" s="63"/>
      <c r="O106" s="63"/>
      <c r="P106" s="63"/>
      <c r="Q106" s="63"/>
      <c r="R106" s="63"/>
      <c r="S106" s="63"/>
      <c r="T106" s="63"/>
      <c r="U106" s="63"/>
      <c r="V106" s="63"/>
    </row>
    <row r="107" spans="2:22" ht="15" customHeight="1" x14ac:dyDescent="0.2">
      <c r="B107" s="63"/>
      <c r="C107" s="63"/>
      <c r="D107" s="63"/>
      <c r="E107" s="63"/>
      <c r="F107" s="63"/>
      <c r="G107" s="63"/>
      <c r="H107" s="63"/>
      <c r="I107" s="63"/>
      <c r="J107" s="63"/>
      <c r="K107" s="63"/>
      <c r="L107" s="63"/>
      <c r="M107" s="63"/>
      <c r="N107" s="63"/>
      <c r="O107" s="63"/>
      <c r="P107" s="63"/>
      <c r="Q107" s="63"/>
      <c r="R107" s="63"/>
      <c r="S107" s="63"/>
      <c r="T107" s="63"/>
      <c r="U107" s="63"/>
      <c r="V107" s="63"/>
    </row>
    <row r="108" spans="2:22" ht="15" customHeight="1" x14ac:dyDescent="0.2">
      <c r="B108" s="63"/>
      <c r="C108" s="63"/>
      <c r="D108" s="63"/>
      <c r="E108" s="63"/>
      <c r="F108" s="63"/>
      <c r="G108" s="63"/>
      <c r="H108" s="63"/>
      <c r="I108" s="63"/>
      <c r="J108" s="63"/>
      <c r="K108" s="63"/>
      <c r="L108" s="63"/>
      <c r="M108" s="63"/>
      <c r="N108" s="63"/>
      <c r="O108" s="63"/>
      <c r="P108" s="63"/>
      <c r="Q108" s="63"/>
      <c r="R108" s="63"/>
      <c r="S108" s="63"/>
      <c r="T108" s="63"/>
      <c r="U108" s="63"/>
      <c r="V108" s="63"/>
    </row>
    <row r="109" spans="2:22" ht="15" customHeight="1" x14ac:dyDescent="0.2">
      <c r="B109" s="63"/>
      <c r="C109" s="63"/>
      <c r="D109" s="63"/>
      <c r="E109" s="63"/>
      <c r="F109" s="63"/>
      <c r="G109" s="63"/>
      <c r="H109" s="63"/>
      <c r="I109" s="63"/>
      <c r="J109" s="63"/>
      <c r="K109" s="63"/>
      <c r="L109" s="63"/>
      <c r="M109" s="63"/>
      <c r="N109" s="63"/>
      <c r="O109" s="63"/>
      <c r="P109" s="63"/>
      <c r="Q109" s="63"/>
      <c r="R109" s="63"/>
      <c r="S109" s="63"/>
      <c r="T109" s="63"/>
      <c r="U109" s="63"/>
      <c r="V109" s="63"/>
    </row>
    <row r="110" spans="2:22" ht="15" customHeight="1" x14ac:dyDescent="0.2">
      <c r="B110" s="63"/>
      <c r="C110" s="63"/>
      <c r="D110" s="63"/>
      <c r="E110" s="63"/>
      <c r="F110" s="63"/>
      <c r="G110" s="63"/>
      <c r="H110" s="63"/>
      <c r="I110" s="63"/>
      <c r="J110" s="63"/>
      <c r="K110" s="63"/>
      <c r="L110" s="63"/>
      <c r="M110" s="63"/>
      <c r="N110" s="63"/>
      <c r="O110" s="63"/>
      <c r="P110" s="63"/>
      <c r="Q110" s="63"/>
      <c r="R110" s="63"/>
      <c r="S110" s="63"/>
      <c r="T110" s="63"/>
      <c r="U110" s="63"/>
      <c r="V110" s="63"/>
    </row>
    <row r="112" spans="2:22" ht="15" customHeight="1" x14ac:dyDescent="0.2">
      <c r="B112" s="9" t="s">
        <v>45</v>
      </c>
      <c r="M112" s="23"/>
      <c r="N112" s="23"/>
      <c r="O112" s="23"/>
    </row>
    <row r="113" spans="2:22" ht="15" customHeight="1" x14ac:dyDescent="0.2">
      <c r="B113" s="63" t="str">
        <f>'Event Tree Input'!A129</f>
        <v>Node 7 Callout</v>
      </c>
      <c r="C113" s="63"/>
      <c r="D113" s="63"/>
      <c r="E113" s="63"/>
      <c r="F113" s="63"/>
      <c r="G113" s="63"/>
      <c r="H113" s="63"/>
      <c r="I113" s="63"/>
      <c r="J113" s="63"/>
      <c r="K113" s="63"/>
      <c r="L113" s="63"/>
      <c r="M113" s="63"/>
      <c r="N113" s="63"/>
      <c r="O113" s="63"/>
      <c r="P113" s="63"/>
      <c r="Q113" s="63"/>
      <c r="R113" s="63"/>
      <c r="S113" s="63"/>
      <c r="T113" s="63"/>
      <c r="U113" s="63"/>
      <c r="V113" s="63"/>
    </row>
    <row r="114" spans="2:22" ht="15" customHeight="1" x14ac:dyDescent="0.2">
      <c r="B114" s="63"/>
      <c r="C114" s="63"/>
      <c r="D114" s="63"/>
      <c r="E114" s="63"/>
      <c r="F114" s="63"/>
      <c r="G114" s="63"/>
      <c r="H114" s="63"/>
      <c r="I114" s="63"/>
      <c r="J114" s="63"/>
      <c r="K114" s="63"/>
      <c r="L114" s="63"/>
      <c r="M114" s="63"/>
      <c r="N114" s="63"/>
      <c r="O114" s="63"/>
      <c r="P114" s="63"/>
      <c r="Q114" s="63"/>
      <c r="R114" s="63"/>
      <c r="S114" s="63"/>
      <c r="T114" s="63"/>
      <c r="U114" s="63"/>
      <c r="V114" s="63"/>
    </row>
    <row r="115" spans="2:22" ht="15" customHeight="1" x14ac:dyDescent="0.2">
      <c r="B115" s="63"/>
      <c r="C115" s="63"/>
      <c r="D115" s="63"/>
      <c r="E115" s="63"/>
      <c r="F115" s="63"/>
      <c r="G115" s="63"/>
      <c r="H115" s="63"/>
      <c r="I115" s="63"/>
      <c r="J115" s="63"/>
      <c r="K115" s="63"/>
      <c r="L115" s="63"/>
      <c r="M115" s="63"/>
      <c r="N115" s="63"/>
      <c r="O115" s="63"/>
      <c r="P115" s="63"/>
      <c r="Q115" s="63"/>
      <c r="R115" s="63"/>
      <c r="S115" s="63"/>
      <c r="T115" s="63"/>
      <c r="U115" s="63"/>
      <c r="V115" s="63"/>
    </row>
    <row r="116" spans="2:22" ht="15" customHeight="1" x14ac:dyDescent="0.2">
      <c r="B116" s="63"/>
      <c r="C116" s="63"/>
      <c r="D116" s="63"/>
      <c r="E116" s="63"/>
      <c r="F116" s="63"/>
      <c r="G116" s="63"/>
      <c r="H116" s="63"/>
      <c r="I116" s="63"/>
      <c r="J116" s="63"/>
      <c r="K116" s="63"/>
      <c r="L116" s="63"/>
      <c r="M116" s="63"/>
      <c r="N116" s="63"/>
      <c r="O116" s="63"/>
      <c r="P116" s="63"/>
      <c r="Q116" s="63"/>
      <c r="R116" s="63"/>
      <c r="S116" s="63"/>
      <c r="T116" s="63"/>
      <c r="U116" s="63"/>
      <c r="V116" s="63"/>
    </row>
    <row r="117" spans="2:22" ht="15" customHeight="1" x14ac:dyDescent="0.2">
      <c r="B117" s="63"/>
      <c r="C117" s="63"/>
      <c r="D117" s="63"/>
      <c r="E117" s="63"/>
      <c r="F117" s="63"/>
      <c r="G117" s="63"/>
      <c r="H117" s="63"/>
      <c r="I117" s="63"/>
      <c r="J117" s="63"/>
      <c r="K117" s="63"/>
      <c r="L117" s="63"/>
      <c r="M117" s="63"/>
      <c r="N117" s="63"/>
      <c r="O117" s="63"/>
      <c r="P117" s="63"/>
      <c r="Q117" s="63"/>
      <c r="R117" s="63"/>
      <c r="S117" s="63"/>
      <c r="T117" s="63"/>
      <c r="U117" s="63"/>
      <c r="V117" s="63"/>
    </row>
    <row r="118" spans="2:22" ht="15" customHeight="1" x14ac:dyDescent="0.2">
      <c r="B118" s="63"/>
      <c r="C118" s="63"/>
      <c r="D118" s="63"/>
      <c r="E118" s="63"/>
      <c r="F118" s="63"/>
      <c r="G118" s="63"/>
      <c r="H118" s="63"/>
      <c r="I118" s="63"/>
      <c r="J118" s="63"/>
      <c r="K118" s="63"/>
      <c r="L118" s="63"/>
      <c r="M118" s="63"/>
      <c r="N118" s="63"/>
      <c r="O118" s="63"/>
      <c r="P118" s="63"/>
      <c r="Q118" s="63"/>
      <c r="R118" s="63"/>
      <c r="S118" s="63"/>
      <c r="T118" s="63"/>
      <c r="U118" s="63"/>
      <c r="V118" s="63"/>
    </row>
    <row r="120" spans="2:22" ht="15" customHeight="1" x14ac:dyDescent="0.2">
      <c r="B120" s="9" t="s">
        <v>46</v>
      </c>
      <c r="M120" s="23"/>
      <c r="N120" s="23"/>
      <c r="O120" s="23"/>
    </row>
    <row r="121" spans="2:22" ht="15" customHeight="1" x14ac:dyDescent="0.2">
      <c r="B121" s="63" t="str">
        <f>'Event Tree Input'!A143</f>
        <v>Node 8 Callout</v>
      </c>
      <c r="C121" s="63"/>
      <c r="D121" s="63"/>
      <c r="E121" s="63"/>
      <c r="F121" s="63"/>
      <c r="G121" s="63"/>
      <c r="H121" s="63"/>
      <c r="I121" s="63"/>
      <c r="J121" s="63"/>
      <c r="K121" s="63"/>
      <c r="L121" s="63"/>
      <c r="M121" s="63"/>
      <c r="N121" s="63"/>
      <c r="O121" s="63"/>
      <c r="P121" s="63"/>
      <c r="Q121" s="63"/>
      <c r="R121" s="63"/>
      <c r="S121" s="63"/>
      <c r="T121" s="63"/>
      <c r="U121" s="63"/>
      <c r="V121" s="63"/>
    </row>
    <row r="122" spans="2:22" ht="15" customHeight="1" x14ac:dyDescent="0.2">
      <c r="B122" s="63"/>
      <c r="C122" s="63"/>
      <c r="D122" s="63"/>
      <c r="E122" s="63"/>
      <c r="F122" s="63"/>
      <c r="G122" s="63"/>
      <c r="H122" s="63"/>
      <c r="I122" s="63"/>
      <c r="J122" s="63"/>
      <c r="K122" s="63"/>
      <c r="L122" s="63"/>
      <c r="M122" s="63"/>
      <c r="N122" s="63"/>
      <c r="O122" s="63"/>
      <c r="P122" s="63"/>
      <c r="Q122" s="63"/>
      <c r="R122" s="63"/>
      <c r="S122" s="63"/>
      <c r="T122" s="63"/>
      <c r="U122" s="63"/>
      <c r="V122" s="63"/>
    </row>
    <row r="123" spans="2:22" ht="15" customHeight="1" x14ac:dyDescent="0.2">
      <c r="B123" s="63"/>
      <c r="C123" s="63"/>
      <c r="D123" s="63"/>
      <c r="E123" s="63"/>
      <c r="F123" s="63"/>
      <c r="G123" s="63"/>
      <c r="H123" s="63"/>
      <c r="I123" s="63"/>
      <c r="J123" s="63"/>
      <c r="K123" s="63"/>
      <c r="L123" s="63"/>
      <c r="M123" s="63"/>
      <c r="N123" s="63"/>
      <c r="O123" s="63"/>
      <c r="P123" s="63"/>
      <c r="Q123" s="63"/>
      <c r="R123" s="63"/>
      <c r="S123" s="63"/>
      <c r="T123" s="63"/>
      <c r="U123" s="63"/>
      <c r="V123" s="63"/>
    </row>
    <row r="124" spans="2:22" ht="15" customHeight="1" x14ac:dyDescent="0.2">
      <c r="B124" s="63"/>
      <c r="C124" s="63"/>
      <c r="D124" s="63"/>
      <c r="E124" s="63"/>
      <c r="F124" s="63"/>
      <c r="G124" s="63"/>
      <c r="H124" s="63"/>
      <c r="I124" s="63"/>
      <c r="J124" s="63"/>
      <c r="K124" s="63"/>
      <c r="L124" s="63"/>
      <c r="M124" s="63"/>
      <c r="N124" s="63"/>
      <c r="O124" s="63"/>
      <c r="P124" s="63"/>
      <c r="Q124" s="63"/>
      <c r="R124" s="63"/>
      <c r="S124" s="63"/>
      <c r="T124" s="63"/>
      <c r="U124" s="63"/>
      <c r="V124" s="63"/>
    </row>
    <row r="125" spans="2:22" ht="15" customHeight="1" x14ac:dyDescent="0.2">
      <c r="B125" s="63"/>
      <c r="C125" s="63"/>
      <c r="D125" s="63"/>
      <c r="E125" s="63"/>
      <c r="F125" s="63"/>
      <c r="G125" s="63"/>
      <c r="H125" s="63"/>
      <c r="I125" s="63"/>
      <c r="J125" s="63"/>
      <c r="K125" s="63"/>
      <c r="L125" s="63"/>
      <c r="M125" s="63"/>
      <c r="N125" s="63"/>
      <c r="O125" s="63"/>
      <c r="P125" s="63"/>
      <c r="Q125" s="63"/>
      <c r="R125" s="63"/>
      <c r="S125" s="63"/>
      <c r="T125" s="63"/>
      <c r="U125" s="63"/>
      <c r="V125" s="63"/>
    </row>
    <row r="126" spans="2:22" ht="15" customHeight="1" x14ac:dyDescent="0.2">
      <c r="B126" s="63"/>
      <c r="C126" s="63"/>
      <c r="D126" s="63"/>
      <c r="E126" s="63"/>
      <c r="F126" s="63"/>
      <c r="G126" s="63"/>
      <c r="H126" s="63"/>
      <c r="I126" s="63"/>
      <c r="J126" s="63"/>
      <c r="K126" s="63"/>
      <c r="L126" s="63"/>
      <c r="M126" s="63"/>
      <c r="N126" s="63"/>
      <c r="O126" s="63"/>
      <c r="P126" s="63"/>
      <c r="Q126" s="63"/>
      <c r="R126" s="63"/>
      <c r="S126" s="63"/>
      <c r="T126" s="63"/>
      <c r="U126" s="63"/>
      <c r="V126" s="63"/>
    </row>
    <row r="128" spans="2:22" ht="15" customHeight="1" x14ac:dyDescent="0.2">
      <c r="B128" s="9" t="s">
        <v>47</v>
      </c>
      <c r="M128" s="23"/>
      <c r="N128" s="23"/>
      <c r="O128" s="23"/>
    </row>
    <row r="129" spans="2:22" ht="15" customHeight="1" x14ac:dyDescent="0.2">
      <c r="B129" s="63" t="str">
        <f>'Event Tree Input'!A157</f>
        <v>Node 9 Callout</v>
      </c>
      <c r="C129" s="63"/>
      <c r="D129" s="63"/>
      <c r="E129" s="63"/>
      <c r="F129" s="63"/>
      <c r="G129" s="63"/>
      <c r="H129" s="63"/>
      <c r="I129" s="63"/>
      <c r="J129" s="63"/>
      <c r="K129" s="63"/>
      <c r="L129" s="63"/>
      <c r="M129" s="63"/>
      <c r="N129" s="63"/>
      <c r="O129" s="63"/>
      <c r="P129" s="63"/>
      <c r="Q129" s="63"/>
      <c r="R129" s="63"/>
      <c r="S129" s="63"/>
      <c r="T129" s="63"/>
      <c r="U129" s="63"/>
      <c r="V129" s="63"/>
    </row>
    <row r="130" spans="2:22" ht="15" customHeight="1" x14ac:dyDescent="0.2">
      <c r="B130" s="63"/>
      <c r="C130" s="63"/>
      <c r="D130" s="63"/>
      <c r="E130" s="63"/>
      <c r="F130" s="63"/>
      <c r="G130" s="63"/>
      <c r="H130" s="63"/>
      <c r="I130" s="63"/>
      <c r="J130" s="63"/>
      <c r="K130" s="63"/>
      <c r="L130" s="63"/>
      <c r="M130" s="63"/>
      <c r="N130" s="63"/>
      <c r="O130" s="63"/>
      <c r="P130" s="63"/>
      <c r="Q130" s="63"/>
      <c r="R130" s="63"/>
      <c r="S130" s="63"/>
      <c r="T130" s="63"/>
      <c r="U130" s="63"/>
      <c r="V130" s="63"/>
    </row>
    <row r="131" spans="2:22" ht="15" customHeight="1" x14ac:dyDescent="0.2">
      <c r="B131" s="63"/>
      <c r="C131" s="63"/>
      <c r="D131" s="63"/>
      <c r="E131" s="63"/>
      <c r="F131" s="63"/>
      <c r="G131" s="63"/>
      <c r="H131" s="63"/>
      <c r="I131" s="63"/>
      <c r="J131" s="63"/>
      <c r="K131" s="63"/>
      <c r="L131" s="63"/>
      <c r="M131" s="63"/>
      <c r="N131" s="63"/>
      <c r="O131" s="63"/>
      <c r="P131" s="63"/>
      <c r="Q131" s="63"/>
      <c r="R131" s="63"/>
      <c r="S131" s="63"/>
      <c r="T131" s="63"/>
      <c r="U131" s="63"/>
      <c r="V131" s="63"/>
    </row>
    <row r="132" spans="2:22" ht="15" customHeight="1" x14ac:dyDescent="0.2">
      <c r="B132" s="63"/>
      <c r="C132" s="63"/>
      <c r="D132" s="63"/>
      <c r="E132" s="63"/>
      <c r="F132" s="63"/>
      <c r="G132" s="63"/>
      <c r="H132" s="63"/>
      <c r="I132" s="63"/>
      <c r="J132" s="63"/>
      <c r="K132" s="63"/>
      <c r="L132" s="63"/>
      <c r="M132" s="63"/>
      <c r="N132" s="63"/>
      <c r="O132" s="63"/>
      <c r="P132" s="63"/>
      <c r="Q132" s="63"/>
      <c r="R132" s="63"/>
      <c r="S132" s="63"/>
      <c r="T132" s="63"/>
      <c r="U132" s="63"/>
      <c r="V132" s="63"/>
    </row>
    <row r="133" spans="2:22" ht="15" customHeight="1" x14ac:dyDescent="0.2">
      <c r="B133" s="63"/>
      <c r="C133" s="63"/>
      <c r="D133" s="63"/>
      <c r="E133" s="63"/>
      <c r="F133" s="63"/>
      <c r="G133" s="63"/>
      <c r="H133" s="63"/>
      <c r="I133" s="63"/>
      <c r="J133" s="63"/>
      <c r="K133" s="63"/>
      <c r="L133" s="63"/>
      <c r="M133" s="63"/>
      <c r="N133" s="63"/>
      <c r="O133" s="63"/>
      <c r="P133" s="63"/>
      <c r="Q133" s="63"/>
      <c r="R133" s="63"/>
      <c r="S133" s="63"/>
      <c r="T133" s="63"/>
      <c r="U133" s="63"/>
      <c r="V133" s="63"/>
    </row>
    <row r="134" spans="2:22" ht="15" customHeight="1" x14ac:dyDescent="0.2">
      <c r="B134" s="63"/>
      <c r="C134" s="63"/>
      <c r="D134" s="63"/>
      <c r="E134" s="63"/>
      <c r="F134" s="63"/>
      <c r="G134" s="63"/>
      <c r="H134" s="63"/>
      <c r="I134" s="63"/>
      <c r="J134" s="63"/>
      <c r="K134" s="63"/>
      <c r="L134" s="63"/>
      <c r="M134" s="63"/>
      <c r="N134" s="63"/>
      <c r="O134" s="63"/>
      <c r="P134" s="63"/>
      <c r="Q134" s="63"/>
      <c r="R134" s="63"/>
      <c r="S134" s="63"/>
      <c r="T134" s="63"/>
      <c r="U134" s="63"/>
      <c r="V134" s="63"/>
    </row>
  </sheetData>
  <mergeCells count="90">
    <mergeCell ref="A1:D1"/>
    <mergeCell ref="A2:D2"/>
    <mergeCell ref="A3:E3"/>
    <mergeCell ref="AF1:AH1"/>
    <mergeCell ref="AF2:AH2"/>
    <mergeCell ref="E1:AE1"/>
    <mergeCell ref="E2:AE2"/>
    <mergeCell ref="F3:BR3"/>
    <mergeCell ref="AI1:AT1"/>
    <mergeCell ref="AI2:AT2"/>
    <mergeCell ref="AW1:BR1"/>
    <mergeCell ref="AW2:BR2"/>
    <mergeCell ref="AU1:AV1"/>
    <mergeCell ref="AU2:AV2"/>
    <mergeCell ref="B113:V118"/>
    <mergeCell ref="B121:V126"/>
    <mergeCell ref="B129:V134"/>
    <mergeCell ref="B73:V78"/>
    <mergeCell ref="B81:V86"/>
    <mergeCell ref="B89:V94"/>
    <mergeCell ref="B97:V102"/>
    <mergeCell ref="B105:V110"/>
    <mergeCell ref="S62:T62"/>
    <mergeCell ref="U62:W62"/>
    <mergeCell ref="N62:P62"/>
    <mergeCell ref="N59:P59"/>
    <mergeCell ref="N60:P60"/>
    <mergeCell ref="N61:P61"/>
    <mergeCell ref="X59:Z59"/>
    <mergeCell ref="U59:W59"/>
    <mergeCell ref="X60:Z60"/>
    <mergeCell ref="X61:Z61"/>
    <mergeCell ref="X62:Z62"/>
    <mergeCell ref="U60:W60"/>
    <mergeCell ref="N56:P56"/>
    <mergeCell ref="N57:P57"/>
    <mergeCell ref="N58:P58"/>
    <mergeCell ref="I58:J58"/>
    <mergeCell ref="K52:M52"/>
    <mergeCell ref="K56:M56"/>
    <mergeCell ref="K57:M57"/>
    <mergeCell ref="K58:M58"/>
    <mergeCell ref="I54:J54"/>
    <mergeCell ref="I55:J55"/>
    <mergeCell ref="I56:J56"/>
    <mergeCell ref="K54:M54"/>
    <mergeCell ref="S54:T54"/>
    <mergeCell ref="I37:O38"/>
    <mergeCell ref="K55:M55"/>
    <mergeCell ref="I52:J53"/>
    <mergeCell ref="N55:P55"/>
    <mergeCell ref="S53:T53"/>
    <mergeCell ref="I62:J62"/>
    <mergeCell ref="K62:M62"/>
    <mergeCell ref="K59:M59"/>
    <mergeCell ref="K60:M60"/>
    <mergeCell ref="K61:M61"/>
    <mergeCell ref="I59:J59"/>
    <mergeCell ref="U53:W53"/>
    <mergeCell ref="U54:W54"/>
    <mergeCell ref="I60:J60"/>
    <mergeCell ref="I61:J61"/>
    <mergeCell ref="S56:T56"/>
    <mergeCell ref="S57:T57"/>
    <mergeCell ref="S58:T58"/>
    <mergeCell ref="S59:T59"/>
    <mergeCell ref="U61:W61"/>
    <mergeCell ref="U56:W56"/>
    <mergeCell ref="U57:W57"/>
    <mergeCell ref="U58:W58"/>
    <mergeCell ref="S60:T60"/>
    <mergeCell ref="S61:T61"/>
    <mergeCell ref="U55:W55"/>
    <mergeCell ref="S55:T55"/>
    <mergeCell ref="B65:V70"/>
    <mergeCell ref="A5:BR5"/>
    <mergeCell ref="A50:BR50"/>
    <mergeCell ref="F52:G52"/>
    <mergeCell ref="A52:E52"/>
    <mergeCell ref="I57:J57"/>
    <mergeCell ref="X55:Z55"/>
    <mergeCell ref="X56:Z56"/>
    <mergeCell ref="X57:Z57"/>
    <mergeCell ref="N52:P52"/>
    <mergeCell ref="K53:M53"/>
    <mergeCell ref="N53:P53"/>
    <mergeCell ref="N54:P54"/>
    <mergeCell ref="X58:Z58"/>
    <mergeCell ref="X53:Z53"/>
    <mergeCell ref="X54:Z54"/>
  </mergeCells>
  <pageMargins left="0.7" right="0.7" top="0.75" bottom="0.75" header="0.3" footer="0.3"/>
  <pageSetup scale="52" orientation="landscape" r:id="rId1"/>
  <headerFooter>
    <oddFooter>&amp;LRMC Event Tree Toolbox
&amp;A&amp;RVersion 2.0
Page &amp;P of &amp;N</oddFooter>
  </headerFooter>
  <colBreaks count="1" manualBreakCount="1">
    <brk id="70" max="1048575" man="1"/>
  </col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2D9AB60F-178B-442E-95B0-3E8070E32E69}">
            <xm:f>'Event Tree Input'!$D$29&lt;9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BK12:BQ12 BK19:BQ19 BK13:BL13 BK14:BK18</xm:sqref>
        </x14:conditionalFormatting>
        <x14:conditionalFormatting xmlns:xm="http://schemas.microsoft.com/office/excel/2006/main">
          <x14:cfRule type="expression" priority="8" id="{95993CE9-E0BC-4C66-ADF2-5585FC697679}">
            <xm:f>'Event Tree Input'!$D$29&lt;8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BD15:BJ15 BF22:BJ22 BD16:BE16 BD17:BD20</xm:sqref>
        </x14:conditionalFormatting>
        <x14:conditionalFormatting xmlns:xm="http://schemas.microsoft.com/office/excel/2006/main">
          <x14:cfRule type="expression" priority="7" id="{471E27D4-AA9E-4E48-A209-383647B92C70}">
            <xm:f>'Event Tree Input'!$D$29&lt;7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AW18:BC18 AW19:AX19 AW20</xm:sqref>
        </x14:conditionalFormatting>
        <x14:conditionalFormatting xmlns:xm="http://schemas.microsoft.com/office/excel/2006/main">
          <x14:cfRule type="expression" priority="6" id="{86118574-C779-4D54-A418-76053363427F}">
            <xm:f>'Event Tree Input'!$D$29&lt;6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AQ25:AV25</xm:sqref>
        </x14:conditionalFormatting>
        <x14:conditionalFormatting xmlns:xm="http://schemas.microsoft.com/office/excel/2006/main">
          <x14:cfRule type="expression" priority="4" id="{7747D35C-F5F4-4212-A851-AB1C2710FACD}">
            <xm:f>'Event Tree Input'!$D$29&lt;4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AK24:AP24 AK31:AP31 AK25</xm:sqref>
        </x14:conditionalFormatting>
        <x14:conditionalFormatting xmlns:xm="http://schemas.microsoft.com/office/excel/2006/main">
          <x14:cfRule type="expression" priority="3" id="{C28095E2-94F4-4F41-81FD-EA8881CF7778}">
            <xm:f>'Event Tree Input'!$D$29&lt;3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AD27:AJ27 AD34:AJ34 AD28:AE28 AD29:AD33</xm:sqref>
        </x14:conditionalFormatting>
        <x14:conditionalFormatting xmlns:xm="http://schemas.microsoft.com/office/excel/2006/main">
          <x14:cfRule type="expression" priority="2" id="{B6CAEA3F-0270-48EB-9D71-422032B374F1}">
            <xm:f>'Event Tree Input'!$D$29&lt;2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W30:AC30 W38:AC38 W31:X31 W32:W36</xm:sqref>
        </x14:conditionalFormatting>
        <x14:conditionalFormatting xmlns:xm="http://schemas.microsoft.com/office/excel/2006/main">
          <x14:cfRule type="expression" priority="1" id="{191CA392-050A-4C26-B51D-6604DA129D01}">
            <xm:f>'Event Tree Input'!$D$27="Seismic Hazard"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B36:H36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B515CE58CCC084B9B0D7D44A2856994" ma:contentTypeVersion="12" ma:contentTypeDescription="Create a new document." ma:contentTypeScope="" ma:versionID="d2543f712e0ed1af8746cdf893a8a22f">
  <xsd:schema xmlns:xsd="http://www.w3.org/2001/XMLSchema" xmlns:xs="http://www.w3.org/2001/XMLSchema" xmlns:p="http://schemas.microsoft.com/office/2006/metadata/properties" xmlns:ns2="a8f80ecd-cddb-46c8-b263-c25672b580c6" xmlns:ns3="f254aa9d-3c64-433e-b325-d6b94ca3f691" targetNamespace="http://schemas.microsoft.com/office/2006/metadata/properties" ma:root="true" ma:fieldsID="c481794d4b9cd37425e238fb465338ec" ns2:_="" ns3:_="">
    <xsd:import namespace="a8f80ecd-cddb-46c8-b263-c25672b580c6"/>
    <xsd:import namespace="f254aa9d-3c64-433e-b325-d6b94ca3f6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8f80ecd-cddb-46c8-b263-c25672b580c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2e6c1609-49e0-4fdc-8f5b-8b798a96913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254aa9d-3c64-433e-b325-d6b94ca3f691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99d0da03-2ec3-470f-a982-0c6ddb9b30b7}" ma:internalName="TaxCatchAll" ma:showField="CatchAllData" ma:web="f254aa9d-3c64-433e-b325-d6b94ca3f69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f254aa9d-3c64-433e-b325-d6b94ca3f691" xsi:nil="true"/>
    <lcf76f155ced4ddcb4097134ff3c332f xmlns="a8f80ecd-cddb-46c8-b263-c25672b580c6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3DE85FE5-DC9B-444F-96FB-196A3072098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8f80ecd-cddb-46c8-b263-c25672b580c6"/>
    <ds:schemaRef ds:uri="f254aa9d-3c64-433e-b325-d6b94ca3f69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209125B-75B7-4D1D-B9BD-85312047504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47DCC59-5480-4968-BA5C-FB0EA74F2314}">
  <ds:schemaRefs>
    <ds:schemaRef ds:uri="http://schemas.microsoft.com/office/2006/documentManagement/types"/>
    <ds:schemaRef ds:uri="http://purl.org/dc/elements/1.1/"/>
    <ds:schemaRef ds:uri="http://purl.org/dc/terms/"/>
    <ds:schemaRef ds:uri="http://www.w3.org/XML/1998/namespace"/>
    <ds:schemaRef ds:uri="http://schemas.microsoft.com/office/infopath/2007/PartnerControls"/>
    <ds:schemaRef ds:uri="f254aa9d-3c64-433e-b325-d6b94ca3f691"/>
    <ds:schemaRef ds:uri="http://purl.org/dc/dcmitype/"/>
    <ds:schemaRef ds:uri="http://schemas.openxmlformats.org/package/2006/metadata/core-properties"/>
    <ds:schemaRef ds:uri="a8f80ecd-cddb-46c8-b263-c25672b580c6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49</vt:i4>
      </vt:variant>
    </vt:vector>
  </HeadingPairs>
  <TitlesOfParts>
    <vt:vector size="51" baseType="lpstr">
      <vt:lpstr>Event Tree Input</vt:lpstr>
      <vt:lpstr>Event Tree</vt:lpstr>
      <vt:lpstr>Callouts</vt:lpstr>
      <vt:lpstr>N1B1Shape</vt:lpstr>
      <vt:lpstr>N1B2Shape</vt:lpstr>
      <vt:lpstr>N1Call</vt:lpstr>
      <vt:lpstr>N1CallText</vt:lpstr>
      <vt:lpstr>N1Name</vt:lpstr>
      <vt:lpstr>N2B1Shape</vt:lpstr>
      <vt:lpstr>N2B2Shape</vt:lpstr>
      <vt:lpstr>N2Call</vt:lpstr>
      <vt:lpstr>N2CallText</vt:lpstr>
      <vt:lpstr>N2Name</vt:lpstr>
      <vt:lpstr>N3B1Shape</vt:lpstr>
      <vt:lpstr>N3B2Shape</vt:lpstr>
      <vt:lpstr>N3Call</vt:lpstr>
      <vt:lpstr>N3CallText</vt:lpstr>
      <vt:lpstr>N3Name</vt:lpstr>
      <vt:lpstr>N4B1Shape</vt:lpstr>
      <vt:lpstr>N4B2Shape</vt:lpstr>
      <vt:lpstr>N4Call</vt:lpstr>
      <vt:lpstr>N4CallText</vt:lpstr>
      <vt:lpstr>N4Name</vt:lpstr>
      <vt:lpstr>N5B1Shape</vt:lpstr>
      <vt:lpstr>N5B2Shape</vt:lpstr>
      <vt:lpstr>N5Call</vt:lpstr>
      <vt:lpstr>N5CallText</vt:lpstr>
      <vt:lpstr>N5Name</vt:lpstr>
      <vt:lpstr>N6B1Shape</vt:lpstr>
      <vt:lpstr>N6B2Shape</vt:lpstr>
      <vt:lpstr>N6Call</vt:lpstr>
      <vt:lpstr>N6CallText</vt:lpstr>
      <vt:lpstr>N6Name</vt:lpstr>
      <vt:lpstr>N7B1Shape</vt:lpstr>
      <vt:lpstr>N7B2Shape</vt:lpstr>
      <vt:lpstr>N7Call</vt:lpstr>
      <vt:lpstr>N7CallText</vt:lpstr>
      <vt:lpstr>N7Name</vt:lpstr>
      <vt:lpstr>N8B1Shape</vt:lpstr>
      <vt:lpstr>N8B2Shape</vt:lpstr>
      <vt:lpstr>N8Call</vt:lpstr>
      <vt:lpstr>N8CallText</vt:lpstr>
      <vt:lpstr>N8Name</vt:lpstr>
      <vt:lpstr>N9B1Shape</vt:lpstr>
      <vt:lpstr>N9B2Shape</vt:lpstr>
      <vt:lpstr>N9Call</vt:lpstr>
      <vt:lpstr>N9CallText</vt:lpstr>
      <vt:lpstr>N9Name</vt:lpstr>
      <vt:lpstr>'Event Tree'!Print_Area</vt:lpstr>
      <vt:lpstr>'Event Tree Input'!Print_Area</vt:lpstr>
      <vt:lpstr>SeismicLoad</vt:lpstr>
    </vt:vector>
  </TitlesOfParts>
  <Company>USACE Risk Management Center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RMC Event Tree Toolbox</dc:title>
  <dc:subject>RMC Risk Calculations Suite</dc:subject>
  <dc:creator>Adam C. Gohs, P.E.</dc:creator>
  <cp:lastModifiedBy>USACE Risk Management Center</cp:lastModifiedBy>
  <cp:lastPrinted>2023-01-25T18:53:47Z</cp:lastPrinted>
  <dcterms:created xsi:type="dcterms:W3CDTF">2016-11-03T19:42:04Z</dcterms:created>
  <dcterms:modified xsi:type="dcterms:W3CDTF">2025-09-03T01:54:25Z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0x0101003B515CE58CCC084B9B0D7D44A2856994</vt:lpwstr>
  </property>
  <property fmtid="{D5CDD505-2E9C-101B-9397-08002B2CF9AE}" pid="3" name="Folder_Number">
    <vt:lpwstr/>
  </property>
  <property fmtid="{D5CDD505-2E9C-101B-9397-08002B2CF9AE}" pid="4" name="Folder_Code">
    <vt:lpwstr/>
  </property>
  <property fmtid="{D5CDD505-2E9C-101B-9397-08002B2CF9AE}" pid="5" name="Folder_Name">
    <vt:lpwstr/>
  </property>
  <property fmtid="{D5CDD505-2E9C-101B-9397-08002B2CF9AE}" pid="6" name="Folder_Description">
    <vt:lpwstr/>
  </property>
  <property fmtid="{D5CDD505-2E9C-101B-9397-08002B2CF9AE}" pid="7" name="/Folder_Name/">
    <vt:lpwstr/>
  </property>
  <property fmtid="{D5CDD505-2E9C-101B-9397-08002B2CF9AE}" pid="8" name="/Folder_Description/">
    <vt:lpwstr/>
  </property>
  <property fmtid="{D5CDD505-2E9C-101B-9397-08002B2CF9AE}" pid="9" name="Folder_Version">
    <vt:lpwstr/>
  </property>
  <property fmtid="{D5CDD505-2E9C-101B-9397-08002B2CF9AE}" pid="10" name="Folder_VersionSeq">
    <vt:lpwstr/>
  </property>
  <property fmtid="{D5CDD505-2E9C-101B-9397-08002B2CF9AE}" pid="11" name="Folder_Manager">
    <vt:lpwstr/>
  </property>
  <property fmtid="{D5CDD505-2E9C-101B-9397-08002B2CF9AE}" pid="12" name="Folder_ManagerDesc">
    <vt:lpwstr/>
  </property>
  <property fmtid="{D5CDD505-2E9C-101B-9397-08002B2CF9AE}" pid="13" name="Folder_Storage">
    <vt:lpwstr/>
  </property>
  <property fmtid="{D5CDD505-2E9C-101B-9397-08002B2CF9AE}" pid="14" name="Folder_StorageDesc">
    <vt:lpwstr/>
  </property>
  <property fmtid="{D5CDD505-2E9C-101B-9397-08002B2CF9AE}" pid="15" name="Folder_Creator">
    <vt:lpwstr/>
  </property>
  <property fmtid="{D5CDD505-2E9C-101B-9397-08002B2CF9AE}" pid="16" name="Folder_CreatorDesc">
    <vt:lpwstr/>
  </property>
  <property fmtid="{D5CDD505-2E9C-101B-9397-08002B2CF9AE}" pid="17" name="Folder_CreateDate">
    <vt:lpwstr/>
  </property>
  <property fmtid="{D5CDD505-2E9C-101B-9397-08002B2CF9AE}" pid="18" name="Folder_Updater">
    <vt:lpwstr/>
  </property>
  <property fmtid="{D5CDD505-2E9C-101B-9397-08002B2CF9AE}" pid="19" name="Folder_UpdaterDesc">
    <vt:lpwstr/>
  </property>
  <property fmtid="{D5CDD505-2E9C-101B-9397-08002B2CF9AE}" pid="20" name="Folder_UpdateDate">
    <vt:lpwstr/>
  </property>
  <property fmtid="{D5CDD505-2E9C-101B-9397-08002B2CF9AE}" pid="21" name="Document_Number">
    <vt:lpwstr/>
  </property>
  <property fmtid="{D5CDD505-2E9C-101B-9397-08002B2CF9AE}" pid="22" name="Document_Name">
    <vt:lpwstr/>
  </property>
  <property fmtid="{D5CDD505-2E9C-101B-9397-08002B2CF9AE}" pid="23" name="Document_FileName">
    <vt:lpwstr/>
  </property>
  <property fmtid="{D5CDD505-2E9C-101B-9397-08002B2CF9AE}" pid="24" name="Document_Version">
    <vt:lpwstr/>
  </property>
  <property fmtid="{D5CDD505-2E9C-101B-9397-08002B2CF9AE}" pid="25" name="Document_VersionSeq">
    <vt:lpwstr/>
  </property>
  <property fmtid="{D5CDD505-2E9C-101B-9397-08002B2CF9AE}" pid="26" name="Document_Creator">
    <vt:lpwstr/>
  </property>
  <property fmtid="{D5CDD505-2E9C-101B-9397-08002B2CF9AE}" pid="27" name="Document_CreatorDesc">
    <vt:lpwstr/>
  </property>
  <property fmtid="{D5CDD505-2E9C-101B-9397-08002B2CF9AE}" pid="28" name="Document_CreateDate">
    <vt:lpwstr/>
  </property>
  <property fmtid="{D5CDD505-2E9C-101B-9397-08002B2CF9AE}" pid="29" name="Document_Updater">
    <vt:lpwstr/>
  </property>
  <property fmtid="{D5CDD505-2E9C-101B-9397-08002B2CF9AE}" pid="30" name="Document_UpdaterDesc">
    <vt:lpwstr/>
  </property>
  <property fmtid="{D5CDD505-2E9C-101B-9397-08002B2CF9AE}" pid="31" name="Document_UpdateDate">
    <vt:lpwstr/>
  </property>
  <property fmtid="{D5CDD505-2E9C-101B-9397-08002B2CF9AE}" pid="32" name="Document_Size">
    <vt:lpwstr/>
  </property>
  <property fmtid="{D5CDD505-2E9C-101B-9397-08002B2CF9AE}" pid="33" name="Document_Storage">
    <vt:lpwstr/>
  </property>
  <property fmtid="{D5CDD505-2E9C-101B-9397-08002B2CF9AE}" pid="34" name="Document_StorageDesc">
    <vt:lpwstr/>
  </property>
  <property fmtid="{D5CDD505-2E9C-101B-9397-08002B2CF9AE}" pid="35" name="Document_Department">
    <vt:lpwstr/>
  </property>
  <property fmtid="{D5CDD505-2E9C-101B-9397-08002B2CF9AE}" pid="36" name="Document_DepartmentDesc">
    <vt:lpwstr/>
  </property>
  <property fmtid="{D5CDD505-2E9C-101B-9397-08002B2CF9AE}" pid="37" name="MediaServiceImageTags">
    <vt:lpwstr/>
  </property>
</Properties>
</file>