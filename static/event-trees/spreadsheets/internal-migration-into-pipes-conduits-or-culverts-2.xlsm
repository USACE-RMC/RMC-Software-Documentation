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0E6B7582-E4C2-441B-A344-42D389A99081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Tree'!$A$1:$CA$53</definedName>
    <definedName name="_xlnm.Print_Area" localSheetId="0">'Event Tree Input'!$A$1:$H$144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<sst xmlns="http://schemas.openxmlformats.org/spreadsheetml/2006/main" count="139" uniqueCount="70">
  <si>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</si>
  <si>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</si>
  <si>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</si>
  <si>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</si>
  <si>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</si>
  <si>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</si>
  <si>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</si>
  <si>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</si>
  <si>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</si>
  <si>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</si>
  <si>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</si>
  <si>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</si>
  <si>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</si>
  <si>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</si>
  <si>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</si>
  <si>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</si>
  <si>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</si>
  <si>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</si>
  <si>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</si>
  <si>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</si>
  <si>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</si>
  <si>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</si>
  <si>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</si>
  <si>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</si>
  <si>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</si>
  <si>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</si>
  <si>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</si>
  <si>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</si>
  <si>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</si>
  <si>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</si>
  <si>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</si>
  <si>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</si>
  <si>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</si>
  <si>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</si>
  <si>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</si>
  <si>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</si>
  <si>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</si>
  <si>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</si>
  <si>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</si>
  <si>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</si>
  <si>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</si>
  <si>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</si>
  <si>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</si>
  <si>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</si>
  <si>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</si>
  <si>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</si>
  <si>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</si>
  <si>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</si>
  <si>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</si>
  <si>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</si>
  <si>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</si>
  <si>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</si>
  <si>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</si>
  <si>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</si>
  <si>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</si>
  <si>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</si>
  <si>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Continuation</t>
  </si>
  <si>
    <t>An unfiltered seepage exit exists allowing erosion to continue?</t>
  </si>
  <si>
    <t>Unsuccessful Intervention</t>
  </si>
  <si>
    <t>Detection and intervention are unsuccessful?</t>
  </si>
  <si>
    <t>Breach</t>
  </si>
  <si>
    <t>Uncontrolled release of impounded water occurs?</t>
  </si>
  <si>
    <t>◄ If using copy/paste, paste values only to preserve conditional formatting.</t>
  </si>
  <si>
    <t>Hydrologic Hazard</t>
  </si>
  <si>
    <t>Flaw: Open Defects</t>
  </si>
  <si>
    <t>Open defects exist in the conduit, pipe, or culvert?</t>
  </si>
  <si>
    <t>Initiation</t>
  </si>
  <si>
    <t>Downward vertical gradient exists to initiate internal migration into the open defect?</t>
  </si>
  <si>
    <t>Progression: Clogging</t>
  </si>
  <si>
    <t>Leakage pathway fails to clog, and a stope develops?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</si>
</sst>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2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0" borderId="0" xfId="2" applyFont="1" applyAlignment="1">
      <alignment horizontal="left"/>
    </xf>
    <xf numFmtId="0" fontId="1" fillId="0" borderId="0" xfId="2" applyAlignment="1">
      <alignment wrapText="1"/>
    </xf>
    <xf numFmtId="0" fontId="1" fillId="0" borderId="0" xfId="2" applyAlignment="1">
      <alignment vertical="center" wrapText="1"/>
    </xf>
    <xf numFmtId="0" fontId="4" fillId="0" borderId="0" xfId="0" applyFont="1" applyAlignment="1">
      <alignment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2" xfId="0" applyFont="1" applyBorder="1"/>
    <xf numFmtId="0" fontId="4" fillId="0" borderId="4" xfId="0" applyFont="1" applyBorder="1"/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Alignment="1">
      <alignment horizontal="center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Flaw: Open Defects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Initiation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Continuation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Clogging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Open defects exist in the conduit, pipe, or culvert?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Downward vertical gradient exists to initiate internal migration into the open defect?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An unfiltered seepage exit exists allowing erosion to continue?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Leakage pathway fails to clog, and a stope develops?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11</xdr:row>
          <xdr:rowOff>180975</xdr:rowOff>
        </xdr:from>
        <xdr:to>
          <xdr:col>80</xdr:col>
          <xdr:colOff>619125</xdr:colOff>
          <xdr:row>14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Transparent Background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15</xdr:row>
          <xdr:rowOff>9525</xdr:rowOff>
        </xdr:from>
        <xdr:to>
          <xdr:col>80</xdr:col>
          <xdr:colOff>619125</xdr:colOff>
          <xdr:row>17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White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Background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19" t="s">
        <v>8</v>
      </c>
      <c r="B1" s="40"/>
      <c r="C1" s="40"/>
      <c r="D1" s="40"/>
      <c r="E1" s="20" t="s">
        <v>9</v>
      </c>
      <c r="F1" s="21"/>
      <c r="G1" s="22" t="s">
        <v>10</v>
      </c>
      <c r="H1" s="23"/>
    </row>
    <row r="2" spans="1:9" x14ac:dyDescent="0.2">
      <c r="A2" s="19" t="s">
        <v>11</v>
      </c>
      <c r="B2" s="40"/>
      <c r="C2" s="40"/>
      <c r="D2" s="40"/>
      <c r="E2" s="20" t="s">
        <v>9</v>
      </c>
      <c r="F2" s="21"/>
      <c r="G2" s="22" t="s">
        <v>10</v>
      </c>
      <c r="H2" s="23"/>
    </row>
    <row r="3" spans="1:9" x14ac:dyDescent="0.2">
      <c r="A3" s="24" t="s">
        <v>12</v>
      </c>
      <c r="B3" s="6"/>
      <c r="C3" s="41"/>
      <c r="D3" s="41"/>
      <c r="E3" s="41"/>
      <c r="F3" s="41"/>
      <c r="G3" s="41"/>
      <c r="H3" s="41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7"/>
      <c r="B6" s="16"/>
      <c r="C6" s="16"/>
      <c r="D6" s="16"/>
      <c r="E6" s="16"/>
      <c r="F6" s="16"/>
      <c r="G6" s="16"/>
      <c r="H6" s="16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2" t="s">
        <v>63</v>
      </c>
      <c r="E9" s="42"/>
      <c r="F9" s="11" t="s">
        <v>28</v>
      </c>
      <c r="G9" s="42"/>
      <c r="H9" s="42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6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15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18" t="s">
        <v>62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39" t="s">
        <v>64</v>
      </c>
      <c r="B21" s="39"/>
      <c r="C21" s="39"/>
      <c r="D21" s="39"/>
      <c r="E21" s="39"/>
      <c r="F21" s="39"/>
      <c r="G21" s="39"/>
      <c r="H21" s="39"/>
    </row>
    <row r="22" spans="1:9" ht="8.1" customHeight="1" x14ac:dyDescent="0.2">
      <c r="A22" s="10"/>
      <c r="B22" s="10"/>
      <c r="C22" s="10"/>
      <c r="D22" s="10"/>
      <c r="E22" s="10"/>
      <c r="F22" s="10"/>
      <c r="G22" s="10"/>
      <c r="H22" s="10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39" t="s">
        <v>65</v>
      </c>
      <c r="B24" s="39"/>
      <c r="C24" s="39"/>
      <c r="D24" s="39"/>
      <c r="E24" s="39"/>
      <c r="F24" s="39"/>
      <c r="G24" s="39"/>
      <c r="H24" s="39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39" t="s">
        <v>38</v>
      </c>
      <c r="B27" s="39"/>
      <c r="C27" s="39"/>
      <c r="D27" s="39"/>
      <c r="E27" s="39"/>
      <c r="F27" s="39"/>
      <c r="G27" s="39"/>
      <c r="H27" s="39"/>
      <c r="I27" s="8"/>
    </row>
    <row r="28" spans="1:9" ht="12.75" customHeight="1" x14ac:dyDescent="0.2">
      <c r="A28" s="39"/>
      <c r="B28" s="39"/>
      <c r="C28" s="39"/>
      <c r="D28" s="39"/>
      <c r="E28" s="39"/>
      <c r="F28" s="39"/>
      <c r="G28" s="39"/>
      <c r="H28" s="39"/>
    </row>
    <row r="29" spans="1:9" ht="12.75" customHeight="1" x14ac:dyDescent="0.2">
      <c r="A29" s="39"/>
      <c r="B29" s="39"/>
      <c r="C29" s="39"/>
      <c r="D29" s="39"/>
      <c r="E29" s="39"/>
      <c r="F29" s="39"/>
      <c r="G29" s="39"/>
      <c r="H29" s="39"/>
    </row>
    <row r="30" spans="1:9" ht="12.75" customHeight="1" x14ac:dyDescent="0.2">
      <c r="A30" s="39"/>
      <c r="B30" s="39"/>
      <c r="C30" s="39"/>
      <c r="D30" s="39"/>
      <c r="E30" s="39"/>
      <c r="F30" s="39"/>
      <c r="G30" s="39"/>
      <c r="H30" s="39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39" t="s">
        <v>66</v>
      </c>
      <c r="B35" s="39"/>
      <c r="C35" s="39"/>
      <c r="D35" s="39"/>
      <c r="E35" s="39"/>
      <c r="F35" s="39"/>
      <c r="G35" s="39"/>
      <c r="H35" s="39"/>
    </row>
    <row r="36" spans="1:9" ht="8.1" customHeight="1" x14ac:dyDescent="0.2">
      <c r="A36" s="10"/>
      <c r="B36" s="10"/>
      <c r="C36" s="10"/>
      <c r="D36" s="10"/>
      <c r="E36" s="10"/>
      <c r="F36" s="10"/>
      <c r="G36" s="10"/>
      <c r="H36" s="10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39" t="s">
        <v>67</v>
      </c>
      <c r="B38" s="39"/>
      <c r="C38" s="39"/>
      <c r="D38" s="39"/>
      <c r="E38" s="39"/>
      <c r="F38" s="39"/>
      <c r="G38" s="39"/>
      <c r="H38" s="39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39" t="s">
        <v>39</v>
      </c>
      <c r="B41" s="39"/>
      <c r="C41" s="39"/>
      <c r="D41" s="39"/>
      <c r="E41" s="39"/>
      <c r="F41" s="39"/>
      <c r="G41" s="39"/>
      <c r="H41" s="39"/>
      <c r="I41" s="8"/>
    </row>
    <row r="42" spans="1:9" ht="12.75" customHeight="1" x14ac:dyDescent="0.2">
      <c r="A42" s="39"/>
      <c r="B42" s="39"/>
      <c r="C42" s="39"/>
      <c r="D42" s="39"/>
      <c r="E42" s="39"/>
      <c r="F42" s="39"/>
      <c r="G42" s="39"/>
      <c r="H42" s="39"/>
    </row>
    <row r="43" spans="1:9" ht="12.75" customHeight="1" x14ac:dyDescent="0.2">
      <c r="A43" s="39"/>
      <c r="B43" s="39"/>
      <c r="C43" s="39"/>
      <c r="D43" s="39"/>
      <c r="E43" s="39"/>
      <c r="F43" s="39"/>
      <c r="G43" s="39"/>
      <c r="H43" s="39"/>
    </row>
    <row r="44" spans="1:9" ht="12.75" customHeight="1" x14ac:dyDescent="0.2">
      <c r="A44" s="39"/>
      <c r="B44" s="39"/>
      <c r="C44" s="39"/>
      <c r="D44" s="39"/>
      <c r="E44" s="39"/>
      <c r="F44" s="39"/>
      <c r="G44" s="39"/>
      <c r="H44" s="39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39" t="s">
        <v>56</v>
      </c>
      <c r="B49" s="39"/>
      <c r="C49" s="39"/>
      <c r="D49" s="39"/>
      <c r="E49" s="39"/>
      <c r="F49" s="39"/>
      <c r="G49" s="39"/>
      <c r="H49" s="39"/>
    </row>
    <row r="50" spans="1:9" ht="8.1" customHeight="1" x14ac:dyDescent="0.2">
      <c r="A50" s="10"/>
      <c r="B50" s="10"/>
      <c r="C50" s="10"/>
      <c r="D50" s="10"/>
      <c r="E50" s="10"/>
      <c r="F50" s="10"/>
      <c r="G50" s="10"/>
      <c r="H50" s="10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39" t="s">
        <v>57</v>
      </c>
      <c r="B52" s="39"/>
      <c r="C52" s="39"/>
      <c r="D52" s="39"/>
      <c r="E52" s="39"/>
      <c r="F52" s="39"/>
      <c r="G52" s="39"/>
      <c r="H52" s="39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39" t="s">
        <v>40</v>
      </c>
      <c r="B55" s="39"/>
      <c r="C55" s="39"/>
      <c r="D55" s="39"/>
      <c r="E55" s="39"/>
      <c r="F55" s="39"/>
      <c r="G55" s="39"/>
      <c r="H55" s="39"/>
      <c r="I55" s="8"/>
    </row>
    <row r="56" spans="1:9" ht="12.75" customHeight="1" x14ac:dyDescent="0.2">
      <c r="A56" s="39"/>
      <c r="B56" s="39"/>
      <c r="C56" s="39"/>
      <c r="D56" s="39"/>
      <c r="E56" s="39"/>
      <c r="F56" s="39"/>
      <c r="G56" s="39"/>
      <c r="H56" s="39"/>
    </row>
    <row r="57" spans="1:9" ht="12.75" customHeight="1" x14ac:dyDescent="0.2">
      <c r="A57" s="39"/>
      <c r="B57" s="39"/>
      <c r="C57" s="39"/>
      <c r="D57" s="39"/>
      <c r="E57" s="39"/>
      <c r="F57" s="39"/>
      <c r="G57" s="39"/>
      <c r="H57" s="39"/>
    </row>
    <row r="58" spans="1:9" ht="12.75" customHeight="1" x14ac:dyDescent="0.2">
      <c r="A58" s="39"/>
      <c r="B58" s="39"/>
      <c r="C58" s="39"/>
      <c r="D58" s="39"/>
      <c r="E58" s="39"/>
      <c r="F58" s="39"/>
      <c r="G58" s="39"/>
      <c r="H58" s="39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39" t="s">
        <v>68</v>
      </c>
      <c r="B63" s="39"/>
      <c r="C63" s="39"/>
      <c r="D63" s="39"/>
      <c r="E63" s="39"/>
      <c r="F63" s="39"/>
      <c r="G63" s="39"/>
      <c r="H63" s="39"/>
    </row>
    <row r="64" spans="1:9" ht="8.1" customHeight="1" x14ac:dyDescent="0.2">
      <c r="A64" s="10"/>
      <c r="B64" s="10"/>
      <c r="C64" s="10"/>
      <c r="D64" s="10"/>
      <c r="E64" s="10"/>
      <c r="F64" s="10"/>
      <c r="G64" s="10"/>
      <c r="H64" s="10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39" t="s">
        <v>69</v>
      </c>
      <c r="B66" s="39"/>
      <c r="C66" s="39"/>
      <c r="D66" s="39"/>
      <c r="E66" s="39"/>
      <c r="F66" s="39"/>
      <c r="G66" s="39"/>
      <c r="H66" s="39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39" t="s">
        <v>41</v>
      </c>
      <c r="B69" s="39"/>
      <c r="C69" s="39"/>
      <c r="D69" s="39"/>
      <c r="E69" s="39"/>
      <c r="F69" s="39"/>
      <c r="G69" s="39"/>
      <c r="H69" s="39"/>
      <c r="I69" s="8"/>
    </row>
    <row r="70" spans="1:9" ht="12.75" customHeight="1" x14ac:dyDescent="0.2">
      <c r="A70" s="39"/>
      <c r="B70" s="39"/>
      <c r="C70" s="39"/>
      <c r="D70" s="39"/>
      <c r="E70" s="39"/>
      <c r="F70" s="39"/>
      <c r="G70" s="39"/>
      <c r="H70" s="39"/>
    </row>
    <row r="71" spans="1:9" ht="12.75" customHeight="1" x14ac:dyDescent="0.2">
      <c r="A71" s="39"/>
      <c r="B71" s="39"/>
      <c r="C71" s="39"/>
      <c r="D71" s="39"/>
      <c r="E71" s="39"/>
      <c r="F71" s="39"/>
      <c r="G71" s="39"/>
      <c r="H71" s="39"/>
    </row>
    <row r="72" spans="1:9" ht="12.75" customHeight="1" x14ac:dyDescent="0.2">
      <c r="A72" s="39"/>
      <c r="B72" s="39"/>
      <c r="C72" s="39"/>
      <c r="D72" s="39"/>
      <c r="E72" s="39"/>
      <c r="F72" s="39"/>
      <c r="G72" s="39"/>
      <c r="H72" s="39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39" t="s">
        <v>58</v>
      </c>
      <c r="B77" s="39"/>
      <c r="C77" s="39"/>
      <c r="D77" s="39"/>
      <c r="E77" s="39"/>
      <c r="F77" s="39"/>
      <c r="G77" s="39"/>
      <c r="H77" s="39"/>
    </row>
    <row r="78" spans="1:9" ht="8.1" customHeight="1" x14ac:dyDescent="0.2">
      <c r="A78" s="10"/>
      <c r="B78" s="10"/>
      <c r="C78" s="10"/>
      <c r="D78" s="10"/>
      <c r="E78" s="10"/>
      <c r="F78" s="10"/>
      <c r="G78" s="10"/>
      <c r="H78" s="10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39" t="s">
        <v>59</v>
      </c>
      <c r="B80" s="39"/>
      <c r="C80" s="39"/>
      <c r="D80" s="39"/>
      <c r="E80" s="39"/>
      <c r="F80" s="39"/>
      <c r="G80" s="39"/>
      <c r="H80" s="39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39" t="s">
        <v>42</v>
      </c>
      <c r="B83" s="39"/>
      <c r="C83" s="39"/>
      <c r="D83" s="39"/>
      <c r="E83" s="39"/>
      <c r="F83" s="39"/>
      <c r="G83" s="39"/>
      <c r="H83" s="39"/>
      <c r="I83" s="8"/>
    </row>
    <row r="84" spans="1:9" ht="12.75" customHeight="1" x14ac:dyDescent="0.2">
      <c r="A84" s="39"/>
      <c r="B84" s="39"/>
      <c r="C84" s="39"/>
      <c r="D84" s="39"/>
      <c r="E84" s="39"/>
      <c r="F84" s="39"/>
      <c r="G84" s="39"/>
      <c r="H84" s="39"/>
    </row>
    <row r="85" spans="1:9" ht="12.75" customHeight="1" x14ac:dyDescent="0.2">
      <c r="A85" s="39"/>
      <c r="B85" s="39"/>
      <c r="C85" s="39"/>
      <c r="D85" s="39"/>
      <c r="E85" s="39"/>
      <c r="F85" s="39"/>
      <c r="G85" s="39"/>
      <c r="H85" s="39"/>
    </row>
    <row r="86" spans="1:9" ht="12.75" customHeight="1" x14ac:dyDescent="0.2">
      <c r="A86" s="39"/>
      <c r="B86" s="39"/>
      <c r="C86" s="39"/>
      <c r="D86" s="39"/>
      <c r="E86" s="39"/>
      <c r="F86" s="39"/>
      <c r="G86" s="39"/>
      <c r="H86" s="39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39" t="s">
        <v>60</v>
      </c>
      <c r="B91" s="39"/>
      <c r="C91" s="39"/>
      <c r="D91" s="39"/>
      <c r="E91" s="39"/>
      <c r="F91" s="39"/>
      <c r="G91" s="39"/>
      <c r="H91" s="39"/>
    </row>
    <row r="92" spans="1:9" ht="8.1" customHeight="1" x14ac:dyDescent="0.2">
      <c r="A92" s="10"/>
      <c r="B92" s="10"/>
      <c r="C92" s="10"/>
      <c r="D92" s="10"/>
      <c r="E92" s="10"/>
      <c r="F92" s="10"/>
      <c r="G92" s="10"/>
      <c r="H92" s="10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39" t="s">
        <v>61</v>
      </c>
      <c r="B94" s="39"/>
      <c r="C94" s="39"/>
      <c r="D94" s="39"/>
      <c r="E94" s="39"/>
      <c r="F94" s="39"/>
      <c r="G94" s="39"/>
      <c r="H94" s="39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39" t="s">
        <v>43</v>
      </c>
      <c r="B97" s="39"/>
      <c r="C97" s="39"/>
      <c r="D97" s="39"/>
      <c r="E97" s="39"/>
      <c r="F97" s="39"/>
      <c r="G97" s="39"/>
      <c r="H97" s="39"/>
      <c r="I97" s="8"/>
    </row>
    <row r="98" spans="1:15" ht="12.75" customHeight="1" x14ac:dyDescent="0.2">
      <c r="A98" s="39"/>
      <c r="B98" s="39"/>
      <c r="C98" s="39"/>
      <c r="D98" s="39"/>
      <c r="E98" s="39"/>
      <c r="F98" s="39"/>
      <c r="G98" s="39"/>
      <c r="H98" s="39"/>
    </row>
    <row r="99" spans="1:15" ht="12.75" customHeight="1" x14ac:dyDescent="0.2">
      <c r="A99" s="39"/>
      <c r="B99" s="39"/>
      <c r="C99" s="39"/>
      <c r="D99" s="39"/>
      <c r="E99" s="39"/>
      <c r="F99" s="39"/>
      <c r="G99" s="39"/>
      <c r="H99" s="39"/>
    </row>
    <row r="100" spans="1:15" ht="12.75" customHeight="1" x14ac:dyDescent="0.2">
      <c r="A100" s="39"/>
      <c r="B100" s="39"/>
      <c r="C100" s="39"/>
      <c r="D100" s="39"/>
      <c r="E100" s="39"/>
      <c r="F100" s="39"/>
      <c r="G100" s="39"/>
      <c r="H100" s="39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39" t="s">
        <v>60</v>
      </c>
      <c r="B105" s="39"/>
      <c r="C105" s="39"/>
      <c r="D105" s="39"/>
      <c r="E105" s="39"/>
      <c r="F105" s="39"/>
      <c r="G105" s="39"/>
      <c r="H105" s="39"/>
    </row>
    <row r="106" spans="1:15" ht="8.1" customHeight="1" x14ac:dyDescent="0.2">
      <c r="A106" s="10"/>
      <c r="B106" s="10"/>
      <c r="C106" s="10"/>
      <c r="D106" s="10"/>
      <c r="E106" s="10"/>
      <c r="F106" s="10"/>
      <c r="G106" s="10"/>
      <c r="H106" s="10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39" t="s">
        <v>61</v>
      </c>
      <c r="B108" s="39"/>
      <c r="C108" s="39"/>
      <c r="D108" s="39"/>
      <c r="E108" s="39"/>
      <c r="F108" s="39"/>
      <c r="G108" s="39"/>
      <c r="H108" s="39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39" t="s">
        <v>44</v>
      </c>
      <c r="B111" s="39"/>
      <c r="C111" s="39"/>
      <c r="D111" s="39"/>
      <c r="E111" s="39"/>
      <c r="F111" s="39"/>
      <c r="G111" s="39"/>
      <c r="H111" s="39"/>
      <c r="I111" s="8"/>
      <c r="O111" s="13"/>
    </row>
    <row r="112" spans="1:15" ht="12.75" customHeight="1" x14ac:dyDescent="0.2">
      <c r="A112" s="39"/>
      <c r="B112" s="39"/>
      <c r="C112" s="39"/>
      <c r="D112" s="39"/>
      <c r="E112" s="39"/>
      <c r="F112" s="39"/>
      <c r="G112" s="39"/>
      <c r="H112" s="39"/>
    </row>
    <row r="113" spans="1:9" ht="12.75" customHeight="1" x14ac:dyDescent="0.2">
      <c r="A113" s="39"/>
      <c r="B113" s="39"/>
      <c r="C113" s="39"/>
      <c r="D113" s="39"/>
      <c r="E113" s="39"/>
      <c r="F113" s="39"/>
      <c r="G113" s="39"/>
      <c r="H113" s="39"/>
    </row>
    <row r="114" spans="1:9" ht="12.75" customHeight="1" x14ac:dyDescent="0.2">
      <c r="A114" s="39"/>
      <c r="B114" s="39"/>
      <c r="C114" s="39"/>
      <c r="D114" s="39"/>
      <c r="E114" s="39"/>
      <c r="F114" s="39"/>
      <c r="G114" s="39"/>
      <c r="H114" s="39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39" t="s">
        <v>50</v>
      </c>
      <c r="B119" s="39"/>
      <c r="C119" s="39"/>
      <c r="D119" s="39"/>
      <c r="E119" s="39"/>
      <c r="F119" s="39"/>
      <c r="G119" s="39"/>
      <c r="H119" s="39"/>
    </row>
    <row r="120" spans="1:9" ht="8.1" customHeight="1" x14ac:dyDescent="0.2">
      <c r="A120" s="10"/>
      <c r="B120" s="10"/>
      <c r="C120" s="10"/>
      <c r="D120" s="10"/>
      <c r="E120" s="10"/>
      <c r="F120" s="10"/>
      <c r="G120" s="10"/>
      <c r="H120" s="10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39" t="s">
        <v>51</v>
      </c>
      <c r="B122" s="39"/>
      <c r="C122" s="39"/>
      <c r="D122" s="39"/>
      <c r="E122" s="39"/>
      <c r="F122" s="39"/>
      <c r="G122" s="39"/>
      <c r="H122" s="39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39" t="s">
        <v>45</v>
      </c>
      <c r="B125" s="39"/>
      <c r="C125" s="39"/>
      <c r="D125" s="39"/>
      <c r="E125" s="39"/>
      <c r="F125" s="39"/>
      <c r="G125" s="39"/>
      <c r="H125" s="39"/>
      <c r="I125" s="8"/>
    </row>
    <row r="126" spans="1:9" ht="12.75" customHeight="1" x14ac:dyDescent="0.2">
      <c r="A126" s="39"/>
      <c r="B126" s="39"/>
      <c r="C126" s="39"/>
      <c r="D126" s="39"/>
      <c r="E126" s="39"/>
      <c r="F126" s="39"/>
      <c r="G126" s="39"/>
      <c r="H126" s="39"/>
    </row>
    <row r="127" spans="1:9" ht="12.75" customHeight="1" x14ac:dyDescent="0.2">
      <c r="A127" s="39"/>
      <c r="B127" s="39"/>
      <c r="C127" s="39"/>
      <c r="D127" s="39"/>
      <c r="E127" s="39"/>
      <c r="F127" s="39"/>
      <c r="G127" s="39"/>
      <c r="H127" s="39"/>
    </row>
    <row r="128" spans="1:9" ht="12.75" customHeight="1" x14ac:dyDescent="0.2">
      <c r="A128" s="39"/>
      <c r="B128" s="39"/>
      <c r="C128" s="39"/>
      <c r="D128" s="39"/>
      <c r="E128" s="39"/>
      <c r="F128" s="39"/>
      <c r="G128" s="39"/>
      <c r="H128" s="39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39" t="s">
        <v>35</v>
      </c>
      <c r="B133" s="39"/>
      <c r="C133" s="39"/>
      <c r="D133" s="39"/>
      <c r="E133" s="39"/>
      <c r="F133" s="39"/>
      <c r="G133" s="39"/>
      <c r="H133" s="39"/>
    </row>
    <row r="134" spans="1:9" ht="8.1" customHeight="1" x14ac:dyDescent="0.2">
      <c r="A134" s="10"/>
      <c r="B134" s="10"/>
      <c r="C134" s="10"/>
      <c r="D134" s="10"/>
      <c r="E134" s="10"/>
      <c r="F134" s="10"/>
      <c r="G134" s="10"/>
      <c r="H134" s="10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39" t="s">
        <v>52</v>
      </c>
      <c r="B136" s="39"/>
      <c r="C136" s="39"/>
      <c r="D136" s="39"/>
      <c r="E136" s="39"/>
      <c r="F136" s="39"/>
      <c r="G136" s="39"/>
      <c r="H136" s="39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39" t="s">
        <v>46</v>
      </c>
      <c r="B139" s="39"/>
      <c r="C139" s="39"/>
      <c r="D139" s="39"/>
      <c r="E139" s="39"/>
      <c r="F139" s="39"/>
      <c r="G139" s="39"/>
      <c r="H139" s="39"/>
      <c r="I139" s="8"/>
    </row>
    <row r="140" spans="1:9" ht="12.75" customHeight="1" x14ac:dyDescent="0.2">
      <c r="A140" s="39"/>
      <c r="B140" s="39"/>
      <c r="C140" s="39"/>
      <c r="D140" s="39"/>
      <c r="E140" s="39"/>
      <c r="F140" s="39"/>
      <c r="G140" s="39"/>
      <c r="H140" s="39"/>
    </row>
    <row r="141" spans="1:9" ht="12.75" customHeight="1" x14ac:dyDescent="0.2">
      <c r="A141" s="39"/>
      <c r="B141" s="39"/>
      <c r="C141" s="39"/>
      <c r="D141" s="39"/>
      <c r="E141" s="39"/>
      <c r="F141" s="39"/>
      <c r="G141" s="39"/>
      <c r="H141" s="39"/>
    </row>
    <row r="142" spans="1:9" ht="12.75" customHeight="1" x14ac:dyDescent="0.2">
      <c r="A142" s="39"/>
      <c r="B142" s="39"/>
      <c r="C142" s="39"/>
      <c r="D142" s="39"/>
      <c r="E142" s="39"/>
      <c r="F142" s="39"/>
      <c r="G142" s="39"/>
      <c r="H142" s="39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63</v>
      </c>
      <c r="C146" s="3">
        <v>1</v>
      </c>
      <c r="E146" s="3" t="s">
        <v>0</v>
      </c>
    </row>
    <row r="147" spans="1:5" x14ac:dyDescent="0.2">
      <c r="A147" s="3" t="s">
        <v>55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3" t="s">
        <v>17</v>
      </c>
      <c r="B156" s="9" t="s">
        <v>23</v>
      </c>
      <c r="C156" s="9" t="s">
        <v>24</v>
      </c>
    </row>
    <row r="157" spans="1:5" x14ac:dyDescent="0.2">
      <c r="A157" s="43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Triangle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/>
      </c>
      <c r="C164" s="9" t="str">
        <f t="shared" si="0"/>
        <v/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5:H58"/>
    <mergeCell ref="A66:H66"/>
    <mergeCell ref="A69:H72"/>
    <mergeCell ref="A80:H80"/>
    <mergeCell ref="A83:H86"/>
    <mergeCell ref="A63:H63"/>
    <mergeCell ref="A77:H77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3.0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="90" zoomScaleNormal="9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8" t="s">
        <v>8</v>
      </c>
      <c r="B1" s="48"/>
      <c r="C1" s="48"/>
      <c r="D1" s="48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50" t="s">
        <v>9</v>
      </c>
      <c r="AG1" s="50"/>
      <c r="AH1" s="5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50" t="s">
        <v>10</v>
      </c>
      <c r="BE1" s="5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</row>
    <row r="2" spans="1:80" ht="15" customHeight="1" x14ac:dyDescent="0.2">
      <c r="A2" s="48" t="s">
        <v>11</v>
      </c>
      <c r="B2" s="48"/>
      <c r="C2" s="48"/>
      <c r="D2" s="48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0" t="s">
        <v>9</v>
      </c>
      <c r="AG2" s="50"/>
      <c r="AH2" s="50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1"/>
      <c r="AZ2" s="51"/>
      <c r="BA2" s="51"/>
      <c r="BB2" s="51"/>
      <c r="BC2" s="51"/>
      <c r="BD2" s="50" t="s">
        <v>10</v>
      </c>
      <c r="BE2" s="50"/>
      <c r="BF2" s="51"/>
      <c r="BG2" s="51"/>
      <c r="BH2" s="51"/>
      <c r="BI2" s="51"/>
      <c r="BJ2" s="51"/>
      <c r="BK2" s="51"/>
      <c r="BL2" s="51"/>
      <c r="BM2" s="51"/>
      <c r="BN2" s="51"/>
      <c r="BO2" s="51"/>
      <c r="BP2" s="51"/>
      <c r="BQ2" s="51"/>
      <c r="BR2" s="51"/>
      <c r="BS2" s="51"/>
      <c r="BT2" s="51"/>
      <c r="BU2" s="51"/>
      <c r="BV2" s="51"/>
      <c r="BW2" s="51"/>
      <c r="BX2" s="51"/>
      <c r="BY2" s="51"/>
      <c r="BZ2" s="51"/>
      <c r="CA2" s="51"/>
    </row>
    <row r="3" spans="1:80" ht="15" customHeight="1" x14ac:dyDescent="0.2">
      <c r="A3" s="49" t="s">
        <v>12</v>
      </c>
      <c r="B3" s="49"/>
      <c r="C3" s="49"/>
      <c r="D3" s="49"/>
      <c r="E3" s="49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45" t="s">
        <v>25</v>
      </c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</row>
    <row r="6" spans="1:80" ht="15" customHeight="1" x14ac:dyDescent="0.2"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</row>
    <row r="7" spans="1:80" ht="15" customHeight="1" x14ac:dyDescent="0.2"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8"/>
      <c r="AK7" s="8"/>
      <c r="AL7" s="8"/>
      <c r="AM7" s="8"/>
      <c r="AN7" s="8"/>
      <c r="AO7" s="8"/>
      <c r="AP7" s="8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8"/>
      <c r="CB7" s="8" t="s">
        <v>47</v>
      </c>
    </row>
    <row r="8" spans="1:80" ht="15" customHeight="1" x14ac:dyDescent="0.2"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8"/>
      <c r="AK8" s="8"/>
      <c r="AL8" s="8"/>
      <c r="AM8" s="8"/>
      <c r="AN8" s="8"/>
      <c r="AO8" s="8"/>
      <c r="AP8" s="8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8"/>
    </row>
    <row r="9" spans="1:80" ht="15" customHeight="1" x14ac:dyDescent="0.2"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8"/>
      <c r="AK9" s="8"/>
      <c r="AL9" s="8"/>
      <c r="AM9" s="8"/>
      <c r="AN9" s="8"/>
      <c r="AO9" s="8"/>
      <c r="AP9" s="8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30"/>
      <c r="BU9" s="30"/>
      <c r="BV9" s="30"/>
      <c r="BW9" s="30"/>
      <c r="BX9" s="30"/>
      <c r="BY9" s="30"/>
      <c r="BZ9" s="30"/>
      <c r="CA9" s="28"/>
      <c r="CB9" s="8" t="s">
        <v>54</v>
      </c>
    </row>
    <row r="10" spans="1:80" ht="15" customHeight="1" x14ac:dyDescent="0.2"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8"/>
      <c r="AK10" s="8"/>
      <c r="AL10" s="8"/>
      <c r="AM10" s="8"/>
      <c r="AN10" s="8"/>
      <c r="AO10" s="8"/>
      <c r="AP10" s="8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30"/>
      <c r="BU10" s="30"/>
      <c r="BV10" s="30"/>
      <c r="BW10" s="30"/>
      <c r="BX10" s="30"/>
      <c r="BY10" s="30"/>
      <c r="BZ10" s="30"/>
      <c r="CA10" s="28"/>
    </row>
    <row r="11" spans="1:80" ht="15" customHeight="1" x14ac:dyDescent="0.2"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8"/>
      <c r="AK11" s="8"/>
      <c r="AL11" s="8"/>
      <c r="AM11" s="8"/>
      <c r="AN11" s="8"/>
      <c r="AO11" s="8"/>
      <c r="AP11" s="8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8"/>
      <c r="BF11" s="8"/>
      <c r="BG11" s="8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8"/>
      <c r="CA11" s="28"/>
      <c r="CB11" s="8" t="s">
        <v>53</v>
      </c>
    </row>
    <row r="12" spans="1:80" ht="15" customHeight="1" x14ac:dyDescent="0.2"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30"/>
      <c r="BN12" s="30"/>
      <c r="BO12" s="30"/>
      <c r="BP12" s="30"/>
      <c r="BQ12" s="30"/>
      <c r="BR12" s="30"/>
      <c r="BS12" s="30"/>
    </row>
    <row r="13" spans="1:80" ht="15" customHeight="1" x14ac:dyDescent="0.2">
      <c r="L13" s="31"/>
      <c r="M13" s="31"/>
      <c r="N13" s="31"/>
      <c r="O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30"/>
      <c r="BN13" s="30"/>
      <c r="BO13" s="30"/>
      <c r="BP13" s="30"/>
      <c r="BQ13" s="30"/>
      <c r="BR13" s="30"/>
      <c r="BS13" s="30"/>
      <c r="BT13" s="32"/>
      <c r="BU13" s="33"/>
      <c r="BV13" s="33"/>
      <c r="BW13" s="33"/>
      <c r="BX13" s="33"/>
      <c r="BY13" s="33"/>
      <c r="BZ13" s="33"/>
    </row>
    <row r="14" spans="1:80" ht="15" customHeight="1" x14ac:dyDescent="0.2"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T14" s="34"/>
      <c r="BU14" s="25"/>
      <c r="BV14" s="25"/>
      <c r="BW14" s="25"/>
      <c r="BX14" s="25"/>
      <c r="BY14" s="25"/>
      <c r="BZ14" s="25"/>
    </row>
    <row r="15" spans="1:80" ht="15" customHeight="1" x14ac:dyDescent="0.2"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30"/>
      <c r="BG15" s="30"/>
      <c r="BH15" s="30"/>
      <c r="BI15" s="30"/>
      <c r="BJ15" s="30"/>
      <c r="BK15" s="30"/>
      <c r="BL15" s="30"/>
      <c r="BT15" s="34"/>
      <c r="BU15" s="25"/>
      <c r="BV15" s="25"/>
      <c r="BW15" s="25"/>
      <c r="BX15" s="25"/>
      <c r="BY15" s="25"/>
      <c r="BZ15" s="25"/>
    </row>
    <row r="16" spans="1:80" ht="15" customHeight="1" x14ac:dyDescent="0.2">
      <c r="J16" s="14"/>
      <c r="K16" s="14"/>
      <c r="L16" s="14"/>
      <c r="M16" s="14"/>
      <c r="N16" s="14"/>
      <c r="O16" s="14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29"/>
      <c r="AR16" s="29"/>
      <c r="AS16" s="29"/>
      <c r="AT16" s="29"/>
      <c r="AU16" s="29"/>
      <c r="AV16" s="29"/>
      <c r="AW16" s="29"/>
      <c r="AY16" s="29"/>
      <c r="AZ16" s="29"/>
      <c r="BA16" s="29"/>
      <c r="BB16" s="29"/>
      <c r="BC16" s="29"/>
      <c r="BD16" s="29"/>
      <c r="BE16" s="29"/>
      <c r="BF16" s="30"/>
      <c r="BG16" s="30"/>
      <c r="BH16" s="30"/>
      <c r="BI16" s="30"/>
      <c r="BJ16" s="30"/>
      <c r="BK16" s="30"/>
      <c r="BL16" s="30"/>
      <c r="BM16" s="32"/>
      <c r="BN16" s="33"/>
      <c r="BO16" s="33"/>
      <c r="BP16" s="33"/>
      <c r="BQ16" s="33"/>
      <c r="BR16" s="33"/>
      <c r="BS16" s="33"/>
      <c r="BT16" s="34"/>
      <c r="BU16" s="25"/>
      <c r="BV16" s="25"/>
      <c r="BW16" s="25"/>
      <c r="BX16" s="25"/>
      <c r="BY16" s="25"/>
      <c r="BZ16" s="25"/>
    </row>
    <row r="17" spans="9:79" ht="15" customHeight="1" x14ac:dyDescent="0.2">
      <c r="J17" s="14"/>
      <c r="K17" s="14"/>
      <c r="L17" s="14"/>
      <c r="M17" s="14"/>
      <c r="N17" s="14"/>
      <c r="O17" s="14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M17" s="34"/>
      <c r="BN17" s="25"/>
      <c r="BO17" s="25"/>
      <c r="BP17" s="25"/>
      <c r="BQ17" s="25"/>
      <c r="BR17" s="25"/>
      <c r="BS17" s="25"/>
      <c r="BT17" s="34"/>
      <c r="BU17" s="25"/>
      <c r="BV17" s="25"/>
      <c r="BW17" s="25"/>
      <c r="BX17" s="25"/>
      <c r="BY17" s="25"/>
      <c r="BZ17" s="25"/>
    </row>
    <row r="18" spans="9:79" ht="15" customHeight="1" x14ac:dyDescent="0.2">
      <c r="J18" s="14"/>
      <c r="K18" s="14"/>
      <c r="L18" s="14"/>
      <c r="M18" s="14"/>
      <c r="N18" s="14"/>
      <c r="O18" s="14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M18" s="34"/>
      <c r="BN18" s="25"/>
      <c r="BO18" s="25"/>
      <c r="BP18" s="25"/>
      <c r="BQ18" s="25"/>
      <c r="BR18" s="25"/>
      <c r="BS18" s="25"/>
      <c r="BT18" s="35"/>
      <c r="BU18" s="36"/>
      <c r="BV18" s="36"/>
      <c r="BW18" s="36"/>
      <c r="BX18" s="36"/>
      <c r="BY18" s="36"/>
      <c r="BZ18" s="36"/>
    </row>
    <row r="19" spans="9:79" ht="15" customHeight="1" x14ac:dyDescent="0.2">
      <c r="J19" s="14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32"/>
      <c r="BG19" s="33"/>
      <c r="BH19" s="33"/>
      <c r="BI19" s="33"/>
      <c r="BJ19" s="33"/>
      <c r="BK19" s="33"/>
      <c r="BL19" s="33"/>
      <c r="BM19" s="34"/>
      <c r="BN19" s="25"/>
      <c r="BO19" s="25"/>
      <c r="BP19" s="25"/>
      <c r="BQ19" s="25"/>
      <c r="BR19" s="25"/>
      <c r="BS19" s="25"/>
    </row>
    <row r="20" spans="9:79" ht="15" customHeight="1" x14ac:dyDescent="0.2">
      <c r="J20" s="14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F20" s="34"/>
      <c r="BG20" s="25"/>
      <c r="BH20" s="25"/>
      <c r="BI20" s="25"/>
      <c r="BJ20" s="25"/>
      <c r="BK20" s="25"/>
      <c r="BL20" s="25"/>
      <c r="BM20" s="34"/>
      <c r="BN20" s="25"/>
      <c r="BO20" s="25"/>
      <c r="BP20" s="25"/>
      <c r="BQ20" s="25"/>
      <c r="BR20" s="25"/>
      <c r="BS20" s="25"/>
    </row>
    <row r="21" spans="9:79" ht="15" customHeight="1" x14ac:dyDescent="0.2">
      <c r="J21" s="14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25"/>
      <c r="AS21" s="25"/>
      <c r="AT21" s="25"/>
      <c r="AU21" s="25"/>
      <c r="AV21" s="25"/>
      <c r="AW21" s="25"/>
      <c r="AX21" s="25"/>
      <c r="BF21" s="34"/>
      <c r="BG21" s="25"/>
      <c r="BH21" s="25"/>
      <c r="BI21" s="25"/>
      <c r="BJ21" s="25"/>
      <c r="BK21" s="25"/>
      <c r="BL21" s="25"/>
      <c r="BM21" s="35"/>
      <c r="BN21" s="36"/>
      <c r="BO21" s="36"/>
      <c r="BP21" s="36"/>
      <c r="BQ21" s="36"/>
      <c r="BR21" s="36"/>
      <c r="BS21" s="36"/>
    </row>
    <row r="22" spans="9:79" ht="15" customHeight="1" x14ac:dyDescent="0.2"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25"/>
      <c r="AS22" s="25"/>
      <c r="AT22" s="25"/>
      <c r="AU22" s="25"/>
      <c r="AV22" s="25"/>
      <c r="AW22" s="25"/>
      <c r="AX22" s="25"/>
      <c r="AY22" s="32"/>
      <c r="AZ22" s="33"/>
      <c r="BA22" s="33"/>
      <c r="BB22" s="33"/>
      <c r="BC22" s="33"/>
      <c r="BD22" s="33"/>
      <c r="BE22" s="33"/>
      <c r="BF22" s="34"/>
      <c r="BG22" s="25"/>
      <c r="BH22" s="25"/>
      <c r="BI22" s="25"/>
      <c r="BJ22" s="25"/>
      <c r="BK22" s="25"/>
      <c r="BL22" s="25"/>
    </row>
    <row r="23" spans="9:79" ht="15" customHeight="1" x14ac:dyDescent="0.2"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Y23" s="34"/>
      <c r="AZ23" s="25"/>
      <c r="BA23" s="25"/>
      <c r="BB23" s="25"/>
      <c r="BC23" s="25"/>
      <c r="BD23" s="25"/>
      <c r="BE23" s="25"/>
      <c r="BF23" s="34"/>
      <c r="BG23" s="25"/>
      <c r="BH23" s="25"/>
      <c r="BI23" s="25"/>
      <c r="BJ23" s="25"/>
      <c r="BK23" s="25"/>
      <c r="BL23" s="25"/>
    </row>
    <row r="24" spans="9:79" ht="15" customHeight="1" x14ac:dyDescent="0.2"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25"/>
      <c r="AL24" s="25"/>
      <c r="AM24" s="25"/>
      <c r="AN24" s="25"/>
      <c r="AO24" s="25"/>
      <c r="AP24" s="25"/>
      <c r="AQ24" s="25"/>
      <c r="AY24" s="34"/>
      <c r="AZ24" s="25"/>
      <c r="BA24" s="25"/>
      <c r="BB24" s="25"/>
      <c r="BC24" s="25"/>
      <c r="BD24" s="25"/>
      <c r="BE24" s="25"/>
      <c r="BF24" s="35"/>
      <c r="BG24" s="36"/>
      <c r="BH24" s="36"/>
      <c r="BI24" s="36"/>
      <c r="BJ24" s="36"/>
      <c r="BK24" s="36"/>
      <c r="BL24" s="36"/>
      <c r="BR24" s="14"/>
      <c r="BS24" s="14"/>
      <c r="BT24" s="14"/>
      <c r="BU24" s="14"/>
      <c r="BV24" s="14"/>
      <c r="BW24" s="14"/>
      <c r="BX24" s="14"/>
      <c r="BY24" s="14"/>
      <c r="BZ24" s="14"/>
    </row>
    <row r="25" spans="9:79" ht="15" customHeight="1" x14ac:dyDescent="0.2"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K25" s="25"/>
      <c r="AL25" s="25"/>
      <c r="AM25" s="25"/>
      <c r="AN25" s="25"/>
      <c r="AO25" s="25"/>
      <c r="AP25" s="25"/>
      <c r="AQ25" s="25"/>
      <c r="AR25" s="32"/>
      <c r="AS25" s="33"/>
      <c r="AT25" s="33"/>
      <c r="AU25" s="33"/>
      <c r="AV25" s="33"/>
      <c r="AW25" s="33"/>
      <c r="AX25" s="33"/>
      <c r="AY25" s="34"/>
      <c r="AZ25" s="25"/>
      <c r="BA25" s="25"/>
      <c r="BB25" s="25"/>
      <c r="BC25" s="25"/>
      <c r="BD25" s="25"/>
      <c r="BE25" s="25"/>
      <c r="BQ25" s="14"/>
      <c r="BR25" s="14"/>
      <c r="BS25" s="14"/>
      <c r="BT25" s="14"/>
      <c r="BU25" s="14"/>
      <c r="BV25" s="14"/>
      <c r="BW25" s="14"/>
      <c r="BX25" s="14"/>
      <c r="BY25" s="14"/>
      <c r="BZ25" s="14"/>
    </row>
    <row r="26" spans="9:79" ht="15" customHeight="1" x14ac:dyDescent="0.2"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R26" s="34"/>
      <c r="AS26" s="25"/>
      <c r="AT26" s="25"/>
      <c r="AU26" s="25"/>
      <c r="AV26" s="25"/>
      <c r="AW26" s="25"/>
      <c r="AX26" s="25"/>
      <c r="AY26" s="34"/>
      <c r="AZ26" s="25"/>
      <c r="BA26" s="25"/>
      <c r="BB26" s="25"/>
      <c r="BC26" s="25"/>
      <c r="BD26" s="25"/>
      <c r="BE26" s="25"/>
      <c r="BQ26" s="14"/>
      <c r="BR26" s="14"/>
      <c r="BS26" s="14"/>
      <c r="BT26" s="14"/>
      <c r="BU26" s="14"/>
      <c r="BV26" s="14"/>
      <c r="BW26" s="14"/>
      <c r="BX26" s="14"/>
      <c r="BY26" s="14"/>
      <c r="BZ26" s="14"/>
    </row>
    <row r="27" spans="9:79" ht="15" customHeight="1" x14ac:dyDescent="0.2"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25"/>
      <c r="AE27" s="25"/>
      <c r="AF27" s="25"/>
      <c r="AG27" s="25"/>
      <c r="AH27" s="25"/>
      <c r="AI27" s="25"/>
      <c r="AJ27" s="25"/>
      <c r="AK27" s="37"/>
      <c r="AL27" s="37"/>
      <c r="AM27" s="37"/>
      <c r="AN27" s="37"/>
      <c r="AO27" s="37"/>
      <c r="AP27" s="37"/>
      <c r="AQ27" s="37"/>
      <c r="AR27" s="34"/>
      <c r="AS27" s="25"/>
      <c r="AT27" s="25"/>
      <c r="AU27" s="25"/>
      <c r="AV27" s="25"/>
      <c r="AW27" s="25"/>
      <c r="AX27" s="25"/>
      <c r="AY27" s="35"/>
      <c r="AZ27" s="36"/>
      <c r="BA27" s="36"/>
      <c r="BB27" s="36"/>
      <c r="BC27" s="36"/>
      <c r="BD27" s="36"/>
      <c r="BE27" s="36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</row>
    <row r="28" spans="9:79" ht="15" customHeight="1" x14ac:dyDescent="0.2"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25"/>
      <c r="AE28" s="25"/>
      <c r="AF28" s="25"/>
      <c r="AG28" s="25"/>
      <c r="AH28" s="25"/>
      <c r="AI28" s="25"/>
      <c r="AJ28" s="25"/>
      <c r="AK28" s="32"/>
      <c r="AL28" s="33"/>
      <c r="AM28" s="33"/>
      <c r="AN28" s="33"/>
      <c r="AO28" s="33"/>
      <c r="AP28" s="33"/>
      <c r="AQ28" s="33"/>
      <c r="AR28" s="34"/>
      <c r="AS28" s="25"/>
      <c r="AT28" s="25"/>
      <c r="AU28" s="25"/>
      <c r="AV28" s="25"/>
      <c r="AW28" s="25"/>
      <c r="AX28" s="25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</row>
    <row r="29" spans="9:79" ht="15" customHeight="1" x14ac:dyDescent="0.2"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K29" s="34"/>
      <c r="AL29" s="25"/>
      <c r="AM29" s="25"/>
      <c r="AN29" s="25"/>
      <c r="AO29" s="25"/>
      <c r="AP29" s="25"/>
      <c r="AQ29" s="25"/>
      <c r="AR29" s="34"/>
      <c r="AS29" s="25"/>
      <c r="AT29" s="25"/>
      <c r="AU29" s="25"/>
      <c r="AV29" s="25"/>
      <c r="AW29" s="25"/>
      <c r="AX29" s="25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</row>
    <row r="30" spans="9:79" ht="15" customHeight="1" x14ac:dyDescent="0.2"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25"/>
      <c r="X30" s="25"/>
      <c r="Y30" s="25"/>
      <c r="Z30" s="25"/>
      <c r="AA30" s="25"/>
      <c r="AB30" s="25"/>
      <c r="AC30" s="25"/>
      <c r="AK30" s="34"/>
      <c r="AL30" s="25"/>
      <c r="AM30" s="25"/>
      <c r="AN30" s="25"/>
      <c r="AO30" s="25"/>
      <c r="AP30" s="25"/>
      <c r="AQ30" s="25"/>
      <c r="AR30" s="35"/>
      <c r="AS30" s="36"/>
      <c r="AT30" s="36"/>
      <c r="AU30" s="36"/>
      <c r="AV30" s="36"/>
      <c r="AW30" s="36"/>
      <c r="AX30" s="36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</row>
    <row r="31" spans="9:79" ht="15" customHeight="1" x14ac:dyDescent="0.2"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25"/>
      <c r="X31" s="25"/>
      <c r="Y31" s="25"/>
      <c r="Z31" s="25"/>
      <c r="AA31" s="25"/>
      <c r="AB31" s="25"/>
      <c r="AC31" s="25"/>
      <c r="AD31" s="32"/>
      <c r="AE31" s="33"/>
      <c r="AF31" s="33"/>
      <c r="AG31" s="33"/>
      <c r="AH31" s="33"/>
      <c r="AI31" s="33"/>
      <c r="AJ31" s="33"/>
      <c r="AK31" s="34"/>
      <c r="AL31" s="25"/>
      <c r="AM31" s="25"/>
      <c r="AN31" s="25"/>
      <c r="AO31" s="25"/>
      <c r="AP31" s="25"/>
      <c r="AQ31" s="25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</row>
    <row r="32" spans="9:79" ht="15" customHeight="1" x14ac:dyDescent="0.2"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D32" s="34"/>
      <c r="AE32" s="25"/>
      <c r="AF32" s="25"/>
      <c r="AG32" s="25"/>
      <c r="AH32" s="25"/>
      <c r="AI32" s="25"/>
      <c r="AJ32" s="25"/>
      <c r="AK32" s="34"/>
      <c r="AL32" s="25"/>
      <c r="AM32" s="25"/>
      <c r="AN32" s="25"/>
      <c r="AO32" s="25"/>
      <c r="AP32" s="25"/>
      <c r="AQ32" s="25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</row>
    <row r="33" spans="2:78" ht="15" customHeight="1" x14ac:dyDescent="0.2">
      <c r="P33" s="25"/>
      <c r="Q33" s="25"/>
      <c r="R33" s="25"/>
      <c r="S33" s="25"/>
      <c r="T33" s="25"/>
      <c r="U33" s="25"/>
      <c r="V33" s="25"/>
      <c r="AD33" s="34"/>
      <c r="AE33" s="25"/>
      <c r="AF33" s="25"/>
      <c r="AG33" s="25"/>
      <c r="AH33" s="25"/>
      <c r="AI33" s="25"/>
      <c r="AJ33" s="25"/>
      <c r="AK33" s="35"/>
      <c r="AL33" s="36"/>
      <c r="AM33" s="36"/>
      <c r="AN33" s="36"/>
      <c r="AO33" s="36"/>
      <c r="AP33" s="36"/>
      <c r="AQ33" s="36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</row>
    <row r="34" spans="2:78" ht="15" customHeight="1" x14ac:dyDescent="0.2">
      <c r="P34" s="25"/>
      <c r="Q34" s="25"/>
      <c r="R34" s="25"/>
      <c r="S34" s="25"/>
      <c r="T34" s="25"/>
      <c r="U34" s="25"/>
      <c r="V34" s="25"/>
      <c r="W34" s="32"/>
      <c r="X34" s="33"/>
      <c r="Y34" s="33"/>
      <c r="Z34" s="33"/>
      <c r="AA34" s="33"/>
      <c r="AB34" s="33"/>
      <c r="AC34" s="33"/>
      <c r="AD34" s="34"/>
      <c r="AE34" s="25"/>
      <c r="AF34" s="25"/>
      <c r="AG34" s="25"/>
      <c r="AH34" s="25"/>
      <c r="AI34" s="25"/>
      <c r="AJ34" s="25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</row>
    <row r="35" spans="2:78" ht="15" customHeight="1" x14ac:dyDescent="0.2">
      <c r="W35" s="34"/>
      <c r="X35" s="25"/>
      <c r="Y35" s="25"/>
      <c r="Z35" s="25"/>
      <c r="AA35" s="25"/>
      <c r="AB35" s="25"/>
      <c r="AC35" s="25"/>
      <c r="AD35" s="34"/>
      <c r="AE35" s="25"/>
      <c r="AF35" s="25"/>
      <c r="AG35" s="25"/>
      <c r="AH35" s="25"/>
      <c r="AI35" s="25"/>
      <c r="AJ35" s="25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</row>
    <row r="36" spans="2:78" ht="15" customHeight="1" x14ac:dyDescent="0.2">
      <c r="B36" s="26" t="str">
        <f>IF('Event Tree Input'!D9="Seismic Hazard","Seismic Hazard","")</f>
        <v/>
      </c>
      <c r="C36" s="26"/>
      <c r="D36" s="26"/>
      <c r="E36" s="26"/>
      <c r="F36" s="26"/>
      <c r="G36" s="26"/>
      <c r="H36" s="26"/>
      <c r="I36" s="43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3"/>
      <c r="K36" s="43"/>
      <c r="L36" s="43"/>
      <c r="M36" s="43"/>
      <c r="N36" s="43"/>
      <c r="O36" s="43"/>
      <c r="W36" s="34"/>
      <c r="X36" s="25"/>
      <c r="Y36" s="25"/>
      <c r="Z36" s="25"/>
      <c r="AA36" s="25"/>
      <c r="AB36" s="25"/>
      <c r="AC36" s="25"/>
      <c r="AD36" s="35"/>
      <c r="AE36" s="36"/>
      <c r="AF36" s="36"/>
      <c r="AG36" s="36"/>
      <c r="AH36" s="36"/>
      <c r="AI36" s="36"/>
      <c r="AJ36" s="36"/>
      <c r="AM36" s="14"/>
      <c r="AN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</row>
    <row r="37" spans="2:78" ht="15" customHeight="1" x14ac:dyDescent="0.2">
      <c r="B37" s="26"/>
      <c r="C37" s="26"/>
      <c r="D37" s="26"/>
      <c r="E37" s="26"/>
      <c r="F37" s="26"/>
      <c r="G37" s="26"/>
      <c r="H37" s="26"/>
      <c r="I37" s="43"/>
      <c r="J37" s="43"/>
      <c r="K37" s="43"/>
      <c r="L37" s="43"/>
      <c r="M37" s="43"/>
      <c r="N37" s="43"/>
      <c r="O37" s="43"/>
      <c r="P37" s="32"/>
      <c r="Q37" s="33"/>
      <c r="R37" s="33"/>
      <c r="S37" s="33"/>
      <c r="T37" s="33"/>
      <c r="U37" s="33"/>
      <c r="V37" s="33"/>
      <c r="W37" s="34"/>
      <c r="X37" s="25"/>
      <c r="Y37" s="25"/>
      <c r="Z37" s="25"/>
      <c r="AA37" s="25"/>
      <c r="AB37" s="25"/>
      <c r="AC37" s="25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</row>
    <row r="38" spans="2:78" ht="15" customHeight="1" x14ac:dyDescent="0.2">
      <c r="P38" s="34"/>
      <c r="Q38" s="25"/>
      <c r="R38" s="25"/>
      <c r="S38" s="25"/>
      <c r="T38" s="25"/>
      <c r="U38" s="25"/>
      <c r="V38" s="25"/>
      <c r="W38" s="34"/>
      <c r="X38" s="25"/>
      <c r="Y38" s="25"/>
      <c r="Z38" s="25"/>
      <c r="AA38" s="25"/>
      <c r="AB38" s="25"/>
      <c r="AC38" s="25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</row>
    <row r="39" spans="2:78" ht="15" customHeight="1" x14ac:dyDescent="0.2">
      <c r="I39" s="37"/>
      <c r="J39" s="37"/>
      <c r="K39" s="37"/>
      <c r="L39" s="37"/>
      <c r="M39" s="37"/>
      <c r="N39" s="37"/>
      <c r="O39" s="37"/>
      <c r="P39" s="34"/>
      <c r="Q39" s="25"/>
      <c r="R39" s="25"/>
      <c r="S39" s="25"/>
      <c r="T39" s="25"/>
      <c r="U39" s="25"/>
      <c r="V39" s="25"/>
      <c r="W39" s="35"/>
      <c r="X39" s="36"/>
      <c r="Y39" s="36"/>
      <c r="Z39" s="36"/>
      <c r="AA39" s="36"/>
      <c r="AB39" s="36"/>
      <c r="AC39" s="36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</row>
    <row r="40" spans="2:78" ht="15" customHeight="1" x14ac:dyDescent="0.2">
      <c r="P40" s="34"/>
      <c r="Q40" s="25"/>
      <c r="R40" s="25"/>
      <c r="S40" s="25"/>
      <c r="T40" s="25"/>
      <c r="U40" s="25"/>
      <c r="V40" s="25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</row>
    <row r="41" spans="2:78" ht="15" customHeight="1" x14ac:dyDescent="0.2">
      <c r="P41" s="34"/>
      <c r="Q41" s="25"/>
      <c r="R41" s="25"/>
      <c r="S41" s="25"/>
      <c r="T41" s="25"/>
      <c r="U41" s="25"/>
      <c r="V41" s="25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</row>
    <row r="42" spans="2:78" ht="15" customHeight="1" x14ac:dyDescent="0.2">
      <c r="P42" s="35"/>
      <c r="Q42" s="36"/>
      <c r="R42" s="36"/>
      <c r="S42" s="36"/>
      <c r="T42" s="36"/>
      <c r="U42" s="36"/>
      <c r="V42" s="36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</row>
    <row r="43" spans="2:78" ht="15" customHeight="1" x14ac:dyDescent="0.2">
      <c r="V43" s="38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</row>
    <row r="44" spans="2:78" ht="15" customHeight="1" x14ac:dyDescent="0.2"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</row>
    <row r="45" spans="2:78" ht="15" customHeight="1" x14ac:dyDescent="0.2"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</row>
    <row r="46" spans="2:78" ht="15" customHeight="1" x14ac:dyDescent="0.2"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</row>
    <row r="47" spans="2:78" ht="15" customHeight="1" x14ac:dyDescent="0.2"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</row>
    <row r="48" spans="2:78" ht="15" customHeight="1" x14ac:dyDescent="0.2"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</row>
    <row r="49" spans="1:79" ht="15" customHeight="1" x14ac:dyDescent="0.2"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</row>
    <row r="50" spans="1:79" ht="15" customHeight="1" x14ac:dyDescent="0.2"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27"/>
      <c r="AW50" s="14"/>
      <c r="AX50" s="14"/>
      <c r="AY50" s="14"/>
    </row>
    <row r="51" spans="1:79" ht="15" customHeight="1" x14ac:dyDescent="0.2"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</row>
    <row r="52" spans="1:79" ht="15" customHeight="1" x14ac:dyDescent="0.2"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</row>
    <row r="53" spans="1:79" s="8" customFormat="1" ht="15" customHeight="1" x14ac:dyDescent="0.2">
      <c r="A53" s="46" t="s">
        <v>19</v>
      </c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  <c r="AS53" s="46"/>
      <c r="AT53" s="46"/>
      <c r="AU53" s="46"/>
      <c r="AV53" s="46"/>
      <c r="AW53" s="46"/>
      <c r="AX53" s="46"/>
      <c r="AY53" s="46"/>
      <c r="AZ53" s="46"/>
      <c r="BA53" s="46"/>
      <c r="BB53" s="46"/>
      <c r="BC53" s="46"/>
      <c r="BD53" s="46"/>
      <c r="BE53" s="46"/>
      <c r="BF53" s="46"/>
      <c r="BG53" s="46"/>
      <c r="BH53" s="46"/>
      <c r="BI53" s="46"/>
      <c r="BJ53" s="46"/>
      <c r="BK53" s="46"/>
      <c r="BL53" s="46"/>
      <c r="BM53" s="46"/>
      <c r="BN53" s="46"/>
      <c r="BO53" s="46"/>
      <c r="BP53" s="46"/>
      <c r="BQ53" s="46"/>
      <c r="BR53" s="46"/>
      <c r="BS53" s="46"/>
      <c r="BT53" s="46"/>
      <c r="BU53" s="46"/>
      <c r="BV53" s="46"/>
      <c r="BW53" s="46"/>
      <c r="BX53" s="46"/>
      <c r="BY53" s="46"/>
      <c r="BZ53" s="46"/>
      <c r="CA53" s="46"/>
    </row>
    <row r="55" spans="1:79" ht="15" customHeight="1" x14ac:dyDescent="0.2">
      <c r="A55" s="47" t="s">
        <v>55</v>
      </c>
      <c r="B55" s="47"/>
      <c r="C55" s="47"/>
      <c r="D55" s="47"/>
      <c r="E55" s="47"/>
      <c r="F55" s="47" t="str">
        <f>IF('Event Tree Input'!D9="Seismic Hazard","Yes","No")</f>
        <v>No</v>
      </c>
      <c r="G55" s="47"/>
      <c r="I55" s="43" t="s">
        <v>17</v>
      </c>
      <c r="J55" s="43"/>
      <c r="K55" s="47" t="s">
        <v>23</v>
      </c>
      <c r="L55" s="47"/>
      <c r="M55" s="47"/>
      <c r="N55" s="47" t="s">
        <v>24</v>
      </c>
      <c r="O55" s="47"/>
      <c r="P55" s="47"/>
    </row>
    <row r="56" spans="1:79" ht="15" customHeight="1" x14ac:dyDescent="0.2">
      <c r="I56" s="43"/>
      <c r="J56" s="43"/>
      <c r="K56" s="47" t="s">
        <v>22</v>
      </c>
      <c r="L56" s="47"/>
      <c r="M56" s="47"/>
      <c r="N56" s="47" t="s">
        <v>22</v>
      </c>
      <c r="O56" s="47"/>
      <c r="P56" s="47"/>
      <c r="S56" s="47" t="s">
        <v>17</v>
      </c>
      <c r="T56" s="47"/>
      <c r="U56" s="47" t="s">
        <v>27</v>
      </c>
      <c r="V56" s="47"/>
      <c r="W56" s="47"/>
      <c r="X56" s="47" t="s">
        <v>29</v>
      </c>
      <c r="Y56" s="47"/>
      <c r="Z56" s="47"/>
    </row>
    <row r="57" spans="1:79" ht="15" customHeight="1" x14ac:dyDescent="0.2">
      <c r="I57" s="47">
        <v>1</v>
      </c>
      <c r="J57" s="47"/>
      <c r="K57" s="47" t="str">
        <f>'Event Tree Input'!B158</f>
        <v>Circle</v>
      </c>
      <c r="L57" s="47"/>
      <c r="M57" s="47"/>
      <c r="N57" s="47" t="str">
        <f>'Event Tree Input'!C158</f>
        <v>Triangle</v>
      </c>
      <c r="O57" s="47"/>
      <c r="P57" s="47"/>
      <c r="S57" s="47">
        <v>1</v>
      </c>
      <c r="T57" s="47"/>
      <c r="U57" s="47" t="str">
        <f>IF('Event Tree Input'!$D$14="No","No",IF(AND('Event Tree Input'!$D$14="Yes",'Event Tree Input'!$D$11&gt;=S57),"Yes","No"))</f>
        <v>No</v>
      </c>
      <c r="V57" s="47"/>
      <c r="W57" s="47"/>
      <c r="X57" s="47" t="str">
        <f>'Event Tree Input'!$D$13</f>
        <v>Yes</v>
      </c>
      <c r="Y57" s="47"/>
      <c r="Z57" s="47"/>
    </row>
    <row r="58" spans="1:79" ht="15" customHeight="1" x14ac:dyDescent="0.2">
      <c r="I58" s="47">
        <v>2</v>
      </c>
      <c r="J58" s="47"/>
      <c r="K58" s="47" t="str">
        <f>'Event Tree Input'!B159</f>
        <v>Circle</v>
      </c>
      <c r="L58" s="47"/>
      <c r="M58" s="47"/>
      <c r="N58" s="47" t="str">
        <f>'Event Tree Input'!C159</f>
        <v>Triangle</v>
      </c>
      <c r="O58" s="47"/>
      <c r="P58" s="47"/>
      <c r="S58" s="47">
        <v>2</v>
      </c>
      <c r="T58" s="47"/>
      <c r="U58" s="47" t="str">
        <f>IF('Event Tree Input'!$D$14="No","No",IF(AND('Event Tree Input'!$D$14="Yes",'Event Tree Input'!$D$11&gt;=S58),"Yes","No"))</f>
        <v>No</v>
      </c>
      <c r="V58" s="47"/>
      <c r="W58" s="47"/>
      <c r="X58" s="47" t="str">
        <f>'Event Tree Input'!$D$13</f>
        <v>Yes</v>
      </c>
      <c r="Y58" s="47"/>
      <c r="Z58" s="47"/>
    </row>
    <row r="59" spans="1:79" ht="15" customHeight="1" x14ac:dyDescent="0.2">
      <c r="I59" s="47">
        <v>3</v>
      </c>
      <c r="J59" s="47"/>
      <c r="K59" s="47" t="str">
        <f>'Event Tree Input'!B160</f>
        <v>Circle</v>
      </c>
      <c r="L59" s="47"/>
      <c r="M59" s="47"/>
      <c r="N59" s="47" t="str">
        <f>'Event Tree Input'!C160</f>
        <v>Triangle</v>
      </c>
      <c r="O59" s="47"/>
      <c r="P59" s="47"/>
      <c r="S59" s="47">
        <v>3</v>
      </c>
      <c r="T59" s="47"/>
      <c r="U59" s="47" t="str">
        <f>IF('Event Tree Input'!$D$14="No","No",IF(AND('Event Tree Input'!$D$14="Yes",'Event Tree Input'!$D$11&gt;=S59),"Yes","No"))</f>
        <v>No</v>
      </c>
      <c r="V59" s="47"/>
      <c r="W59" s="47"/>
      <c r="X59" s="47" t="str">
        <f>'Event Tree Input'!$D$13</f>
        <v>Yes</v>
      </c>
      <c r="Y59" s="47"/>
      <c r="Z59" s="47"/>
    </row>
    <row r="60" spans="1:79" ht="15" customHeight="1" x14ac:dyDescent="0.2">
      <c r="I60" s="47">
        <v>4</v>
      </c>
      <c r="J60" s="47"/>
      <c r="K60" s="47" t="str">
        <f>'Event Tree Input'!B161</f>
        <v>Circle</v>
      </c>
      <c r="L60" s="47"/>
      <c r="M60" s="47"/>
      <c r="N60" s="47" t="str">
        <f>'Event Tree Input'!C161</f>
        <v>Triangle</v>
      </c>
      <c r="O60" s="47"/>
      <c r="P60" s="47"/>
      <c r="S60" s="47">
        <v>4</v>
      </c>
      <c r="T60" s="47"/>
      <c r="U60" s="47" t="str">
        <f>IF('Event Tree Input'!$D$14="No","No",IF(AND('Event Tree Input'!$D$14="Yes",'Event Tree Input'!$D$11&gt;=S60),"Yes","No"))</f>
        <v>No</v>
      </c>
      <c r="V60" s="47"/>
      <c r="W60" s="47"/>
      <c r="X60" s="47" t="str">
        <f>'Event Tree Input'!$D$13</f>
        <v>Yes</v>
      </c>
      <c r="Y60" s="47"/>
      <c r="Z60" s="47"/>
    </row>
    <row r="61" spans="1:79" ht="15" customHeight="1" x14ac:dyDescent="0.2">
      <c r="I61" s="47">
        <v>5</v>
      </c>
      <c r="J61" s="47"/>
      <c r="K61" s="47" t="str">
        <f>'Event Tree Input'!B162</f>
        <v>Circle</v>
      </c>
      <c r="L61" s="47"/>
      <c r="M61" s="47"/>
      <c r="N61" s="47" t="str">
        <f>'Event Tree Input'!C162</f>
        <v>Triangle</v>
      </c>
      <c r="O61" s="47"/>
      <c r="P61" s="47"/>
      <c r="S61" s="47">
        <v>5</v>
      </c>
      <c r="T61" s="47"/>
      <c r="U61" s="47" t="str">
        <f>IF('Event Tree Input'!$D$14="No","No",IF(AND('Event Tree Input'!$D$14="Yes",'Event Tree Input'!$D$11&gt;=S61),"Yes","No"))</f>
        <v>No</v>
      </c>
      <c r="V61" s="47"/>
      <c r="W61" s="47"/>
      <c r="X61" s="47" t="str">
        <f>'Event Tree Input'!$D$13</f>
        <v>Yes</v>
      </c>
      <c r="Y61" s="47"/>
      <c r="Z61" s="47"/>
    </row>
    <row r="62" spans="1:79" ht="15" customHeight="1" x14ac:dyDescent="0.2">
      <c r="I62" s="47">
        <v>6</v>
      </c>
      <c r="J62" s="47"/>
      <c r="K62" s="47" t="str">
        <f>'Event Tree Input'!B163</f>
        <v>Triangle</v>
      </c>
      <c r="L62" s="47"/>
      <c r="M62" s="47"/>
      <c r="N62" s="47" t="str">
        <f>'Event Tree Input'!C163</f>
        <v>Triangle</v>
      </c>
      <c r="O62" s="47"/>
      <c r="P62" s="47"/>
      <c r="S62" s="47">
        <v>6</v>
      </c>
      <c r="T62" s="47"/>
      <c r="U62" s="47" t="str">
        <f>IF('Event Tree Input'!$D$14="No","No",IF(AND('Event Tree Input'!$D$14="Yes",'Event Tree Input'!$D$11&gt;=S62),"Yes","No"))</f>
        <v>No</v>
      </c>
      <c r="V62" s="47"/>
      <c r="W62" s="47"/>
      <c r="X62" s="47" t="str">
        <f>'Event Tree Input'!$D$13</f>
        <v>Yes</v>
      </c>
      <c r="Y62" s="47"/>
      <c r="Z62" s="47"/>
    </row>
    <row r="63" spans="1:79" ht="15" customHeight="1" x14ac:dyDescent="0.2">
      <c r="I63" s="47">
        <v>7</v>
      </c>
      <c r="J63" s="47"/>
      <c r="K63" s="47" t="str">
        <f>'Event Tree Input'!B164</f>
        <v/>
      </c>
      <c r="L63" s="47"/>
      <c r="M63" s="47"/>
      <c r="N63" s="47" t="str">
        <f>'Event Tree Input'!C164</f>
        <v/>
      </c>
      <c r="O63" s="47"/>
      <c r="P63" s="47"/>
      <c r="S63" s="47">
        <v>7</v>
      </c>
      <c r="T63" s="47"/>
      <c r="U63" s="47" t="str">
        <f>IF('Event Tree Input'!$D$14="No","No",IF(AND('Event Tree Input'!$D$14="Yes",'Event Tree Input'!$D$11&gt;=S63),"Yes","No"))</f>
        <v>No</v>
      </c>
      <c r="V63" s="47"/>
      <c r="W63" s="47"/>
      <c r="X63" s="47" t="str">
        <f>'Event Tree Input'!$D$13</f>
        <v>Yes</v>
      </c>
      <c r="Y63" s="47"/>
      <c r="Z63" s="47"/>
    </row>
    <row r="64" spans="1:79" ht="15" customHeight="1" x14ac:dyDescent="0.2">
      <c r="I64" s="47">
        <v>8</v>
      </c>
      <c r="J64" s="47"/>
      <c r="K64" s="47" t="str">
        <f>'Event Tree Input'!B165</f>
        <v/>
      </c>
      <c r="L64" s="47"/>
      <c r="M64" s="47"/>
      <c r="N64" s="47" t="str">
        <f>'Event Tree Input'!C165</f>
        <v/>
      </c>
      <c r="O64" s="47"/>
      <c r="P64" s="47"/>
      <c r="S64" s="47">
        <v>8</v>
      </c>
      <c r="T64" s="47"/>
      <c r="U64" s="47" t="str">
        <f>IF('Event Tree Input'!$D$14="No","No",IF(AND('Event Tree Input'!$D$14="Yes",'Event Tree Input'!$D$11&gt;=S64),"Yes","No"))</f>
        <v>No</v>
      </c>
      <c r="V64" s="47"/>
      <c r="W64" s="47"/>
      <c r="X64" s="47" t="str">
        <f>'Event Tree Input'!$D$13</f>
        <v>Yes</v>
      </c>
      <c r="Y64" s="47"/>
      <c r="Z64" s="47"/>
    </row>
    <row r="65" spans="2:26" ht="15" customHeight="1" x14ac:dyDescent="0.2">
      <c r="I65" s="47">
        <v>9</v>
      </c>
      <c r="J65" s="47"/>
      <c r="K65" s="47" t="str">
        <f>'Event Tree Input'!B166</f>
        <v/>
      </c>
      <c r="L65" s="47"/>
      <c r="M65" s="47"/>
      <c r="N65" s="47" t="str">
        <f>'Event Tree Input'!C166</f>
        <v/>
      </c>
      <c r="O65" s="47"/>
      <c r="P65" s="47"/>
      <c r="S65" s="47">
        <v>9</v>
      </c>
      <c r="T65" s="47"/>
      <c r="U65" s="47" t="str">
        <f>IF('Event Tree Input'!$D$14="No","No",IF(AND('Event Tree Input'!$D$14="Yes",'Event Tree Input'!$D$11&gt;=S65),"Yes","No"))</f>
        <v>No</v>
      </c>
      <c r="V65" s="47"/>
      <c r="W65" s="47"/>
      <c r="X65" s="47" t="str">
        <f>'Event Tree Input'!$D$13</f>
        <v>Yes</v>
      </c>
      <c r="Y65" s="47"/>
      <c r="Z65" s="47"/>
    </row>
    <row r="67" spans="2:26" ht="15" customHeight="1" x14ac:dyDescent="0.2">
      <c r="B67" s="3" t="s">
        <v>38</v>
      </c>
      <c r="M67" s="12"/>
      <c r="N67" s="12"/>
      <c r="O67" s="12"/>
    </row>
    <row r="68" spans="2:26" ht="15" customHeight="1" x14ac:dyDescent="0.2">
      <c r="B68" s="44" t="str">
        <f>'Event Tree Input'!A27</f>
        <v>Node 1 Callout</v>
      </c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14"/>
    </row>
    <row r="69" spans="2:26" ht="15" customHeight="1" x14ac:dyDescent="0.2"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14"/>
    </row>
    <row r="70" spans="2:26" ht="15" customHeight="1" x14ac:dyDescent="0.2"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14"/>
      <c r="X70" s="15"/>
      <c r="Y70" s="14"/>
    </row>
    <row r="71" spans="2:26" ht="15" customHeight="1" x14ac:dyDescent="0.2"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14"/>
      <c r="X71" s="15"/>
      <c r="Y71" s="14"/>
    </row>
    <row r="72" spans="2:26" ht="15" customHeight="1" x14ac:dyDescent="0.2"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14"/>
      <c r="X72" s="15"/>
      <c r="Y72" s="14"/>
    </row>
    <row r="73" spans="2:26" ht="15" customHeight="1" x14ac:dyDescent="0.2"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14"/>
      <c r="X73" s="15"/>
      <c r="Y73" s="14"/>
    </row>
    <row r="74" spans="2:26" ht="15" customHeight="1" x14ac:dyDescent="0.2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5"/>
      <c r="Y74" s="14"/>
    </row>
    <row r="75" spans="2:26" ht="15" customHeight="1" x14ac:dyDescent="0.2">
      <c r="B75" s="3" t="s">
        <v>39</v>
      </c>
      <c r="M75" s="12"/>
      <c r="N75" s="12"/>
      <c r="O75" s="12"/>
      <c r="W75" s="14"/>
      <c r="X75" s="14"/>
      <c r="Y75" s="14"/>
    </row>
    <row r="76" spans="2:26" ht="15" customHeight="1" x14ac:dyDescent="0.2">
      <c r="B76" s="44" t="str">
        <f>'Event Tree Input'!A41</f>
        <v>Node 2 Callout</v>
      </c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</row>
    <row r="77" spans="2:26" ht="15" customHeight="1" x14ac:dyDescent="0.2"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15"/>
      <c r="X77" s="15"/>
    </row>
    <row r="78" spans="2:26" ht="15" customHeight="1" x14ac:dyDescent="0.2"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15"/>
      <c r="X78" s="15"/>
    </row>
    <row r="79" spans="2:26" ht="15" customHeight="1" x14ac:dyDescent="0.2"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15"/>
      <c r="X79" s="15"/>
    </row>
    <row r="80" spans="2:26" ht="15" customHeight="1" x14ac:dyDescent="0.2"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15"/>
      <c r="X80" s="15"/>
    </row>
    <row r="81" spans="2:24" ht="15" customHeight="1" x14ac:dyDescent="0.2"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15"/>
      <c r="X81" s="15"/>
    </row>
    <row r="83" spans="2:24" ht="15" customHeight="1" x14ac:dyDescent="0.2">
      <c r="B83" s="3" t="s">
        <v>40</v>
      </c>
      <c r="M83" s="12"/>
      <c r="N83" s="12"/>
      <c r="O83" s="12"/>
    </row>
    <row r="84" spans="2:24" ht="15" customHeight="1" x14ac:dyDescent="0.2">
      <c r="B84" s="44" t="str">
        <f>'Event Tree Input'!A55</f>
        <v>Node 3 Callout</v>
      </c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</row>
    <row r="85" spans="2:24" ht="15" customHeight="1" x14ac:dyDescent="0.2"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</row>
    <row r="86" spans="2:24" ht="15" customHeight="1" x14ac:dyDescent="0.2"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</row>
    <row r="87" spans="2:24" ht="15" customHeight="1" x14ac:dyDescent="0.2"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</row>
    <row r="88" spans="2:24" ht="15" customHeight="1" x14ac:dyDescent="0.2"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</row>
    <row r="89" spans="2:24" ht="15" customHeight="1" x14ac:dyDescent="0.2"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</row>
    <row r="91" spans="2:24" ht="15" customHeight="1" x14ac:dyDescent="0.2">
      <c r="B91" s="3" t="s">
        <v>41</v>
      </c>
      <c r="M91" s="12"/>
      <c r="N91" s="12"/>
      <c r="O91" s="12"/>
    </row>
    <row r="92" spans="2:24" ht="15" customHeight="1" x14ac:dyDescent="0.2">
      <c r="B92" s="44" t="str">
        <f>'Event Tree Input'!A69</f>
        <v>Node 4 Callout</v>
      </c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</row>
    <row r="93" spans="2:24" ht="15" customHeight="1" x14ac:dyDescent="0.2"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</row>
    <row r="94" spans="2:24" ht="15" customHeight="1" x14ac:dyDescent="0.2"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</row>
    <row r="95" spans="2:24" ht="15" customHeight="1" x14ac:dyDescent="0.2"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</row>
    <row r="96" spans="2:24" ht="15" customHeight="1" x14ac:dyDescent="0.2"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</row>
    <row r="97" spans="2:22" ht="15" customHeight="1" x14ac:dyDescent="0.2"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</row>
    <row r="99" spans="2:22" ht="15" customHeight="1" x14ac:dyDescent="0.2">
      <c r="B99" s="3" t="s">
        <v>42</v>
      </c>
      <c r="M99" s="12"/>
      <c r="N99" s="12"/>
      <c r="O99" s="12"/>
    </row>
    <row r="100" spans="2:22" ht="15" customHeight="1" x14ac:dyDescent="0.2">
      <c r="B100" s="44" t="str">
        <f>'Event Tree Input'!A83</f>
        <v>Node 5 Callout</v>
      </c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</row>
    <row r="101" spans="2:22" ht="15" customHeight="1" x14ac:dyDescent="0.2"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</row>
    <row r="102" spans="2:22" ht="15" customHeight="1" x14ac:dyDescent="0.2"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</row>
    <row r="103" spans="2:22" ht="15" customHeight="1" x14ac:dyDescent="0.2"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</row>
    <row r="104" spans="2:22" ht="15" customHeight="1" x14ac:dyDescent="0.2"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</row>
    <row r="105" spans="2:22" ht="15" customHeight="1" x14ac:dyDescent="0.2"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</row>
    <row r="107" spans="2:22" ht="15" customHeight="1" x14ac:dyDescent="0.2">
      <c r="B107" s="3" t="s">
        <v>43</v>
      </c>
      <c r="M107" s="12"/>
      <c r="N107" s="12"/>
      <c r="O107" s="12"/>
    </row>
    <row r="108" spans="2:22" ht="15" customHeight="1" x14ac:dyDescent="0.2">
      <c r="B108" s="44" t="str">
        <f>'Event Tree Input'!A97</f>
        <v>Node 6 Callout</v>
      </c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</row>
    <row r="109" spans="2:22" ht="15" customHeight="1" x14ac:dyDescent="0.2"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</row>
    <row r="110" spans="2:22" ht="15" customHeight="1" x14ac:dyDescent="0.2"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</row>
    <row r="111" spans="2:22" ht="15" customHeight="1" x14ac:dyDescent="0.2"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</row>
    <row r="112" spans="2:22" ht="15" customHeight="1" x14ac:dyDescent="0.2"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</row>
    <row r="113" spans="2:22" ht="15" customHeight="1" x14ac:dyDescent="0.2"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</row>
    <row r="115" spans="2:22" ht="15" customHeight="1" x14ac:dyDescent="0.2">
      <c r="B115" s="3" t="s">
        <v>44</v>
      </c>
      <c r="M115" s="12"/>
      <c r="N115" s="12"/>
      <c r="O115" s="12"/>
    </row>
    <row r="116" spans="2:22" ht="15" customHeight="1" x14ac:dyDescent="0.2">
      <c r="B116" s="44" t="str">
        <f>'Event Tree Input'!A111</f>
        <v>Node 7 Callout</v>
      </c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</row>
    <row r="117" spans="2:22" ht="15" customHeight="1" x14ac:dyDescent="0.2"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</row>
    <row r="118" spans="2:22" ht="15" customHeight="1" x14ac:dyDescent="0.2"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</row>
    <row r="119" spans="2:22" ht="15" customHeight="1" x14ac:dyDescent="0.2"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</row>
    <row r="120" spans="2:22" ht="15" customHeight="1" x14ac:dyDescent="0.2"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</row>
    <row r="121" spans="2:22" ht="15" customHeight="1" x14ac:dyDescent="0.2"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</row>
    <row r="123" spans="2:22" ht="15" customHeight="1" x14ac:dyDescent="0.2">
      <c r="B123" s="3" t="s">
        <v>45</v>
      </c>
      <c r="M123" s="12"/>
      <c r="N123" s="12"/>
      <c r="O123" s="12"/>
    </row>
    <row r="124" spans="2:22" ht="15" customHeight="1" x14ac:dyDescent="0.2">
      <c r="B124" s="44" t="str">
        <f>'Event Tree Input'!A125</f>
        <v>Node 8 Callout</v>
      </c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</row>
    <row r="125" spans="2:22" ht="15" customHeight="1" x14ac:dyDescent="0.2"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</row>
    <row r="126" spans="2:22" ht="15" customHeight="1" x14ac:dyDescent="0.2"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</row>
    <row r="127" spans="2:22" ht="15" customHeight="1" x14ac:dyDescent="0.2"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</row>
    <row r="128" spans="2:22" ht="15" customHeight="1" x14ac:dyDescent="0.2"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</row>
    <row r="129" spans="2:22" ht="15" customHeight="1" x14ac:dyDescent="0.2"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</row>
    <row r="131" spans="2:22" ht="15" customHeight="1" x14ac:dyDescent="0.2">
      <c r="B131" s="3" t="s">
        <v>46</v>
      </c>
      <c r="M131" s="12"/>
      <c r="N131" s="12"/>
      <c r="O131" s="12"/>
    </row>
    <row r="132" spans="2:22" ht="15" customHeight="1" x14ac:dyDescent="0.2">
      <c r="B132" s="44" t="str">
        <f>'Event Tree Input'!A139</f>
        <v>Node 9 Callout</v>
      </c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</row>
    <row r="133" spans="2:22" ht="15" customHeight="1" x14ac:dyDescent="0.2"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</row>
    <row r="134" spans="2:22" ht="15" customHeight="1" x14ac:dyDescent="0.2"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</row>
    <row r="135" spans="2:22" ht="15" customHeight="1" x14ac:dyDescent="0.2"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</row>
    <row r="136" spans="2:22" ht="15" customHeight="1" x14ac:dyDescent="0.2"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</row>
    <row r="137" spans="2:22" ht="15" customHeight="1" x14ac:dyDescent="0.2"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</row>
  </sheetData>
  <mergeCells count="90"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S65:T65"/>
    <mergeCell ref="U65:W65"/>
    <mergeCell ref="N65:P65"/>
    <mergeCell ref="N62:P62"/>
    <mergeCell ref="N63:P63"/>
    <mergeCell ref="N64:P64"/>
    <mergeCell ref="X62:Z62"/>
    <mergeCell ref="U62:W62"/>
    <mergeCell ref="X63:Z63"/>
    <mergeCell ref="X64:Z64"/>
    <mergeCell ref="X65:Z65"/>
    <mergeCell ref="U63:W63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S57:T57"/>
    <mergeCell ref="I36:O37"/>
    <mergeCell ref="K58:M58"/>
    <mergeCell ref="I55:J56"/>
    <mergeCell ref="N58:P58"/>
    <mergeCell ref="S56:T56"/>
    <mergeCell ref="I65:J65"/>
    <mergeCell ref="K65:M65"/>
    <mergeCell ref="K62:M62"/>
    <mergeCell ref="K63:M63"/>
    <mergeCell ref="K64:M64"/>
    <mergeCell ref="I62:J62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</mergeCells>
  <pageMargins left="0.7" right="0.7" top="0.75" bottom="0.75" header="0.3" footer="0.3"/>
  <pageSetup scale="51" orientation="landscape" r:id="rId1"/>
  <headerFooter>
    <oddFooter>&amp;LRMC Event Tree Toolbox
&amp;A&amp;RVersion 3.0
Page &amp;P of &amp;N</oddFooter>
  </headerFooter>
  <colBreaks count="1" manualBreakCount="1">
    <brk id="7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06.Transparent_ET_Background">
                <anchor moveWithCells="1" sizeWithCells="1">
                  <from>
                    <xdr:col>79</xdr:col>
                    <xdr:colOff>38100</xdr:colOff>
                    <xdr:row>11</xdr:row>
                    <xdr:rowOff>180975</xdr:rowOff>
                  </from>
                  <to>
                    <xdr:col>80</xdr:col>
                    <xdr:colOff>619125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06.White_ET_Background">
                <anchor moveWithCells="1" sizeWithCells="1">
                  <from>
                    <xdr:col>79</xdr:col>
                    <xdr:colOff>38100</xdr:colOff>
                    <xdr:row>15</xdr:row>
                    <xdr:rowOff>9525</xdr:rowOff>
                  </from>
                  <to>
                    <xdr:col>80</xdr:col>
                    <xdr:colOff>619125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F2D36B2-B2CC-4F14-9855-6B24DB111E9A}">
  <ds:schemaRefs>
    <ds:schemaRef ds:uri="f254aa9d-3c64-433e-b325-d6b94ca3f691"/>
    <ds:schemaRef ds:uri="a8f80ecd-cddb-46c8-b263-c25672b580c6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490A0828-4474-4BBE-8DC3-8237B3CD647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FAE79A4-D513-4541-8EDC-1FCB5A55E43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MediaServiceImageTags">
    <vt:lpwstr/>
  </property>
  <property fmtid="{D5CDD505-2E9C-101B-9397-08002B2CF9AE}" pid="4" name="Folder_Number">
    <vt:lpwstr/>
  </property>
  <property fmtid="{D5CDD505-2E9C-101B-9397-08002B2CF9AE}" pid="5" name="Folder_Code">
    <vt:lpwstr/>
  </property>
  <property fmtid="{D5CDD505-2E9C-101B-9397-08002B2CF9AE}" pid="6" name="Folder_Name">
    <vt:lpwstr/>
  </property>
  <property fmtid="{D5CDD505-2E9C-101B-9397-08002B2CF9AE}" pid="7" name="Folder_Description">
    <vt:lpwstr/>
  </property>
  <property fmtid="{D5CDD505-2E9C-101B-9397-08002B2CF9AE}" pid="8" name="/Folder_Name/">
    <vt:lpwstr/>
  </property>
  <property fmtid="{D5CDD505-2E9C-101B-9397-08002B2CF9AE}" pid="9" name="/Folder_Description/">
    <vt:lpwstr/>
  </property>
  <property fmtid="{D5CDD505-2E9C-101B-9397-08002B2CF9AE}" pid="10" name="Folder_Version">
    <vt:lpwstr/>
  </property>
  <property fmtid="{D5CDD505-2E9C-101B-9397-08002B2CF9AE}" pid="11" name="Folder_VersionSeq">
    <vt:lpwstr/>
  </property>
  <property fmtid="{D5CDD505-2E9C-101B-9397-08002B2CF9AE}" pid="12" name="Folder_Manager">
    <vt:lpwstr/>
  </property>
  <property fmtid="{D5CDD505-2E9C-101B-9397-08002B2CF9AE}" pid="13" name="Folder_ManagerDesc">
    <vt:lpwstr/>
  </property>
  <property fmtid="{D5CDD505-2E9C-101B-9397-08002B2CF9AE}" pid="14" name="Folder_Storage">
    <vt:lpwstr/>
  </property>
  <property fmtid="{D5CDD505-2E9C-101B-9397-08002B2CF9AE}" pid="15" name="Folder_StorageDesc">
    <vt:lpwstr/>
  </property>
  <property fmtid="{D5CDD505-2E9C-101B-9397-08002B2CF9AE}" pid="16" name="Folder_Creator">
    <vt:lpwstr/>
  </property>
  <property fmtid="{D5CDD505-2E9C-101B-9397-08002B2CF9AE}" pid="17" name="Folder_CreatorDesc">
    <vt:lpwstr/>
  </property>
  <property fmtid="{D5CDD505-2E9C-101B-9397-08002B2CF9AE}" pid="18" name="Folder_CreateDate">
    <vt:lpwstr/>
  </property>
  <property fmtid="{D5CDD505-2E9C-101B-9397-08002B2CF9AE}" pid="19" name="Folder_Updater">
    <vt:lpwstr/>
  </property>
  <property fmtid="{D5CDD505-2E9C-101B-9397-08002B2CF9AE}" pid="20" name="Folder_UpdaterDesc">
    <vt:lpwstr/>
  </property>
  <property fmtid="{D5CDD505-2E9C-101B-9397-08002B2CF9AE}" pid="21" name="Folder_UpdateDate">
    <vt:lpwstr/>
  </property>
  <property fmtid="{D5CDD505-2E9C-101B-9397-08002B2CF9AE}" pid="22" name="Document_Number">
    <vt:lpwstr/>
  </property>
  <property fmtid="{D5CDD505-2E9C-101B-9397-08002B2CF9AE}" pid="23" name="Document_Name">
    <vt:lpwstr/>
  </property>
  <property fmtid="{D5CDD505-2E9C-101B-9397-08002B2CF9AE}" pid="24" name="Document_FileName">
    <vt:lpwstr/>
  </property>
  <property fmtid="{D5CDD505-2E9C-101B-9397-08002B2CF9AE}" pid="25" name="Document_Version">
    <vt:lpwstr/>
  </property>
  <property fmtid="{D5CDD505-2E9C-101B-9397-08002B2CF9AE}" pid="26" name="Document_VersionSeq">
    <vt:lpwstr/>
  </property>
  <property fmtid="{D5CDD505-2E9C-101B-9397-08002B2CF9AE}" pid="27" name="Document_Creator">
    <vt:lpwstr/>
  </property>
  <property fmtid="{D5CDD505-2E9C-101B-9397-08002B2CF9AE}" pid="28" name="Document_CreatorDesc">
    <vt:lpwstr/>
  </property>
  <property fmtid="{D5CDD505-2E9C-101B-9397-08002B2CF9AE}" pid="29" name="Document_CreateDate">
    <vt:lpwstr/>
  </property>
  <property fmtid="{D5CDD505-2E9C-101B-9397-08002B2CF9AE}" pid="30" name="Document_Updater">
    <vt:lpwstr/>
  </property>
  <property fmtid="{D5CDD505-2E9C-101B-9397-08002B2CF9AE}" pid="31" name="Document_UpdaterDesc">
    <vt:lpwstr/>
  </property>
  <property fmtid="{D5CDD505-2E9C-101B-9397-08002B2CF9AE}" pid="32" name="Document_UpdateDate">
    <vt:lpwstr/>
  </property>
  <property fmtid="{D5CDD505-2E9C-101B-9397-08002B2CF9AE}" pid="33" name="Document_Size">
    <vt:lpwstr/>
  </property>
  <property fmtid="{D5CDD505-2E9C-101B-9397-08002B2CF9AE}" pid="34" name="Document_Storage">
    <vt:lpwstr/>
  </property>
  <property fmtid="{D5CDD505-2E9C-101B-9397-08002B2CF9AE}" pid="35" name="Document_StorageDesc">
    <vt:lpwstr/>
  </property>
  <property fmtid="{D5CDD505-2E9C-101B-9397-08002B2CF9AE}" pid="36" name="Document_Department">
    <vt:lpwstr/>
  </property>
  <property fmtid="{D5CDD505-2E9C-101B-9397-08002B2CF9AE}" pid="37" name="Document_DepartmentDesc">
    <vt:lpwstr/>
  </property>
</Properties>
</file>