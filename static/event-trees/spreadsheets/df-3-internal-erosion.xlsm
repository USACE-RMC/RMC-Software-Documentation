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95243234-823F-4AD7-A92A-EAC5B7EA8533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<sst xmlns="http://schemas.openxmlformats.org/spreadsheetml/2006/main" count="131" uniqueCount="64">
  <si>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</si>
  <si>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</si>
  <si>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</si>
  <si>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</si>
  <si>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</si>
  <si>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</si>
  <si>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</si>
  <si>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</si>
  <si>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</si>
  <si>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</si>
  <si>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</si>
  <si>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</si>
  <si>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</si>
  <si>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</si>
  <si>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</si>
  <si>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</si>
  <si>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</si>
  <si>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</si>
  <si>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</si>
  <si>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</si>
  <si>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</si>
  <si>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</si>
  <si>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</si>
  <si>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</si>
  <si>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</si>
  <si>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</si>
  <si>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</si>
  <si>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</si>
  <si>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</si>
  <si>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</si>
  <si>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</si>
  <si>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</si>
  <si>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</si>
  <si>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</si>
  <si>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</si>
  <si>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</si>
  <si>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</si>
  <si>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</si>
  <si>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</si>
  <si>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</si>
  <si>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</si>
  <si>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</si>
  <si>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</si>
  <si>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</si>
  <si>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</si>
  <si>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</si>
  <si>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</si>
  <si>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</si>
  <si>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</si>
  <si>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</si>
  <si>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</si>
  <si>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</si>
  <si>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</si>
  <si>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</si>
  <si>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</si>
  <si>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</si>
  <si>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</si>
  <si>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head difference across the wall causes foundation seepage sufficient to heave soil at the landside ground surface?</t>
  </si>
  <si>
    <t>A continuous path of fine to medium, uniform sand exists underneath the wall?</t>
  </si>
  <si>
    <t>The exit at the landside ground surface is unfiltered?</t>
  </si>
  <si>
    <t>The base of the shallow foundation or foundation soils are capable of holding a roof for a developing pipe?</t>
  </si>
  <si>
    <t>Material in the foundation fails to clog the pipe?</t>
  </si>
  <si>
    <t>Sufficient flow exists to advance the pipe to the impounded water?</t>
  </si>
  <si>
    <t>The pipe enlarges and the wall collapses leading to breach due to uncontrolled flow over the collapsed wall?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</si>
</sst>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9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head difference across the wall causes foundation seepage sufficient to heave soil at the landside ground surface?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continuous path of fine to medium, uniform sand exists underneath the wall?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exit at the landside ground surface is unfiltered?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base of the shallow foundation or foundation soils are capable of holding a roof for a developing pipe?</a:t>
          </a:fld>
          <a:endParaRPr lang="en-US" sz="1100"/>
        </a:p>
      </xdr:txBody>
    </xdr:sp>
    <xdr:clientData/>
  </xdr:twoCellAnchor>
  <xdr:twoCellAnchor>
    <xdr:from>
      <xdr:col>43</xdr:col>
      <xdr:colOff>178593</xdr:colOff>
      <xdr:row>24</xdr:row>
      <xdr:rowOff>38100</xdr:rowOff>
    </xdr:from>
    <xdr:to>
      <xdr:col>49</xdr:col>
      <xdr:colOff>200024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8" y="4610100"/>
          <a:ext cx="1221581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Material in the foundation fails to clog the pipe?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advance the pipe to the impounded water?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pipe enlarges and the wall collapses leading to breach due to uncontrolled flow over the collapsed wall?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180975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20491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1"/>
      <c r="C1" s="41"/>
      <c r="D1" s="41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1"/>
      <c r="C2" s="41"/>
      <c r="D2" s="41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56</v>
      </c>
      <c r="E9" s="43"/>
      <c r="F9" s="24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8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55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57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58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59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60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61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62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54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63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/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56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Triangle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8" priority="74">
      <formula>$D$9="Seismic Hazard"</formula>
    </cfRule>
    <cfRule type="expression" dxfId="27" priority="75">
      <formula>$D$9="Hydrologic Hazard"</formula>
    </cfRule>
  </conditionalFormatting>
  <conditionalFormatting sqref="A32:H37 A39:H45">
    <cfRule type="expression" dxfId="26" priority="23" stopIfTrue="1">
      <formula>$D$11&lt;2</formula>
    </cfRule>
  </conditionalFormatting>
  <conditionalFormatting sqref="A110:H114 A138:H142 A40:H44 A54:H58 A68:H72 A82:H86 A96:H100 A124:H128 A26:H30">
    <cfRule type="expression" dxfId="25" priority="9" stopIfTrue="1">
      <formula>$D$14="No"</formula>
    </cfRule>
  </conditionalFormatting>
  <conditionalFormatting sqref="A46:H51 A53:H59">
    <cfRule type="expression" dxfId="24" priority="21" stopIfTrue="1">
      <formula>$D$11&lt;3</formula>
    </cfRule>
  </conditionalFormatting>
  <conditionalFormatting sqref="A60:H65 A67:H73">
    <cfRule type="expression" dxfId="23" priority="19" stopIfTrue="1">
      <formula>$D$11&lt;4</formula>
    </cfRule>
  </conditionalFormatting>
  <conditionalFormatting sqref="A74:H79 A81:H87">
    <cfRule type="expression" dxfId="22" priority="16" stopIfTrue="1">
      <formula>$D$11&lt;5</formula>
    </cfRule>
  </conditionalFormatting>
  <conditionalFormatting sqref="A88:H93 A95:H101">
    <cfRule type="expression" dxfId="21" priority="14" stopIfTrue="1">
      <formula>$D$11&lt;6</formula>
    </cfRule>
  </conditionalFormatting>
  <conditionalFormatting sqref="A102:H107 A109:H115">
    <cfRule type="expression" dxfId="20" priority="15" stopIfTrue="1">
      <formula>$D$11&lt;7</formula>
    </cfRule>
  </conditionalFormatting>
  <conditionalFormatting sqref="A116:H121 A123:H129">
    <cfRule type="expression" dxfId="19" priority="10" stopIfTrue="1">
      <formula>$D$11&lt;8</formula>
    </cfRule>
  </conditionalFormatting>
  <conditionalFormatting sqref="A130:H143">
    <cfRule type="expression" dxfId="18" priority="8" stopIfTrue="1">
      <formula>$D$11&lt;9</formula>
    </cfRule>
  </conditionalFormatting>
  <conditionalFormatting sqref="A20:H21 A34:H35 A48:H49 A62:H63 A76:H77 A90:H91 A104:H105 A118:H119 A132:H133">
    <cfRule type="expression" dxfId="17" priority="29">
      <formula>$D$13="No"</formula>
    </cfRule>
  </conditionalFormatting>
  <conditionalFormatting sqref="A27:H30">
    <cfRule type="expression" dxfId="16" priority="25" stopIfTrue="1">
      <formula>$D$11&lt;2</formula>
    </cfRule>
  </conditionalFormatting>
  <conditionalFormatting sqref="A38:H38">
    <cfRule type="expression" dxfId="15" priority="7" stopIfTrue="1">
      <formula>$D$11&lt;2</formula>
    </cfRule>
  </conditionalFormatting>
  <conditionalFormatting sqref="A52:H52">
    <cfRule type="expression" dxfId="14" priority="6" stopIfTrue="1">
      <formula>$D$11&lt;3</formula>
    </cfRule>
  </conditionalFormatting>
  <conditionalFormatting sqref="A66:H66">
    <cfRule type="expression" dxfId="13" priority="5" stopIfTrue="1">
      <formula>$D$11&lt;4</formula>
    </cfRule>
  </conditionalFormatting>
  <conditionalFormatting sqref="A80:H80">
    <cfRule type="expression" dxfId="12" priority="4" stopIfTrue="1">
      <formula>$D$11&lt;5</formula>
    </cfRule>
  </conditionalFormatting>
  <conditionalFormatting sqref="A94:H94">
    <cfRule type="expression" dxfId="11" priority="3" stopIfTrue="1">
      <formula>$D$11&lt;6</formula>
    </cfRule>
  </conditionalFormatting>
  <conditionalFormatting sqref="A108:H108">
    <cfRule type="expression" dxfId="10" priority="2" stopIfTrue="1">
      <formula>$D$11&lt;7</formula>
    </cfRule>
  </conditionalFormatting>
  <conditionalFormatting sqref="A122:H122">
    <cfRule type="expression" dxfId="9" priority="1" stopIfTrue="1">
      <formula>$D$11&lt;8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0" t="s">
        <v>8</v>
      </c>
      <c r="B1" s="50"/>
      <c r="C1" s="50"/>
      <c r="D1" s="5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2" t="s">
        <v>9</v>
      </c>
      <c r="AG1" s="52"/>
      <c r="AH1" s="52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2" t="s">
        <v>10</v>
      </c>
      <c r="BE1" s="52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50" t="s">
        <v>11</v>
      </c>
      <c r="B2" s="50"/>
      <c r="C2" s="50"/>
      <c r="D2" s="50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2" t="s">
        <v>9</v>
      </c>
      <c r="AG2" s="52"/>
      <c r="AH2" s="5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2" t="s">
        <v>10</v>
      </c>
      <c r="BE2" s="52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</row>
    <row r="3" spans="1:80" ht="15" customHeight="1" x14ac:dyDescent="0.2">
      <c r="A3" s="51" t="s">
        <v>12</v>
      </c>
      <c r="B3" s="51"/>
      <c r="C3" s="51"/>
      <c r="D3" s="51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52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51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9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9"/>
      <c r="K36" s="49"/>
      <c r="L36" s="49"/>
      <c r="M36" s="49"/>
      <c r="N36" s="49"/>
      <c r="O36" s="49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49"/>
      <c r="J37" s="49"/>
      <c r="K37" s="49"/>
      <c r="L37" s="49"/>
      <c r="M37" s="49"/>
      <c r="N37" s="49"/>
      <c r="O37" s="49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53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Circle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>Circle</v>
      </c>
      <c r="L62" s="48"/>
      <c r="M62" s="48"/>
      <c r="N62" s="48" t="str">
        <f>'Event Tree Input'!C163</f>
        <v>Triangle</v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>Circle</v>
      </c>
      <c r="L63" s="48"/>
      <c r="M63" s="48"/>
      <c r="N63" s="48" t="str">
        <f>'Event Tree Input'!C164</f>
        <v>Triangle</v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>Triangle</v>
      </c>
      <c r="L64" s="48"/>
      <c r="M64" s="48"/>
      <c r="N64" s="48" t="str">
        <f>'Event Tree Input'!C165</f>
        <v>Triangle</v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5" t="str">
        <f>'Event Tree Input'!A27</f>
        <v>Node 1 Callout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29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29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29"/>
      <c r="X70" s="30"/>
      <c r="Y70" s="29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29"/>
      <c r="X71" s="30"/>
      <c r="Y71" s="29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29"/>
      <c r="X72" s="30"/>
      <c r="Y72" s="29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5" t="str">
        <f>'Event Tree Input'!A41</f>
        <v>Node 2 Callout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30"/>
      <c r="X77" s="30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30"/>
      <c r="X78" s="30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30"/>
      <c r="X79" s="30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30"/>
      <c r="X80" s="30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5" t="str">
        <f>'Event Tree Input'!A55</f>
        <v>Node 3 Callout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5" t="str">
        <f>'Event Tree Input'!A69</f>
        <v>Node 4 Callout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5" t="str">
        <f>'Event Tree Input'!A83</f>
        <v>Node 5 Callout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5" t="str">
        <f>'Event Tree Input'!A97</f>
        <v>Node 6 Callout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5" t="str">
        <f>'Event Tree Input'!A111</f>
        <v>Node 7 Callout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5" t="str">
        <f>'Event Tree Input'!A125</f>
        <v>Node 8 Callout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5" t="str">
        <f>'Event Tree Input'!A139</f>
        <v>Node 9 Callout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533D039-C7CA-4E6A-9C22-27B91B41DC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6E02830-34A5-4C86-83CC-E0AD5B4D64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787452-09BE-4801-93A1-8DE3CAF56F15}">
  <ds:schemaRefs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f254aa9d-3c64-433e-b325-d6b94ca3f691"/>
    <ds:schemaRef ds:uri="http://purl.org/dc/elements/1.1/"/>
    <ds:schemaRef ds:uri="http://schemas.microsoft.com/office/2006/documentManagement/types"/>
    <ds:schemaRef ds:uri="http://schemas.microsoft.com/office/2006/metadata/properties"/>
    <ds:schemaRef ds:uri="a8f80ecd-cddb-46c8-b263-c25672b580c6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