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E68AB06-F0D8-4179-AD24-B6A892924460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<sst xmlns="http://schemas.openxmlformats.org/spreadsheetml/2006/main" count="155" uniqueCount="85">
  <si>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</si>
  <si>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</si>
  <si>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</si>
  <si>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</si>
  <si>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</si>
  <si>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</si>
  <si>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</si>
  <si>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</si>
  <si>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</si>
  <si>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</si>
  <si>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</si>
  <si>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</si>
  <si>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</si>
  <si>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</si>
  <si>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</si>
  <si>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</si>
  <si>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</si>
  <si>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</si>
  <si>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</si>
  <si>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</si>
  <si>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</si>
  <si>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</si>
  <si>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</si>
  <si>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</si>
  <si>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</si>
  <si>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</si>
  <si>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</si>
  <si>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</si>
  <si>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</si>
  <si>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</si>
  <si>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</si>
  <si>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</si>
  <si>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</si>
  <si>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</si>
  <si>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</si>
  <si>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</si>
  <si>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</si>
  <si>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</si>
  <si>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</si>
  <si>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</si>
  <si>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</si>
  <si>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</si>
  <si>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</si>
  <si>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</si>
  <si>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</si>
  <si>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</si>
  <si>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</si>
  <si>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</si>
  <si>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</si>
  <si>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</si>
  <si>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</si>
  <si>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</si>
  <si>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</si>
  <si>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</si>
  <si>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</si>
  <si>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</si>
  <si>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</si>
  <si>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</si>
  <si>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</si>
  <si>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</si>
  <si>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</si>
  <si>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</si>
  <si>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</si>
  <si>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</si>
  <si>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</si>
  <si>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</si>
  <si>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</si>
  <si>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</si>
  <si>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</si>
  <si>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</si>
  <si>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</si>
  <si>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</si>
  <si>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</si>
  <si>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</si>
  <si>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</si>
  <si>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</si>
  <si>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</si>
  <si>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</si>
  <si>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</si>
  <si>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</si>
  <si>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</si>
  <si>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</si>
  <si>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Detection</t>
  </si>
  <si>
    <t>Detection of need for intervention occurs?</t>
  </si>
  <si>
    <t>Intervention is unsuccessful?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</si>
</sst>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9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wrapText="1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8" xfId="0" applyFont="1" applyBorder="1"/>
    <xf numFmtId="0" fontId="4" fillId="0" borderId="7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Detection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14</xdr:col>
      <xdr:colOff>54695</xdr:colOff>
      <xdr:row>41</xdr:row>
      <xdr:rowOff>71290</xdr:rowOff>
    </xdr:from>
    <xdr:to>
      <xdr:col>15</xdr:col>
      <xdr:colOff>128993</xdr:colOff>
      <xdr:row>42</xdr:row>
      <xdr:rowOff>155112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55045" y="7881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2386</xdr:colOff>
      <xdr:row>50</xdr:row>
      <xdr:rowOff>59459</xdr:rowOff>
    </xdr:from>
    <xdr:to>
      <xdr:col>37</xdr:col>
      <xdr:colOff>23075</xdr:colOff>
      <xdr:row>51</xdr:row>
      <xdr:rowOff>134512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7180866" y="9606879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2384</xdr:colOff>
      <xdr:row>38</xdr:row>
      <xdr:rowOff>59457</xdr:rowOff>
    </xdr:from>
    <xdr:to>
      <xdr:col>30</xdr:col>
      <xdr:colOff>23073</xdr:colOff>
      <xdr:row>39</xdr:row>
      <xdr:rowOff>134510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5780689" y="7320877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2384</xdr:colOff>
      <xdr:row>35</xdr:row>
      <xdr:rowOff>59457</xdr:rowOff>
    </xdr:from>
    <xdr:to>
      <xdr:col>37</xdr:col>
      <xdr:colOff>23073</xdr:colOff>
      <xdr:row>36</xdr:row>
      <xdr:rowOff>134510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7180864" y="6749377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3453</xdr:colOff>
      <xdr:row>29</xdr:row>
      <xdr:rowOff>59902</xdr:rowOff>
    </xdr:from>
    <xdr:to>
      <xdr:col>37</xdr:col>
      <xdr:colOff>24142</xdr:colOff>
      <xdr:row>30</xdr:row>
      <xdr:rowOff>134956</xdr:rowOff>
    </xdr:to>
    <xdr:sp macro="" textlink="">
      <xdr:nvSpPr>
        <xdr:cNvPr id="25" name="N3B1Tri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7181933" y="5606822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196679</xdr:colOff>
      <xdr:row>39</xdr:row>
      <xdr:rowOff>95250</xdr:rowOff>
    </xdr:from>
    <xdr:to>
      <xdr:col>21</xdr:col>
      <xdr:colOff>124598</xdr:colOff>
      <xdr:row>45</xdr:row>
      <xdr:rowOff>19050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97054" y="7524750"/>
          <a:ext cx="112806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of need for intervention occurs?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is unsuccessful?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or sidewalls are maintained along seepage or leakage path?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2387</xdr:colOff>
      <xdr:row>47</xdr:row>
      <xdr:rowOff>59460</xdr:rowOff>
    </xdr:from>
    <xdr:to>
      <xdr:col>37</xdr:col>
      <xdr:colOff>23076</xdr:colOff>
      <xdr:row>48</xdr:row>
      <xdr:rowOff>134513</xdr:rowOff>
    </xdr:to>
    <xdr:sp macro="" textlink="">
      <xdr:nvSpPr>
        <xdr:cNvPr id="33" name="N1B2Tri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 rot="16200000">
          <a:off x="7180867" y="9035380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2386</xdr:colOff>
      <xdr:row>41</xdr:row>
      <xdr:rowOff>59459</xdr:rowOff>
    </xdr:from>
    <xdr:to>
      <xdr:col>37</xdr:col>
      <xdr:colOff>23075</xdr:colOff>
      <xdr:row>42</xdr:row>
      <xdr:rowOff>134512</xdr:rowOff>
    </xdr:to>
    <xdr:sp macro="" textlink="">
      <xdr:nvSpPr>
        <xdr:cNvPr id="34" name="N1B2Tri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 rot="16200000">
          <a:off x="7180866" y="7892379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123824</xdr:colOff>
      <xdr:row>42</xdr:row>
      <xdr:rowOff>180975</xdr:rowOff>
    </xdr:from>
    <xdr:to>
      <xdr:col>35</xdr:col>
      <xdr:colOff>180975</xdr:colOff>
      <xdr:row>47</xdr:row>
      <xdr:rowOff>9525</xdr:rowOff>
    </xdr:to>
    <xdr:sp macro="" textlink="'Event Tree Input'!A39">
      <xdr:nvSpPr>
        <xdr:cNvPr id="35" name="N1Title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5924549" y="8181975"/>
          <a:ext cx="1257301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Uncontrolled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release of impounded water occurs?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190500</xdr:colOff>
      <xdr:row>46</xdr:row>
      <xdr:rowOff>133349</xdr:rowOff>
    </xdr:from>
    <xdr:to>
      <xdr:col>28</xdr:col>
      <xdr:colOff>0</xdr:colOff>
      <xdr:row>49</xdr:row>
      <xdr:rowOff>56768</xdr:rowOff>
    </xdr:to>
    <xdr:sp macro="" textlink="'Event Tree Input'!A39">
      <xdr:nvSpPr>
        <xdr:cNvPr id="36" name="N1Title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4391025" y="8896349"/>
          <a:ext cx="1209675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Intervention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is unsuccessful?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47625</xdr:colOff>
      <xdr:row>46</xdr:row>
      <xdr:rowOff>66674</xdr:rowOff>
    </xdr:from>
    <xdr:to>
      <xdr:col>21</xdr:col>
      <xdr:colOff>180975</xdr:colOff>
      <xdr:row>48</xdr:row>
      <xdr:rowOff>180593</xdr:rowOff>
    </xdr:to>
    <xdr:sp macro="" textlink="'Event Tree Input'!A39">
      <xdr:nvSpPr>
        <xdr:cNvPr id="37" name="N1Title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3048000" y="88296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Late</a:t>
          </a:r>
        </a:p>
      </xdr:txBody>
    </xdr:sp>
    <xdr:clientData/>
  </xdr:twoCellAnchor>
  <xdr:twoCellAnchor>
    <xdr:from>
      <xdr:col>16</xdr:col>
      <xdr:colOff>171450</xdr:colOff>
      <xdr:row>34</xdr:row>
      <xdr:rowOff>123824</xdr:rowOff>
    </xdr:from>
    <xdr:to>
      <xdr:col>20</xdr:col>
      <xdr:colOff>9525</xdr:colOff>
      <xdr:row>36</xdr:row>
      <xdr:rowOff>85725</xdr:rowOff>
    </xdr:to>
    <xdr:sp macro="" textlink="'Event Tree Input'!A39">
      <xdr:nvSpPr>
        <xdr:cNvPr id="38" name="N1Title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3371850" y="6600824"/>
          <a:ext cx="6381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Early</a:t>
          </a:r>
        </a:p>
      </xdr:txBody>
    </xdr:sp>
    <xdr:clientData/>
  </xdr:twoCellAnchor>
  <xdr:twoCellAnchor>
    <xdr:from>
      <xdr:col>28</xdr:col>
      <xdr:colOff>57346</xdr:colOff>
      <xdr:row>44</xdr:row>
      <xdr:rowOff>67166</xdr:rowOff>
    </xdr:from>
    <xdr:to>
      <xdr:col>29</xdr:col>
      <xdr:colOff>131644</xdr:colOff>
      <xdr:row>45</xdr:row>
      <xdr:rowOff>150988</xdr:rowOff>
    </xdr:to>
    <xdr:sp macro="" textlink="">
      <xdr:nvSpPr>
        <xdr:cNvPr id="39" name="N3Num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5658046" y="8449166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57346</xdr:colOff>
      <xdr:row>47</xdr:row>
      <xdr:rowOff>38591</xdr:rowOff>
    </xdr:from>
    <xdr:to>
      <xdr:col>22</xdr:col>
      <xdr:colOff>131644</xdr:colOff>
      <xdr:row>48</xdr:row>
      <xdr:rowOff>122413</xdr:rowOff>
    </xdr:to>
    <xdr:sp macro="" textlink="">
      <xdr:nvSpPr>
        <xdr:cNvPr id="40" name="N3Num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4257871" y="8992091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57"/>
      <c r="C1" s="57"/>
      <c r="D1" s="57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57"/>
      <c r="C2" s="57"/>
      <c r="D2" s="57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58"/>
      <c r="D3" s="58"/>
      <c r="E3" s="58"/>
      <c r="F3" s="58"/>
      <c r="G3" s="58"/>
      <c r="H3" s="58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3"/>
      <c r="B6" s="34"/>
      <c r="C6" s="34"/>
      <c r="D6" s="34"/>
      <c r="E6" s="34"/>
      <c r="F6" s="34"/>
      <c r="G6" s="34"/>
      <c r="H6" s="34"/>
    </row>
    <row r="7" spans="1:8" x14ac:dyDescent="0.2">
      <c r="A7" s="35" t="s">
        <v>62</v>
      </c>
      <c r="B7" s="34"/>
      <c r="C7" s="34"/>
      <c r="D7" s="34"/>
      <c r="E7" s="34"/>
      <c r="F7" s="34"/>
      <c r="G7" s="34"/>
      <c r="H7" s="34"/>
    </row>
    <row r="8" spans="1:8" x14ac:dyDescent="0.2">
      <c r="A8" s="23" t="s">
        <v>76</v>
      </c>
      <c r="B8" s="34"/>
      <c r="C8" s="34"/>
      <c r="D8" s="34"/>
      <c r="E8" s="34"/>
      <c r="F8" s="34"/>
      <c r="G8" s="34"/>
      <c r="H8" s="34"/>
    </row>
    <row r="9" spans="1:8" x14ac:dyDescent="0.2">
      <c r="A9" s="23" t="s">
        <v>63</v>
      </c>
      <c r="B9" s="34"/>
      <c r="C9" s="34"/>
      <c r="D9" s="34"/>
      <c r="E9" s="34"/>
      <c r="F9" s="34"/>
      <c r="G9" s="34"/>
      <c r="H9" s="34"/>
    </row>
    <row r="10" spans="1:8" x14ac:dyDescent="0.2">
      <c r="A10" s="23" t="s">
        <v>77</v>
      </c>
      <c r="B10" s="34"/>
      <c r="C10" s="34"/>
      <c r="D10" s="34"/>
      <c r="E10" s="34"/>
      <c r="F10" s="34"/>
      <c r="G10" s="34"/>
      <c r="H10" s="34"/>
    </row>
    <row r="11" spans="1:8" x14ac:dyDescent="0.2">
      <c r="A11" s="23" t="s">
        <v>64</v>
      </c>
      <c r="B11" s="34"/>
      <c r="C11" s="34"/>
      <c r="D11" s="34"/>
      <c r="E11" s="34"/>
      <c r="F11" s="34"/>
      <c r="G11" s="34"/>
      <c r="H11" s="34"/>
    </row>
    <row r="12" spans="1:8" x14ac:dyDescent="0.2">
      <c r="A12" s="23"/>
      <c r="B12" s="34"/>
      <c r="C12" s="34"/>
      <c r="D12" s="34"/>
      <c r="E12" s="34"/>
      <c r="F12" s="34"/>
      <c r="G12" s="34"/>
      <c r="H12" s="34"/>
    </row>
    <row r="13" spans="1:8" x14ac:dyDescent="0.2">
      <c r="A13" s="35" t="s">
        <v>54</v>
      </c>
      <c r="B13" s="34"/>
      <c r="C13" s="34"/>
      <c r="D13" s="34"/>
      <c r="E13" s="34"/>
      <c r="F13" s="34"/>
      <c r="G13" s="34"/>
      <c r="H13" s="34"/>
    </row>
    <row r="14" spans="1:8" x14ac:dyDescent="0.2">
      <c r="A14" s="23" t="s">
        <v>55</v>
      </c>
      <c r="B14" s="34"/>
      <c r="C14" s="34"/>
      <c r="D14" s="34"/>
      <c r="E14" s="34"/>
      <c r="F14" s="34"/>
      <c r="G14" s="34"/>
      <c r="H14" s="34"/>
    </row>
    <row r="15" spans="1:8" x14ac:dyDescent="0.2">
      <c r="A15" s="23" t="s">
        <v>56</v>
      </c>
      <c r="B15" s="34"/>
      <c r="C15" s="34"/>
      <c r="D15" s="34"/>
      <c r="E15" s="34"/>
      <c r="F15" s="34"/>
      <c r="G15" s="34"/>
      <c r="H15" s="34"/>
    </row>
    <row r="16" spans="1:8" x14ac:dyDescent="0.2">
      <c r="A16" s="23" t="s">
        <v>57</v>
      </c>
      <c r="B16" s="34"/>
      <c r="C16" s="34"/>
      <c r="D16" s="34"/>
      <c r="E16" s="34"/>
      <c r="F16" s="34"/>
      <c r="G16" s="34"/>
      <c r="H16" s="34"/>
    </row>
    <row r="17" spans="1:9" x14ac:dyDescent="0.2">
      <c r="A17" s="23" t="s">
        <v>81</v>
      </c>
      <c r="B17" s="34"/>
      <c r="C17" s="34"/>
      <c r="D17" s="34"/>
      <c r="E17" s="34"/>
      <c r="F17" s="34"/>
      <c r="G17" s="34"/>
      <c r="H17" s="34"/>
    </row>
    <row r="18" spans="1:9" x14ac:dyDescent="0.2">
      <c r="A18" s="23" t="s">
        <v>58</v>
      </c>
      <c r="B18" s="34"/>
      <c r="C18" s="34"/>
      <c r="D18" s="34"/>
      <c r="E18" s="34"/>
      <c r="F18" s="34"/>
      <c r="G18" s="34"/>
      <c r="H18" s="34"/>
    </row>
    <row r="19" spans="1:9" x14ac:dyDescent="0.2">
      <c r="A19" s="23" t="s">
        <v>59</v>
      </c>
      <c r="B19" s="34"/>
      <c r="C19" s="34"/>
      <c r="D19" s="34"/>
      <c r="E19" s="34"/>
      <c r="F19" s="34"/>
      <c r="G19" s="34"/>
      <c r="H19" s="34"/>
    </row>
    <row r="20" spans="1:9" x14ac:dyDescent="0.2">
      <c r="A20" s="23" t="s">
        <v>79</v>
      </c>
      <c r="B20" s="34"/>
      <c r="C20" s="34"/>
      <c r="D20" s="34"/>
      <c r="E20" s="34"/>
      <c r="F20" s="34"/>
      <c r="G20" s="34"/>
      <c r="H20" s="34"/>
    </row>
    <row r="21" spans="1:9" x14ac:dyDescent="0.2">
      <c r="A21" s="23" t="s">
        <v>80</v>
      </c>
      <c r="B21" s="34"/>
      <c r="C21" s="34"/>
      <c r="D21" s="34"/>
      <c r="E21" s="34"/>
      <c r="F21" s="34"/>
      <c r="G21" s="34"/>
      <c r="H21" s="34"/>
    </row>
    <row r="22" spans="1:9" x14ac:dyDescent="0.2">
      <c r="A22" s="23" t="s">
        <v>60</v>
      </c>
      <c r="B22" s="34"/>
      <c r="C22" s="34"/>
      <c r="D22" s="34"/>
      <c r="E22" s="34"/>
      <c r="F22" s="34"/>
      <c r="G22" s="34"/>
      <c r="H22" s="34"/>
    </row>
    <row r="23" spans="1:9" x14ac:dyDescent="0.2">
      <c r="A23" s="23" t="s">
        <v>61</v>
      </c>
      <c r="B23" s="34"/>
      <c r="C23" s="34"/>
      <c r="D23" s="34"/>
      <c r="E23" s="34"/>
      <c r="F23" s="34"/>
      <c r="G23" s="34"/>
      <c r="H23" s="34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58" t="s">
        <v>28</v>
      </c>
      <c r="E27" s="58"/>
      <c r="F27" s="26" t="s">
        <v>28</v>
      </c>
      <c r="G27" s="58"/>
      <c r="H27" s="58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3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6" t="s">
        <v>78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55" t="s">
        <v>82</v>
      </c>
      <c r="B39" s="55"/>
      <c r="C39" s="55"/>
      <c r="D39" s="55"/>
      <c r="E39" s="55"/>
      <c r="F39" s="55"/>
      <c r="G39" s="55"/>
      <c r="H39" s="55"/>
    </row>
    <row r="40" spans="1:9" ht="8.1" customHeight="1" x14ac:dyDescent="0.2">
      <c r="A40" s="24"/>
      <c r="B40" s="24"/>
      <c r="C40" s="24"/>
      <c r="D40" s="24"/>
      <c r="E40" s="24"/>
      <c r="F40" s="24"/>
      <c r="G40" s="24"/>
      <c r="H40" s="24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55" t="s">
        <v>83</v>
      </c>
      <c r="B42" s="55"/>
      <c r="C42" s="55"/>
      <c r="D42" s="55"/>
      <c r="E42" s="55"/>
      <c r="F42" s="55"/>
      <c r="G42" s="55"/>
      <c r="H42" s="55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55" t="s">
        <v>39</v>
      </c>
      <c r="B45" s="55"/>
      <c r="C45" s="55"/>
      <c r="D45" s="55"/>
      <c r="E45" s="55"/>
      <c r="F45" s="55"/>
      <c r="G45" s="55"/>
      <c r="H45" s="55"/>
      <c r="I45" s="14"/>
    </row>
    <row r="46" spans="1:9" ht="12.75" customHeight="1" x14ac:dyDescent="0.2">
      <c r="A46" s="55"/>
      <c r="B46" s="55"/>
      <c r="C46" s="55"/>
      <c r="D46" s="55"/>
      <c r="E46" s="55"/>
      <c r="F46" s="55"/>
      <c r="G46" s="55"/>
      <c r="H46" s="55"/>
    </row>
    <row r="47" spans="1:9" ht="12.75" customHeight="1" x14ac:dyDescent="0.2">
      <c r="A47" s="55"/>
      <c r="B47" s="55"/>
      <c r="C47" s="55"/>
      <c r="D47" s="55"/>
      <c r="E47" s="55"/>
      <c r="F47" s="55"/>
      <c r="G47" s="55"/>
      <c r="H47" s="55"/>
    </row>
    <row r="48" spans="1:9" ht="12.75" customHeight="1" x14ac:dyDescent="0.2">
      <c r="A48" s="55"/>
      <c r="B48" s="55"/>
      <c r="C48" s="55"/>
      <c r="D48" s="55"/>
      <c r="E48" s="55"/>
      <c r="F48" s="55"/>
      <c r="G48" s="55"/>
      <c r="H48" s="55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55" t="s">
        <v>72</v>
      </c>
      <c r="B53" s="55"/>
      <c r="C53" s="55"/>
      <c r="D53" s="55"/>
      <c r="E53" s="55"/>
      <c r="F53" s="55"/>
      <c r="G53" s="55"/>
      <c r="H53" s="55"/>
    </row>
    <row r="54" spans="1:9" ht="8.1" customHeight="1" x14ac:dyDescent="0.2">
      <c r="A54" s="24"/>
      <c r="B54" s="24"/>
      <c r="C54" s="24"/>
      <c r="D54" s="24"/>
      <c r="E54" s="24"/>
      <c r="F54" s="24"/>
      <c r="G54" s="24"/>
      <c r="H54" s="24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55" t="s">
        <v>84</v>
      </c>
      <c r="B56" s="55"/>
      <c r="C56" s="55"/>
      <c r="D56" s="55"/>
      <c r="E56" s="55"/>
      <c r="F56" s="55"/>
      <c r="G56" s="55"/>
      <c r="H56" s="55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55" t="s">
        <v>40</v>
      </c>
      <c r="B59" s="55"/>
      <c r="C59" s="55"/>
      <c r="D59" s="55"/>
      <c r="E59" s="55"/>
      <c r="F59" s="55"/>
      <c r="G59" s="55"/>
      <c r="H59" s="55"/>
      <c r="I59" s="14"/>
    </row>
    <row r="60" spans="1:9" ht="12.75" customHeight="1" x14ac:dyDescent="0.2">
      <c r="A60" s="55"/>
      <c r="B60" s="55"/>
      <c r="C60" s="55"/>
      <c r="D60" s="55"/>
      <c r="E60" s="55"/>
      <c r="F60" s="55"/>
      <c r="G60" s="55"/>
      <c r="H60" s="55"/>
    </row>
    <row r="61" spans="1:9" ht="12.75" customHeight="1" x14ac:dyDescent="0.2">
      <c r="A61" s="55"/>
      <c r="B61" s="55"/>
      <c r="C61" s="55"/>
      <c r="D61" s="55"/>
      <c r="E61" s="55"/>
      <c r="F61" s="55"/>
      <c r="G61" s="55"/>
      <c r="H61" s="55"/>
    </row>
    <row r="62" spans="1:9" ht="12.75" customHeight="1" x14ac:dyDescent="0.2">
      <c r="A62" s="55"/>
      <c r="B62" s="55"/>
      <c r="C62" s="55"/>
      <c r="D62" s="55"/>
      <c r="E62" s="55"/>
      <c r="F62" s="55"/>
      <c r="G62" s="55"/>
      <c r="H62" s="55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55" t="s">
        <v>74</v>
      </c>
      <c r="B67" s="55"/>
      <c r="C67" s="55"/>
      <c r="D67" s="55"/>
      <c r="E67" s="55"/>
      <c r="F67" s="55"/>
      <c r="G67" s="55"/>
      <c r="H67" s="55"/>
    </row>
    <row r="68" spans="1:9" ht="8.1" customHeight="1" x14ac:dyDescent="0.2">
      <c r="A68" s="24"/>
      <c r="B68" s="24"/>
      <c r="C68" s="24"/>
      <c r="D68" s="24"/>
      <c r="E68" s="24"/>
      <c r="F68" s="24"/>
      <c r="G68" s="24"/>
      <c r="H68" s="24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55" t="s">
        <v>75</v>
      </c>
      <c r="B70" s="55"/>
      <c r="C70" s="55"/>
      <c r="D70" s="55"/>
      <c r="E70" s="55"/>
      <c r="F70" s="55"/>
      <c r="G70" s="55"/>
      <c r="H70" s="55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55" t="s">
        <v>41</v>
      </c>
      <c r="B73" s="55"/>
      <c r="C73" s="55"/>
      <c r="D73" s="55"/>
      <c r="E73" s="55"/>
      <c r="F73" s="55"/>
      <c r="G73" s="55"/>
      <c r="H73" s="55"/>
      <c r="I73" s="14"/>
    </row>
    <row r="74" spans="1:9" ht="12.75" customHeight="1" x14ac:dyDescent="0.2">
      <c r="A74" s="55"/>
      <c r="B74" s="55"/>
      <c r="C74" s="55"/>
      <c r="D74" s="55"/>
      <c r="E74" s="55"/>
      <c r="F74" s="55"/>
      <c r="G74" s="55"/>
      <c r="H74" s="55"/>
    </row>
    <row r="75" spans="1:9" ht="12.75" customHeight="1" x14ac:dyDescent="0.2">
      <c r="A75" s="55"/>
      <c r="B75" s="55"/>
      <c r="C75" s="55"/>
      <c r="D75" s="55"/>
      <c r="E75" s="55"/>
      <c r="F75" s="55"/>
      <c r="G75" s="55"/>
      <c r="H75" s="55"/>
    </row>
    <row r="76" spans="1:9" ht="12.75" customHeight="1" x14ac:dyDescent="0.2">
      <c r="A76" s="55"/>
      <c r="B76" s="55"/>
      <c r="C76" s="55"/>
      <c r="D76" s="55"/>
      <c r="E76" s="55"/>
      <c r="F76" s="55"/>
      <c r="G76" s="55"/>
      <c r="H76" s="55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55" t="s">
        <v>68</v>
      </c>
      <c r="B81" s="55"/>
      <c r="C81" s="55"/>
      <c r="D81" s="55"/>
      <c r="E81" s="55"/>
      <c r="F81" s="55"/>
      <c r="G81" s="55"/>
      <c r="H81" s="55"/>
    </row>
    <row r="82" spans="1:9" ht="8.1" customHeight="1" x14ac:dyDescent="0.2">
      <c r="A82" s="24"/>
      <c r="B82" s="24"/>
      <c r="C82" s="24"/>
      <c r="D82" s="24"/>
      <c r="E82" s="24"/>
      <c r="F82" s="24"/>
      <c r="G82" s="24"/>
      <c r="H82" s="24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55" t="s">
        <v>69</v>
      </c>
      <c r="B84" s="55"/>
      <c r="C84" s="55"/>
      <c r="D84" s="55"/>
      <c r="E84" s="55"/>
      <c r="F84" s="55"/>
      <c r="G84" s="55"/>
      <c r="H84" s="55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55" t="s">
        <v>42</v>
      </c>
      <c r="B87" s="55"/>
      <c r="C87" s="55"/>
      <c r="D87" s="55"/>
      <c r="E87" s="55"/>
      <c r="F87" s="55"/>
      <c r="G87" s="55"/>
      <c r="H87" s="55"/>
      <c r="I87" s="14"/>
    </row>
    <row r="88" spans="1:9" ht="12.75" customHeight="1" x14ac:dyDescent="0.2">
      <c r="A88" s="55"/>
      <c r="B88" s="55"/>
      <c r="C88" s="55"/>
      <c r="D88" s="55"/>
      <c r="E88" s="55"/>
      <c r="F88" s="55"/>
      <c r="G88" s="55"/>
      <c r="H88" s="55"/>
    </row>
    <row r="89" spans="1:9" ht="12.75" customHeight="1" x14ac:dyDescent="0.2">
      <c r="A89" s="55"/>
      <c r="B89" s="55"/>
      <c r="C89" s="55"/>
      <c r="D89" s="55"/>
      <c r="E89" s="55"/>
      <c r="F89" s="55"/>
      <c r="G89" s="55"/>
      <c r="H89" s="55"/>
    </row>
    <row r="90" spans="1:9" ht="12.75" customHeight="1" x14ac:dyDescent="0.2">
      <c r="A90" s="55"/>
      <c r="B90" s="55"/>
      <c r="C90" s="55"/>
      <c r="D90" s="55"/>
      <c r="E90" s="55"/>
      <c r="F90" s="55"/>
      <c r="G90" s="55"/>
      <c r="H90" s="55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55" t="s">
        <v>70</v>
      </c>
      <c r="B95" s="55"/>
      <c r="C95" s="55"/>
      <c r="D95" s="55"/>
      <c r="E95" s="55"/>
      <c r="F95" s="55"/>
      <c r="G95" s="55"/>
      <c r="H95" s="55"/>
    </row>
    <row r="96" spans="1:9" ht="8.1" customHeight="1" x14ac:dyDescent="0.2">
      <c r="A96" s="24"/>
      <c r="B96" s="24"/>
      <c r="C96" s="24"/>
      <c r="D96" s="24"/>
      <c r="E96" s="24"/>
      <c r="F96" s="24"/>
      <c r="G96" s="24"/>
      <c r="H96" s="24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55" t="s">
        <v>71</v>
      </c>
      <c r="B98" s="55"/>
      <c r="C98" s="55"/>
      <c r="D98" s="55"/>
      <c r="E98" s="55"/>
      <c r="F98" s="55"/>
      <c r="G98" s="55"/>
      <c r="H98" s="55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55" t="s">
        <v>43</v>
      </c>
      <c r="B101" s="55"/>
      <c r="C101" s="55"/>
      <c r="D101" s="55"/>
      <c r="E101" s="55"/>
      <c r="F101" s="55"/>
      <c r="G101" s="55"/>
      <c r="H101" s="55"/>
      <c r="I101" s="14"/>
    </row>
    <row r="102" spans="1:9" ht="12.75" customHeight="1" x14ac:dyDescent="0.2">
      <c r="A102" s="55"/>
      <c r="B102" s="55"/>
      <c r="C102" s="55"/>
      <c r="D102" s="55"/>
      <c r="E102" s="55"/>
      <c r="F102" s="55"/>
      <c r="G102" s="55"/>
      <c r="H102" s="55"/>
    </row>
    <row r="103" spans="1:9" ht="12.75" customHeight="1" x14ac:dyDescent="0.2">
      <c r="A103" s="55"/>
      <c r="B103" s="55"/>
      <c r="C103" s="55"/>
      <c r="D103" s="55"/>
      <c r="E103" s="55"/>
      <c r="F103" s="55"/>
      <c r="G103" s="55"/>
      <c r="H103" s="55"/>
    </row>
    <row r="104" spans="1:9" ht="12.75" customHeight="1" x14ac:dyDescent="0.2">
      <c r="A104" s="55"/>
      <c r="B104" s="55"/>
      <c r="C104" s="55"/>
      <c r="D104" s="55"/>
      <c r="E104" s="55"/>
      <c r="F104" s="55"/>
      <c r="G104" s="55"/>
      <c r="H104" s="55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55" t="s">
        <v>72</v>
      </c>
      <c r="B109" s="55"/>
      <c r="C109" s="55"/>
      <c r="D109" s="55"/>
      <c r="E109" s="55"/>
      <c r="F109" s="55"/>
      <c r="G109" s="55"/>
      <c r="H109" s="55"/>
    </row>
    <row r="110" spans="1:9" ht="8.1" customHeight="1" x14ac:dyDescent="0.2">
      <c r="A110" s="24"/>
      <c r="B110" s="24"/>
      <c r="C110" s="24"/>
      <c r="D110" s="24"/>
      <c r="E110" s="24"/>
      <c r="F110" s="24"/>
      <c r="G110" s="24"/>
      <c r="H110" s="24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55" t="s">
        <v>73</v>
      </c>
      <c r="B112" s="55"/>
      <c r="C112" s="55"/>
      <c r="D112" s="55"/>
      <c r="E112" s="55"/>
      <c r="F112" s="55"/>
      <c r="G112" s="55"/>
      <c r="H112" s="55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55" t="s">
        <v>44</v>
      </c>
      <c r="B115" s="55"/>
      <c r="C115" s="55"/>
      <c r="D115" s="55"/>
      <c r="E115" s="55"/>
      <c r="F115" s="55"/>
      <c r="G115" s="55"/>
      <c r="H115" s="55"/>
      <c r="I115" s="14"/>
    </row>
    <row r="116" spans="1:9" ht="12.75" customHeight="1" x14ac:dyDescent="0.2">
      <c r="A116" s="55"/>
      <c r="B116" s="55"/>
      <c r="C116" s="55"/>
      <c r="D116" s="55"/>
      <c r="E116" s="55"/>
      <c r="F116" s="55"/>
      <c r="G116" s="55"/>
      <c r="H116" s="55"/>
    </row>
    <row r="117" spans="1:9" ht="12.75" customHeight="1" x14ac:dyDescent="0.2">
      <c r="A117" s="55"/>
      <c r="B117" s="55"/>
      <c r="C117" s="55"/>
      <c r="D117" s="55"/>
      <c r="E117" s="55"/>
      <c r="F117" s="55"/>
      <c r="G117" s="55"/>
      <c r="H117" s="55"/>
    </row>
    <row r="118" spans="1:9" ht="12.75" customHeight="1" x14ac:dyDescent="0.2">
      <c r="A118" s="55"/>
      <c r="B118" s="55"/>
      <c r="C118" s="55"/>
      <c r="D118" s="55"/>
      <c r="E118" s="55"/>
      <c r="F118" s="55"/>
      <c r="G118" s="55"/>
      <c r="H118" s="55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55" t="s">
        <v>74</v>
      </c>
      <c r="B123" s="55"/>
      <c r="C123" s="55"/>
      <c r="D123" s="55"/>
      <c r="E123" s="55"/>
      <c r="F123" s="55"/>
      <c r="G123" s="55"/>
      <c r="H123" s="55"/>
    </row>
    <row r="124" spans="1:9" ht="8.1" customHeight="1" x14ac:dyDescent="0.2">
      <c r="A124" s="24"/>
      <c r="B124" s="24"/>
      <c r="C124" s="24"/>
      <c r="D124" s="24"/>
      <c r="E124" s="24"/>
      <c r="F124" s="24"/>
      <c r="G124" s="24"/>
      <c r="H124" s="24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55" t="s">
        <v>75</v>
      </c>
      <c r="B126" s="55"/>
      <c r="C126" s="55"/>
      <c r="D126" s="55"/>
      <c r="E126" s="55"/>
      <c r="F126" s="55"/>
      <c r="G126" s="55"/>
      <c r="H126" s="55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55" t="s">
        <v>45</v>
      </c>
      <c r="B129" s="55"/>
      <c r="C129" s="55"/>
      <c r="D129" s="55"/>
      <c r="E129" s="55"/>
      <c r="F129" s="55"/>
      <c r="G129" s="55"/>
      <c r="H129" s="55"/>
      <c r="I129" s="14"/>
      <c r="O129" s="31"/>
    </row>
    <row r="130" spans="1:15" ht="12.75" customHeight="1" x14ac:dyDescent="0.2">
      <c r="A130" s="55"/>
      <c r="B130" s="55"/>
      <c r="C130" s="55"/>
      <c r="D130" s="55"/>
      <c r="E130" s="55"/>
      <c r="F130" s="55"/>
      <c r="G130" s="55"/>
      <c r="H130" s="55"/>
    </row>
    <row r="131" spans="1:15" ht="12.75" customHeight="1" x14ac:dyDescent="0.2">
      <c r="A131" s="55"/>
      <c r="B131" s="55"/>
      <c r="C131" s="55"/>
      <c r="D131" s="55"/>
      <c r="E131" s="55"/>
      <c r="F131" s="55"/>
      <c r="G131" s="55"/>
      <c r="H131" s="55"/>
    </row>
    <row r="132" spans="1:15" ht="12.75" customHeight="1" x14ac:dyDescent="0.2">
      <c r="A132" s="55"/>
      <c r="B132" s="55"/>
      <c r="C132" s="55"/>
      <c r="D132" s="55"/>
      <c r="E132" s="55"/>
      <c r="F132" s="55"/>
      <c r="G132" s="55"/>
      <c r="H132" s="55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55" t="s">
        <v>51</v>
      </c>
      <c r="B137" s="55"/>
      <c r="C137" s="55"/>
      <c r="D137" s="55"/>
      <c r="E137" s="55"/>
      <c r="F137" s="55"/>
      <c r="G137" s="55"/>
      <c r="H137" s="55"/>
    </row>
    <row r="138" spans="1:15" ht="8.1" customHeight="1" x14ac:dyDescent="0.2">
      <c r="A138" s="24"/>
      <c r="B138" s="24"/>
      <c r="C138" s="24"/>
      <c r="D138" s="24"/>
      <c r="E138" s="24"/>
      <c r="F138" s="24"/>
      <c r="G138" s="24"/>
      <c r="H138" s="24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55" t="s">
        <v>52</v>
      </c>
      <c r="B140" s="55"/>
      <c r="C140" s="55"/>
      <c r="D140" s="55"/>
      <c r="E140" s="55"/>
      <c r="F140" s="55"/>
      <c r="G140" s="55"/>
      <c r="H140" s="55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55" t="s">
        <v>46</v>
      </c>
      <c r="B143" s="55"/>
      <c r="C143" s="55"/>
      <c r="D143" s="55"/>
      <c r="E143" s="55"/>
      <c r="F143" s="55"/>
      <c r="G143" s="55"/>
      <c r="H143" s="55"/>
      <c r="I143" s="14"/>
    </row>
    <row r="144" spans="1:15" ht="12.75" customHeight="1" x14ac:dyDescent="0.2">
      <c r="A144" s="55"/>
      <c r="B144" s="55"/>
      <c r="C144" s="55"/>
      <c r="D144" s="55"/>
      <c r="E144" s="55"/>
      <c r="F144" s="55"/>
      <c r="G144" s="55"/>
      <c r="H144" s="55"/>
    </row>
    <row r="145" spans="1:9" ht="12.75" customHeight="1" x14ac:dyDescent="0.2">
      <c r="A145" s="55"/>
      <c r="B145" s="55"/>
      <c r="C145" s="55"/>
      <c r="D145" s="55"/>
      <c r="E145" s="55"/>
      <c r="F145" s="55"/>
      <c r="G145" s="55"/>
      <c r="H145" s="55"/>
    </row>
    <row r="146" spans="1:9" ht="12.75" customHeight="1" x14ac:dyDescent="0.2">
      <c r="A146" s="55"/>
      <c r="B146" s="55"/>
      <c r="C146" s="55"/>
      <c r="D146" s="55"/>
      <c r="E146" s="55"/>
      <c r="F146" s="55"/>
      <c r="G146" s="55"/>
      <c r="H146" s="55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55" t="s">
        <v>36</v>
      </c>
      <c r="B151" s="55"/>
      <c r="C151" s="55"/>
      <c r="D151" s="55"/>
      <c r="E151" s="55"/>
      <c r="F151" s="55"/>
      <c r="G151" s="55"/>
      <c r="H151" s="55"/>
    </row>
    <row r="152" spans="1:9" ht="8.1" customHeight="1" x14ac:dyDescent="0.2">
      <c r="A152" s="24"/>
      <c r="B152" s="24"/>
      <c r="C152" s="24"/>
      <c r="D152" s="24"/>
      <c r="E152" s="24"/>
      <c r="F152" s="24"/>
      <c r="G152" s="24"/>
      <c r="H152" s="24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55" t="s">
        <v>53</v>
      </c>
      <c r="B154" s="55"/>
      <c r="C154" s="55"/>
      <c r="D154" s="55"/>
      <c r="E154" s="55"/>
      <c r="F154" s="55"/>
      <c r="G154" s="55"/>
      <c r="H154" s="55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55" t="s">
        <v>47</v>
      </c>
      <c r="B157" s="55"/>
      <c r="C157" s="55"/>
      <c r="D157" s="55"/>
      <c r="E157" s="55"/>
      <c r="F157" s="55"/>
      <c r="G157" s="55"/>
      <c r="H157" s="55"/>
      <c r="I157" s="14"/>
    </row>
    <row r="158" spans="1:9" ht="12.75" customHeight="1" x14ac:dyDescent="0.2">
      <c r="A158" s="55"/>
      <c r="B158" s="55"/>
      <c r="C158" s="55"/>
      <c r="D158" s="55"/>
      <c r="E158" s="55"/>
      <c r="F158" s="55"/>
      <c r="G158" s="55"/>
      <c r="H158" s="55"/>
    </row>
    <row r="159" spans="1:9" ht="12.75" customHeight="1" x14ac:dyDescent="0.2">
      <c r="A159" s="55"/>
      <c r="B159" s="55"/>
      <c r="C159" s="55"/>
      <c r="D159" s="55"/>
      <c r="E159" s="55"/>
      <c r="F159" s="55"/>
      <c r="G159" s="55"/>
      <c r="H159" s="55"/>
    </row>
    <row r="160" spans="1:9" ht="12.75" customHeight="1" x14ac:dyDescent="0.2">
      <c r="A160" s="55"/>
      <c r="B160" s="55"/>
      <c r="C160" s="55"/>
      <c r="D160" s="55"/>
      <c r="E160" s="55"/>
      <c r="F160" s="55"/>
      <c r="G160" s="55"/>
      <c r="H160" s="55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56" t="s">
        <v>17</v>
      </c>
      <c r="B174" s="15" t="s">
        <v>23</v>
      </c>
      <c r="C174" s="15" t="s">
        <v>24</v>
      </c>
    </row>
    <row r="175" spans="1:8" x14ac:dyDescent="0.2">
      <c r="A175" s="56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Triangle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/>
      </c>
      <c r="C179" s="15" t="str">
        <f t="shared" si="0"/>
        <v/>
      </c>
      <c r="D179" s="15"/>
      <c r="E179" s="15"/>
    </row>
    <row r="180" spans="1:5" x14ac:dyDescent="0.2">
      <c r="A180" s="15">
        <v>5</v>
      </c>
      <c r="B180" s="15" t="str">
        <f t="shared" si="1"/>
        <v/>
      </c>
      <c r="C180" s="15" t="str">
        <f t="shared" si="0"/>
        <v/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9" t="s">
        <v>8</v>
      </c>
      <c r="B1" s="59"/>
      <c r="C1" s="59"/>
      <c r="D1" s="59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1" t="s">
        <v>9</v>
      </c>
      <c r="AG1" s="61"/>
      <c r="AH1" s="61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1" t="s">
        <v>10</v>
      </c>
      <c r="BE1" s="61"/>
      <c r="BF1" s="65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</row>
    <row r="2" spans="1:80" ht="15" customHeight="1" x14ac:dyDescent="0.2">
      <c r="A2" s="59" t="s">
        <v>11</v>
      </c>
      <c r="B2" s="59"/>
      <c r="C2" s="59"/>
      <c r="D2" s="59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1" t="s">
        <v>9</v>
      </c>
      <c r="AG2" s="61"/>
      <c r="AH2" s="61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1" t="s">
        <v>10</v>
      </c>
      <c r="BE2" s="61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</row>
    <row r="3" spans="1:80" ht="15" customHeight="1" x14ac:dyDescent="0.2">
      <c r="A3" s="60" t="s">
        <v>12</v>
      </c>
      <c r="B3" s="60"/>
      <c r="C3" s="60"/>
      <c r="D3" s="60"/>
      <c r="E3" s="60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68" t="s">
        <v>25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3"/>
      <c r="AK7" s="23"/>
      <c r="AL7" s="23"/>
      <c r="AM7" s="23"/>
      <c r="AN7" s="23"/>
      <c r="AO7" s="23"/>
      <c r="AP7" s="23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3"/>
      <c r="AK8" s="23"/>
      <c r="AL8" s="23"/>
      <c r="AM8" s="23"/>
      <c r="AN8" s="23"/>
      <c r="AO8" s="23"/>
      <c r="AP8" s="23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3"/>
      <c r="AK9" s="23"/>
      <c r="AL9" s="23"/>
      <c r="AM9" s="23"/>
      <c r="AN9" s="23"/>
      <c r="AO9" s="23"/>
      <c r="AP9" s="23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5"/>
      <c r="BU9" s="25"/>
      <c r="BV9" s="25"/>
      <c r="BW9" s="25"/>
      <c r="BX9" s="25"/>
      <c r="BY9" s="25"/>
      <c r="BZ9" s="25"/>
      <c r="CA9" s="16"/>
      <c r="CB9" s="14" t="s">
        <v>66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3"/>
      <c r="AK10" s="23"/>
      <c r="AL10" s="23"/>
      <c r="AM10" s="23"/>
      <c r="AN10" s="23"/>
      <c r="AO10" s="23"/>
      <c r="AP10" s="23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5"/>
      <c r="BU10" s="25"/>
      <c r="BV10" s="25"/>
      <c r="BW10" s="25"/>
      <c r="BX10" s="25"/>
      <c r="BY10" s="25"/>
      <c r="BZ10" s="25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3"/>
      <c r="AK11" s="23"/>
      <c r="AL11" s="23"/>
      <c r="AM11" s="23"/>
      <c r="AN11" s="23"/>
      <c r="AO11" s="23"/>
      <c r="AP11" s="23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3"/>
      <c r="BF11" s="23"/>
      <c r="BG11" s="23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5"/>
      <c r="BN12" s="25"/>
      <c r="BO12" s="25"/>
      <c r="BP12" s="25"/>
      <c r="BQ12" s="25"/>
      <c r="BR12" s="25"/>
      <c r="BS12" s="25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5"/>
      <c r="BN13" s="25"/>
      <c r="BO13" s="25"/>
      <c r="BP13" s="25"/>
      <c r="BQ13" s="25"/>
      <c r="BR13" s="25"/>
      <c r="BS13" s="25"/>
      <c r="BT13" s="19"/>
      <c r="BU13" s="28"/>
      <c r="BV13" s="28"/>
      <c r="BW13" s="28"/>
      <c r="BX13" s="28"/>
      <c r="BY13" s="28"/>
      <c r="BZ13" s="28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29"/>
      <c r="BV14" s="29"/>
      <c r="BW14" s="29"/>
      <c r="BX14" s="29"/>
      <c r="BY14" s="29"/>
      <c r="BZ14" s="29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5"/>
      <c r="BG15" s="25"/>
      <c r="BH15" s="25"/>
      <c r="BI15" s="25"/>
      <c r="BJ15" s="25"/>
      <c r="BK15" s="25"/>
      <c r="BL15" s="25"/>
      <c r="BM15" s="10"/>
      <c r="BN15" s="10"/>
      <c r="BO15" s="10"/>
      <c r="BP15" s="10"/>
      <c r="BQ15" s="10"/>
      <c r="BR15" s="10"/>
      <c r="BS15" s="10"/>
      <c r="BT15" s="20"/>
      <c r="BU15" s="29"/>
      <c r="BV15" s="29"/>
      <c r="BW15" s="29"/>
      <c r="BX15" s="29"/>
      <c r="BY15" s="29"/>
      <c r="BZ15" s="29"/>
      <c r="CA15" s="10"/>
    </row>
    <row r="16" spans="1:80" ht="15" customHeight="1" x14ac:dyDescent="0.2">
      <c r="A16" s="10"/>
      <c r="B16" s="10"/>
      <c r="J16" s="32"/>
      <c r="K16" s="32"/>
      <c r="L16" s="32"/>
      <c r="M16" s="32"/>
      <c r="N16" s="32"/>
      <c r="O16" s="32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40"/>
      <c r="AR16" s="40"/>
      <c r="AS16" s="40"/>
      <c r="AT16" s="40"/>
      <c r="AU16" s="40"/>
      <c r="AV16" s="40"/>
      <c r="AW16" s="40"/>
      <c r="AY16" s="40"/>
      <c r="AZ16" s="40"/>
      <c r="BA16" s="40"/>
      <c r="BB16" s="40"/>
      <c r="BC16" s="40"/>
      <c r="BD16" s="40"/>
      <c r="BE16" s="40"/>
      <c r="BF16" s="41"/>
      <c r="BG16" s="41"/>
      <c r="BH16" s="41"/>
      <c r="BI16" s="41"/>
      <c r="BJ16" s="41"/>
      <c r="BK16" s="41"/>
      <c r="BL16" s="41"/>
      <c r="BM16" s="42"/>
      <c r="BN16" s="28"/>
      <c r="BO16" s="28"/>
      <c r="BP16" s="28"/>
      <c r="BQ16" s="28"/>
      <c r="BR16" s="28"/>
      <c r="BS16" s="28"/>
      <c r="BT16" s="20"/>
      <c r="BU16" s="29"/>
      <c r="BV16" s="29"/>
      <c r="BW16" s="29"/>
      <c r="BX16" s="29"/>
      <c r="BY16" s="29"/>
      <c r="BZ16" s="29"/>
      <c r="CA16" s="10"/>
    </row>
    <row r="17" spans="1:79" ht="15" customHeight="1" x14ac:dyDescent="0.2">
      <c r="A17" s="10"/>
      <c r="B17" s="10"/>
      <c r="J17" s="32"/>
      <c r="K17" s="32"/>
      <c r="L17" s="32"/>
      <c r="M17" s="32"/>
      <c r="N17" s="32"/>
      <c r="O17" s="32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M17" s="43"/>
      <c r="BN17" s="29"/>
      <c r="BO17" s="29"/>
      <c r="BP17" s="29"/>
      <c r="BQ17" s="29"/>
      <c r="BR17" s="29"/>
      <c r="BS17" s="29"/>
      <c r="BT17" s="20"/>
      <c r="BU17" s="29"/>
      <c r="BV17" s="29"/>
      <c r="BW17" s="29"/>
      <c r="BX17" s="29"/>
      <c r="BY17" s="29"/>
      <c r="BZ17" s="29"/>
      <c r="CA17" s="10"/>
    </row>
    <row r="18" spans="1:79" ht="15" customHeight="1" x14ac:dyDescent="0.2">
      <c r="A18" s="10"/>
      <c r="B18" s="10"/>
      <c r="J18" s="32"/>
      <c r="K18" s="32"/>
      <c r="L18" s="32"/>
      <c r="M18" s="32"/>
      <c r="N18" s="32"/>
      <c r="O18" s="32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M18" s="43"/>
      <c r="BN18" s="29"/>
      <c r="BO18" s="29"/>
      <c r="BP18" s="29"/>
      <c r="BQ18" s="29"/>
      <c r="BR18" s="29"/>
      <c r="BS18" s="29"/>
      <c r="BT18" s="22"/>
      <c r="BU18" s="30"/>
      <c r="BV18" s="30"/>
      <c r="BW18" s="30"/>
      <c r="BX18" s="30"/>
      <c r="BY18" s="30"/>
      <c r="BZ18" s="30"/>
      <c r="CA18" s="10"/>
    </row>
    <row r="19" spans="1:79" ht="15" customHeight="1" x14ac:dyDescent="0.2">
      <c r="A19" s="10"/>
      <c r="B19" s="10"/>
      <c r="J19" s="32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2"/>
      <c r="BG19" s="44"/>
      <c r="BH19" s="44"/>
      <c r="BI19" s="44"/>
      <c r="BJ19" s="44"/>
      <c r="BK19" s="44"/>
      <c r="BL19" s="44"/>
      <c r="BM19" s="43"/>
      <c r="BN19" s="29"/>
      <c r="BO19" s="29"/>
      <c r="BP19" s="29"/>
      <c r="BQ19" s="29"/>
      <c r="BR19" s="29"/>
      <c r="BS19" s="29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B20" s="10"/>
      <c r="J20" s="32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F20" s="43"/>
      <c r="BG20" s="45"/>
      <c r="BH20" s="45"/>
      <c r="BI20" s="45"/>
      <c r="BJ20" s="45"/>
      <c r="BK20" s="45"/>
      <c r="BL20" s="45"/>
      <c r="BM20" s="43"/>
      <c r="BN20" s="29"/>
      <c r="BO20" s="29"/>
      <c r="BP20" s="29"/>
      <c r="BQ20" s="29"/>
      <c r="BR20" s="29"/>
      <c r="BS20" s="29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B21" s="10"/>
      <c r="J21" s="32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45"/>
      <c r="AS21" s="45"/>
      <c r="AT21" s="45"/>
      <c r="AU21" s="45"/>
      <c r="AV21" s="45"/>
      <c r="AW21" s="45"/>
      <c r="AX21" s="45"/>
      <c r="BF21" s="43"/>
      <c r="BG21" s="45"/>
      <c r="BH21" s="45"/>
      <c r="BI21" s="45"/>
      <c r="BJ21" s="45"/>
      <c r="BK21" s="45"/>
      <c r="BL21" s="45"/>
      <c r="BM21" s="46"/>
      <c r="BN21" s="30"/>
      <c r="BO21" s="30"/>
      <c r="BP21" s="30"/>
      <c r="BQ21" s="30"/>
      <c r="BR21" s="30"/>
      <c r="BS21" s="30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B22" s="10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45"/>
      <c r="AS22" s="45"/>
      <c r="AT22" s="45"/>
      <c r="AU22" s="45"/>
      <c r="AV22" s="45"/>
      <c r="AW22" s="45"/>
      <c r="AX22" s="45"/>
      <c r="AY22" s="42"/>
      <c r="AZ22" s="44"/>
      <c r="BA22" s="44"/>
      <c r="BB22" s="44"/>
      <c r="BC22" s="44"/>
      <c r="BD22" s="44"/>
      <c r="BE22" s="44"/>
      <c r="BF22" s="43"/>
      <c r="BG22" s="45"/>
      <c r="BH22" s="45"/>
      <c r="BI22" s="45"/>
      <c r="BJ22" s="45"/>
      <c r="BK22" s="45"/>
      <c r="BL22" s="45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B23" s="10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Y23" s="43"/>
      <c r="AZ23" s="45"/>
      <c r="BA23" s="45"/>
      <c r="BB23" s="45"/>
      <c r="BC23" s="45"/>
      <c r="BD23" s="45"/>
      <c r="BE23" s="45"/>
      <c r="BF23" s="43"/>
      <c r="BG23" s="45"/>
      <c r="BH23" s="45"/>
      <c r="BI23" s="45"/>
      <c r="BJ23" s="45"/>
      <c r="BK23" s="45"/>
      <c r="BL23" s="45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B24" s="10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45"/>
      <c r="AL24" s="45"/>
      <c r="AM24" s="45"/>
      <c r="AN24" s="45"/>
      <c r="AO24" s="45"/>
      <c r="AP24" s="45"/>
      <c r="AQ24" s="45"/>
      <c r="AY24" s="43"/>
      <c r="AZ24" s="45"/>
      <c r="BA24" s="45"/>
      <c r="BB24" s="45"/>
      <c r="BC24" s="45"/>
      <c r="BD24" s="45"/>
      <c r="BE24" s="45"/>
      <c r="BF24" s="46"/>
      <c r="BG24" s="47"/>
      <c r="BH24" s="47"/>
      <c r="BI24" s="47"/>
      <c r="BJ24" s="47"/>
      <c r="BK24" s="47"/>
      <c r="BL24" s="47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B25" s="10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K25" s="45"/>
      <c r="AL25" s="45"/>
      <c r="AM25" s="45"/>
      <c r="AN25" s="45"/>
      <c r="AO25" s="45"/>
      <c r="AP25" s="45"/>
      <c r="AQ25" s="45"/>
      <c r="AR25" s="42"/>
      <c r="AS25" s="44"/>
      <c r="AT25" s="44"/>
      <c r="AU25" s="44"/>
      <c r="AV25" s="44"/>
      <c r="AW25" s="44"/>
      <c r="AX25" s="44"/>
      <c r="AY25" s="43"/>
      <c r="AZ25" s="45"/>
      <c r="BA25" s="45"/>
      <c r="BB25" s="45"/>
      <c r="BC25" s="45"/>
      <c r="BD25" s="45"/>
      <c r="BE25" s="45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A26" s="10"/>
      <c r="B26" s="10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R26" s="43"/>
      <c r="AS26" s="45"/>
      <c r="AT26" s="45"/>
      <c r="AU26" s="45"/>
      <c r="AV26" s="45"/>
      <c r="AW26" s="45"/>
      <c r="AX26" s="45"/>
      <c r="AY26" s="43"/>
      <c r="AZ26" s="45"/>
      <c r="BA26" s="45"/>
      <c r="BB26" s="45"/>
      <c r="BC26" s="45"/>
      <c r="BD26" s="45"/>
      <c r="BE26" s="45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A27" s="10"/>
      <c r="B27" s="10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5"/>
      <c r="AE27" s="45"/>
      <c r="AF27" s="45"/>
      <c r="AG27" s="45"/>
      <c r="AH27" s="45"/>
      <c r="AI27" s="45"/>
      <c r="AJ27" s="45"/>
      <c r="AK27" s="48"/>
      <c r="AL27" s="48"/>
      <c r="AM27" s="48"/>
      <c r="AN27" s="48"/>
      <c r="AO27" s="48"/>
      <c r="AP27" s="48"/>
      <c r="AQ27" s="48"/>
      <c r="AR27" s="43"/>
      <c r="AS27" s="45"/>
      <c r="AT27" s="45"/>
      <c r="AU27" s="45"/>
      <c r="AV27" s="45"/>
      <c r="AW27" s="45"/>
      <c r="AX27" s="45"/>
      <c r="AY27" s="46"/>
      <c r="AZ27" s="47"/>
      <c r="BA27" s="47"/>
      <c r="BB27" s="47"/>
      <c r="BC27" s="47"/>
      <c r="BD27" s="47"/>
      <c r="BE27" s="47"/>
      <c r="BG27" s="32"/>
      <c r="BH27" s="32"/>
      <c r="BI27" s="32"/>
      <c r="BJ27" s="32"/>
      <c r="BK27" s="32"/>
      <c r="BL27" s="32"/>
      <c r="BM27" s="32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A28" s="10"/>
      <c r="B28" s="10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5"/>
      <c r="AE28" s="45"/>
      <c r="AF28" s="45"/>
      <c r="AG28" s="45"/>
      <c r="AH28" s="45"/>
      <c r="AI28" s="45"/>
      <c r="AJ28" s="45"/>
      <c r="AK28" s="42"/>
      <c r="AL28" s="44"/>
      <c r="AM28" s="44"/>
      <c r="AN28" s="44"/>
      <c r="AO28" s="44"/>
      <c r="AP28" s="44"/>
      <c r="AQ28" s="44"/>
      <c r="AR28" s="43"/>
      <c r="AS28" s="45"/>
      <c r="AT28" s="45"/>
      <c r="AU28" s="45"/>
      <c r="AV28" s="45"/>
      <c r="AW28" s="45"/>
      <c r="AX28" s="45"/>
      <c r="BG28" s="32"/>
      <c r="BH28" s="32"/>
      <c r="BI28" s="32"/>
      <c r="BJ28" s="32"/>
      <c r="BK28" s="32"/>
      <c r="BL28" s="32"/>
      <c r="BM28" s="32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A29" s="10"/>
      <c r="B29" s="10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K29" s="43"/>
      <c r="AL29" s="45"/>
      <c r="AM29" s="45"/>
      <c r="AN29" s="45"/>
      <c r="AO29" s="45"/>
      <c r="AP29" s="45"/>
      <c r="AQ29" s="45"/>
      <c r="AR29" s="43"/>
      <c r="AS29" s="45"/>
      <c r="AT29" s="45"/>
      <c r="AU29" s="45"/>
      <c r="AV29" s="45"/>
      <c r="AW29" s="45"/>
      <c r="AX29" s="45"/>
      <c r="BG29" s="32"/>
      <c r="BH29" s="32"/>
      <c r="BI29" s="32"/>
      <c r="BJ29" s="32"/>
      <c r="BK29" s="32"/>
      <c r="BL29" s="32"/>
      <c r="BM29" s="32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A30" s="10"/>
      <c r="B30" s="10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45"/>
      <c r="X30" s="45"/>
      <c r="Y30" s="45"/>
      <c r="Z30" s="45"/>
      <c r="AA30" s="45"/>
      <c r="AB30" s="45"/>
      <c r="AC30" s="45"/>
      <c r="AK30" s="43"/>
      <c r="AL30" s="45"/>
      <c r="AM30" s="45"/>
      <c r="AN30" s="45"/>
      <c r="AO30" s="45"/>
      <c r="AP30" s="45"/>
      <c r="AQ30" s="45"/>
      <c r="AR30" s="46"/>
      <c r="AS30" s="47"/>
      <c r="AT30" s="47"/>
      <c r="AU30" s="47"/>
      <c r="AV30" s="47"/>
      <c r="AW30" s="47"/>
      <c r="AX30" s="47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A31" s="10"/>
      <c r="B31" s="10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45"/>
      <c r="X31" s="45"/>
      <c r="Y31" s="45"/>
      <c r="Z31" s="45"/>
      <c r="AA31" s="45"/>
      <c r="AB31" s="45"/>
      <c r="AC31" s="45"/>
      <c r="AD31" s="42"/>
      <c r="AE31" s="44"/>
      <c r="AF31" s="44"/>
      <c r="AG31" s="44"/>
      <c r="AH31" s="44"/>
      <c r="AI31" s="44"/>
      <c r="AJ31" s="44"/>
      <c r="AK31" s="43"/>
      <c r="AL31" s="45"/>
      <c r="AM31" s="45"/>
      <c r="AN31" s="45"/>
      <c r="AO31" s="45"/>
      <c r="AP31" s="45"/>
      <c r="AQ31" s="45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A32" s="10"/>
      <c r="B32" s="10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3"/>
      <c r="AE32" s="45"/>
      <c r="AF32" s="45"/>
      <c r="AG32" s="45"/>
      <c r="AH32" s="45"/>
      <c r="AI32" s="45"/>
      <c r="AJ32" s="45"/>
      <c r="AK32" s="43"/>
      <c r="AL32" s="45"/>
      <c r="AM32" s="45"/>
      <c r="AN32" s="45"/>
      <c r="AO32" s="45"/>
      <c r="AP32" s="45"/>
      <c r="AQ32" s="45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A33" s="10"/>
      <c r="B33" s="10"/>
      <c r="P33" s="45"/>
      <c r="Q33" s="45"/>
      <c r="R33" s="45"/>
      <c r="S33" s="45"/>
      <c r="T33" s="45"/>
      <c r="U33" s="45"/>
      <c r="V33" s="45"/>
      <c r="AD33" s="43"/>
      <c r="AE33" s="45"/>
      <c r="AF33" s="45"/>
      <c r="AG33" s="45"/>
      <c r="AH33" s="45"/>
      <c r="AI33" s="45"/>
      <c r="AJ33" s="45"/>
      <c r="AK33" s="46"/>
      <c r="AL33" s="47"/>
      <c r="AM33" s="47"/>
      <c r="AN33" s="47"/>
      <c r="AO33" s="47"/>
      <c r="AP33" s="47"/>
      <c r="AQ33" s="47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A34" s="10"/>
      <c r="B34" s="10"/>
      <c r="P34" s="45"/>
      <c r="Q34" s="45"/>
      <c r="R34" s="45"/>
      <c r="S34" s="45"/>
      <c r="T34" s="45"/>
      <c r="U34" s="45"/>
      <c r="V34" s="45"/>
      <c r="W34" s="42"/>
      <c r="X34" s="44"/>
      <c r="Y34" s="44"/>
      <c r="Z34" s="44"/>
      <c r="AA34" s="44"/>
      <c r="AB34" s="44"/>
      <c r="AC34" s="44"/>
      <c r="AD34" s="43"/>
      <c r="AE34" s="45"/>
      <c r="AF34" s="45"/>
      <c r="AG34" s="45"/>
      <c r="AH34" s="45"/>
      <c r="AI34" s="45"/>
      <c r="AJ34" s="45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A35" s="10"/>
      <c r="B35" s="10"/>
      <c r="W35" s="43"/>
      <c r="X35" s="45"/>
      <c r="Y35" s="45"/>
      <c r="Z35" s="45"/>
      <c r="AA35" s="45"/>
      <c r="AB35" s="45"/>
      <c r="AC35" s="45"/>
      <c r="AD35" s="43"/>
      <c r="AE35" s="45"/>
      <c r="AF35" s="45"/>
      <c r="AG35" s="45"/>
      <c r="AH35" s="45"/>
      <c r="AI35" s="45"/>
      <c r="AJ35" s="45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A36" s="10"/>
      <c r="B36" s="37" t="str">
        <f>IF('Event Tree Input'!D27="Seismic Hazard","Seismic Hazard","")</f>
        <v/>
      </c>
      <c r="C36" s="49"/>
      <c r="D36" s="49"/>
      <c r="E36" s="49"/>
      <c r="F36" s="49"/>
      <c r="G36" s="49"/>
      <c r="H36" s="49"/>
      <c r="I36" s="27" t="str">
        <f>IF('Event Tree Input'!D27="Flood Loading","Flood Loading",IF('Event Tree Input'!D27="Seismic Hazard","Coincident Stage",IF('Event Tree Input'!D27="Other",IF(ISBLANK('Event Tree Input'!G27),"",'Event Tree Input'!G27))))</f>
        <v/>
      </c>
      <c r="J36" s="27"/>
      <c r="K36" s="27"/>
      <c r="L36" s="27"/>
      <c r="M36" s="27"/>
      <c r="N36" s="27"/>
      <c r="O36" s="27"/>
      <c r="W36" s="43"/>
      <c r="X36" s="45"/>
      <c r="Y36" s="45"/>
      <c r="Z36" s="45"/>
      <c r="AA36" s="45"/>
      <c r="AB36" s="45"/>
      <c r="AC36" s="45"/>
      <c r="AD36" s="46"/>
      <c r="AE36" s="47"/>
      <c r="AF36" s="47"/>
      <c r="AG36" s="47"/>
      <c r="AH36" s="47"/>
      <c r="AI36" s="47"/>
      <c r="AJ36" s="47"/>
      <c r="AM36" s="32"/>
      <c r="AN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A37" s="10"/>
      <c r="B37" s="37"/>
      <c r="C37" s="49"/>
      <c r="D37" s="49"/>
      <c r="E37" s="49"/>
      <c r="F37" s="49"/>
      <c r="G37" s="49"/>
      <c r="H37" s="49"/>
      <c r="I37" s="27"/>
      <c r="J37" s="27"/>
      <c r="K37" s="27"/>
      <c r="L37" s="27"/>
      <c r="M37" s="27"/>
      <c r="N37" s="27"/>
      <c r="O37" s="27"/>
      <c r="P37" s="42"/>
      <c r="Q37" s="44"/>
      <c r="R37" s="44"/>
      <c r="S37" s="44"/>
      <c r="T37" s="44"/>
      <c r="U37" s="44"/>
      <c r="V37" s="44"/>
      <c r="W37" s="43"/>
      <c r="X37" s="45"/>
      <c r="Y37" s="45"/>
      <c r="Z37" s="45"/>
      <c r="AA37" s="45"/>
      <c r="AB37" s="45"/>
      <c r="AC37" s="45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A38" s="10"/>
      <c r="B38" s="10"/>
      <c r="P38" s="43"/>
      <c r="Q38" s="45"/>
      <c r="R38" s="45"/>
      <c r="S38" s="45"/>
      <c r="T38" s="45"/>
      <c r="U38" s="45"/>
      <c r="V38" s="45"/>
      <c r="W38" s="43"/>
      <c r="X38" s="45"/>
      <c r="Y38" s="45"/>
      <c r="Z38" s="45"/>
      <c r="AA38" s="45"/>
      <c r="AB38" s="45"/>
      <c r="AC38" s="45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x14ac:dyDescent="0.2">
      <c r="A39" s="10"/>
      <c r="B39" s="10"/>
      <c r="P39" s="43"/>
      <c r="Q39" s="45"/>
      <c r="R39" s="45"/>
      <c r="S39" s="45"/>
      <c r="T39" s="45"/>
      <c r="U39" s="45"/>
      <c r="V39" s="45"/>
      <c r="W39" s="46"/>
      <c r="X39" s="47"/>
      <c r="Y39" s="47"/>
      <c r="Z39" s="47"/>
      <c r="AA39" s="47"/>
      <c r="AB39" s="47"/>
      <c r="AC39" s="47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A40" s="10"/>
      <c r="B40" s="10"/>
      <c r="P40" s="43"/>
      <c r="Q40" s="45"/>
      <c r="R40" s="45"/>
      <c r="S40" s="45"/>
      <c r="T40" s="45"/>
      <c r="U40" s="45"/>
      <c r="V40" s="45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A41" s="10"/>
      <c r="B41" s="10"/>
      <c r="P41" s="43"/>
      <c r="Q41" s="45"/>
      <c r="R41" s="45"/>
      <c r="S41" s="45"/>
      <c r="T41" s="45"/>
      <c r="U41" s="45"/>
      <c r="V41" s="45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thickBot="1" x14ac:dyDescent="0.25">
      <c r="A42" s="10"/>
      <c r="B42" s="10"/>
      <c r="N42" s="53"/>
      <c r="O42" s="54"/>
      <c r="P42" s="43"/>
      <c r="Q42" s="45"/>
      <c r="R42" s="45"/>
      <c r="S42" s="45"/>
      <c r="T42" s="45"/>
      <c r="U42" s="45"/>
      <c r="V42" s="45"/>
      <c r="AA42" s="32"/>
      <c r="AB42" s="32"/>
      <c r="AC42" s="32"/>
      <c r="AD42" s="50"/>
      <c r="AE42" s="50"/>
      <c r="AF42" s="50"/>
      <c r="AG42" s="50"/>
      <c r="AH42" s="50"/>
      <c r="AI42" s="50"/>
      <c r="AJ42" s="50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A43" s="10"/>
      <c r="B43" s="10"/>
      <c r="P43" s="43"/>
      <c r="Y43" s="32"/>
      <c r="Z43" s="32"/>
      <c r="AA43" s="32"/>
      <c r="AB43" s="32"/>
      <c r="AC43" s="32"/>
      <c r="AD43" s="51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A44" s="10"/>
      <c r="B44" s="10"/>
      <c r="P44" s="43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51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B45" s="10"/>
      <c r="P45" s="43"/>
      <c r="R45" s="32"/>
      <c r="S45" s="32"/>
      <c r="T45" s="32"/>
      <c r="U45" s="32"/>
      <c r="V45" s="32"/>
      <c r="W45" s="50"/>
      <c r="X45" s="50"/>
      <c r="Y45" s="50"/>
      <c r="Z45" s="50"/>
      <c r="AA45" s="50"/>
      <c r="AB45" s="50"/>
      <c r="AC45" s="50"/>
      <c r="AD45" s="51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P46" s="43"/>
      <c r="R46" s="32"/>
      <c r="S46" s="32"/>
      <c r="T46" s="32"/>
      <c r="U46" s="32"/>
      <c r="V46" s="32"/>
      <c r="W46" s="51"/>
      <c r="X46" s="32"/>
      <c r="Y46" s="32"/>
      <c r="Z46" s="32"/>
      <c r="AA46" s="32"/>
      <c r="AB46" s="32"/>
      <c r="AC46" s="32"/>
      <c r="AD46" s="51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P47" s="43"/>
      <c r="R47" s="32"/>
      <c r="S47" s="32"/>
      <c r="T47" s="32"/>
      <c r="U47" s="32"/>
      <c r="V47" s="32"/>
      <c r="W47" s="51"/>
      <c r="X47" s="32"/>
      <c r="Y47" s="32"/>
      <c r="Z47" s="32"/>
      <c r="AA47" s="32"/>
      <c r="AB47" s="32"/>
      <c r="AC47" s="32"/>
      <c r="AD47" s="51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P48" s="46"/>
      <c r="Q48" s="48"/>
      <c r="R48" s="50"/>
      <c r="S48" s="50"/>
      <c r="T48" s="50"/>
      <c r="U48" s="50"/>
      <c r="V48" s="50"/>
      <c r="W48" s="51"/>
      <c r="X48" s="32"/>
      <c r="Y48" s="32"/>
      <c r="Z48" s="32"/>
      <c r="AA48" s="32"/>
      <c r="AB48" s="32"/>
      <c r="AC48" s="32"/>
      <c r="AD48" s="52"/>
      <c r="AE48" s="50"/>
      <c r="AF48" s="50"/>
      <c r="AG48" s="50"/>
      <c r="AH48" s="50"/>
      <c r="AI48" s="50"/>
      <c r="AJ48" s="50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R49" s="32"/>
      <c r="S49" s="32"/>
      <c r="T49" s="32"/>
      <c r="U49" s="32"/>
      <c r="V49" s="32"/>
      <c r="W49" s="51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R50" s="32"/>
      <c r="S50" s="32"/>
      <c r="T50" s="32"/>
      <c r="U50" s="32"/>
      <c r="V50" s="32"/>
      <c r="W50" s="51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8"/>
      <c r="AW50" s="32"/>
      <c r="AX50" s="32"/>
      <c r="AY50" s="32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W51" s="46"/>
      <c r="X51" s="48"/>
      <c r="Y51" s="48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32"/>
      <c r="AL51" s="32"/>
      <c r="AM51" s="32"/>
      <c r="AN51" s="32"/>
      <c r="AO51" s="32"/>
      <c r="AP51" s="32"/>
      <c r="AQ51" s="32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68" t="s">
        <v>19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8"/>
      <c r="BO53" s="68"/>
      <c r="BP53" s="68"/>
      <c r="BQ53" s="68"/>
      <c r="BR53" s="68"/>
      <c r="BS53" s="68"/>
      <c r="BT53" s="68"/>
      <c r="BU53" s="68"/>
      <c r="BV53" s="68"/>
      <c r="BW53" s="68"/>
      <c r="BX53" s="68"/>
      <c r="BY53" s="68"/>
      <c r="BZ53" s="68"/>
      <c r="CA53" s="68"/>
    </row>
    <row r="55" spans="1:79" ht="15" customHeight="1" x14ac:dyDescent="0.2">
      <c r="A55" s="67" t="s">
        <v>67</v>
      </c>
      <c r="B55" s="67"/>
      <c r="C55" s="67"/>
      <c r="D55" s="67"/>
      <c r="E55" s="67"/>
      <c r="F55" s="67" t="str">
        <f>IF('Event Tree Input'!D27="Seismic Hazard","Yes","No")</f>
        <v>No</v>
      </c>
      <c r="G55" s="67"/>
      <c r="I55" s="56" t="s">
        <v>17</v>
      </c>
      <c r="J55" s="56"/>
      <c r="K55" s="67" t="s">
        <v>23</v>
      </c>
      <c r="L55" s="67"/>
      <c r="M55" s="67"/>
      <c r="N55" s="67" t="s">
        <v>24</v>
      </c>
      <c r="O55" s="67"/>
      <c r="P55" s="67"/>
    </row>
    <row r="56" spans="1:79" ht="15" customHeight="1" x14ac:dyDescent="0.2">
      <c r="I56" s="56"/>
      <c r="J56" s="56"/>
      <c r="K56" s="67" t="s">
        <v>22</v>
      </c>
      <c r="L56" s="67"/>
      <c r="M56" s="67"/>
      <c r="N56" s="67" t="s">
        <v>22</v>
      </c>
      <c r="O56" s="67"/>
      <c r="P56" s="67"/>
      <c r="S56" s="67" t="s">
        <v>17</v>
      </c>
      <c r="T56" s="67"/>
      <c r="U56" s="67" t="s">
        <v>27</v>
      </c>
      <c r="V56" s="67"/>
      <c r="W56" s="67"/>
      <c r="X56" s="67" t="s">
        <v>30</v>
      </c>
      <c r="Y56" s="67"/>
      <c r="Z56" s="67"/>
    </row>
    <row r="57" spans="1:79" ht="15" customHeight="1" x14ac:dyDescent="0.2">
      <c r="I57" s="67">
        <v>1</v>
      </c>
      <c r="J57" s="67"/>
      <c r="K57" s="67" t="str">
        <f>'Event Tree Input'!B176</f>
        <v>Circle</v>
      </c>
      <c r="L57" s="67"/>
      <c r="M57" s="67"/>
      <c r="N57" s="67" t="str">
        <f>'Event Tree Input'!C176</f>
        <v>Triangle</v>
      </c>
      <c r="O57" s="67"/>
      <c r="P57" s="67"/>
      <c r="S57" s="67">
        <v>1</v>
      </c>
      <c r="T57" s="67"/>
      <c r="U57" s="67" t="str">
        <f>IF('Event Tree Input'!$D$32="No","No",IF(AND('Event Tree Input'!$D$32="Yes",'Event Tree Input'!$D$29&gt;=S57),"Yes","No"))</f>
        <v>No</v>
      </c>
      <c r="V57" s="67"/>
      <c r="W57" s="67"/>
      <c r="X57" s="67" t="str">
        <f>'Event Tree Input'!$D$31</f>
        <v>Yes</v>
      </c>
      <c r="Y57" s="67"/>
      <c r="Z57" s="67"/>
    </row>
    <row r="58" spans="1:79" ht="15" customHeight="1" x14ac:dyDescent="0.2">
      <c r="I58" s="67">
        <v>2</v>
      </c>
      <c r="J58" s="67"/>
      <c r="K58" s="67" t="str">
        <f>'Event Tree Input'!B177</f>
        <v>Circle</v>
      </c>
      <c r="L58" s="67"/>
      <c r="M58" s="67"/>
      <c r="N58" s="67" t="str">
        <f>'Event Tree Input'!C177</f>
        <v>Triangle</v>
      </c>
      <c r="O58" s="67"/>
      <c r="P58" s="67"/>
      <c r="S58" s="67">
        <v>2</v>
      </c>
      <c r="T58" s="67"/>
      <c r="U58" s="67" t="str">
        <f>IF('Event Tree Input'!$D$32="No","No",IF(AND('Event Tree Input'!$D$32="Yes",'Event Tree Input'!$D$29&gt;=S58),"Yes","No"))</f>
        <v>No</v>
      </c>
      <c r="V58" s="67"/>
      <c r="W58" s="67"/>
      <c r="X58" s="67" t="str">
        <f>'Event Tree Input'!$D$31</f>
        <v>Yes</v>
      </c>
      <c r="Y58" s="67"/>
      <c r="Z58" s="67"/>
    </row>
    <row r="59" spans="1:79" ht="15" customHeight="1" x14ac:dyDescent="0.2">
      <c r="I59" s="67">
        <v>3</v>
      </c>
      <c r="J59" s="67"/>
      <c r="K59" s="67" t="str">
        <f>'Event Tree Input'!B178</f>
        <v>Triangle</v>
      </c>
      <c r="L59" s="67"/>
      <c r="M59" s="67"/>
      <c r="N59" s="67" t="str">
        <f>'Event Tree Input'!C178</f>
        <v>Triangle</v>
      </c>
      <c r="O59" s="67"/>
      <c r="P59" s="67"/>
      <c r="S59" s="67">
        <v>3</v>
      </c>
      <c r="T59" s="67"/>
      <c r="U59" s="67" t="str">
        <f>IF('Event Tree Input'!$D$32="No","No",IF(AND('Event Tree Input'!$D$32="Yes",'Event Tree Input'!$D$29&gt;=S59),"Yes","No"))</f>
        <v>No</v>
      </c>
      <c r="V59" s="67"/>
      <c r="W59" s="67"/>
      <c r="X59" s="67" t="str">
        <f>'Event Tree Input'!$D$31</f>
        <v>Yes</v>
      </c>
      <c r="Y59" s="67"/>
      <c r="Z59" s="67"/>
    </row>
    <row r="60" spans="1:79" ht="15" customHeight="1" x14ac:dyDescent="0.2">
      <c r="I60" s="67">
        <v>4</v>
      </c>
      <c r="J60" s="67"/>
      <c r="K60" s="67" t="str">
        <f>'Event Tree Input'!B179</f>
        <v/>
      </c>
      <c r="L60" s="67"/>
      <c r="M60" s="67"/>
      <c r="N60" s="67" t="str">
        <f>'Event Tree Input'!C179</f>
        <v/>
      </c>
      <c r="O60" s="67"/>
      <c r="P60" s="67"/>
      <c r="S60" s="67">
        <v>4</v>
      </c>
      <c r="T60" s="67"/>
      <c r="U60" s="67" t="str">
        <f>IF('Event Tree Input'!$D$32="No","No",IF(AND('Event Tree Input'!$D$32="Yes",'Event Tree Input'!$D$29&gt;=S60),"Yes","No"))</f>
        <v>No</v>
      </c>
      <c r="V60" s="67"/>
      <c r="W60" s="67"/>
      <c r="X60" s="67" t="str">
        <f>'Event Tree Input'!$D$31</f>
        <v>Yes</v>
      </c>
      <c r="Y60" s="67"/>
      <c r="Z60" s="67"/>
    </row>
    <row r="61" spans="1:79" ht="15" customHeight="1" x14ac:dyDescent="0.2">
      <c r="I61" s="67">
        <v>5</v>
      </c>
      <c r="J61" s="67"/>
      <c r="K61" s="67" t="str">
        <f>'Event Tree Input'!B180</f>
        <v/>
      </c>
      <c r="L61" s="67"/>
      <c r="M61" s="67"/>
      <c r="N61" s="67" t="str">
        <f>'Event Tree Input'!C180</f>
        <v/>
      </c>
      <c r="O61" s="67"/>
      <c r="P61" s="67"/>
      <c r="S61" s="67">
        <v>5</v>
      </c>
      <c r="T61" s="67"/>
      <c r="U61" s="67" t="str">
        <f>IF('Event Tree Input'!$D$32="No","No",IF(AND('Event Tree Input'!$D$32="Yes",'Event Tree Input'!$D$29&gt;=S61),"Yes","No"))</f>
        <v>No</v>
      </c>
      <c r="V61" s="67"/>
      <c r="W61" s="67"/>
      <c r="X61" s="67" t="str">
        <f>'Event Tree Input'!$D$31</f>
        <v>Yes</v>
      </c>
      <c r="Y61" s="67"/>
      <c r="Z61" s="67"/>
    </row>
    <row r="62" spans="1:79" ht="15" customHeight="1" x14ac:dyDescent="0.2">
      <c r="I62" s="67">
        <v>6</v>
      </c>
      <c r="J62" s="67"/>
      <c r="K62" s="67" t="str">
        <f>'Event Tree Input'!B181</f>
        <v/>
      </c>
      <c r="L62" s="67"/>
      <c r="M62" s="67"/>
      <c r="N62" s="67" t="str">
        <f>'Event Tree Input'!C181</f>
        <v/>
      </c>
      <c r="O62" s="67"/>
      <c r="P62" s="67"/>
      <c r="S62" s="67">
        <v>6</v>
      </c>
      <c r="T62" s="67"/>
      <c r="U62" s="67" t="str">
        <f>IF('Event Tree Input'!$D$32="No","No",IF(AND('Event Tree Input'!$D$32="Yes",'Event Tree Input'!$D$29&gt;=S62),"Yes","No"))</f>
        <v>No</v>
      </c>
      <c r="V62" s="67"/>
      <c r="W62" s="67"/>
      <c r="X62" s="67" t="str">
        <f>'Event Tree Input'!$D$31</f>
        <v>Yes</v>
      </c>
      <c r="Y62" s="67"/>
      <c r="Z62" s="67"/>
    </row>
    <row r="63" spans="1:79" ht="15" customHeight="1" x14ac:dyDescent="0.2">
      <c r="I63" s="67">
        <v>7</v>
      </c>
      <c r="J63" s="67"/>
      <c r="K63" s="67" t="str">
        <f>'Event Tree Input'!B182</f>
        <v/>
      </c>
      <c r="L63" s="67"/>
      <c r="M63" s="67"/>
      <c r="N63" s="67" t="str">
        <f>'Event Tree Input'!C182</f>
        <v/>
      </c>
      <c r="O63" s="67"/>
      <c r="P63" s="67"/>
      <c r="S63" s="67">
        <v>7</v>
      </c>
      <c r="T63" s="67"/>
      <c r="U63" s="67" t="str">
        <f>IF('Event Tree Input'!$D$32="No","No",IF(AND('Event Tree Input'!$D$32="Yes",'Event Tree Input'!$D$29&gt;=S63),"Yes","No"))</f>
        <v>No</v>
      </c>
      <c r="V63" s="67"/>
      <c r="W63" s="67"/>
      <c r="X63" s="67" t="str">
        <f>'Event Tree Input'!$D$31</f>
        <v>Yes</v>
      </c>
      <c r="Y63" s="67"/>
      <c r="Z63" s="67"/>
    </row>
    <row r="64" spans="1:79" ht="15" customHeight="1" x14ac:dyDescent="0.2">
      <c r="I64" s="67">
        <v>8</v>
      </c>
      <c r="J64" s="67"/>
      <c r="K64" s="67" t="str">
        <f>'Event Tree Input'!B183</f>
        <v/>
      </c>
      <c r="L64" s="67"/>
      <c r="M64" s="67"/>
      <c r="N64" s="67" t="str">
        <f>'Event Tree Input'!C183</f>
        <v/>
      </c>
      <c r="O64" s="67"/>
      <c r="P64" s="67"/>
      <c r="S64" s="67">
        <v>8</v>
      </c>
      <c r="T64" s="67"/>
      <c r="U64" s="67" t="str">
        <f>IF('Event Tree Input'!$D$32="No","No",IF(AND('Event Tree Input'!$D$32="Yes",'Event Tree Input'!$D$29&gt;=S64),"Yes","No"))</f>
        <v>No</v>
      </c>
      <c r="V64" s="67"/>
      <c r="W64" s="67"/>
      <c r="X64" s="67" t="str">
        <f>'Event Tree Input'!$D$31</f>
        <v>Yes</v>
      </c>
      <c r="Y64" s="67"/>
      <c r="Z64" s="67"/>
    </row>
    <row r="65" spans="2:26" ht="15" customHeight="1" x14ac:dyDescent="0.2">
      <c r="I65" s="67">
        <v>9</v>
      </c>
      <c r="J65" s="67"/>
      <c r="K65" s="67" t="str">
        <f>'Event Tree Input'!B184</f>
        <v/>
      </c>
      <c r="L65" s="67"/>
      <c r="M65" s="67"/>
      <c r="N65" s="67" t="str">
        <f>'Event Tree Input'!C184</f>
        <v/>
      </c>
      <c r="O65" s="67"/>
      <c r="P65" s="67"/>
      <c r="S65" s="67">
        <v>9</v>
      </c>
      <c r="T65" s="67"/>
      <c r="U65" s="67" t="str">
        <f>IF('Event Tree Input'!$D$32="No","No",IF(AND('Event Tree Input'!$D$32="Yes",'Event Tree Input'!$D$29&gt;=S65),"Yes","No"))</f>
        <v>No</v>
      </c>
      <c r="V65" s="67"/>
      <c r="W65" s="67"/>
      <c r="X65" s="67" t="str">
        <f>'Event Tree Input'!$D$31</f>
        <v>Yes</v>
      </c>
      <c r="Y65" s="67"/>
      <c r="Z65" s="67"/>
    </row>
    <row r="67" spans="2:26" ht="15" customHeight="1" x14ac:dyDescent="0.2">
      <c r="B67" s="9" t="s">
        <v>39</v>
      </c>
      <c r="M67" s="27"/>
      <c r="N67" s="27"/>
      <c r="O67" s="27"/>
    </row>
    <row r="68" spans="2:26" ht="15" customHeight="1" x14ac:dyDescent="0.2">
      <c r="B68" s="66" t="str">
        <f>'Event Tree Input'!A45</f>
        <v>Node 1 Callout</v>
      </c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32"/>
    </row>
    <row r="69" spans="2:26" ht="15" customHeight="1" x14ac:dyDescent="0.2"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32"/>
    </row>
    <row r="70" spans="2:26" ht="15" customHeight="1" x14ac:dyDescent="0.2"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32"/>
      <c r="X70" s="33"/>
      <c r="Y70" s="32"/>
    </row>
    <row r="71" spans="2:26" ht="15" customHeight="1" x14ac:dyDescent="0.2"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32"/>
      <c r="X71" s="33"/>
      <c r="Y71" s="32"/>
    </row>
    <row r="72" spans="2:26" ht="15" customHeight="1" x14ac:dyDescent="0.2"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32"/>
      <c r="X72" s="33"/>
      <c r="Y72" s="32"/>
    </row>
    <row r="73" spans="2:26" ht="15" customHeight="1" x14ac:dyDescent="0.2"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32"/>
      <c r="X73" s="33"/>
      <c r="Y73" s="32"/>
    </row>
    <row r="74" spans="2:26" ht="15" customHeight="1" x14ac:dyDescent="0.2"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3"/>
      <c r="Y74" s="32"/>
    </row>
    <row r="75" spans="2:26" ht="15" customHeight="1" x14ac:dyDescent="0.2">
      <c r="B75" s="9" t="s">
        <v>40</v>
      </c>
      <c r="M75" s="27"/>
      <c r="N75" s="27"/>
      <c r="O75" s="27"/>
      <c r="W75" s="32"/>
      <c r="X75" s="32"/>
      <c r="Y75" s="32"/>
    </row>
    <row r="76" spans="2:26" ht="15" customHeight="1" x14ac:dyDescent="0.2">
      <c r="B76" s="66" t="str">
        <f>'Event Tree Input'!A59</f>
        <v>Node 2 Callout</v>
      </c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</row>
    <row r="77" spans="2:26" ht="15" customHeight="1" x14ac:dyDescent="0.2"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33"/>
      <c r="X77" s="33"/>
    </row>
    <row r="78" spans="2:26" ht="15" customHeight="1" x14ac:dyDescent="0.2"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33"/>
      <c r="X78" s="33"/>
    </row>
    <row r="79" spans="2:26" ht="15" customHeight="1" x14ac:dyDescent="0.2"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33"/>
      <c r="X79" s="33"/>
    </row>
    <row r="80" spans="2:26" ht="15" customHeight="1" x14ac:dyDescent="0.2"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33"/>
      <c r="X80" s="33"/>
    </row>
    <row r="81" spans="2:24" ht="15" customHeight="1" x14ac:dyDescent="0.2"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33"/>
      <c r="X81" s="33"/>
    </row>
    <row r="83" spans="2:24" ht="15" customHeight="1" x14ac:dyDescent="0.2">
      <c r="B83" s="9" t="s">
        <v>41</v>
      </c>
      <c r="M83" s="27"/>
      <c r="N83" s="27"/>
      <c r="O83" s="27"/>
    </row>
    <row r="84" spans="2:24" ht="15" customHeight="1" x14ac:dyDescent="0.2">
      <c r="B84" s="66" t="str">
        <f>'Event Tree Input'!A73</f>
        <v>Node 3 Callout</v>
      </c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</row>
    <row r="85" spans="2:24" ht="15" customHeight="1" x14ac:dyDescent="0.2"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</row>
    <row r="86" spans="2:24" ht="15" customHeight="1" x14ac:dyDescent="0.2"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</row>
    <row r="87" spans="2:24" ht="15" customHeight="1" x14ac:dyDescent="0.2"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</row>
    <row r="88" spans="2:24" ht="15" customHeight="1" x14ac:dyDescent="0.2"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</row>
    <row r="89" spans="2:24" ht="15" customHeight="1" x14ac:dyDescent="0.2"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</row>
    <row r="91" spans="2:24" ht="15" customHeight="1" x14ac:dyDescent="0.2">
      <c r="B91" s="9" t="s">
        <v>42</v>
      </c>
      <c r="M91" s="27"/>
      <c r="N91" s="27"/>
      <c r="O91" s="27"/>
    </row>
    <row r="92" spans="2:24" ht="15" customHeight="1" x14ac:dyDescent="0.2">
      <c r="B92" s="66" t="str">
        <f>'Event Tree Input'!A87</f>
        <v>Node 4 Callout</v>
      </c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</row>
    <row r="93" spans="2:24" ht="15" customHeight="1" x14ac:dyDescent="0.2"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</row>
    <row r="94" spans="2:24" ht="15" customHeight="1" x14ac:dyDescent="0.2"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</row>
    <row r="95" spans="2:24" ht="15" customHeight="1" x14ac:dyDescent="0.2"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</row>
    <row r="96" spans="2:24" ht="15" customHeight="1" x14ac:dyDescent="0.2"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</row>
    <row r="97" spans="2:22" ht="15" customHeight="1" x14ac:dyDescent="0.2"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</row>
    <row r="99" spans="2:22" ht="15" customHeight="1" x14ac:dyDescent="0.2">
      <c r="B99" s="9" t="s">
        <v>43</v>
      </c>
      <c r="M99" s="27"/>
      <c r="N99" s="27"/>
      <c r="O99" s="27"/>
    </row>
    <row r="100" spans="2:22" ht="15" customHeight="1" x14ac:dyDescent="0.2">
      <c r="B100" s="66" t="str">
        <f>'Event Tree Input'!A101</f>
        <v>Node 5 Callout</v>
      </c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</row>
    <row r="101" spans="2:22" ht="15" customHeight="1" x14ac:dyDescent="0.2"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</row>
    <row r="102" spans="2:22" ht="15" customHeight="1" x14ac:dyDescent="0.2"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</row>
    <row r="103" spans="2:22" ht="15" customHeight="1" x14ac:dyDescent="0.2"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</row>
    <row r="104" spans="2:22" ht="15" customHeight="1" x14ac:dyDescent="0.2"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</row>
    <row r="105" spans="2:22" ht="15" customHeight="1" x14ac:dyDescent="0.2"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</row>
    <row r="107" spans="2:22" ht="15" customHeight="1" x14ac:dyDescent="0.2">
      <c r="B107" s="9" t="s">
        <v>44</v>
      </c>
      <c r="M107" s="27"/>
      <c r="N107" s="27"/>
      <c r="O107" s="27"/>
    </row>
    <row r="108" spans="2:22" ht="15" customHeight="1" x14ac:dyDescent="0.2">
      <c r="B108" s="66" t="str">
        <f>'Event Tree Input'!A115</f>
        <v>Node 6 Callout</v>
      </c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</row>
    <row r="109" spans="2:22" ht="15" customHeight="1" x14ac:dyDescent="0.2"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</row>
    <row r="110" spans="2:22" ht="15" customHeight="1" x14ac:dyDescent="0.2"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</row>
    <row r="111" spans="2:22" ht="15" customHeight="1" x14ac:dyDescent="0.2"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</row>
    <row r="112" spans="2:22" ht="15" customHeight="1" x14ac:dyDescent="0.2"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</row>
    <row r="113" spans="2:22" ht="15" customHeight="1" x14ac:dyDescent="0.2"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</row>
    <row r="115" spans="2:22" ht="15" customHeight="1" x14ac:dyDescent="0.2">
      <c r="B115" s="9" t="s">
        <v>45</v>
      </c>
      <c r="M115" s="27"/>
      <c r="N115" s="27"/>
      <c r="O115" s="27"/>
    </row>
    <row r="116" spans="2:22" ht="15" customHeight="1" x14ac:dyDescent="0.2">
      <c r="B116" s="66" t="str">
        <f>'Event Tree Input'!A129</f>
        <v>Node 7 Callout</v>
      </c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</row>
    <row r="117" spans="2:22" ht="15" customHeight="1" x14ac:dyDescent="0.2"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</row>
    <row r="118" spans="2:22" ht="15" customHeight="1" x14ac:dyDescent="0.2"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</row>
    <row r="119" spans="2:22" ht="15" customHeight="1" x14ac:dyDescent="0.2"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</row>
    <row r="120" spans="2:22" ht="15" customHeight="1" x14ac:dyDescent="0.2"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</row>
    <row r="121" spans="2:22" ht="15" customHeight="1" x14ac:dyDescent="0.2"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</row>
    <row r="123" spans="2:22" ht="15" customHeight="1" x14ac:dyDescent="0.2">
      <c r="B123" s="9" t="s">
        <v>46</v>
      </c>
      <c r="M123" s="27"/>
      <c r="N123" s="27"/>
      <c r="O123" s="27"/>
    </row>
    <row r="124" spans="2:22" ht="15" customHeight="1" x14ac:dyDescent="0.2">
      <c r="B124" s="66" t="str">
        <f>'Event Tree Input'!A143</f>
        <v>Node 8 Callout</v>
      </c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</row>
    <row r="125" spans="2:22" ht="15" customHeight="1" x14ac:dyDescent="0.2"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</row>
    <row r="126" spans="2:22" ht="15" customHeight="1" x14ac:dyDescent="0.2"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</row>
    <row r="127" spans="2:22" ht="15" customHeight="1" x14ac:dyDescent="0.2"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</row>
    <row r="128" spans="2:22" ht="15" customHeight="1" x14ac:dyDescent="0.2"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</row>
    <row r="129" spans="2:22" ht="15" customHeight="1" x14ac:dyDescent="0.2"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</row>
    <row r="131" spans="2:22" ht="15" customHeight="1" x14ac:dyDescent="0.2">
      <c r="B131" s="9" t="s">
        <v>47</v>
      </c>
      <c r="M131" s="27"/>
      <c r="N131" s="27"/>
      <c r="O131" s="27"/>
    </row>
    <row r="132" spans="2:22" ht="15" customHeight="1" x14ac:dyDescent="0.2">
      <c r="B132" s="66" t="str">
        <f>'Event Tree Input'!A157</f>
        <v>Node 9 Callout</v>
      </c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</row>
    <row r="133" spans="2:22" ht="15" customHeight="1" x14ac:dyDescent="0.2"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</row>
    <row r="134" spans="2:22" ht="15" customHeight="1" x14ac:dyDescent="0.2"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</row>
    <row r="135" spans="2:22" ht="15" customHeight="1" x14ac:dyDescent="0.2"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</row>
    <row r="136" spans="2:22" ht="15" customHeight="1" x14ac:dyDescent="0.2"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</row>
    <row r="137" spans="2:22" ht="15" customHeight="1" x14ac:dyDescent="0.2"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</row>
  </sheetData>
  <mergeCells count="89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Y33:AC33 X40:AC40 W33:W40 X33:X34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CDC40B-9112-4044-A218-E8D0B96CF0F4}">
  <ds:schemaRefs>
    <ds:schemaRef ds:uri="f254aa9d-3c64-433e-b325-d6b94ca3f691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a8f80ecd-cddb-46c8-b263-c25672b580c6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E5A1273-E40E-49EB-B0B0-2139C0D222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909AD0E-E0DC-4670-BBE3-B53B24F84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