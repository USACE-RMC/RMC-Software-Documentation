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73CDD4FD-1B95-4C05-B381-2BC0D3D76E46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4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<sst xmlns="http://schemas.openxmlformats.org/spreadsheetml/2006/main" count="130" uniqueCount="63">
  <si>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</si>
  <si>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</si>
  <si>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</si>
  <si>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</si>
  <si>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</si>
  <si>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</si>
  <si>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</si>
  <si>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</si>
  <si>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</si>
  <si>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</si>
  <si>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</si>
  <si>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</si>
  <si>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</si>
  <si>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</si>
  <si>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</si>
  <si>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</si>
  <si>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</si>
  <si>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</si>
  <si>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</si>
  <si>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</si>
  <si>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</si>
  <si>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</si>
  <si>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</si>
  <si>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</si>
  <si>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</si>
  <si>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</si>
  <si>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</si>
  <si>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</si>
  <si>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</si>
  <si>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</si>
  <si>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</si>
  <si>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</si>
  <si>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</si>
  <si>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</si>
  <si>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</si>
  <si>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</si>
  <si>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</si>
  <si>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</si>
  <si>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</si>
  <si>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</si>
  <si>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</si>
  <si>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</si>
  <si>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</si>
  <si>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</si>
  <si>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</si>
  <si>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</si>
  <si>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</si>
  <si>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</si>
  <si>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</si>
  <si>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</si>
  <si>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</si>
  <si>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</si>
  <si>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</si>
  <si>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</si>
  <si>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</si>
  <si>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</si>
  <si>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</si>
  <si>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</si>
  <si>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driving lateral force is applied to the wall creating internal moment and shear in each of the wall members?</t>
  </si>
  <si>
    <t>As the loading increases, the internal moment or shear force increases and the critical section cracks?</t>
  </si>
  <si>
    <t>The reinforcement yields causing excessive displacement?</t>
  </si>
  <si>
    <t>As the wall continues to displace the reinforcement pulls out leading to collapse of the section?</t>
  </si>
  <si>
    <t>Failure of the section causes uncontrolled flow into the leveed area?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</si>
</sst>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6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6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495300</xdr:colOff>
      <xdr:row>18</xdr:row>
      <xdr:rowOff>38100</xdr:rowOff>
    </xdr:from>
    <xdr:to>
      <xdr:col>21</xdr:col>
      <xdr:colOff>220402</xdr:colOff>
      <xdr:row>46</xdr:row>
      <xdr:rowOff>19624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ACC3BC2-AECF-E5C9-7340-B5656E70A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5100" y="2952750"/>
          <a:ext cx="9507277" cy="41153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24</xdr:row>
      <xdr:rowOff>142874</xdr:rowOff>
    </xdr:from>
    <xdr:to>
      <xdr:col>35</xdr:col>
      <xdr:colOff>171450</xdr:colOff>
      <xdr:row>27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19</xdr:row>
      <xdr:rowOff>152399</xdr:rowOff>
    </xdr:from>
    <xdr:to>
      <xdr:col>43</xdr:col>
      <xdr:colOff>0</xdr:colOff>
      <xdr:row>23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13</xdr:row>
      <xdr:rowOff>142874</xdr:rowOff>
    </xdr:from>
    <xdr:to>
      <xdr:col>49</xdr:col>
      <xdr:colOff>161925</xdr:colOff>
      <xdr:row>16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15</xdr:row>
      <xdr:rowOff>142874</xdr:rowOff>
    </xdr:from>
    <xdr:to>
      <xdr:col>56</xdr:col>
      <xdr:colOff>161925</xdr:colOff>
      <xdr:row>18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51</xdr:col>
      <xdr:colOff>83343</xdr:colOff>
      <xdr:row>5</xdr:row>
      <xdr:rowOff>166688</xdr:rowOff>
    </xdr:from>
    <xdr:to>
      <xdr:col>57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49</xdr:col>
      <xdr:colOff>59531</xdr:colOff>
      <xdr:row>10</xdr:row>
      <xdr:rowOff>95250</xdr:rowOff>
    </xdr:from>
    <xdr:to>
      <xdr:col>55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21</xdr:row>
      <xdr:rowOff>142876</xdr:rowOff>
    </xdr:from>
    <xdr:to>
      <xdr:col>61</xdr:col>
      <xdr:colOff>142875</xdr:colOff>
      <xdr:row>23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12</xdr:row>
      <xdr:rowOff>142876</xdr:rowOff>
    </xdr:from>
    <xdr:to>
      <xdr:col>41</xdr:col>
      <xdr:colOff>83344</xdr:colOff>
      <xdr:row>14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35</xdr:row>
      <xdr:rowOff>147490</xdr:rowOff>
    </xdr:from>
    <xdr:to>
      <xdr:col>12</xdr:col>
      <xdr:colOff>27104</xdr:colOff>
      <xdr:row>38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36</xdr:row>
      <xdr:rowOff>52240</xdr:rowOff>
    </xdr:from>
    <xdr:to>
      <xdr:col>15</xdr:col>
      <xdr:colOff>138518</xdr:colOff>
      <xdr:row>37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30</xdr:row>
      <xdr:rowOff>52240</xdr:rowOff>
    </xdr:from>
    <xdr:to>
      <xdr:col>22</xdr:col>
      <xdr:colOff>138518</xdr:colOff>
      <xdr:row>31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42</xdr:row>
      <xdr:rowOff>54695</xdr:rowOff>
    </xdr:from>
    <xdr:to>
      <xdr:col>22</xdr:col>
      <xdr:colOff>96889</xdr:colOff>
      <xdr:row>43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24</xdr:row>
      <xdr:rowOff>61765</xdr:rowOff>
    </xdr:from>
    <xdr:to>
      <xdr:col>29</xdr:col>
      <xdr:colOff>138518</xdr:colOff>
      <xdr:row>25</xdr:row>
      <xdr:rowOff>145587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5664920" y="4633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36</xdr:row>
      <xdr:rowOff>54695</xdr:rowOff>
    </xdr:from>
    <xdr:to>
      <xdr:col>29</xdr:col>
      <xdr:colOff>96889</xdr:colOff>
      <xdr:row>37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64220</xdr:colOff>
      <xdr:row>12</xdr:row>
      <xdr:rowOff>61765</xdr:rowOff>
    </xdr:from>
    <xdr:to>
      <xdr:col>43</xdr:col>
      <xdr:colOff>138518</xdr:colOff>
      <xdr:row>13</xdr:row>
      <xdr:rowOff>145587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8465270" y="2347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49</xdr:col>
      <xdr:colOff>64220</xdr:colOff>
      <xdr:row>9</xdr:row>
      <xdr:rowOff>52240</xdr:rowOff>
    </xdr:from>
    <xdr:to>
      <xdr:col>50</xdr:col>
      <xdr:colOff>138518</xdr:colOff>
      <xdr:row>10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56</xdr:col>
      <xdr:colOff>64220</xdr:colOff>
      <xdr:row>6</xdr:row>
      <xdr:rowOff>52240</xdr:rowOff>
    </xdr:from>
    <xdr:to>
      <xdr:col>57</xdr:col>
      <xdr:colOff>138518</xdr:colOff>
      <xdr:row>7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53</xdr:col>
      <xdr:colOff>64220</xdr:colOff>
      <xdr:row>10</xdr:row>
      <xdr:rowOff>52240</xdr:rowOff>
    </xdr:from>
    <xdr:to>
      <xdr:col>54</xdr:col>
      <xdr:colOff>138518</xdr:colOff>
      <xdr:row>11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15</xdr:row>
      <xdr:rowOff>54695</xdr:rowOff>
    </xdr:from>
    <xdr:to>
      <xdr:col>50</xdr:col>
      <xdr:colOff>87364</xdr:colOff>
      <xdr:row>16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12</xdr:row>
      <xdr:rowOff>54695</xdr:rowOff>
    </xdr:from>
    <xdr:to>
      <xdr:col>57</xdr:col>
      <xdr:colOff>87364</xdr:colOff>
      <xdr:row>13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66675</xdr:colOff>
      <xdr:row>10</xdr:row>
      <xdr:rowOff>54695</xdr:rowOff>
    </xdr:from>
    <xdr:to>
      <xdr:col>54</xdr:col>
      <xdr:colOff>87364</xdr:colOff>
      <xdr:row>11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30</xdr:row>
      <xdr:rowOff>55169</xdr:rowOff>
    </xdr:from>
    <xdr:to>
      <xdr:col>22</xdr:col>
      <xdr:colOff>97956</xdr:colOff>
      <xdr:row>31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23</xdr:row>
      <xdr:rowOff>55150</xdr:rowOff>
    </xdr:from>
    <xdr:to>
      <xdr:col>29</xdr:col>
      <xdr:colOff>97957</xdr:colOff>
      <xdr:row>24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12</xdr:row>
      <xdr:rowOff>55140</xdr:rowOff>
    </xdr:from>
    <xdr:to>
      <xdr:col>36</xdr:col>
      <xdr:colOff>97958</xdr:colOff>
      <xdr:row>13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9</xdr:row>
      <xdr:rowOff>55130</xdr:rowOff>
    </xdr:from>
    <xdr:to>
      <xdr:col>43</xdr:col>
      <xdr:colOff>97959</xdr:colOff>
      <xdr:row>10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9</xdr:row>
      <xdr:rowOff>55117</xdr:rowOff>
    </xdr:from>
    <xdr:to>
      <xdr:col>50</xdr:col>
      <xdr:colOff>88435</xdr:colOff>
      <xdr:row>10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67747</xdr:colOff>
      <xdr:row>9</xdr:row>
      <xdr:rowOff>55101</xdr:rowOff>
    </xdr:from>
    <xdr:to>
      <xdr:col>51</xdr:col>
      <xdr:colOff>88436</xdr:colOff>
      <xdr:row>10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67748</xdr:colOff>
      <xdr:row>6</xdr:row>
      <xdr:rowOff>55085</xdr:rowOff>
    </xdr:from>
    <xdr:to>
      <xdr:col>57</xdr:col>
      <xdr:colOff>88437</xdr:colOff>
      <xdr:row>7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67749</xdr:colOff>
      <xdr:row>10</xdr:row>
      <xdr:rowOff>55070</xdr:rowOff>
    </xdr:from>
    <xdr:to>
      <xdr:col>54</xdr:col>
      <xdr:colOff>88438</xdr:colOff>
      <xdr:row>11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47625</xdr:colOff>
      <xdr:row>11</xdr:row>
      <xdr:rowOff>59531</xdr:rowOff>
    </xdr:from>
    <xdr:to>
      <xdr:col>50</xdr:col>
      <xdr:colOff>47626</xdr:colOff>
      <xdr:row>17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32</xdr:row>
      <xdr:rowOff>57150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153150"/>
          <a:ext cx="1128069" cy="1809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driving lateral force is applied to the wall creating internal moment and shear in each of the wall members?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25</xdr:row>
      <xdr:rowOff>57150</xdr:rowOff>
    </xdr:from>
    <xdr:to>
      <xdr:col>28</xdr:col>
      <xdr:colOff>103155</xdr:colOff>
      <xdr:row>36</xdr:row>
      <xdr:rowOff>133350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4819650"/>
          <a:ext cx="1124712" cy="2171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loading increases, the internal moment or shear force increases and the critical section cracks?</a:t>
          </a:fld>
          <a:endParaRPr lang="en-US" sz="1100"/>
        </a:p>
      </xdr:txBody>
    </xdr:sp>
    <xdr:clientData/>
  </xdr:twoCellAnchor>
  <xdr:twoCellAnchor>
    <xdr:from>
      <xdr:col>29</xdr:col>
      <xdr:colOff>166688</xdr:colOff>
      <xdr:row>19</xdr:row>
      <xdr:rowOff>38099</xdr:rowOff>
    </xdr:from>
    <xdr:to>
      <xdr:col>35</xdr:col>
      <xdr:colOff>91250</xdr:colOff>
      <xdr:row>30</xdr:row>
      <xdr:rowOff>142874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67413" y="3657599"/>
          <a:ext cx="1124712" cy="2200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reinforcement yields causing excessive displacement?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16</xdr:row>
      <xdr:rowOff>38100</xdr:rowOff>
    </xdr:from>
    <xdr:to>
      <xdr:col>42</xdr:col>
      <xdr:colOff>100774</xdr:colOff>
      <xdr:row>21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10</xdr:row>
      <xdr:rowOff>9525</xdr:rowOff>
    </xdr:from>
    <xdr:to>
      <xdr:col>49</xdr:col>
      <xdr:colOff>103156</xdr:colOff>
      <xdr:row>15</xdr:row>
      <xdr:rowOff>123825</xdr:rowOff>
    </xdr:to>
    <xdr:sp macro="" textlink="'Event Tree Input'!A94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1914525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B69B7A3C-474F-47D3-B703-A831B165527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178594</xdr:colOff>
      <xdr:row>7</xdr:row>
      <xdr:rowOff>38100</xdr:rowOff>
    </xdr:from>
    <xdr:to>
      <xdr:col>56</xdr:col>
      <xdr:colOff>103156</xdr:colOff>
      <xdr:row>12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Failure of the section causes uncontrolled flow into the leveed area?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17</xdr:row>
      <xdr:rowOff>77390</xdr:rowOff>
    </xdr:from>
    <xdr:to>
      <xdr:col>32</xdr:col>
      <xdr:colOff>104775</xdr:colOff>
      <xdr:row>20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38</xdr:row>
      <xdr:rowOff>11906</xdr:rowOff>
    </xdr:from>
    <xdr:to>
      <xdr:col>40</xdr:col>
      <xdr:colOff>95251</xdr:colOff>
      <xdr:row>43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16</xdr:row>
      <xdr:rowOff>30161</xdr:rowOff>
    </xdr:from>
    <xdr:to>
      <xdr:col>55</xdr:col>
      <xdr:colOff>142873</xdr:colOff>
      <xdr:row>22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166689</xdr:colOff>
      <xdr:row>11</xdr:row>
      <xdr:rowOff>59531</xdr:rowOff>
    </xdr:from>
    <xdr:to>
      <xdr:col>53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9524</xdr:colOff>
      <xdr:row>19</xdr:row>
      <xdr:rowOff>152399</xdr:rowOff>
    </xdr:from>
    <xdr:to>
      <xdr:col>43</xdr:col>
      <xdr:colOff>0</xdr:colOff>
      <xdr:row>23</xdr:row>
      <xdr:rowOff>1</xdr:rowOff>
    </xdr:to>
    <xdr:sp macro="" textlink="'Event Tree Input'!A63">
      <xdr:nvSpPr>
        <xdr:cNvPr id="32" name="N4Title" hidden="1">
          <a:extLst>
            <a:ext uri="{FF2B5EF4-FFF2-40B4-BE49-F238E27FC236}">
              <a16:creationId xmlns:a16="http://schemas.microsoft.com/office/drawing/2014/main" id="{97554BB0-84E4-4F3C-984F-F810B5E66CCF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35</xdr:col>
      <xdr:colOff>64220</xdr:colOff>
      <xdr:row>18</xdr:row>
      <xdr:rowOff>61765</xdr:rowOff>
    </xdr:from>
    <xdr:to>
      <xdr:col>36</xdr:col>
      <xdr:colOff>138518</xdr:colOff>
      <xdr:row>19</xdr:row>
      <xdr:rowOff>145587</xdr:rowOff>
    </xdr:to>
    <xdr:sp macro="" textlink="">
      <xdr:nvSpPr>
        <xdr:cNvPr id="33" name="N4Num">
          <a:extLst>
            <a:ext uri="{FF2B5EF4-FFF2-40B4-BE49-F238E27FC236}">
              <a16:creationId xmlns:a16="http://schemas.microsoft.com/office/drawing/2014/main" id="{EA7BA3A7-2264-4B1E-BA85-1E9F85E7BB66}"/>
            </a:ext>
          </a:extLst>
        </xdr:cNvPr>
        <xdr:cNvSpPr>
          <a:spLocks noChangeAspect="1"/>
        </xdr:cNvSpPr>
      </xdr:nvSpPr>
      <xdr:spPr>
        <a:xfrm>
          <a:off x="7065095" y="3490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77269</xdr:colOff>
      <xdr:row>12</xdr:row>
      <xdr:rowOff>55140</xdr:rowOff>
    </xdr:from>
    <xdr:to>
      <xdr:col>36</xdr:col>
      <xdr:colOff>97958</xdr:colOff>
      <xdr:row>13</xdr:row>
      <xdr:rowOff>130194</xdr:rowOff>
    </xdr:to>
    <xdr:sp macro="" textlink="">
      <xdr:nvSpPr>
        <xdr:cNvPr id="35" name="N3B1Tri" hidden="1">
          <a:extLst>
            <a:ext uri="{FF2B5EF4-FFF2-40B4-BE49-F238E27FC236}">
              <a16:creationId xmlns:a16="http://schemas.microsoft.com/office/drawing/2014/main" id="{5323E93B-4CD5-4DF5-AA9C-2C1E1C7E7A1C}"/>
            </a:ext>
          </a:extLst>
        </xdr:cNvPr>
        <xdr:cNvSpPr/>
      </xdr:nvSpPr>
      <xdr:spPr>
        <a:xfrm rot="16200000">
          <a:off x="7055724" y="4078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176212</xdr:colOff>
      <xdr:row>13</xdr:row>
      <xdr:rowOff>38100</xdr:rowOff>
    </xdr:from>
    <xdr:to>
      <xdr:col>42</xdr:col>
      <xdr:colOff>100774</xdr:colOff>
      <xdr:row>24</xdr:row>
      <xdr:rowOff>133350</xdr:rowOff>
    </xdr:to>
    <xdr:sp macro="" textlink="">
      <xdr:nvSpPr>
        <xdr:cNvPr id="36" name="N4Descr">
          <a:extLst>
            <a:ext uri="{FF2B5EF4-FFF2-40B4-BE49-F238E27FC236}">
              <a16:creationId xmlns:a16="http://schemas.microsoft.com/office/drawing/2014/main" id="{BCB46EAB-50AA-483B-AB13-13AA94D851BC}"/>
            </a:ext>
          </a:extLst>
        </xdr:cNvPr>
        <xdr:cNvSpPr txBox="1"/>
      </xdr:nvSpPr>
      <xdr:spPr>
        <a:xfrm>
          <a:off x="7377112" y="2514600"/>
          <a:ext cx="1124712" cy="2190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 As the section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continues to displace, the concrete crushes and leads to collapse of the section or reinforcement at the footing or a lift line has inadequate embedment and the wall begins to displace?</a:t>
          </a:r>
          <a:endParaRPr lang="en-US" sz="1000" b="0" i="0" u="none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9524</xdr:colOff>
      <xdr:row>39</xdr:row>
      <xdr:rowOff>152399</xdr:rowOff>
    </xdr:from>
    <xdr:to>
      <xdr:col>43</xdr:col>
      <xdr:colOff>0</xdr:colOff>
      <xdr:row>43</xdr:row>
      <xdr:rowOff>1</xdr:rowOff>
    </xdr:to>
    <xdr:sp macro="" textlink="'Event Tree Input'!A63">
      <xdr:nvSpPr>
        <xdr:cNvPr id="37" name="N4Title" hidden="1">
          <a:extLst>
            <a:ext uri="{FF2B5EF4-FFF2-40B4-BE49-F238E27FC236}">
              <a16:creationId xmlns:a16="http://schemas.microsoft.com/office/drawing/2014/main" id="{DFD41380-972C-4A1C-8932-7DFF467156C3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35</xdr:col>
      <xdr:colOff>77269</xdr:colOff>
      <xdr:row>38</xdr:row>
      <xdr:rowOff>55140</xdr:rowOff>
    </xdr:from>
    <xdr:to>
      <xdr:col>36</xdr:col>
      <xdr:colOff>97958</xdr:colOff>
      <xdr:row>39</xdr:row>
      <xdr:rowOff>130194</xdr:rowOff>
    </xdr:to>
    <xdr:sp macro="" textlink="">
      <xdr:nvSpPr>
        <xdr:cNvPr id="40" name="N3B1Tri" hidden="1">
          <a:extLst>
            <a:ext uri="{FF2B5EF4-FFF2-40B4-BE49-F238E27FC236}">
              <a16:creationId xmlns:a16="http://schemas.microsoft.com/office/drawing/2014/main" id="{3FD2E828-E81C-4616-AE4D-AC5EEC3B7750}"/>
            </a:ext>
          </a:extLst>
        </xdr:cNvPr>
        <xdr:cNvSpPr/>
      </xdr:nvSpPr>
      <xdr:spPr>
        <a:xfrm rot="16200000">
          <a:off x="7055724" y="4078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9524</xdr:colOff>
      <xdr:row>39</xdr:row>
      <xdr:rowOff>152399</xdr:rowOff>
    </xdr:from>
    <xdr:to>
      <xdr:col>43</xdr:col>
      <xdr:colOff>0</xdr:colOff>
      <xdr:row>43</xdr:row>
      <xdr:rowOff>1</xdr:rowOff>
    </xdr:to>
    <xdr:sp macro="" textlink="'Event Tree Input'!A63">
      <xdr:nvSpPr>
        <xdr:cNvPr id="44" name="N4Title" hidden="1">
          <a:extLst>
            <a:ext uri="{FF2B5EF4-FFF2-40B4-BE49-F238E27FC236}">
              <a16:creationId xmlns:a16="http://schemas.microsoft.com/office/drawing/2014/main" id="{7CECBB1E-0D94-4951-A11F-31423BFF7F87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35</xdr:col>
      <xdr:colOff>77269</xdr:colOff>
      <xdr:row>38</xdr:row>
      <xdr:rowOff>55140</xdr:rowOff>
    </xdr:from>
    <xdr:to>
      <xdr:col>36</xdr:col>
      <xdr:colOff>97958</xdr:colOff>
      <xdr:row>39</xdr:row>
      <xdr:rowOff>130194</xdr:rowOff>
    </xdr:to>
    <xdr:sp macro="" textlink="">
      <xdr:nvSpPr>
        <xdr:cNvPr id="47" name="N3B1Tri" hidden="1">
          <a:extLst>
            <a:ext uri="{FF2B5EF4-FFF2-40B4-BE49-F238E27FC236}">
              <a16:creationId xmlns:a16="http://schemas.microsoft.com/office/drawing/2014/main" id="{BDF9D0F6-B326-46C1-B772-94966E28FD2F}"/>
            </a:ext>
          </a:extLst>
        </xdr:cNvPr>
        <xdr:cNvSpPr/>
      </xdr:nvSpPr>
      <xdr:spPr>
        <a:xfrm rot="16200000">
          <a:off x="7055724" y="4078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28575</xdr:colOff>
      <xdr:row>25</xdr:row>
      <xdr:rowOff>142874</xdr:rowOff>
    </xdr:from>
    <xdr:to>
      <xdr:col>49</xdr:col>
      <xdr:colOff>161925</xdr:colOff>
      <xdr:row>28</xdr:row>
      <xdr:rowOff>66674</xdr:rowOff>
    </xdr:to>
    <xdr:sp macro="" textlink="'Event Tree Input'!A77">
      <xdr:nvSpPr>
        <xdr:cNvPr id="49" name="N5Title" hidden="1">
          <a:extLst>
            <a:ext uri="{FF2B5EF4-FFF2-40B4-BE49-F238E27FC236}">
              <a16:creationId xmlns:a16="http://schemas.microsoft.com/office/drawing/2014/main" id="{6FB5BBC5-46A3-452F-8CD0-D57DA9296CC4}"/>
            </a:ext>
          </a:extLst>
        </xdr:cNvPr>
        <xdr:cNvSpPr txBox="1"/>
      </xdr:nvSpPr>
      <xdr:spPr>
        <a:xfrm>
          <a:off x="8629650" y="37623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42</xdr:col>
      <xdr:colOff>64220</xdr:colOff>
      <xdr:row>24</xdr:row>
      <xdr:rowOff>52240</xdr:rowOff>
    </xdr:from>
    <xdr:to>
      <xdr:col>43</xdr:col>
      <xdr:colOff>138518</xdr:colOff>
      <xdr:row>25</xdr:row>
      <xdr:rowOff>136062</xdr:rowOff>
    </xdr:to>
    <xdr:sp macro="" textlink="">
      <xdr:nvSpPr>
        <xdr:cNvPr id="50" name="N5Num">
          <a:extLst>
            <a:ext uri="{FF2B5EF4-FFF2-40B4-BE49-F238E27FC236}">
              <a16:creationId xmlns:a16="http://schemas.microsoft.com/office/drawing/2014/main" id="{70FB3F16-7B54-445F-80F0-9DE84F2E2D63}"/>
            </a:ext>
          </a:extLst>
        </xdr:cNvPr>
        <xdr:cNvSpPr>
          <a:spLocks noChangeAspect="1"/>
        </xdr:cNvSpPr>
      </xdr:nvSpPr>
      <xdr:spPr>
        <a:xfrm>
          <a:off x="8465270" y="6719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66675</xdr:colOff>
      <xdr:row>27</xdr:row>
      <xdr:rowOff>64220</xdr:rowOff>
    </xdr:from>
    <xdr:to>
      <xdr:col>50</xdr:col>
      <xdr:colOff>87364</xdr:colOff>
      <xdr:row>28</xdr:row>
      <xdr:rowOff>139273</xdr:rowOff>
    </xdr:to>
    <xdr:sp macro="" textlink="">
      <xdr:nvSpPr>
        <xdr:cNvPr id="51" name="N5B2Tri">
          <a:extLst>
            <a:ext uri="{FF2B5EF4-FFF2-40B4-BE49-F238E27FC236}">
              <a16:creationId xmlns:a16="http://schemas.microsoft.com/office/drawing/2014/main" id="{9ECB21E3-B7BC-4594-B606-FAC6AA79B19E}"/>
            </a:ext>
          </a:extLst>
        </xdr:cNvPr>
        <xdr:cNvSpPr/>
      </xdr:nvSpPr>
      <xdr:spPr>
        <a:xfrm rot="16200000">
          <a:off x="9845480" y="5801640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24</xdr:row>
      <xdr:rowOff>55130</xdr:rowOff>
    </xdr:from>
    <xdr:to>
      <xdr:col>43</xdr:col>
      <xdr:colOff>97959</xdr:colOff>
      <xdr:row>25</xdr:row>
      <xdr:rowOff>130184</xdr:rowOff>
    </xdr:to>
    <xdr:sp macro="" textlink="">
      <xdr:nvSpPr>
        <xdr:cNvPr id="52" name="N4B1Tri" hidden="1">
          <a:extLst>
            <a:ext uri="{FF2B5EF4-FFF2-40B4-BE49-F238E27FC236}">
              <a16:creationId xmlns:a16="http://schemas.microsoft.com/office/drawing/2014/main" id="{823EB6D9-5E9B-496A-8B32-880BA645FE0B}"/>
            </a:ext>
          </a:extLst>
        </xdr:cNvPr>
        <xdr:cNvSpPr/>
      </xdr:nvSpPr>
      <xdr:spPr>
        <a:xfrm rot="16200000">
          <a:off x="8455900" y="3506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178594</xdr:colOff>
      <xdr:row>22</xdr:row>
      <xdr:rowOff>38100</xdr:rowOff>
    </xdr:from>
    <xdr:to>
      <xdr:col>49</xdr:col>
      <xdr:colOff>103156</xdr:colOff>
      <xdr:row>27</xdr:row>
      <xdr:rowOff>152400</xdr:rowOff>
    </xdr:to>
    <xdr:sp macro="" textlink="'Event Tree Input'!A80">
      <xdr:nvSpPr>
        <xdr:cNvPr id="53" name="N5Descr">
          <a:extLst>
            <a:ext uri="{FF2B5EF4-FFF2-40B4-BE49-F238E27FC236}">
              <a16:creationId xmlns:a16="http://schemas.microsoft.com/office/drawing/2014/main" id="{B019FAA7-A304-4428-B6BA-4822DB67A3B4}"/>
            </a:ext>
          </a:extLst>
        </xdr:cNvPr>
        <xdr:cNvSpPr txBox="1"/>
      </xdr:nvSpPr>
      <xdr:spPr>
        <a:xfrm>
          <a:off x="8779669" y="3086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wall continues to displace the reinforcement pulls out leading to collapse of the section?</a:t>
          </a:fld>
          <a:endParaRPr lang="en-US" sz="1100"/>
        </a:p>
      </xdr:txBody>
    </xdr:sp>
    <xdr:clientData/>
  </xdr:twoCellAnchor>
  <xdr:twoCellAnchor>
    <xdr:from>
      <xdr:col>56</xdr:col>
      <xdr:colOff>28575</xdr:colOff>
      <xdr:row>14</xdr:row>
      <xdr:rowOff>142874</xdr:rowOff>
    </xdr:from>
    <xdr:to>
      <xdr:col>62</xdr:col>
      <xdr:colOff>161925</xdr:colOff>
      <xdr:row>17</xdr:row>
      <xdr:rowOff>66674</xdr:rowOff>
    </xdr:to>
    <xdr:sp macro="" textlink="'Event Tree Input'!A105">
      <xdr:nvSpPr>
        <xdr:cNvPr id="54" name="N7Title" hidden="1">
          <a:extLst>
            <a:ext uri="{FF2B5EF4-FFF2-40B4-BE49-F238E27FC236}">
              <a16:creationId xmlns:a16="http://schemas.microsoft.com/office/drawing/2014/main" id="{28F6ABBC-13B4-4B9F-AEC4-642C13E309F5}"/>
            </a:ext>
          </a:extLst>
        </xdr:cNvPr>
        <xdr:cNvSpPr txBox="1"/>
      </xdr:nvSpPr>
      <xdr:spPr>
        <a:xfrm>
          <a:off x="11430000" y="26193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58</xdr:col>
      <xdr:colOff>83343</xdr:colOff>
      <xdr:row>14</xdr:row>
      <xdr:rowOff>166688</xdr:rowOff>
    </xdr:from>
    <xdr:to>
      <xdr:col>64</xdr:col>
      <xdr:colOff>133348</xdr:colOff>
      <xdr:row>16</xdr:row>
      <xdr:rowOff>35720</xdr:rowOff>
    </xdr:to>
    <xdr:sp macro="" textlink="">
      <xdr:nvSpPr>
        <xdr:cNvPr id="55" name="N9Callout" hidden="1">
          <a:extLst>
            <a:ext uri="{FF2B5EF4-FFF2-40B4-BE49-F238E27FC236}">
              <a16:creationId xmlns:a16="http://schemas.microsoft.com/office/drawing/2014/main" id="{4033DF0E-7A0B-4095-AE62-73EEE77AF46E}"/>
            </a:ext>
          </a:extLst>
        </xdr:cNvPr>
        <xdr:cNvSpPr txBox="1"/>
      </xdr:nvSpPr>
      <xdr:spPr>
        <a:xfrm>
          <a:off x="12084843" y="1119188"/>
          <a:ext cx="1250155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49</xdr:col>
      <xdr:colOff>59531</xdr:colOff>
      <xdr:row>19</xdr:row>
      <xdr:rowOff>95250</xdr:rowOff>
    </xdr:from>
    <xdr:to>
      <xdr:col>55</xdr:col>
      <xdr:colOff>166688</xdr:colOff>
      <xdr:row>21</xdr:row>
      <xdr:rowOff>23812</xdr:rowOff>
    </xdr:to>
    <xdr:sp macro="" textlink="">
      <xdr:nvSpPr>
        <xdr:cNvPr id="56" name="N7Callout" hidden="1">
          <a:extLst>
            <a:ext uri="{FF2B5EF4-FFF2-40B4-BE49-F238E27FC236}">
              <a16:creationId xmlns:a16="http://schemas.microsoft.com/office/drawing/2014/main" id="{0272B8EC-14AB-4664-B998-8D2A99466F9E}"/>
            </a:ext>
          </a:extLst>
        </xdr:cNvPr>
        <xdr:cNvSpPr txBox="1"/>
      </xdr:nvSpPr>
      <xdr:spPr>
        <a:xfrm>
          <a:off x="10060781" y="2000250"/>
          <a:ext cx="1307307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49</xdr:col>
      <xdr:colOff>64220</xdr:colOff>
      <xdr:row>21</xdr:row>
      <xdr:rowOff>61765</xdr:rowOff>
    </xdr:from>
    <xdr:to>
      <xdr:col>50</xdr:col>
      <xdr:colOff>138518</xdr:colOff>
      <xdr:row>22</xdr:row>
      <xdr:rowOff>145587</xdr:rowOff>
    </xdr:to>
    <xdr:sp macro="" textlink="">
      <xdr:nvSpPr>
        <xdr:cNvPr id="57" name="N6Num">
          <a:extLst>
            <a:ext uri="{FF2B5EF4-FFF2-40B4-BE49-F238E27FC236}">
              <a16:creationId xmlns:a16="http://schemas.microsoft.com/office/drawing/2014/main" id="{BB290716-2794-4AF2-BB49-9C4EF9CCFECA}"/>
            </a:ext>
          </a:extLst>
        </xdr:cNvPr>
        <xdr:cNvSpPr>
          <a:spLocks noChangeAspect="1"/>
        </xdr:cNvSpPr>
      </xdr:nvSpPr>
      <xdr:spPr>
        <a:xfrm>
          <a:off x="9865445" y="6157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18</xdr:row>
      <xdr:rowOff>61765</xdr:rowOff>
    </xdr:from>
    <xdr:to>
      <xdr:col>57</xdr:col>
      <xdr:colOff>138518</xdr:colOff>
      <xdr:row>19</xdr:row>
      <xdr:rowOff>145587</xdr:rowOff>
    </xdr:to>
    <xdr:sp macro="" textlink="">
      <xdr:nvSpPr>
        <xdr:cNvPr id="68" name="N7Num">
          <a:extLst>
            <a:ext uri="{FF2B5EF4-FFF2-40B4-BE49-F238E27FC236}">
              <a16:creationId xmlns:a16="http://schemas.microsoft.com/office/drawing/2014/main" id="{611644B1-C57A-425C-B68D-FE5EDE9A9643}"/>
            </a:ext>
          </a:extLst>
        </xdr:cNvPr>
        <xdr:cNvSpPr>
          <a:spLocks noChangeAspect="1"/>
        </xdr:cNvSpPr>
      </xdr:nvSpPr>
      <xdr:spPr>
        <a:xfrm>
          <a:off x="11265620" y="3490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15</xdr:row>
      <xdr:rowOff>52240</xdr:rowOff>
    </xdr:from>
    <xdr:to>
      <xdr:col>64</xdr:col>
      <xdr:colOff>138518</xdr:colOff>
      <xdr:row>16</xdr:row>
      <xdr:rowOff>136062</xdr:rowOff>
    </xdr:to>
    <xdr:sp macro="" textlink="">
      <xdr:nvSpPr>
        <xdr:cNvPr id="69" name="N8Num" hidden="1">
          <a:extLst>
            <a:ext uri="{FF2B5EF4-FFF2-40B4-BE49-F238E27FC236}">
              <a16:creationId xmlns:a16="http://schemas.microsoft.com/office/drawing/2014/main" id="{2199A6F6-729F-4836-B473-3B59E4B90BE5}"/>
            </a:ext>
          </a:extLst>
        </xdr:cNvPr>
        <xdr:cNvSpPr>
          <a:spLocks noChangeAspect="1"/>
        </xdr:cNvSpPr>
      </xdr:nvSpPr>
      <xdr:spPr>
        <a:xfrm>
          <a:off x="13065845" y="119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60</xdr:col>
      <xdr:colOff>64220</xdr:colOff>
      <xdr:row>19</xdr:row>
      <xdr:rowOff>52240</xdr:rowOff>
    </xdr:from>
    <xdr:to>
      <xdr:col>61</xdr:col>
      <xdr:colOff>138518</xdr:colOff>
      <xdr:row>20</xdr:row>
      <xdr:rowOff>136062</xdr:rowOff>
    </xdr:to>
    <xdr:sp macro="" textlink="">
      <xdr:nvSpPr>
        <xdr:cNvPr id="70" name="N9Num" hidden="1">
          <a:extLst>
            <a:ext uri="{FF2B5EF4-FFF2-40B4-BE49-F238E27FC236}">
              <a16:creationId xmlns:a16="http://schemas.microsoft.com/office/drawing/2014/main" id="{D00FDD12-7317-423D-AD8A-E850771498E8}"/>
            </a:ext>
          </a:extLst>
        </xdr:cNvPr>
        <xdr:cNvSpPr>
          <a:spLocks noChangeAspect="1"/>
        </xdr:cNvSpPr>
      </xdr:nvSpPr>
      <xdr:spPr>
        <a:xfrm>
          <a:off x="12465770" y="1957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24</xdr:row>
      <xdr:rowOff>54695</xdr:rowOff>
    </xdr:from>
    <xdr:to>
      <xdr:col>57</xdr:col>
      <xdr:colOff>87364</xdr:colOff>
      <xdr:row>25</xdr:row>
      <xdr:rowOff>129748</xdr:rowOff>
    </xdr:to>
    <xdr:sp macro="" textlink="">
      <xdr:nvSpPr>
        <xdr:cNvPr id="71" name="N6B2Tri">
          <a:extLst>
            <a:ext uri="{FF2B5EF4-FFF2-40B4-BE49-F238E27FC236}">
              <a16:creationId xmlns:a16="http://schemas.microsoft.com/office/drawing/2014/main" id="{839EEDAC-E937-4DFE-9936-338927A89CAA}"/>
            </a:ext>
          </a:extLst>
        </xdr:cNvPr>
        <xdr:cNvSpPr/>
      </xdr:nvSpPr>
      <xdr:spPr>
        <a:xfrm rot="16200000">
          <a:off x="11445680" y="293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21</xdr:row>
      <xdr:rowOff>54695</xdr:rowOff>
    </xdr:from>
    <xdr:to>
      <xdr:col>64</xdr:col>
      <xdr:colOff>87364</xdr:colOff>
      <xdr:row>22</xdr:row>
      <xdr:rowOff>129748</xdr:rowOff>
    </xdr:to>
    <xdr:sp macro="" textlink="">
      <xdr:nvSpPr>
        <xdr:cNvPr id="72" name="N7B2Tri">
          <a:extLst>
            <a:ext uri="{FF2B5EF4-FFF2-40B4-BE49-F238E27FC236}">
              <a16:creationId xmlns:a16="http://schemas.microsoft.com/office/drawing/2014/main" id="{D9DD6BDB-2130-4BF4-9433-C801A2DE7DE4}"/>
            </a:ext>
          </a:extLst>
        </xdr:cNvPr>
        <xdr:cNvSpPr/>
      </xdr:nvSpPr>
      <xdr:spPr>
        <a:xfrm rot="16200000">
          <a:off x="13045880" y="2363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66675</xdr:colOff>
      <xdr:row>19</xdr:row>
      <xdr:rowOff>54695</xdr:rowOff>
    </xdr:from>
    <xdr:to>
      <xdr:col>54</xdr:col>
      <xdr:colOff>87364</xdr:colOff>
      <xdr:row>20</xdr:row>
      <xdr:rowOff>129748</xdr:rowOff>
    </xdr:to>
    <xdr:sp macro="" textlink="">
      <xdr:nvSpPr>
        <xdr:cNvPr id="73" name="N8B2Tri" hidden="1">
          <a:extLst>
            <a:ext uri="{FF2B5EF4-FFF2-40B4-BE49-F238E27FC236}">
              <a16:creationId xmlns:a16="http://schemas.microsoft.com/office/drawing/2014/main" id="{E255A368-9BE2-41CB-8D8C-49263A90AEEC}"/>
            </a:ext>
          </a:extLst>
        </xdr:cNvPr>
        <xdr:cNvSpPr/>
      </xdr:nvSpPr>
      <xdr:spPr>
        <a:xfrm rot="16200000">
          <a:off x="10845605" y="1982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20</xdr:row>
      <xdr:rowOff>55117</xdr:rowOff>
    </xdr:from>
    <xdr:to>
      <xdr:col>50</xdr:col>
      <xdr:colOff>88435</xdr:colOff>
      <xdr:row>21</xdr:row>
      <xdr:rowOff>130171</xdr:rowOff>
    </xdr:to>
    <xdr:sp macro="" textlink="">
      <xdr:nvSpPr>
        <xdr:cNvPr id="74" name="N5B1Tri" hidden="1">
          <a:extLst>
            <a:ext uri="{FF2B5EF4-FFF2-40B4-BE49-F238E27FC236}">
              <a16:creationId xmlns:a16="http://schemas.microsoft.com/office/drawing/2014/main" id="{1243DC9D-0E68-43A2-83E9-68FCB392BB90}"/>
            </a:ext>
          </a:extLst>
        </xdr:cNvPr>
        <xdr:cNvSpPr/>
      </xdr:nvSpPr>
      <xdr:spPr>
        <a:xfrm rot="16200000">
          <a:off x="10046576" y="23635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17</xdr:row>
      <xdr:rowOff>55101</xdr:rowOff>
    </xdr:from>
    <xdr:to>
      <xdr:col>57</xdr:col>
      <xdr:colOff>88436</xdr:colOff>
      <xdr:row>18</xdr:row>
      <xdr:rowOff>130155</xdr:rowOff>
    </xdr:to>
    <xdr:sp macro="" textlink="">
      <xdr:nvSpPr>
        <xdr:cNvPr id="75" name="N6B1Tri" hidden="1">
          <a:extLst>
            <a:ext uri="{FF2B5EF4-FFF2-40B4-BE49-F238E27FC236}">
              <a16:creationId xmlns:a16="http://schemas.microsoft.com/office/drawing/2014/main" id="{4EC4C6E0-A6C7-4AA3-94AB-4FED8D274860}"/>
            </a:ext>
          </a:extLst>
        </xdr:cNvPr>
        <xdr:cNvSpPr/>
      </xdr:nvSpPr>
      <xdr:spPr>
        <a:xfrm rot="16200000">
          <a:off x="11646777" y="1792021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15</xdr:row>
      <xdr:rowOff>55085</xdr:rowOff>
    </xdr:from>
    <xdr:to>
      <xdr:col>64</xdr:col>
      <xdr:colOff>88437</xdr:colOff>
      <xdr:row>16</xdr:row>
      <xdr:rowOff>130139</xdr:rowOff>
    </xdr:to>
    <xdr:sp macro="" textlink="">
      <xdr:nvSpPr>
        <xdr:cNvPr id="76" name="N7B1Tri">
          <a:extLst>
            <a:ext uri="{FF2B5EF4-FFF2-40B4-BE49-F238E27FC236}">
              <a16:creationId xmlns:a16="http://schemas.microsoft.com/office/drawing/2014/main" id="{6824CC04-8ABA-470D-9A95-8093B499D8D2}"/>
            </a:ext>
          </a:extLst>
        </xdr:cNvPr>
        <xdr:cNvSpPr/>
      </xdr:nvSpPr>
      <xdr:spPr>
        <a:xfrm rot="16200000">
          <a:off x="13046953" y="1220505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60</xdr:col>
      <xdr:colOff>67749</xdr:colOff>
      <xdr:row>19</xdr:row>
      <xdr:rowOff>55070</xdr:rowOff>
    </xdr:from>
    <xdr:to>
      <xdr:col>61</xdr:col>
      <xdr:colOff>88438</xdr:colOff>
      <xdr:row>20</xdr:row>
      <xdr:rowOff>130124</xdr:rowOff>
    </xdr:to>
    <xdr:sp macro="" textlink="">
      <xdr:nvSpPr>
        <xdr:cNvPr id="94" name="N8B1Tri" hidden="1">
          <a:extLst>
            <a:ext uri="{FF2B5EF4-FFF2-40B4-BE49-F238E27FC236}">
              <a16:creationId xmlns:a16="http://schemas.microsoft.com/office/drawing/2014/main" id="{8583533B-CCC8-45C1-B9EF-C9772CA251FB}"/>
            </a:ext>
          </a:extLst>
        </xdr:cNvPr>
        <xdr:cNvSpPr/>
      </xdr:nvSpPr>
      <xdr:spPr>
        <a:xfrm rot="16200000">
          <a:off x="12446879" y="198249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47625</xdr:colOff>
      <xdr:row>20</xdr:row>
      <xdr:rowOff>59531</xdr:rowOff>
    </xdr:from>
    <xdr:to>
      <xdr:col>50</xdr:col>
      <xdr:colOff>47626</xdr:colOff>
      <xdr:row>26</xdr:row>
      <xdr:rowOff>11905</xdr:rowOff>
    </xdr:to>
    <xdr:cxnSp macro="">
      <xdr:nvCxnSpPr>
        <xdr:cNvPr id="95" name="N8Arrow" hidden="1">
          <a:extLst>
            <a:ext uri="{FF2B5EF4-FFF2-40B4-BE49-F238E27FC236}">
              <a16:creationId xmlns:a16="http://schemas.microsoft.com/office/drawing/2014/main" id="{A57DE1ED-701F-44E6-A49F-FEC2B671A8A4}"/>
            </a:ext>
          </a:extLst>
        </xdr:cNvPr>
        <xdr:cNvCxnSpPr/>
      </xdr:nvCxnSpPr>
      <xdr:spPr>
        <a:xfrm>
          <a:off x="10248900" y="2155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176212</xdr:colOff>
      <xdr:row>19</xdr:row>
      <xdr:rowOff>38100</xdr:rowOff>
    </xdr:from>
    <xdr:to>
      <xdr:col>56</xdr:col>
      <xdr:colOff>100774</xdr:colOff>
      <xdr:row>24</xdr:row>
      <xdr:rowOff>152400</xdr:rowOff>
    </xdr:to>
    <xdr:sp macro="" textlink="'Event Tree Input'!A94">
      <xdr:nvSpPr>
        <xdr:cNvPr id="96" name="N6Descr">
          <a:extLst>
            <a:ext uri="{FF2B5EF4-FFF2-40B4-BE49-F238E27FC236}">
              <a16:creationId xmlns:a16="http://schemas.microsoft.com/office/drawing/2014/main" id="{32388C30-636A-4B4A-BBA4-D628F7E115E3}"/>
            </a:ext>
          </a:extLst>
        </xdr:cNvPr>
        <xdr:cNvSpPr txBox="1"/>
      </xdr:nvSpPr>
      <xdr:spPr>
        <a:xfrm>
          <a:off x="10377487" y="194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16</xdr:row>
      <xdr:rowOff>38100</xdr:rowOff>
    </xdr:from>
    <xdr:to>
      <xdr:col>63</xdr:col>
      <xdr:colOff>103156</xdr:colOff>
      <xdr:row>21</xdr:row>
      <xdr:rowOff>152400</xdr:rowOff>
    </xdr:to>
    <xdr:sp macro="" textlink="'Event Tree Input'!A108">
      <xdr:nvSpPr>
        <xdr:cNvPr id="97" name="N7Descr">
          <a:extLst>
            <a:ext uri="{FF2B5EF4-FFF2-40B4-BE49-F238E27FC236}">
              <a16:creationId xmlns:a16="http://schemas.microsoft.com/office/drawing/2014/main" id="{2A5F4766-9EA2-472E-8655-CCB9B8963CD7}"/>
            </a:ext>
          </a:extLst>
        </xdr:cNvPr>
        <xdr:cNvSpPr txBox="1"/>
      </xdr:nvSpPr>
      <xdr:spPr>
        <a:xfrm>
          <a:off x="11980069" y="137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Failure of the section causes uncontrolled flow into the leveed area?</a:t>
          </a:fld>
          <a:endParaRPr lang="en-US" sz="1100"/>
        </a:p>
      </xdr:txBody>
    </xdr:sp>
    <xdr:clientData/>
  </xdr:twoCellAnchor>
  <xdr:twoCellAnchor>
    <xdr:from>
      <xdr:col>55</xdr:col>
      <xdr:colOff>166689</xdr:colOff>
      <xdr:row>22</xdr:row>
      <xdr:rowOff>59531</xdr:rowOff>
    </xdr:from>
    <xdr:to>
      <xdr:col>59</xdr:col>
      <xdr:colOff>95251</xdr:colOff>
      <xdr:row>24</xdr:row>
      <xdr:rowOff>142874</xdr:rowOff>
    </xdr:to>
    <xdr:cxnSp macro="">
      <xdr:nvCxnSpPr>
        <xdr:cNvPr id="98" name="N7Arrow" hidden="1">
          <a:extLst>
            <a:ext uri="{FF2B5EF4-FFF2-40B4-BE49-F238E27FC236}">
              <a16:creationId xmlns:a16="http://schemas.microsoft.com/office/drawing/2014/main" id="{3DFFD72C-75F6-4EFC-B510-543FD02F2B12}"/>
            </a:ext>
          </a:extLst>
        </xdr:cNvPr>
        <xdr:cNvCxnSpPr>
          <a:stCxn id="54" idx="0"/>
          <a:endCxn id="56" idx="3"/>
        </xdr:cNvCxnSpPr>
      </xdr:nvCxnSpPr>
      <xdr:spPr>
        <a:xfrm rot="16200000" flipV="1">
          <a:off x="11500248" y="2022872"/>
          <a:ext cx="464343" cy="72866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91714</xdr:colOff>
      <xdr:row>30</xdr:row>
      <xdr:rowOff>59842</xdr:rowOff>
    </xdr:from>
    <xdr:to>
      <xdr:col>36</xdr:col>
      <xdr:colOff>112403</xdr:colOff>
      <xdr:row>31</xdr:row>
      <xdr:rowOff>134895</xdr:rowOff>
    </xdr:to>
    <xdr:sp macro="" textlink="">
      <xdr:nvSpPr>
        <xdr:cNvPr id="99" name="N2B2Tri">
          <a:extLst>
            <a:ext uri="{FF2B5EF4-FFF2-40B4-BE49-F238E27FC236}">
              <a16:creationId xmlns:a16="http://schemas.microsoft.com/office/drawing/2014/main" id="{FA22B0D5-6994-4A09-AD82-91456132C8FE}"/>
            </a:ext>
          </a:extLst>
        </xdr:cNvPr>
        <xdr:cNvSpPr/>
      </xdr:nvSpPr>
      <xdr:spPr>
        <a:xfrm rot="16200000">
          <a:off x="7126590" y="5817667"/>
          <a:ext cx="266248" cy="222313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oneCellAnchor>
    <xdr:from>
      <xdr:col>36</xdr:col>
      <xdr:colOff>95250</xdr:colOff>
      <xdr:row>11</xdr:row>
      <xdr:rowOff>142875</xdr:rowOff>
    </xdr:from>
    <xdr:ext cx="1218026" cy="239809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A8EFAA2-7806-602C-775D-C594C2DBE774}"/>
            </a:ext>
          </a:extLst>
        </xdr:cNvPr>
        <xdr:cNvSpPr txBox="1"/>
      </xdr:nvSpPr>
      <xdr:spPr>
        <a:xfrm>
          <a:off x="7296150" y="2238375"/>
          <a:ext cx="1218026" cy="2398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 Crushes</a:t>
          </a:r>
        </a:p>
      </xdr:txBody>
    </xdr:sp>
    <xdr:clientData/>
  </xdr:oneCellAnchor>
  <xdr:oneCellAnchor>
    <xdr:from>
      <xdr:col>37</xdr:col>
      <xdr:colOff>38100</xdr:colOff>
      <xdr:row>25</xdr:row>
      <xdr:rowOff>9525</xdr:rowOff>
    </xdr:from>
    <xdr:ext cx="876300" cy="387286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62C0CB9-7E3A-43CF-A5D6-FED06D606D0A}"/>
            </a:ext>
          </a:extLst>
        </xdr:cNvPr>
        <xdr:cNvSpPr txBox="1"/>
      </xdr:nvSpPr>
      <xdr:spPr>
        <a:xfrm>
          <a:off x="7439025" y="4772025"/>
          <a:ext cx="876300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Inadequate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Embedment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3"/>
      <c r="C1" s="43"/>
      <c r="D1" s="43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3"/>
      <c r="C2" s="43"/>
      <c r="D2" s="43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4"/>
      <c r="D3" s="44"/>
      <c r="E3" s="44"/>
      <c r="F3" s="44"/>
      <c r="G3" s="44"/>
      <c r="H3" s="44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5" t="s">
        <v>57</v>
      </c>
      <c r="E9" s="45"/>
      <c r="F9" s="24" t="s">
        <v>28</v>
      </c>
      <c r="G9" s="45"/>
      <c r="H9" s="45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56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2"/>
      <c r="B21" s="42"/>
      <c r="C21" s="42"/>
      <c r="D21" s="42"/>
      <c r="E21" s="42"/>
      <c r="F21" s="42"/>
      <c r="G21" s="42"/>
      <c r="H21" s="42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2" t="s">
        <v>58</v>
      </c>
      <c r="B24" s="42"/>
      <c r="C24" s="42"/>
      <c r="D24" s="42"/>
      <c r="E24" s="42"/>
      <c r="F24" s="42"/>
      <c r="G24" s="42"/>
      <c r="H24" s="42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2" t="s">
        <v>38</v>
      </c>
      <c r="B27" s="42"/>
      <c r="C27" s="42"/>
      <c r="D27" s="42"/>
      <c r="E27" s="42"/>
      <c r="F27" s="42"/>
      <c r="G27" s="42"/>
      <c r="H27" s="42"/>
      <c r="I27" s="8"/>
    </row>
    <row r="28" spans="1:9" ht="12.75" customHeight="1" x14ac:dyDescent="0.2">
      <c r="A28" s="42"/>
      <c r="B28" s="42"/>
      <c r="C28" s="42"/>
      <c r="D28" s="42"/>
      <c r="E28" s="42"/>
      <c r="F28" s="42"/>
      <c r="G28" s="42"/>
      <c r="H28" s="42"/>
    </row>
    <row r="29" spans="1:9" ht="12.75" customHeight="1" x14ac:dyDescent="0.2">
      <c r="A29" s="42"/>
      <c r="B29" s="42"/>
      <c r="C29" s="42"/>
      <c r="D29" s="42"/>
      <c r="E29" s="42"/>
      <c r="F29" s="42"/>
      <c r="G29" s="42"/>
      <c r="H29" s="42"/>
    </row>
    <row r="30" spans="1:9" ht="12.75" customHeight="1" x14ac:dyDescent="0.2">
      <c r="A30" s="42"/>
      <c r="B30" s="42"/>
      <c r="C30" s="42"/>
      <c r="D30" s="42"/>
      <c r="E30" s="42"/>
      <c r="F30" s="42"/>
      <c r="G30" s="42"/>
      <c r="H30" s="42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2"/>
      <c r="B35" s="42"/>
      <c r="C35" s="42"/>
      <c r="D35" s="42"/>
      <c r="E35" s="42"/>
      <c r="F35" s="42"/>
      <c r="G35" s="42"/>
      <c r="H35" s="42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2" t="s">
        <v>59</v>
      </c>
      <c r="B38" s="42"/>
      <c r="C38" s="42"/>
      <c r="D38" s="42"/>
      <c r="E38" s="42"/>
      <c r="F38" s="42"/>
      <c r="G38" s="42"/>
      <c r="H38" s="42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2" t="s">
        <v>39</v>
      </c>
      <c r="B41" s="42"/>
      <c r="C41" s="42"/>
      <c r="D41" s="42"/>
      <c r="E41" s="42"/>
      <c r="F41" s="42"/>
      <c r="G41" s="42"/>
      <c r="H41" s="42"/>
      <c r="I41" s="8"/>
    </row>
    <row r="42" spans="1:9" ht="12.75" customHeight="1" x14ac:dyDescent="0.2">
      <c r="A42" s="42"/>
      <c r="B42" s="42"/>
      <c r="C42" s="42"/>
      <c r="D42" s="42"/>
      <c r="E42" s="42"/>
      <c r="F42" s="42"/>
      <c r="G42" s="42"/>
      <c r="H42" s="42"/>
    </row>
    <row r="43" spans="1:9" ht="12.75" customHeight="1" x14ac:dyDescent="0.2">
      <c r="A43" s="42"/>
      <c r="B43" s="42"/>
      <c r="C43" s="42"/>
      <c r="D43" s="42"/>
      <c r="E43" s="42"/>
      <c r="F43" s="42"/>
      <c r="G43" s="42"/>
      <c r="H43" s="42"/>
    </row>
    <row r="44" spans="1:9" ht="12.75" customHeight="1" x14ac:dyDescent="0.2">
      <c r="A44" s="42"/>
      <c r="B44" s="42"/>
      <c r="C44" s="42"/>
      <c r="D44" s="42"/>
      <c r="E44" s="42"/>
      <c r="F44" s="42"/>
      <c r="G44" s="42"/>
      <c r="H44" s="42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2"/>
      <c r="B49" s="42"/>
      <c r="C49" s="42"/>
      <c r="D49" s="42"/>
      <c r="E49" s="42"/>
      <c r="F49" s="42"/>
      <c r="G49" s="42"/>
      <c r="H49" s="42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2" t="s">
        <v>60</v>
      </c>
      <c r="B52" s="42"/>
      <c r="C52" s="42"/>
      <c r="D52" s="42"/>
      <c r="E52" s="42"/>
      <c r="F52" s="42"/>
      <c r="G52" s="42"/>
      <c r="H52" s="42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2" t="s">
        <v>40</v>
      </c>
      <c r="B55" s="42"/>
      <c r="C55" s="42"/>
      <c r="D55" s="42"/>
      <c r="E55" s="42"/>
      <c r="F55" s="42"/>
      <c r="G55" s="42"/>
      <c r="H55" s="42"/>
      <c r="I55" s="8"/>
    </row>
    <row r="56" spans="1:9" ht="12.75" customHeight="1" x14ac:dyDescent="0.2">
      <c r="A56" s="42"/>
      <c r="B56" s="42"/>
      <c r="C56" s="42"/>
      <c r="D56" s="42"/>
      <c r="E56" s="42"/>
      <c r="F56" s="42"/>
      <c r="G56" s="42"/>
      <c r="H56" s="42"/>
    </row>
    <row r="57" spans="1:9" ht="12.75" customHeight="1" x14ac:dyDescent="0.2">
      <c r="A57" s="42"/>
      <c r="B57" s="42"/>
      <c r="C57" s="42"/>
      <c r="D57" s="42"/>
      <c r="E57" s="42"/>
      <c r="F57" s="42"/>
      <c r="G57" s="42"/>
      <c r="H57" s="42"/>
    </row>
    <row r="58" spans="1:9" ht="12.75" customHeight="1" x14ac:dyDescent="0.2">
      <c r="A58" s="42"/>
      <c r="B58" s="42"/>
      <c r="C58" s="42"/>
      <c r="D58" s="42"/>
      <c r="E58" s="42"/>
      <c r="F58" s="42"/>
      <c r="G58" s="42"/>
      <c r="H58" s="42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2"/>
      <c r="B63" s="42"/>
      <c r="C63" s="42"/>
      <c r="D63" s="42"/>
      <c r="E63" s="42"/>
      <c r="F63" s="42"/>
      <c r="G63" s="42"/>
      <c r="H63" s="42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2"/>
      <c r="B66" s="42"/>
      <c r="C66" s="42"/>
      <c r="D66" s="42"/>
      <c r="E66" s="42"/>
      <c r="F66" s="42"/>
      <c r="G66" s="42"/>
      <c r="H66" s="42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2" t="s">
        <v>41</v>
      </c>
      <c r="B69" s="42"/>
      <c r="C69" s="42"/>
      <c r="D69" s="42"/>
      <c r="E69" s="42"/>
      <c r="F69" s="42"/>
      <c r="G69" s="42"/>
      <c r="H69" s="42"/>
      <c r="I69" s="8"/>
    </row>
    <row r="70" spans="1:9" ht="12.75" customHeight="1" x14ac:dyDescent="0.2">
      <c r="A70" s="42"/>
      <c r="B70" s="42"/>
      <c r="C70" s="42"/>
      <c r="D70" s="42"/>
      <c r="E70" s="42"/>
      <c r="F70" s="42"/>
      <c r="G70" s="42"/>
      <c r="H70" s="42"/>
    </row>
    <row r="71" spans="1:9" ht="12.75" customHeight="1" x14ac:dyDescent="0.2">
      <c r="A71" s="42"/>
      <c r="B71" s="42"/>
      <c r="C71" s="42"/>
      <c r="D71" s="42"/>
      <c r="E71" s="42"/>
      <c r="F71" s="42"/>
      <c r="G71" s="42"/>
      <c r="H71" s="42"/>
    </row>
    <row r="72" spans="1:9" ht="12.75" customHeight="1" x14ac:dyDescent="0.2">
      <c r="A72" s="42"/>
      <c r="B72" s="42"/>
      <c r="C72" s="42"/>
      <c r="D72" s="42"/>
      <c r="E72" s="42"/>
      <c r="F72" s="42"/>
      <c r="G72" s="42"/>
      <c r="H72" s="42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2"/>
      <c r="B77" s="42"/>
      <c r="C77" s="42"/>
      <c r="D77" s="42"/>
      <c r="E77" s="42"/>
      <c r="F77" s="42"/>
      <c r="G77" s="42"/>
      <c r="H77" s="42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2" t="s">
        <v>61</v>
      </c>
      <c r="B80" s="42"/>
      <c r="C80" s="42"/>
      <c r="D80" s="42"/>
      <c r="E80" s="42"/>
      <c r="F80" s="42"/>
      <c r="G80" s="42"/>
      <c r="H80" s="42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2" t="s">
        <v>42</v>
      </c>
      <c r="B83" s="42"/>
      <c r="C83" s="42"/>
      <c r="D83" s="42"/>
      <c r="E83" s="42"/>
      <c r="F83" s="42"/>
      <c r="G83" s="42"/>
      <c r="H83" s="42"/>
      <c r="I83" s="8"/>
    </row>
    <row r="84" spans="1:9" ht="12.75" customHeight="1" x14ac:dyDescent="0.2">
      <c r="A84" s="42"/>
      <c r="B84" s="42"/>
      <c r="C84" s="42"/>
      <c r="D84" s="42"/>
      <c r="E84" s="42"/>
      <c r="F84" s="42"/>
      <c r="G84" s="42"/>
      <c r="H84" s="42"/>
    </row>
    <row r="85" spans="1:9" ht="12.75" customHeight="1" x14ac:dyDescent="0.2">
      <c r="A85" s="42"/>
      <c r="B85" s="42"/>
      <c r="C85" s="42"/>
      <c r="D85" s="42"/>
      <c r="E85" s="42"/>
      <c r="F85" s="42"/>
      <c r="G85" s="42"/>
      <c r="H85" s="42"/>
    </row>
    <row r="86" spans="1:9" ht="12.75" customHeight="1" x14ac:dyDescent="0.2">
      <c r="A86" s="42"/>
      <c r="B86" s="42"/>
      <c r="C86" s="42"/>
      <c r="D86" s="42"/>
      <c r="E86" s="42"/>
      <c r="F86" s="42"/>
      <c r="G86" s="42"/>
      <c r="H86" s="42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2"/>
      <c r="B91" s="42"/>
      <c r="C91" s="42"/>
      <c r="D91" s="42"/>
      <c r="E91" s="42"/>
      <c r="F91" s="42"/>
      <c r="G91" s="42"/>
      <c r="H91" s="42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2" t="s">
        <v>55</v>
      </c>
      <c r="B94" s="42"/>
      <c r="C94" s="42"/>
      <c r="D94" s="42"/>
      <c r="E94" s="42"/>
      <c r="F94" s="42"/>
      <c r="G94" s="42"/>
      <c r="H94" s="42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2" t="s">
        <v>43</v>
      </c>
      <c r="B97" s="42"/>
      <c r="C97" s="42"/>
      <c r="D97" s="42"/>
      <c r="E97" s="42"/>
      <c r="F97" s="42"/>
      <c r="G97" s="42"/>
      <c r="H97" s="42"/>
      <c r="I97" s="8"/>
    </row>
    <row r="98" spans="1:15" ht="12.75" customHeight="1" x14ac:dyDescent="0.2">
      <c r="A98" s="42"/>
      <c r="B98" s="42"/>
      <c r="C98" s="42"/>
      <c r="D98" s="42"/>
      <c r="E98" s="42"/>
      <c r="F98" s="42"/>
      <c r="G98" s="42"/>
      <c r="H98" s="42"/>
    </row>
    <row r="99" spans="1:15" ht="12.75" customHeight="1" x14ac:dyDescent="0.2">
      <c r="A99" s="42"/>
      <c r="B99" s="42"/>
      <c r="C99" s="42"/>
      <c r="D99" s="42"/>
      <c r="E99" s="42"/>
      <c r="F99" s="42"/>
      <c r="G99" s="42"/>
      <c r="H99" s="42"/>
    </row>
    <row r="100" spans="1:15" ht="12.75" customHeight="1" x14ac:dyDescent="0.2">
      <c r="A100" s="42"/>
      <c r="B100" s="42"/>
      <c r="C100" s="42"/>
      <c r="D100" s="42"/>
      <c r="E100" s="42"/>
      <c r="F100" s="42"/>
      <c r="G100" s="42"/>
      <c r="H100" s="42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2"/>
      <c r="B105" s="42"/>
      <c r="C105" s="42"/>
      <c r="D105" s="42"/>
      <c r="E105" s="42"/>
      <c r="F105" s="42"/>
      <c r="G105" s="42"/>
      <c r="H105" s="42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2" t="s">
        <v>62</v>
      </c>
      <c r="B108" s="42"/>
      <c r="C108" s="42"/>
      <c r="D108" s="42"/>
      <c r="E108" s="42"/>
      <c r="F108" s="42"/>
      <c r="G108" s="42"/>
      <c r="H108" s="42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2" t="s">
        <v>44</v>
      </c>
      <c r="B111" s="42"/>
      <c r="C111" s="42"/>
      <c r="D111" s="42"/>
      <c r="E111" s="42"/>
      <c r="F111" s="42"/>
      <c r="G111" s="42"/>
      <c r="H111" s="42"/>
      <c r="I111" s="8"/>
      <c r="O111" s="28"/>
    </row>
    <row r="112" spans="1:15" ht="12.75" customHeight="1" x14ac:dyDescent="0.2">
      <c r="A112" s="42"/>
      <c r="B112" s="42"/>
      <c r="C112" s="42"/>
      <c r="D112" s="42"/>
      <c r="E112" s="42"/>
      <c r="F112" s="42"/>
      <c r="G112" s="42"/>
      <c r="H112" s="42"/>
    </row>
    <row r="113" spans="1:9" ht="12.75" customHeight="1" x14ac:dyDescent="0.2">
      <c r="A113" s="42"/>
      <c r="B113" s="42"/>
      <c r="C113" s="42"/>
      <c r="D113" s="42"/>
      <c r="E113" s="42"/>
      <c r="F113" s="42"/>
      <c r="G113" s="42"/>
      <c r="H113" s="42"/>
    </row>
    <row r="114" spans="1:9" ht="12.75" customHeight="1" x14ac:dyDescent="0.2">
      <c r="A114" s="42"/>
      <c r="B114" s="42"/>
      <c r="C114" s="42"/>
      <c r="D114" s="42"/>
      <c r="E114" s="42"/>
      <c r="F114" s="42"/>
      <c r="G114" s="42"/>
      <c r="H114" s="42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2" t="s">
        <v>50</v>
      </c>
      <c r="B119" s="42"/>
      <c r="C119" s="42"/>
      <c r="D119" s="42"/>
      <c r="E119" s="42"/>
      <c r="F119" s="42"/>
      <c r="G119" s="42"/>
      <c r="H119" s="42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2"/>
      <c r="B122" s="42"/>
      <c r="C122" s="42"/>
      <c r="D122" s="42"/>
      <c r="E122" s="42"/>
      <c r="F122" s="42"/>
      <c r="G122" s="42"/>
      <c r="H122" s="42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2" t="s">
        <v>45</v>
      </c>
      <c r="B125" s="42"/>
      <c r="C125" s="42"/>
      <c r="D125" s="42"/>
      <c r="E125" s="42"/>
      <c r="F125" s="42"/>
      <c r="G125" s="42"/>
      <c r="H125" s="42"/>
      <c r="I125" s="8"/>
    </row>
    <row r="126" spans="1:9" ht="12.75" customHeight="1" x14ac:dyDescent="0.2">
      <c r="A126" s="42"/>
      <c r="B126" s="42"/>
      <c r="C126" s="42"/>
      <c r="D126" s="42"/>
      <c r="E126" s="42"/>
      <c r="F126" s="42"/>
      <c r="G126" s="42"/>
      <c r="H126" s="42"/>
    </row>
    <row r="127" spans="1:9" ht="12.75" customHeight="1" x14ac:dyDescent="0.2">
      <c r="A127" s="42"/>
      <c r="B127" s="42"/>
      <c r="C127" s="42"/>
      <c r="D127" s="42"/>
      <c r="E127" s="42"/>
      <c r="F127" s="42"/>
      <c r="G127" s="42"/>
      <c r="H127" s="42"/>
    </row>
    <row r="128" spans="1:9" ht="12.75" customHeight="1" x14ac:dyDescent="0.2">
      <c r="A128" s="42"/>
      <c r="B128" s="42"/>
      <c r="C128" s="42"/>
      <c r="D128" s="42"/>
      <c r="E128" s="42"/>
      <c r="F128" s="42"/>
      <c r="G128" s="42"/>
      <c r="H128" s="42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2" t="s">
        <v>35</v>
      </c>
      <c r="B133" s="42"/>
      <c r="C133" s="42"/>
      <c r="D133" s="42"/>
      <c r="E133" s="42"/>
      <c r="F133" s="42"/>
      <c r="G133" s="42"/>
      <c r="H133" s="42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2" t="s">
        <v>51</v>
      </c>
      <c r="B136" s="42"/>
      <c r="C136" s="42"/>
      <c r="D136" s="42"/>
      <c r="E136" s="42"/>
      <c r="F136" s="42"/>
      <c r="G136" s="42"/>
      <c r="H136" s="42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2" t="s">
        <v>46</v>
      </c>
      <c r="B139" s="42"/>
      <c r="C139" s="42"/>
      <c r="D139" s="42"/>
      <c r="E139" s="42"/>
      <c r="F139" s="42"/>
      <c r="G139" s="42"/>
      <c r="H139" s="42"/>
      <c r="I139" s="8"/>
    </row>
    <row r="140" spans="1:9" ht="12.75" customHeight="1" x14ac:dyDescent="0.2">
      <c r="A140" s="42"/>
      <c r="B140" s="42"/>
      <c r="C140" s="42"/>
      <c r="D140" s="42"/>
      <c r="E140" s="42"/>
      <c r="F140" s="42"/>
      <c r="G140" s="42"/>
      <c r="H140" s="42"/>
    </row>
    <row r="141" spans="1:9" ht="12.75" customHeight="1" x14ac:dyDescent="0.2">
      <c r="A141" s="42"/>
      <c r="B141" s="42"/>
      <c r="C141" s="42"/>
      <c r="D141" s="42"/>
      <c r="E141" s="42"/>
      <c r="F141" s="42"/>
      <c r="G141" s="42"/>
      <c r="H141" s="42"/>
    </row>
    <row r="142" spans="1:9" ht="12.75" customHeight="1" x14ac:dyDescent="0.2">
      <c r="A142" s="42"/>
      <c r="B142" s="42"/>
      <c r="C142" s="42"/>
      <c r="D142" s="42"/>
      <c r="E142" s="42"/>
      <c r="F142" s="42"/>
      <c r="G142" s="42"/>
      <c r="H142" s="42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57</v>
      </c>
      <c r="C146" s="3">
        <v>1</v>
      </c>
      <c r="E146" s="3" t="s">
        <v>0</v>
      </c>
    </row>
    <row r="147" spans="1:5" x14ac:dyDescent="0.2">
      <c r="A147" s="3" t="s">
        <v>54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6" t="s">
        <v>17</v>
      </c>
      <c r="B156" s="9" t="s">
        <v>23</v>
      </c>
      <c r="C156" s="9" t="s">
        <v>24</v>
      </c>
    </row>
    <row r="157" spans="1:5" x14ac:dyDescent="0.2">
      <c r="A157" s="46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5" priority="67">
      <formula>$D$9="Seismic Hazard"</formula>
    </cfRule>
    <cfRule type="expression" dxfId="24" priority="68">
      <formula>$D$9="Hydrologic Hazard"</formula>
    </cfRule>
  </conditionalFormatting>
  <conditionalFormatting sqref="A32:H45">
    <cfRule type="expression" dxfId="23" priority="16" stopIfTrue="1">
      <formula>$D$11&lt;2</formula>
    </cfRule>
  </conditionalFormatting>
  <conditionalFormatting sqref="A110:H114 A138:H142 A40:H44 A54:H58 A68:H72 A82:H86 A96:H100 A124:H128 A26:H30">
    <cfRule type="expression" dxfId="22" priority="2" stopIfTrue="1">
      <formula>$D$14="No"</formula>
    </cfRule>
  </conditionalFormatting>
  <conditionalFormatting sqref="A46:H59">
    <cfRule type="expression" dxfId="21" priority="14" stopIfTrue="1">
      <formula>$D$11&lt;3</formula>
    </cfRule>
  </conditionalFormatting>
  <conditionalFormatting sqref="A60:H73">
    <cfRule type="expression" dxfId="20" priority="12" stopIfTrue="1">
      <formula>$D$11&lt;4</formula>
    </cfRule>
  </conditionalFormatting>
  <conditionalFormatting sqref="A74:H87">
    <cfRule type="expression" dxfId="19" priority="9" stopIfTrue="1">
      <formula>$D$11&lt;5</formula>
    </cfRule>
  </conditionalFormatting>
  <conditionalFormatting sqref="A88:H101">
    <cfRule type="expression" dxfId="18" priority="7" stopIfTrue="1">
      <formula>$D$11&lt;6</formula>
    </cfRule>
  </conditionalFormatting>
  <conditionalFormatting sqref="A102:H115">
    <cfRule type="expression" dxfId="17" priority="8" stopIfTrue="1">
      <formula>$D$11&lt;7</formula>
    </cfRule>
  </conditionalFormatting>
  <conditionalFormatting sqref="A116:H129">
    <cfRule type="expression" dxfId="16" priority="3" stopIfTrue="1">
      <formula>$D$11&lt;8</formula>
    </cfRule>
  </conditionalFormatting>
  <conditionalFormatting sqref="A130:H143">
    <cfRule type="expression" dxfId="15" priority="1" stopIfTrue="1">
      <formula>$D$11&lt;9</formula>
    </cfRule>
  </conditionalFormatting>
  <conditionalFormatting sqref="A20:H21 A34:H35 A48:H49 A62:H63 A76:H77 A90:H91 A104:H105 A118:H119 A132:H133">
    <cfRule type="expression" dxfId="14" priority="22">
      <formula>$D$13="No"</formula>
    </cfRule>
  </conditionalFormatting>
  <conditionalFormatting sqref="A27:H30">
    <cfRule type="expression" dxfId="13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2" t="s">
        <v>8</v>
      </c>
      <c r="B1" s="52"/>
      <c r="C1" s="52"/>
      <c r="D1" s="52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54" t="s">
        <v>9</v>
      </c>
      <c r="AG1" s="54"/>
      <c r="AH1" s="54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54" t="s">
        <v>10</v>
      </c>
      <c r="BE1" s="54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</row>
    <row r="2" spans="1:80" ht="15" customHeight="1" x14ac:dyDescent="0.2">
      <c r="A2" s="52" t="s">
        <v>11</v>
      </c>
      <c r="B2" s="52"/>
      <c r="C2" s="52"/>
      <c r="D2" s="52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4" t="s">
        <v>9</v>
      </c>
      <c r="AG2" s="54"/>
      <c r="AH2" s="54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4" t="s">
        <v>10</v>
      </c>
      <c r="BE2" s="54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</row>
    <row r="3" spans="1:80" ht="15" customHeight="1" x14ac:dyDescent="0.2">
      <c r="A3" s="53" t="s">
        <v>12</v>
      </c>
      <c r="B3" s="53"/>
      <c r="C3" s="53"/>
      <c r="D3" s="53"/>
      <c r="E3" s="53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8" t="s">
        <v>25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8"/>
      <c r="BT5" s="48"/>
      <c r="BU5" s="48"/>
      <c r="BV5" s="48"/>
      <c r="BW5" s="48"/>
      <c r="BX5" s="48"/>
      <c r="BY5" s="48"/>
      <c r="BZ5" s="48"/>
      <c r="CA5" s="48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4"/>
      <c r="AZ7" s="4"/>
      <c r="BA7" s="4"/>
      <c r="BB7" s="4"/>
      <c r="BC7" s="4"/>
      <c r="BD7" s="4"/>
      <c r="BE7" s="4"/>
      <c r="BF7" s="14"/>
      <c r="BG7" s="4"/>
      <c r="BH7" s="4"/>
      <c r="BI7" s="4"/>
      <c r="BJ7" s="4"/>
      <c r="BK7" s="4"/>
      <c r="BL7" s="4"/>
      <c r="BM7" s="4"/>
      <c r="BN7" s="4"/>
      <c r="BO7" s="4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4"/>
      <c r="I8" s="4"/>
      <c r="J8" s="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3"/>
      <c r="AZ8" s="26"/>
      <c r="BA8" s="26"/>
      <c r="BB8" s="26"/>
      <c r="BC8" s="26"/>
      <c r="BD8" s="26"/>
      <c r="BE8" s="26"/>
      <c r="BF8" s="14"/>
      <c r="BG8" s="4"/>
      <c r="BH8" s="4"/>
      <c r="BI8" s="4"/>
      <c r="BJ8" s="4"/>
      <c r="BK8" s="4"/>
      <c r="BL8" s="4"/>
      <c r="BM8" s="4"/>
      <c r="BN8" s="4"/>
      <c r="BO8" s="4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4"/>
      <c r="AZ9" s="22"/>
      <c r="BA9" s="22"/>
      <c r="BB9" s="22"/>
      <c r="BC9" s="22"/>
      <c r="BD9" s="22"/>
      <c r="BE9" s="22"/>
      <c r="BF9" s="14"/>
      <c r="BG9" s="4"/>
      <c r="BH9" s="4"/>
      <c r="BI9" s="4"/>
      <c r="BJ9" s="4"/>
      <c r="BK9" s="4"/>
      <c r="BL9" s="4"/>
      <c r="BM9" s="4"/>
      <c r="BN9" s="4"/>
      <c r="BO9" s="4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53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4"/>
      <c r="I10" s="4"/>
      <c r="J10" s="4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4"/>
      <c r="AS10" s="4"/>
      <c r="AT10" s="4"/>
      <c r="AU10" s="4"/>
      <c r="AV10" s="4"/>
      <c r="AW10" s="4"/>
      <c r="AX10" s="4"/>
      <c r="AY10" s="14"/>
      <c r="AZ10" s="22"/>
      <c r="BA10" s="22"/>
      <c r="BB10" s="22"/>
      <c r="BC10" s="22"/>
      <c r="BD10" s="22"/>
      <c r="BE10" s="22"/>
      <c r="BF10" s="16"/>
      <c r="BG10" s="4"/>
      <c r="BH10" s="4"/>
      <c r="BI10" s="4"/>
      <c r="BJ10" s="4"/>
      <c r="BK10" s="4"/>
      <c r="BL10" s="4"/>
      <c r="BM10" s="4"/>
      <c r="BN10" s="4"/>
      <c r="BO10" s="4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3"/>
      <c r="AS11" s="26"/>
      <c r="AT11" s="26"/>
      <c r="AU11" s="26"/>
      <c r="AV11" s="26"/>
      <c r="AW11" s="26"/>
      <c r="AX11" s="26"/>
      <c r="AY11" s="14"/>
      <c r="AZ11" s="22"/>
      <c r="BA11" s="22"/>
      <c r="BB11" s="22"/>
      <c r="BC11" s="22"/>
      <c r="BD11" s="22"/>
      <c r="BE11" s="2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11"/>
      <c r="BY11" s="11"/>
      <c r="BZ11" s="10"/>
      <c r="CA11" s="10"/>
      <c r="CB11" s="8" t="s">
        <v>52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4"/>
      <c r="AS12" s="22"/>
      <c r="AT12" s="22"/>
      <c r="AU12" s="22"/>
      <c r="AV12" s="22"/>
      <c r="AW12" s="22"/>
      <c r="AX12" s="22"/>
      <c r="AY12" s="14"/>
      <c r="AZ12" s="22"/>
      <c r="BA12" s="22"/>
      <c r="BB12" s="22"/>
      <c r="BC12" s="22"/>
      <c r="BD12" s="22"/>
      <c r="BE12" s="2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7"/>
      <c r="AL13" s="17"/>
      <c r="AM13" s="17"/>
      <c r="AN13" s="17"/>
      <c r="AO13" s="17"/>
      <c r="AP13" s="17"/>
      <c r="AQ13" s="17"/>
      <c r="AR13" s="14"/>
      <c r="AS13" s="22"/>
      <c r="AT13" s="22"/>
      <c r="AU13" s="22"/>
      <c r="AV13" s="22"/>
      <c r="AW13" s="22"/>
      <c r="AX13" s="22"/>
      <c r="AY13" s="16"/>
      <c r="AZ13" s="27"/>
      <c r="BA13" s="27"/>
      <c r="BB13" s="27"/>
      <c r="BC13" s="27"/>
      <c r="BD13" s="27"/>
      <c r="BE13" s="27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3"/>
      <c r="AL14" s="26"/>
      <c r="AM14" s="26"/>
      <c r="AN14" s="26"/>
      <c r="AO14" s="26"/>
      <c r="AP14" s="26"/>
      <c r="AQ14" s="26"/>
      <c r="AR14" s="14"/>
      <c r="AS14" s="22"/>
      <c r="AT14" s="22"/>
      <c r="AU14" s="22"/>
      <c r="AV14" s="22"/>
      <c r="AW14" s="22"/>
      <c r="AX14" s="22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41"/>
      <c r="AL15" s="12"/>
      <c r="AM15" s="12"/>
      <c r="AN15" s="12"/>
      <c r="AO15" s="12"/>
      <c r="AP15" s="12"/>
      <c r="AQ15" s="11"/>
      <c r="AR15" s="14"/>
      <c r="AS15" s="22"/>
      <c r="AT15" s="22"/>
      <c r="AU15" s="22"/>
      <c r="AV15" s="22"/>
      <c r="AW15" s="22"/>
      <c r="AX15" s="22"/>
      <c r="AY15" s="4"/>
      <c r="AZ15" s="22"/>
      <c r="BA15" s="22"/>
      <c r="BB15" s="22"/>
      <c r="BC15" s="22"/>
      <c r="BD15" s="22"/>
      <c r="BE15" s="22"/>
      <c r="BF15" s="4"/>
      <c r="BG15" s="4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4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4"/>
      <c r="AL16" s="4"/>
      <c r="AM16" s="4"/>
      <c r="AN16" s="4"/>
      <c r="AO16" s="4"/>
      <c r="AP16" s="4"/>
      <c r="AQ16" s="4"/>
      <c r="AR16" s="16"/>
      <c r="AS16" s="27"/>
      <c r="AT16" s="27"/>
      <c r="AU16" s="27"/>
      <c r="AV16" s="27"/>
      <c r="AW16" s="27"/>
      <c r="AX16" s="27"/>
      <c r="AY16" s="4"/>
      <c r="AZ16" s="22"/>
      <c r="BA16" s="22"/>
      <c r="BB16" s="22"/>
      <c r="BC16" s="22"/>
      <c r="BD16" s="22"/>
      <c r="BE16" s="22"/>
      <c r="BF16" s="4"/>
      <c r="BG16" s="4"/>
      <c r="BH16" s="4"/>
      <c r="BI16" s="4"/>
      <c r="BJ16" s="4"/>
      <c r="BK16" s="4"/>
      <c r="BL16" s="4"/>
      <c r="BM16" s="14"/>
      <c r="BN16" s="26"/>
      <c r="BO16" s="4"/>
      <c r="BP16" s="4"/>
      <c r="BQ16" s="4"/>
      <c r="BR16" s="4"/>
      <c r="BS16" s="4"/>
      <c r="BT16" s="4"/>
      <c r="BU16" s="4"/>
      <c r="BV16" s="4"/>
      <c r="BW16" s="4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3"/>
      <c r="BG17" s="26"/>
      <c r="BH17" s="26"/>
      <c r="BI17" s="26"/>
      <c r="BJ17" s="26"/>
      <c r="BK17" s="26"/>
      <c r="BL17" s="26"/>
      <c r="BM17" s="14"/>
      <c r="BN17" s="22"/>
      <c r="BO17" s="4"/>
      <c r="BP17" s="4"/>
      <c r="BQ17" s="4"/>
      <c r="BR17" s="4"/>
      <c r="BS17" s="4"/>
      <c r="BT17" s="4"/>
      <c r="BU17" s="4"/>
      <c r="BV17" s="4"/>
      <c r="BW17" s="4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4"/>
      <c r="AL18" s="22"/>
      <c r="AM18" s="22"/>
      <c r="AN18" s="22"/>
      <c r="AO18" s="22"/>
      <c r="AP18" s="22"/>
      <c r="AQ18" s="22"/>
      <c r="AR18" s="4"/>
      <c r="AS18" s="4"/>
      <c r="AT18" s="4"/>
      <c r="AU18" s="4"/>
      <c r="AV18" s="4"/>
      <c r="AW18" s="4"/>
      <c r="AX18" s="4"/>
      <c r="AY18" s="11"/>
      <c r="AZ18" s="11"/>
      <c r="BA18" s="11"/>
      <c r="BB18" s="11"/>
      <c r="BC18" s="11"/>
      <c r="BD18" s="11"/>
      <c r="BE18" s="11"/>
      <c r="BF18" s="14"/>
      <c r="BG18" s="22"/>
      <c r="BH18" s="22"/>
      <c r="BI18" s="22"/>
      <c r="BJ18" s="22"/>
      <c r="BK18" s="22"/>
      <c r="BL18" s="22"/>
      <c r="BM18" s="14"/>
      <c r="BN18" s="22"/>
      <c r="BO18" s="4"/>
      <c r="BP18" s="4"/>
      <c r="BQ18" s="4"/>
      <c r="BR18" s="4"/>
      <c r="BS18" s="4"/>
      <c r="BT18" s="4"/>
      <c r="BU18" s="4"/>
      <c r="BV18" s="4"/>
      <c r="BW18" s="4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4"/>
      <c r="AE19" s="4"/>
      <c r="AF19" s="4"/>
      <c r="AG19" s="4"/>
      <c r="AH19" s="4"/>
      <c r="AI19" s="4"/>
      <c r="AJ19" s="4"/>
      <c r="AK19" s="14"/>
      <c r="AL19" s="22"/>
      <c r="AM19" s="22"/>
      <c r="AN19" s="22"/>
      <c r="AO19" s="22"/>
      <c r="AP19" s="22"/>
      <c r="AQ19" s="22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14"/>
      <c r="BG19" s="22"/>
      <c r="BH19" s="22"/>
      <c r="BI19" s="22"/>
      <c r="BJ19" s="22"/>
      <c r="BK19" s="22"/>
      <c r="BL19" s="22"/>
      <c r="BM19" s="16"/>
      <c r="BN19" s="4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3"/>
      <c r="AE20" s="26"/>
      <c r="AF20" s="26"/>
      <c r="AG20" s="26"/>
      <c r="AH20" s="26"/>
      <c r="AI20" s="26"/>
      <c r="AJ20" s="26"/>
      <c r="AK20" s="14"/>
      <c r="AL20" s="22"/>
      <c r="AM20" s="22"/>
      <c r="AN20" s="22"/>
      <c r="AO20" s="22"/>
      <c r="AP20" s="22"/>
      <c r="AQ20" s="22"/>
      <c r="AR20" s="4"/>
      <c r="AS20" s="4"/>
      <c r="AT20" s="4"/>
      <c r="AU20" s="4"/>
      <c r="AV20" s="4"/>
      <c r="AW20" s="4"/>
      <c r="AX20" s="4"/>
      <c r="AY20" s="13"/>
      <c r="AZ20" s="26"/>
      <c r="BA20" s="26"/>
      <c r="BB20" s="26"/>
      <c r="BC20" s="26"/>
      <c r="BD20" s="26"/>
      <c r="BE20" s="26"/>
      <c r="BF20" s="14"/>
      <c r="BG20" s="22"/>
      <c r="BH20" s="22"/>
      <c r="BI20" s="22"/>
      <c r="BJ20" s="22"/>
      <c r="BK20" s="22"/>
      <c r="BL20" s="22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41"/>
      <c r="AE21" s="12"/>
      <c r="AF21" s="12"/>
      <c r="AG21" s="12"/>
      <c r="AH21" s="12"/>
      <c r="AI21" s="12"/>
      <c r="AJ21" s="12"/>
      <c r="AK21" s="14"/>
      <c r="AL21" s="22"/>
      <c r="AM21" s="22"/>
      <c r="AN21" s="22"/>
      <c r="AO21" s="22"/>
      <c r="AP21" s="22"/>
      <c r="AQ21" s="22"/>
      <c r="AR21" s="4"/>
      <c r="AS21" s="4"/>
      <c r="AT21" s="4"/>
      <c r="AU21" s="4"/>
      <c r="AV21" s="4"/>
      <c r="AW21" s="4"/>
      <c r="AX21" s="4"/>
      <c r="AY21" s="14"/>
      <c r="AZ21" s="22"/>
      <c r="BA21" s="22"/>
      <c r="BB21" s="22"/>
      <c r="BC21" s="22"/>
      <c r="BD21" s="22"/>
      <c r="BE21" s="22"/>
      <c r="BF21" s="14"/>
      <c r="BG21" s="22"/>
      <c r="BH21" s="22"/>
      <c r="BI21" s="22"/>
      <c r="BJ21" s="22"/>
      <c r="BK21" s="22"/>
      <c r="BL21" s="22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4"/>
      <c r="AE22" s="4"/>
      <c r="AF22" s="4"/>
      <c r="AG22" s="4"/>
      <c r="AH22" s="4"/>
      <c r="AI22" s="4"/>
      <c r="AJ22" s="4"/>
      <c r="AK22" s="1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14"/>
      <c r="AZ22" s="22"/>
      <c r="BA22" s="22"/>
      <c r="BB22" s="22"/>
      <c r="BC22" s="22"/>
      <c r="BD22" s="22"/>
      <c r="BE22" s="22"/>
      <c r="BF22" s="16"/>
      <c r="BG22" s="27"/>
      <c r="BH22" s="27"/>
      <c r="BI22" s="27"/>
      <c r="BJ22" s="27"/>
      <c r="BK22" s="27"/>
      <c r="BL22" s="27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4"/>
      <c r="AE23" s="4"/>
      <c r="AF23" s="4"/>
      <c r="AG23" s="4"/>
      <c r="AH23" s="4"/>
      <c r="AI23" s="4"/>
      <c r="AJ23" s="4"/>
      <c r="AK23" s="14"/>
      <c r="AL23" s="4"/>
      <c r="AM23" s="4"/>
      <c r="AN23" s="4"/>
      <c r="AO23" s="4"/>
      <c r="AP23" s="4"/>
      <c r="AQ23" s="4"/>
      <c r="AR23" s="13"/>
      <c r="AS23" s="26"/>
      <c r="AT23" s="26"/>
      <c r="AU23" s="26"/>
      <c r="AV23" s="26"/>
      <c r="AW23" s="26"/>
      <c r="AX23" s="26"/>
      <c r="AY23" s="14"/>
      <c r="AZ23" s="22"/>
      <c r="BA23" s="22"/>
      <c r="BB23" s="22"/>
      <c r="BC23" s="22"/>
      <c r="BD23" s="22"/>
      <c r="BE23" s="2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4"/>
      <c r="AE24" s="4"/>
      <c r="AF24" s="4"/>
      <c r="AG24" s="4"/>
      <c r="AH24" s="4"/>
      <c r="AI24" s="4"/>
      <c r="AJ24" s="4"/>
      <c r="AK24" s="14"/>
      <c r="AL24" s="4"/>
      <c r="AM24" s="4"/>
      <c r="AN24" s="4"/>
      <c r="AO24" s="4"/>
      <c r="AP24" s="4"/>
      <c r="AQ24" s="4"/>
      <c r="AR24" s="14"/>
      <c r="AS24" s="22"/>
      <c r="AT24" s="22"/>
      <c r="AU24" s="22"/>
      <c r="AV24" s="22"/>
      <c r="AW24" s="22"/>
      <c r="AX24" s="22"/>
      <c r="AY24" s="14"/>
      <c r="AZ24" s="22"/>
      <c r="BA24" s="22"/>
      <c r="BB24" s="22"/>
      <c r="BC24" s="22"/>
      <c r="BD24" s="22"/>
      <c r="BE24" s="2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4"/>
      <c r="X25" s="4"/>
      <c r="Y25" s="4"/>
      <c r="Z25" s="4"/>
      <c r="AA25" s="4"/>
      <c r="AB25" s="4"/>
      <c r="AC25" s="4"/>
      <c r="AD25" s="14"/>
      <c r="AE25" s="22"/>
      <c r="AF25" s="22"/>
      <c r="AG25" s="22"/>
      <c r="AH25" s="22"/>
      <c r="AI25" s="22"/>
      <c r="AJ25" s="22"/>
      <c r="AK25" s="16"/>
      <c r="AL25" s="27"/>
      <c r="AM25" s="27"/>
      <c r="AN25" s="27"/>
      <c r="AO25" s="27"/>
      <c r="AP25" s="27"/>
      <c r="AQ25" s="27"/>
      <c r="AR25" s="14"/>
      <c r="AS25" s="22"/>
      <c r="AT25" s="22"/>
      <c r="AU25" s="22"/>
      <c r="AV25" s="22"/>
      <c r="AW25" s="22"/>
      <c r="AX25" s="22"/>
      <c r="AY25" s="16"/>
      <c r="AZ25" s="27"/>
      <c r="BA25" s="27"/>
      <c r="BB25" s="27"/>
      <c r="BC25" s="27"/>
      <c r="BD25" s="27"/>
      <c r="BE25" s="27"/>
      <c r="BF25" s="4"/>
      <c r="BG25" s="15"/>
      <c r="BH25" s="15"/>
      <c r="BI25" s="15"/>
      <c r="BJ25" s="15"/>
      <c r="BK25" s="15"/>
      <c r="BL25" s="15"/>
      <c r="BM25" s="15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3"/>
      <c r="X26" s="26"/>
      <c r="Y26" s="26"/>
      <c r="Z26" s="26"/>
      <c r="AA26" s="26"/>
      <c r="AB26" s="26"/>
      <c r="AC26" s="26"/>
      <c r="AD26" s="14"/>
      <c r="AE26" s="22"/>
      <c r="AF26" s="22"/>
      <c r="AG26" s="22"/>
      <c r="AH26" s="22"/>
      <c r="AI26" s="22"/>
      <c r="AJ26" s="22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4"/>
      <c r="AZ26" s="4"/>
      <c r="BA26" s="4"/>
      <c r="BB26" s="4"/>
      <c r="BC26" s="4"/>
      <c r="BD26" s="4"/>
      <c r="BE26" s="4"/>
      <c r="BF26" s="4"/>
      <c r="BG26" s="15"/>
      <c r="BH26" s="15"/>
      <c r="BI26" s="15"/>
      <c r="BJ26" s="15"/>
      <c r="BK26" s="15"/>
      <c r="BL26" s="15"/>
      <c r="BM26" s="15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4"/>
      <c r="X27" s="4"/>
      <c r="Y27" s="4"/>
      <c r="Z27" s="4"/>
      <c r="AA27" s="4"/>
      <c r="AB27" s="4"/>
      <c r="AC27" s="4"/>
      <c r="AD27" s="14"/>
      <c r="AE27" s="22"/>
      <c r="AF27" s="22"/>
      <c r="AG27" s="22"/>
      <c r="AH27" s="22"/>
      <c r="AI27" s="22"/>
      <c r="AJ27" s="22"/>
      <c r="AK27" s="4"/>
      <c r="AL27" s="4"/>
      <c r="AM27" s="4"/>
      <c r="AN27" s="4"/>
      <c r="AO27" s="4"/>
      <c r="AP27" s="4"/>
      <c r="AQ27" s="4"/>
      <c r="AR27" s="14"/>
      <c r="AS27" s="22"/>
      <c r="AT27" s="22"/>
      <c r="AU27" s="22"/>
      <c r="AV27" s="22"/>
      <c r="AW27" s="22"/>
      <c r="AX27" s="22"/>
      <c r="AY27" s="4"/>
      <c r="AZ27" s="4"/>
      <c r="BA27" s="4"/>
      <c r="BB27" s="4"/>
      <c r="BC27" s="4"/>
      <c r="BD27" s="4"/>
      <c r="BE27" s="4"/>
      <c r="BF27" s="4"/>
      <c r="BG27" s="15"/>
      <c r="BH27" s="15"/>
      <c r="BI27" s="15"/>
      <c r="BJ27" s="15"/>
      <c r="BK27" s="15"/>
      <c r="BL27" s="15"/>
      <c r="BM27" s="15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4"/>
      <c r="X28" s="4"/>
      <c r="Y28" s="4"/>
      <c r="Z28" s="4"/>
      <c r="AA28" s="4"/>
      <c r="AB28" s="4"/>
      <c r="AC28" s="4"/>
      <c r="AD28" s="14"/>
      <c r="AE28" s="22"/>
      <c r="AF28" s="22"/>
      <c r="AG28" s="22"/>
      <c r="AH28" s="22"/>
      <c r="AI28" s="22"/>
      <c r="AJ28" s="22"/>
      <c r="AK28" s="4"/>
      <c r="AL28" s="4"/>
      <c r="AM28" s="4"/>
      <c r="AN28" s="4"/>
      <c r="AO28" s="4"/>
      <c r="AP28" s="4"/>
      <c r="AQ28" s="4"/>
      <c r="AR28" s="16"/>
      <c r="AS28" s="27"/>
      <c r="AT28" s="27"/>
      <c r="AU28" s="27"/>
      <c r="AV28" s="27"/>
      <c r="AW28" s="27"/>
      <c r="AX28" s="27"/>
      <c r="AY28" s="15"/>
      <c r="AZ28" s="15"/>
      <c r="BA28" s="15"/>
      <c r="BB28" s="15"/>
      <c r="BC28" s="15"/>
      <c r="BD28" s="15"/>
      <c r="BE28" s="15"/>
      <c r="BF28" s="4"/>
      <c r="BG28" s="15"/>
      <c r="BH28" s="15"/>
      <c r="BI28" s="15"/>
      <c r="BJ28" s="15"/>
      <c r="BK28" s="15"/>
      <c r="BL28" s="15"/>
      <c r="BM28" s="15"/>
      <c r="BN28" s="4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4"/>
      <c r="X29" s="4"/>
      <c r="Y29" s="4"/>
      <c r="Z29" s="4"/>
      <c r="AA29" s="4"/>
      <c r="AB29" s="4"/>
      <c r="AC29" s="4"/>
      <c r="AD29" s="1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15"/>
      <c r="BG29" s="15"/>
      <c r="BH29" s="15"/>
      <c r="BI29" s="15"/>
      <c r="BJ29" s="15"/>
      <c r="BK29" s="15"/>
      <c r="BL29" s="15"/>
      <c r="BM29" s="15"/>
      <c r="BN29" s="4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4"/>
      <c r="X30" s="4"/>
      <c r="Y30" s="4"/>
      <c r="Z30" s="4"/>
      <c r="AA30" s="4"/>
      <c r="AB30" s="4"/>
      <c r="AC30" s="4"/>
      <c r="AD30" s="1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15"/>
      <c r="BP30" s="4"/>
      <c r="BQ30" s="4"/>
      <c r="BR30" s="4"/>
      <c r="BS30" s="4"/>
      <c r="BT30" s="4"/>
      <c r="BU30" s="4"/>
      <c r="BV30" s="4"/>
      <c r="BW30" s="4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4"/>
      <c r="Q31" s="4"/>
      <c r="R31" s="4"/>
      <c r="S31" s="4"/>
      <c r="T31" s="4"/>
      <c r="U31" s="4"/>
      <c r="V31" s="4"/>
      <c r="W31" s="14"/>
      <c r="X31" s="22"/>
      <c r="Y31" s="22"/>
      <c r="Z31" s="22"/>
      <c r="AA31" s="22"/>
      <c r="AB31" s="22"/>
      <c r="AC31" s="22"/>
      <c r="AD31" s="16"/>
      <c r="AE31" s="27"/>
      <c r="AF31" s="27"/>
      <c r="AG31" s="27"/>
      <c r="AH31" s="27"/>
      <c r="AI31" s="27"/>
      <c r="AJ31" s="27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15"/>
      <c r="BP31" s="4"/>
      <c r="BQ31" s="4"/>
      <c r="BR31" s="4"/>
      <c r="BS31" s="4"/>
      <c r="BT31" s="4"/>
      <c r="BU31" s="4"/>
      <c r="BV31" s="4"/>
      <c r="BW31" s="4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3"/>
      <c r="Q32" s="26"/>
      <c r="R32" s="26"/>
      <c r="S32" s="26"/>
      <c r="T32" s="26"/>
      <c r="U32" s="26"/>
      <c r="V32" s="26"/>
      <c r="W32" s="14"/>
      <c r="X32" s="22"/>
      <c r="Y32" s="22"/>
      <c r="Z32" s="22"/>
      <c r="AA32" s="22"/>
      <c r="AB32" s="22"/>
      <c r="AC32" s="2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15"/>
      <c r="BO32" s="15"/>
      <c r="BP32" s="4"/>
      <c r="BQ32" s="4"/>
      <c r="BR32" s="4"/>
      <c r="BS32" s="4"/>
      <c r="BT32" s="4"/>
      <c r="BU32" s="4"/>
      <c r="BV32" s="4"/>
      <c r="BW32" s="4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14"/>
      <c r="Q33" s="4"/>
      <c r="R33" s="4"/>
      <c r="S33" s="4"/>
      <c r="T33" s="4"/>
      <c r="U33" s="4"/>
      <c r="V33" s="4"/>
      <c r="W33" s="14"/>
      <c r="X33" s="22"/>
      <c r="Y33" s="22"/>
      <c r="Z33" s="22"/>
      <c r="AA33" s="22"/>
      <c r="AB33" s="22"/>
      <c r="AC33" s="22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15"/>
      <c r="BO33" s="4"/>
      <c r="BP33" s="4"/>
      <c r="BQ33" s="4"/>
      <c r="BR33" s="4"/>
      <c r="BS33" s="4"/>
      <c r="BT33" s="4"/>
      <c r="BU33" s="4"/>
      <c r="BV33" s="4"/>
      <c r="BW33" s="4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4" s="51"/>
      <c r="K34" s="51"/>
      <c r="L34" s="51"/>
      <c r="M34" s="51"/>
      <c r="N34" s="51"/>
      <c r="O34" s="51"/>
      <c r="P34" s="40"/>
      <c r="Q34" s="22"/>
      <c r="R34" s="22"/>
      <c r="S34" s="22"/>
      <c r="T34" s="22"/>
      <c r="U34" s="22"/>
      <c r="V34" s="22"/>
      <c r="W34" s="14"/>
      <c r="X34" s="22"/>
      <c r="Y34" s="22"/>
      <c r="Z34" s="22"/>
      <c r="AA34" s="22"/>
      <c r="AB34" s="22"/>
      <c r="AC34" s="22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15"/>
      <c r="BO34" s="15"/>
      <c r="BP34" s="4"/>
      <c r="BQ34" s="4"/>
      <c r="BR34" s="4"/>
      <c r="BS34" s="4"/>
      <c r="BT34" s="4"/>
      <c r="BU34" s="4"/>
      <c r="BV34" s="4"/>
      <c r="BW34" s="4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51"/>
      <c r="J35" s="51"/>
      <c r="K35" s="51"/>
      <c r="L35" s="51"/>
      <c r="M35" s="51"/>
      <c r="N35" s="51"/>
      <c r="O35" s="51"/>
      <c r="P35" s="14"/>
      <c r="Q35" s="4"/>
      <c r="R35" s="4"/>
      <c r="S35" s="4"/>
      <c r="T35" s="4"/>
      <c r="U35" s="4"/>
      <c r="V35" s="4"/>
      <c r="W35" s="1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15"/>
      <c r="BO35" s="15"/>
      <c r="BP35" s="4"/>
      <c r="BQ35" s="4"/>
      <c r="BR35" s="4"/>
      <c r="BS35" s="4"/>
      <c r="BT35" s="4"/>
      <c r="BU35" s="4"/>
      <c r="BV35" s="4"/>
      <c r="BW35" s="4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"/>
      <c r="J36" s="4"/>
      <c r="K36" s="4"/>
      <c r="L36" s="4"/>
      <c r="M36" s="4"/>
      <c r="N36" s="4"/>
      <c r="O36" s="4"/>
      <c r="P36" s="14"/>
      <c r="Q36" s="4"/>
      <c r="R36" s="4"/>
      <c r="S36" s="4"/>
      <c r="T36" s="4"/>
      <c r="U36" s="4"/>
      <c r="V36" s="4"/>
      <c r="W36" s="1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15"/>
      <c r="BO36" s="15"/>
      <c r="BP36" s="4"/>
      <c r="BQ36" s="4"/>
      <c r="BR36" s="4"/>
      <c r="BS36" s="4"/>
      <c r="BT36" s="4"/>
      <c r="BU36" s="4"/>
      <c r="BV36" s="4"/>
      <c r="BW36" s="4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17"/>
      <c r="J37" s="17"/>
      <c r="K37" s="17"/>
      <c r="L37" s="17"/>
      <c r="M37" s="17"/>
      <c r="N37" s="17"/>
      <c r="O37" s="17"/>
      <c r="P37" s="14"/>
      <c r="Q37" s="4"/>
      <c r="R37" s="4"/>
      <c r="S37" s="4"/>
      <c r="T37" s="4"/>
      <c r="U37" s="4"/>
      <c r="V37" s="4"/>
      <c r="W37" s="16"/>
      <c r="X37" s="27"/>
      <c r="Y37" s="27"/>
      <c r="Z37" s="27"/>
      <c r="AA37" s="27"/>
      <c r="AB37" s="27"/>
      <c r="AC37" s="27"/>
      <c r="AD37" s="4"/>
      <c r="AE37" s="4"/>
      <c r="AF37" s="4"/>
      <c r="AG37" s="4"/>
      <c r="AH37" s="4"/>
      <c r="AI37" s="4"/>
      <c r="AJ37" s="4"/>
      <c r="AK37" s="4"/>
      <c r="AL37" s="22"/>
      <c r="AM37" s="22"/>
      <c r="AN37" s="22"/>
      <c r="AO37" s="22"/>
      <c r="AP37" s="22"/>
      <c r="AQ37" s="22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15"/>
      <c r="BO37" s="15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22"/>
      <c r="AM38" s="22"/>
      <c r="AN38" s="22"/>
      <c r="AO38" s="22"/>
      <c r="AP38" s="22"/>
      <c r="AQ38" s="22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14"/>
      <c r="Q39" s="22"/>
      <c r="R39" s="22"/>
      <c r="S39" s="22"/>
      <c r="T39" s="22"/>
      <c r="U39" s="22"/>
      <c r="V39" s="22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22"/>
      <c r="AM39" s="22"/>
      <c r="AN39" s="22"/>
      <c r="AO39" s="22"/>
      <c r="AP39" s="22"/>
      <c r="AQ39" s="22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4"/>
      <c r="AL40" s="22"/>
      <c r="AM40" s="22"/>
      <c r="AN40" s="22"/>
      <c r="AO40" s="22"/>
      <c r="AP40" s="22"/>
      <c r="AQ40" s="22"/>
      <c r="AR40" s="4"/>
      <c r="AS40" s="4"/>
      <c r="AT40" s="4"/>
      <c r="AU40" s="4"/>
      <c r="AV40" s="4"/>
      <c r="AW40" s="4"/>
      <c r="AX40" s="4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4"/>
      <c r="AL41" s="22"/>
      <c r="AM41" s="22"/>
      <c r="AN41" s="22"/>
      <c r="AO41" s="22"/>
      <c r="AP41" s="22"/>
      <c r="AQ41" s="22"/>
      <c r="AR41" s="4"/>
      <c r="AS41" s="4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4"/>
      <c r="Q42" s="4"/>
      <c r="R42" s="4"/>
      <c r="S42" s="4"/>
      <c r="T42" s="4"/>
      <c r="U42" s="4"/>
      <c r="V42" s="4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4"/>
      <c r="AL42" s="22"/>
      <c r="AM42" s="22"/>
      <c r="AN42" s="22"/>
      <c r="AO42" s="22"/>
      <c r="AP42" s="22"/>
      <c r="AQ42" s="22"/>
      <c r="AR42" s="4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16"/>
      <c r="Q43" s="27"/>
      <c r="R43" s="27"/>
      <c r="S43" s="27"/>
      <c r="T43" s="27"/>
      <c r="U43" s="27"/>
      <c r="V43" s="27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4"/>
      <c r="AL43" s="4"/>
      <c r="AM43" s="4"/>
      <c r="AN43" s="4"/>
      <c r="AO43" s="4"/>
      <c r="AP43" s="4"/>
      <c r="AQ43" s="4"/>
      <c r="AR43" s="4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18"/>
      <c r="W44" s="4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9" t="s">
        <v>19</v>
      </c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</row>
    <row r="55" spans="1:79" ht="15" customHeight="1" x14ac:dyDescent="0.2">
      <c r="A55" s="50" t="s">
        <v>54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6" t="s">
        <v>17</v>
      </c>
      <c r="J55" s="46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6"/>
      <c r="J56" s="46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Triangle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7" t="str">
        <f>'Event Tree Input'!A27</f>
        <v>Node 1 Callout</v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29"/>
    </row>
    <row r="69" spans="2:26" ht="15" customHeight="1" x14ac:dyDescent="0.2"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29"/>
    </row>
    <row r="70" spans="2:26" ht="15" customHeight="1" x14ac:dyDescent="0.2"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29"/>
      <c r="X70" s="30"/>
      <c r="Y70" s="29"/>
    </row>
    <row r="71" spans="2:26" ht="15" customHeight="1" x14ac:dyDescent="0.2"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29"/>
      <c r="X71" s="30"/>
      <c r="Y71" s="29"/>
    </row>
    <row r="72" spans="2:26" ht="15" customHeight="1" x14ac:dyDescent="0.2"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29"/>
      <c r="X72" s="30"/>
      <c r="Y72" s="29"/>
    </row>
    <row r="73" spans="2:26" ht="15" customHeight="1" x14ac:dyDescent="0.2"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7" t="str">
        <f>'Event Tree Input'!A41</f>
        <v>Node 2 Callout</v>
      </c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2:26" ht="15" customHeight="1" x14ac:dyDescent="0.2"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30"/>
      <c r="X77" s="30"/>
    </row>
    <row r="78" spans="2:26" ht="15" customHeight="1" x14ac:dyDescent="0.2"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30"/>
      <c r="X78" s="30"/>
    </row>
    <row r="79" spans="2:26" ht="15" customHeight="1" x14ac:dyDescent="0.2"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30"/>
      <c r="X79" s="30"/>
    </row>
    <row r="80" spans="2:26" ht="15" customHeight="1" x14ac:dyDescent="0.2"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30"/>
      <c r="X80" s="30"/>
    </row>
    <row r="81" spans="2:24" ht="15" customHeight="1" x14ac:dyDescent="0.2"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7" t="str">
        <f>'Event Tree Input'!A55</f>
        <v>Node 3 Callout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2:24" ht="15" customHeight="1" x14ac:dyDescent="0.2"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2:24" ht="15" customHeight="1" x14ac:dyDescent="0.2"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2:24" ht="15" customHeight="1" x14ac:dyDescent="0.2"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2:24" ht="15" customHeight="1" x14ac:dyDescent="0.2"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2:24" ht="15" customHeight="1" x14ac:dyDescent="0.2"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7" t="str">
        <f>'Event Tree Input'!A69</f>
        <v>Node 4 Callout</v>
      </c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2:24" ht="15" customHeight="1" x14ac:dyDescent="0.2"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2:24" ht="15" customHeight="1" x14ac:dyDescent="0.2"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2:24" ht="15" customHeight="1" x14ac:dyDescent="0.2"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2:24" ht="15" customHeight="1" x14ac:dyDescent="0.2"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2:22" ht="15" customHeight="1" x14ac:dyDescent="0.2"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7" t="str">
        <f>'Event Tree Input'!A83</f>
        <v>Node 5 Callout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2:22" ht="15" customHeight="1" x14ac:dyDescent="0.2"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2:22" ht="15" customHeight="1" x14ac:dyDescent="0.2"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2:22" ht="15" customHeight="1" x14ac:dyDescent="0.2"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2:22" ht="15" customHeight="1" x14ac:dyDescent="0.2"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2:22" ht="15" customHeight="1" x14ac:dyDescent="0.2"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7" t="str">
        <f>'Event Tree Input'!A97</f>
        <v>Node 6 Callout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2:22" ht="15" customHeight="1" x14ac:dyDescent="0.2"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2:22" ht="15" customHeight="1" x14ac:dyDescent="0.2"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2:22" ht="15" customHeight="1" x14ac:dyDescent="0.2"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2:22" ht="15" customHeight="1" x14ac:dyDescent="0.2"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2:22" ht="15" customHeight="1" x14ac:dyDescent="0.2"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7" t="str">
        <f>'Event Tree Input'!A111</f>
        <v>Node 7 Callout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2:22" ht="15" customHeight="1" x14ac:dyDescent="0.2"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2:22" ht="15" customHeight="1" x14ac:dyDescent="0.2"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2:22" ht="15" customHeight="1" x14ac:dyDescent="0.2"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2:22" ht="15" customHeight="1" x14ac:dyDescent="0.2"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2:22" ht="15" customHeight="1" x14ac:dyDescent="0.2"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7" t="str">
        <f>'Event Tree Input'!A125</f>
        <v>Node 8 Callout</v>
      </c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2:22" ht="15" customHeight="1" x14ac:dyDescent="0.2"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2:22" ht="15" customHeight="1" x14ac:dyDescent="0.2"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2:22" ht="15" customHeight="1" x14ac:dyDescent="0.2"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2:22" ht="15" customHeight="1" x14ac:dyDescent="0.2"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2:22" ht="15" customHeight="1" x14ac:dyDescent="0.2"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7" t="str">
        <f>'Event Tree Input'!A139</f>
        <v>Node 9 Callout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2:22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2:22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2:22" ht="1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2:22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2:22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4:O35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BX12:BZ12 BT19:BZ19</xm:sqref>
        </x14:conditionalFormatting>
        <x14:conditionalFormatting xmlns:xm="http://schemas.microsoft.com/office/excel/2006/main">
          <x14:cfRule type="expression" priority="12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BF7:BF11 BM15:BN16 BM16:BM20</xm:sqref>
        </x14:conditionalFormatting>
        <x14:conditionalFormatting xmlns:xm="http://schemas.microsoft.com/office/excel/2006/main">
          <x14:cfRule type="expression" priority="11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AY7:BE7 AY14:BE14 AY8:AZ8 AY9:AY13 BG23:BL23</xm:sqref>
        </x14:conditionalFormatting>
        <x14:conditionalFormatting xmlns:xm="http://schemas.microsoft.com/office/excel/2006/main">
          <x14:cfRule type="expression" priority="10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AY15:AY16</xm:sqref>
        </x14:conditionalFormatting>
        <x14:conditionalFormatting xmlns:xm="http://schemas.microsoft.com/office/excel/2006/main">
          <x14:cfRule type="expression" priority="9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AR10:AX10 AR11:AS11 AR12:AR16</xm:sqref>
        </x14:conditionalFormatting>
        <x14:conditionalFormatting xmlns:xm="http://schemas.microsoft.com/office/excel/2006/main">
          <x14:cfRule type="expression" priority="8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AK13:AQ13 AK26:AQ26 AK14:AL14 AK18:AK21 AK25</xm:sqref>
        </x14:conditionalFormatting>
        <x14:conditionalFormatting xmlns:xm="http://schemas.microsoft.com/office/excel/2006/main">
          <x14:cfRule type="expression" priority="7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AD19:AJ19 AD32:AJ32 AD20:AE20 AD25:AD28 AD31</xm:sqref>
        </x14:conditionalFormatting>
        <x14:conditionalFormatting xmlns:xm="http://schemas.microsoft.com/office/excel/2006/main">
          <x14:cfRule type="expression" priority="6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W25:AC25 W38:AC38 W26:X26 W31:W34 W37</xm:sqref>
        </x14:conditionalFormatting>
        <x14:conditionalFormatting xmlns:xm="http://schemas.microsoft.com/office/excel/2006/main">
          <x14:cfRule type="expression" priority="5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4" id="{B014D749-EFEF-473F-9265-27E812C8FB52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AK36:AQ36 AK43:AQ43 AK37:AL37 AK38:AK42</xm:sqref>
        </x14:conditionalFormatting>
        <x14:conditionalFormatting xmlns:xm="http://schemas.microsoft.com/office/excel/2006/main">
          <x14:cfRule type="expression" priority="3" id="{791D91BE-46AA-423A-9289-4AF5C7E8AB48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AR22:AX22 AR40:AX40 AR23:AS23 AR24:AR28</xm:sqref>
        </x14:conditionalFormatting>
        <x14:conditionalFormatting xmlns:xm="http://schemas.microsoft.com/office/excel/2006/main">
          <x14:cfRule type="expression" priority="2" id="{44A08C27-BC75-40F4-94A6-24C2709F4395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BF16:BL16 BF17:BG17</xm:sqref>
        </x14:conditionalFormatting>
        <x14:conditionalFormatting xmlns:xm="http://schemas.microsoft.com/office/excel/2006/main">
          <x14:cfRule type="expression" priority="1" id="{BA2DD3A2-3BFD-44D2-A9A2-7408D056B36D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AY19:BE19 AY26:BE26 AY20:AZ20 AY21:AY25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6C8242F-14DA-428C-B4C2-F6CF1D9A93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82C97A-657A-47AD-9DDC-C59959E69B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0FA01E-23D2-4125-A5FD-208219322EE9}">
  <ds:schemaRefs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f254aa9d-3c64-433e-b325-d6b94ca3f691"/>
    <ds:schemaRef ds:uri="a8f80ecd-cddb-46c8-b263-c25672b580c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