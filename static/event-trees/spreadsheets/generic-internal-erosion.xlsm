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https://d.docs.live.net/8072d3ce0850374c/RMC Toolboxes/"/>
    </mc:Choice>
  </mc:AlternateContent>
  <xr:revisionPtr revIDLastSave="0" documentId="8_{501392DB-B8EC-4916-93AF-71289F9280BF}" xr6:coauthVersionLast="47" xr6:coauthVersionMax="47" xr10:uidLastSave="{00000000-0000-0000-0000-000000000000}"/>
  <bookViews>
    <workbookView xWindow="-120" yWindow="-120" windowWidth="29040" windowHeight="17520" activeTab="6" xr2:uid="{A7905DFA-89CE-48F4-B388-E61921010955}"/>
  </bookViews>
  <sheets>
    <sheet name="About" sheetId="9" r:id="rId1"/>
    <sheet name="Terms and Conditions" sheetId="10" r:id="rId2"/>
    <sheet name="Version History" sheetId="11" r:id="rId3"/>
    <sheet name="References" sheetId="12" r:id="rId4"/>
    <sheet name="Instructions" sheetId="24" r:id="rId5"/>
    <sheet name="Event Tree Input" sheetId="2" r:id="rId6"/>
    <sheet name="Event Tree" sheetId="14" r:id="rId7"/>
    <sheet name="Project Event Tree Input" sheetId="21" r:id="rId8"/>
    <sheet name="Project Event Tree" sheetId="23" r:id="rId9"/>
    <sheet name="P2" sheetId="25" state="hidden" r:id="rId10"/>
  </sheets>
  <definedNames>
    <definedName name="_AtRisk_SimSetting_AutomaticallyGenerateReports" hidden="1">FALSE</definedName>
    <definedName name="_AtRisk_SimSetting_AutomaticResultsDisplayMode" localSheetId="1" hidden="1">2</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-1</definedName>
    <definedName name="_AtRisk_SimSetting_MultipleCPUManualCount" hidden="1">8</definedName>
    <definedName name="_AtRisk_SimSetting_MultipleCPUMode" localSheetId="1" hidden="1">2</definedName>
    <definedName name="_AtRisk_SimSetting_MultipleCPUMode" hidden="1">2</definedName>
    <definedName name="_AtRisk_SimSetting_MultipleCPUModeV8" hidden="1">2</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Callouts">'Event Tree'!$V$55</definedName>
    <definedName name="ConsIncRef1">'Project Event Tree Input'!$C$120</definedName>
    <definedName name="ConsIncRef2">'Project Event Tree Input'!$C$121</definedName>
    <definedName name="ConsNBRef1">'Project Event Tree Input'!$C$118</definedName>
    <definedName name="ConsNBRef2">'Project Event Tree Input'!$C$119</definedName>
    <definedName name="Cont_Reference" localSheetId="7">'Project Event Tree'!$AC$114:$AC$115</definedName>
    <definedName name="N1B1Shape">'Event Tree'!$K$57</definedName>
    <definedName name="N1B2Shape">'Event Tree'!$N$57</definedName>
    <definedName name="N1Call">'Event Tree'!$U$57</definedName>
    <definedName name="N1CallText">'Event Tree'!$B$68</definedName>
    <definedName name="N1Name">'Event Tree'!$X$57</definedName>
    <definedName name="N2B1Shape">'Event Tree'!$K$58</definedName>
    <definedName name="N2B2Shape">'Event Tree'!$N$58</definedName>
    <definedName name="N2Call">'Event Tree'!$U$58</definedName>
    <definedName name="N2CallText">'Event Tree'!$B$76</definedName>
    <definedName name="N2Name">'Event Tree'!$X$58</definedName>
    <definedName name="N3B1Shape">'Event Tree'!$K$59</definedName>
    <definedName name="N3B2Shape">'Event Tree'!$N$59</definedName>
    <definedName name="N3Call">'Event Tree'!$U$59</definedName>
    <definedName name="N3CallText">'Event Tree'!$B$84</definedName>
    <definedName name="N3Name">'Event Tree'!$X$59</definedName>
    <definedName name="N4B1Shape">'Event Tree'!$K$60</definedName>
    <definedName name="N4B2Shape">'Event Tree'!$N$60</definedName>
    <definedName name="N4Call">'Event Tree'!$U$60</definedName>
    <definedName name="N4CallText">'Event Tree'!$B$92</definedName>
    <definedName name="N4Name">'Event Tree'!$X$60</definedName>
    <definedName name="N5B1Shape">'Event Tree'!$K$61</definedName>
    <definedName name="N5B2Shape">'Event Tree'!$N$61</definedName>
    <definedName name="N5Call">'Event Tree'!$U$61</definedName>
    <definedName name="N5CallText">'Event Tree'!$B$100</definedName>
    <definedName name="N5Name">'Event Tree'!$X$61</definedName>
    <definedName name="N6B1Shape">'Event Tree'!$K$62</definedName>
    <definedName name="N6B2Shape">'Event Tree'!$N$62</definedName>
    <definedName name="N6Call">'Event Tree'!$U$62</definedName>
    <definedName name="N6CallText">'Event Tree'!$B$108</definedName>
    <definedName name="N6Name">'Event Tree'!$X$62</definedName>
    <definedName name="N7B1Shape">'Event Tree'!$K$63</definedName>
    <definedName name="N7B2Shape">'Event Tree'!$N$63</definedName>
    <definedName name="N7Call">'Event Tree'!$U$63</definedName>
    <definedName name="N7CallText">'Event Tree'!$B$116</definedName>
    <definedName name="N7Name">'Event Tree'!$X$63</definedName>
    <definedName name="N8B1Shape">'Event Tree'!$K$64</definedName>
    <definedName name="N8B2Shape">'Event Tree'!$N$64</definedName>
    <definedName name="N8Call">'Event Tree'!$U$64</definedName>
    <definedName name="N8CallText">'Event Tree'!$B$124</definedName>
    <definedName name="N8Name">'Event Tree'!$X$64</definedName>
    <definedName name="N9B1Shape">'Event Tree'!$K$65</definedName>
    <definedName name="N9B2Shape">'Event Tree'!$N$65</definedName>
    <definedName name="N9Call">'Event Tree'!$U$65</definedName>
    <definedName name="N9CallText">'Event Tree'!$B$132</definedName>
    <definedName name="N9Name">'Event Tree'!$X$65</definedName>
    <definedName name="Oval_Reference" localSheetId="9">'P2'!$U$462:$BW$466</definedName>
    <definedName name="Oval_Reference">'Project Event Tree'!$U$212:$AE$216</definedName>
    <definedName name="Pal_Workbook_GUID" localSheetId="1" hidden="1">"7EBB6IGHUFRCBLYK5T8MTB7B"</definedName>
    <definedName name="Pal_Workbook_GUID" hidden="1">"BP4PZSBBT3IIB14AVDRCTAYA"</definedName>
    <definedName name="_xlnm.Print_Area" localSheetId="0">About!$A$1:$H$26</definedName>
    <definedName name="_xlnm.Print_Area" localSheetId="6">'Event Tree'!$A$1:$CA$53</definedName>
    <definedName name="_xlnm.Print_Area" localSheetId="5">'Event Tree Input'!$A$1:$H$144</definedName>
    <definedName name="_xlnm.Print_Area" localSheetId="4">Instructions!$A$1:$H$103</definedName>
    <definedName name="_xlnm.Print_Area" localSheetId="9">'P2'!$A$1:$AW$319</definedName>
    <definedName name="_xlnm.Print_Area" localSheetId="8">'Project Event Tree'!$A$1:$AW$99</definedName>
    <definedName name="_xlnm.Print_Area" localSheetId="7">'Project Event Tree Input'!$A$1:$H$85</definedName>
    <definedName name="_xlnm.Print_Area" localSheetId="3">References!$A$1:$H$23</definedName>
    <definedName name="_xlnm.Print_Area" localSheetId="1">'Terms and Conditions'!$A$1:$H$63</definedName>
    <definedName name="_xlnm.Print_Area" localSheetId="2">'Version History'!$A$1:$J$30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8</definedName>
    <definedName name="RiskMinimizeOnStart" hidden="1">FALSE</definedName>
    <definedName name="RiskMonitorConvergence" hidden="1">FALSE</definedName>
    <definedName name="RiskMultipleCPUSupportEnabled" localSheetId="1" hidden="1">FALSE</definedName>
    <definedName name="RiskMultipleCPUSupportEnabled" hidden="1">FALSE</definedName>
    <definedName name="RiskNumIterations" localSheetId="1" hidden="1">10000</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electedCell" localSheetId="1" hidden="1">"$B$117"</definedName>
    <definedName name="RiskSelectedCell" hidden="1">"$B$62"</definedName>
    <definedName name="RiskSelectedNameCell1" localSheetId="1" hidden="1">"$A$117"</definedName>
    <definedName name="RiskSelectedNameCell1" hidden="1">"$A$62"</definedName>
    <definedName name="RiskSelectedNameCell2" hidden="1">"$B$49"</definedName>
    <definedName name="RiskSimulationResultsStorageLocation" hidden="1">"2"</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localSheetId="1" hidden="1">FALSE</definedName>
    <definedName name="RiskUseMultipleCPUs" hidden="1">FALSE</definedName>
    <definedName name="SeismicLoad">'Event Tree'!$F$55</definedName>
    <definedName name="test" hidden="1">5</definedName>
    <definedName name="Toolbox_Name" localSheetId="4">About!$A$9</definedName>
    <definedName name="Toolbox_Name" localSheetId="3">About!$A$9</definedName>
    <definedName name="Toolbox_Name" localSheetId="1">About!$A$9</definedName>
    <definedName name="Toolbox_Name" localSheetId="2">About!$A$9</definedName>
    <definedName name="Toolbox_Name">About!$A$9</definedName>
    <definedName name="Toolbox_Suite" localSheetId="4">About!$A$9</definedName>
    <definedName name="Toolbox_Suite" localSheetId="3">About!$A$9</definedName>
    <definedName name="Toolbox_Suite" localSheetId="1">About!$A$9</definedName>
    <definedName name="Toolbox_Suite" localSheetId="2">About!$A$9</definedName>
    <definedName name="Toolbox_Suite">About!$A$8</definedName>
    <definedName name="Toolbox_Version">About!$A$10</definedName>
    <definedName name="Triangle_Reference" localSheetId="9">'P2'!$U$494:$BW$495</definedName>
    <definedName name="Triangle_Reference">'Project Event Tree'!$U$244:$AE$245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X404" i="25" l="1"/>
  <c r="AX405" i="25"/>
  <c r="AX409" i="25"/>
  <c r="AX410" i="25"/>
  <c r="AX411" i="25"/>
  <c r="AX412" i="25"/>
  <c r="AX413" i="25"/>
  <c r="AX414" i="25"/>
  <c r="V404" i="25"/>
  <c r="A123" i="21"/>
  <c r="AM156" i="23"/>
  <c r="AM157" i="23"/>
  <c r="AM159" i="23"/>
  <c r="AM160" i="23"/>
  <c r="AM161" i="23"/>
  <c r="AM162" i="23"/>
  <c r="AM163" i="23"/>
  <c r="AM164" i="23"/>
  <c r="B115" i="21"/>
  <c r="B114" i="21"/>
  <c r="B113" i="21"/>
  <c r="B112" i="21"/>
  <c r="B111" i="21"/>
  <c r="M359" i="25"/>
  <c r="N359" i="25"/>
  <c r="O359" i="25"/>
  <c r="P359" i="25"/>
  <c r="Q359" i="25"/>
  <c r="R359" i="25"/>
  <c r="S359" i="25"/>
  <c r="T359" i="25"/>
  <c r="U359" i="25"/>
  <c r="V359" i="25"/>
  <c r="W359" i="25"/>
  <c r="X359" i="25"/>
  <c r="Y359" i="25"/>
  <c r="Z359" i="25"/>
  <c r="AA359" i="25"/>
  <c r="AB359" i="25"/>
  <c r="AC359" i="25"/>
  <c r="AD359" i="25"/>
  <c r="AE359" i="25"/>
  <c r="AF359" i="25"/>
  <c r="AG359" i="25"/>
  <c r="AH359" i="25"/>
  <c r="AI359" i="25"/>
  <c r="AJ359" i="25"/>
  <c r="AK359" i="25"/>
  <c r="AL359" i="25"/>
  <c r="AM359" i="25"/>
  <c r="AN359" i="25"/>
  <c r="AO359" i="25"/>
  <c r="AP359" i="25"/>
  <c r="AQ359" i="25"/>
  <c r="AR359" i="25"/>
  <c r="AS359" i="25"/>
  <c r="AT359" i="25"/>
  <c r="AU359" i="25"/>
  <c r="AV359" i="25"/>
  <c r="AW359" i="25"/>
  <c r="AX359" i="25"/>
  <c r="AY359" i="25"/>
  <c r="AZ359" i="25"/>
  <c r="BA359" i="25"/>
  <c r="BB359" i="25"/>
  <c r="BC359" i="25"/>
  <c r="BD359" i="25"/>
  <c r="BE359" i="25"/>
  <c r="BF359" i="25"/>
  <c r="BG359" i="25"/>
  <c r="BH359" i="25"/>
  <c r="BI359" i="25"/>
  <c r="BJ359" i="25"/>
  <c r="BK359" i="25"/>
  <c r="M358" i="25"/>
  <c r="N358" i="25"/>
  <c r="O358" i="25"/>
  <c r="P358" i="25"/>
  <c r="Q358" i="25"/>
  <c r="R358" i="25"/>
  <c r="S358" i="25"/>
  <c r="T358" i="25"/>
  <c r="U358" i="25"/>
  <c r="V358" i="25"/>
  <c r="W358" i="25"/>
  <c r="X358" i="25"/>
  <c r="Y358" i="25"/>
  <c r="Z358" i="25"/>
  <c r="AA358" i="25"/>
  <c r="AB358" i="25"/>
  <c r="AC358" i="25"/>
  <c r="AD358" i="25"/>
  <c r="AE358" i="25"/>
  <c r="AF358" i="25"/>
  <c r="AG358" i="25"/>
  <c r="AH358" i="25"/>
  <c r="AI358" i="25"/>
  <c r="AJ358" i="25"/>
  <c r="AK358" i="25"/>
  <c r="AL358" i="25"/>
  <c r="AM358" i="25"/>
  <c r="AN358" i="25"/>
  <c r="AO358" i="25"/>
  <c r="AP358" i="25"/>
  <c r="AQ358" i="25"/>
  <c r="AR358" i="25"/>
  <c r="AS358" i="25"/>
  <c r="AT358" i="25"/>
  <c r="AU358" i="25"/>
  <c r="AV358" i="25"/>
  <c r="AW358" i="25"/>
  <c r="AX358" i="25"/>
  <c r="AY358" i="25"/>
  <c r="AZ358" i="25"/>
  <c r="BA358" i="25"/>
  <c r="BB358" i="25"/>
  <c r="BC358" i="25"/>
  <c r="BD358" i="25"/>
  <c r="BE358" i="25"/>
  <c r="BF358" i="25"/>
  <c r="BG358" i="25"/>
  <c r="BH358" i="25"/>
  <c r="BI358" i="25"/>
  <c r="BJ358" i="25"/>
  <c r="BK358" i="25"/>
  <c r="V405" i="25" l="1"/>
  <c r="AX406" i="25" s="1"/>
  <c r="H143" i="21"/>
  <c r="H144" i="21"/>
  <c r="H145" i="21"/>
  <c r="H146" i="21"/>
  <c r="H147" i="21"/>
  <c r="H148" i="21"/>
  <c r="H149" i="21"/>
  <c r="H150" i="21"/>
  <c r="H151" i="21"/>
  <c r="H142" i="21"/>
  <c r="E143" i="21"/>
  <c r="I143" i="21" s="1"/>
  <c r="E144" i="21"/>
  <c r="I144" i="21" s="1"/>
  <c r="E145" i="21"/>
  <c r="I145" i="21" s="1"/>
  <c r="E146" i="21"/>
  <c r="I146" i="21" s="1"/>
  <c r="E147" i="21"/>
  <c r="I147" i="21" s="1"/>
  <c r="E148" i="21"/>
  <c r="I148" i="21" s="1"/>
  <c r="E149" i="21"/>
  <c r="I149" i="21" s="1"/>
  <c r="E150" i="21"/>
  <c r="I150" i="21" s="1"/>
  <c r="E151" i="21"/>
  <c r="I151" i="21" s="1"/>
  <c r="E142" i="21"/>
  <c r="I142" i="21" s="1"/>
  <c r="G143" i="21"/>
  <c r="K143" i="21" s="1"/>
  <c r="G144" i="21"/>
  <c r="K144" i="21" s="1"/>
  <c r="G145" i="21"/>
  <c r="K145" i="21" s="1"/>
  <c r="G146" i="21"/>
  <c r="K146" i="21" s="1"/>
  <c r="G147" i="21"/>
  <c r="K147" i="21" s="1"/>
  <c r="G148" i="21"/>
  <c r="K148" i="21" s="1"/>
  <c r="G149" i="21"/>
  <c r="K149" i="21" s="1"/>
  <c r="G150" i="21"/>
  <c r="K150" i="21" s="1"/>
  <c r="G151" i="21"/>
  <c r="K151" i="21" s="1"/>
  <c r="G142" i="21"/>
  <c r="K142" i="21" s="1"/>
  <c r="F143" i="21"/>
  <c r="J143" i="21" s="1"/>
  <c r="F144" i="21"/>
  <c r="J144" i="21" s="1"/>
  <c r="F145" i="21"/>
  <c r="J145" i="21" s="1"/>
  <c r="F146" i="21"/>
  <c r="J146" i="21" s="1"/>
  <c r="F147" i="21"/>
  <c r="J147" i="21" s="1"/>
  <c r="F148" i="21"/>
  <c r="J148" i="21" s="1"/>
  <c r="F149" i="21"/>
  <c r="J149" i="21" s="1"/>
  <c r="F150" i="21"/>
  <c r="J150" i="21" s="1"/>
  <c r="F151" i="21"/>
  <c r="J151" i="21" s="1"/>
  <c r="F142" i="21"/>
  <c r="J142" i="21" s="1"/>
  <c r="B364" i="25"/>
  <c r="C364" i="25" s="1"/>
  <c r="D364" i="25" s="1"/>
  <c r="E364" i="25" s="1"/>
  <c r="F364" i="25" s="1"/>
  <c r="G364" i="25" s="1"/>
  <c r="B363" i="25"/>
  <c r="BP359" i="25"/>
  <c r="BO359" i="25"/>
  <c r="BN359" i="25"/>
  <c r="BM359" i="25"/>
  <c r="BL359" i="25"/>
  <c r="BP358" i="25"/>
  <c r="BO358" i="25"/>
  <c r="BN358" i="25"/>
  <c r="BM358" i="25"/>
  <c r="BL358" i="25"/>
  <c r="V345" i="25"/>
  <c r="W345" i="25" s="1"/>
  <c r="X345" i="25" s="1"/>
  <c r="Y345" i="25" s="1"/>
  <c r="Z345" i="25" s="1"/>
  <c r="AA345" i="25" s="1"/>
  <c r="AB345" i="25" s="1"/>
  <c r="AC345" i="25" s="1"/>
  <c r="AD345" i="25" s="1"/>
  <c r="AE345" i="25" s="1"/>
  <c r="AF345" i="25" s="1"/>
  <c r="AG345" i="25" s="1"/>
  <c r="AH345" i="25" s="1"/>
  <c r="AI345" i="25" s="1"/>
  <c r="AJ345" i="25" s="1"/>
  <c r="AK345" i="25" s="1"/>
  <c r="AL345" i="25" s="1"/>
  <c r="AM345" i="25" s="1"/>
  <c r="AN345" i="25" s="1"/>
  <c r="AO345" i="25" s="1"/>
  <c r="AP345" i="25" s="1"/>
  <c r="AQ345" i="25" s="1"/>
  <c r="AR345" i="25" s="1"/>
  <c r="AS345" i="25" s="1"/>
  <c r="AT345" i="25" s="1"/>
  <c r="AU345" i="25" s="1"/>
  <c r="AV345" i="25" s="1"/>
  <c r="AW345" i="25" s="1"/>
  <c r="AX345" i="25" s="1"/>
  <c r="AY345" i="25" s="1"/>
  <c r="AZ345" i="25" s="1"/>
  <c r="BA345" i="25" s="1"/>
  <c r="BB345" i="25" s="1"/>
  <c r="BC345" i="25" s="1"/>
  <c r="BD345" i="25" s="1"/>
  <c r="BE345" i="25" s="1"/>
  <c r="BF345" i="25" s="1"/>
  <c r="BG345" i="25" s="1"/>
  <c r="BH345" i="25" s="1"/>
  <c r="BI345" i="25" s="1"/>
  <c r="BJ345" i="25" s="1"/>
  <c r="BK345" i="25" s="1"/>
  <c r="BL345" i="25" s="1"/>
  <c r="BM345" i="25" s="1"/>
  <c r="BN345" i="25" s="1"/>
  <c r="BO345" i="25" s="1"/>
  <c r="BP345" i="25" s="1"/>
  <c r="BQ345" i="25" s="1"/>
  <c r="BR345" i="25" s="1"/>
  <c r="BS345" i="25" s="1"/>
  <c r="BT345" i="25" s="1"/>
  <c r="BU345" i="25" s="1"/>
  <c r="BV345" i="25" s="1"/>
  <c r="BW345" i="25" s="1"/>
  <c r="B227" i="25" a="1"/>
  <c r="B77" i="25" a="1"/>
  <c r="B292" i="25" a="1"/>
  <c r="B187" i="25" a="1"/>
  <c r="B297" i="25" a="1"/>
  <c r="B277" i="25" a="1"/>
  <c r="B47" i="25" a="1"/>
  <c r="B152" i="25" a="1"/>
  <c r="B57" i="25" a="1"/>
  <c r="B172" i="25" a="1"/>
  <c r="B147" i="25" a="1"/>
  <c r="B287" i="25" a="1"/>
  <c r="B167" i="25" a="1"/>
  <c r="B252" i="25" a="1"/>
  <c r="B162" i="25" a="1"/>
  <c r="B242" i="25" a="1"/>
  <c r="B107" i="25" a="1"/>
  <c r="B117" i="25" a="1"/>
  <c r="B302" i="25" a="1"/>
  <c r="B212" i="25" a="1"/>
  <c r="B92" i="25" a="1"/>
  <c r="B142" i="25" a="1"/>
  <c r="B182" i="25" a="1"/>
  <c r="B157" i="25" a="1"/>
  <c r="B262" i="25" a="1"/>
  <c r="B62" i="25" a="1"/>
  <c r="B87" i="25" a="1"/>
  <c r="B307" i="25" a="1"/>
  <c r="B207" i="25" a="1"/>
  <c r="B247" i="25" a="1"/>
  <c r="B127" i="25" a="1"/>
  <c r="B42" i="25" a="1"/>
  <c r="B97" i="25" a="1"/>
  <c r="B272" i="25" a="1"/>
  <c r="B267" i="25" a="1"/>
  <c r="B112" i="25" a="1"/>
  <c r="B137" i="25" a="1"/>
  <c r="B102" i="25" a="1"/>
  <c r="B237" i="25" a="1"/>
  <c r="B122" i="25" a="1"/>
  <c r="B192" i="25" a="1"/>
  <c r="B132" i="25" a="1"/>
  <c r="B232" i="25" a="1"/>
  <c r="B222" i="25" a="1"/>
  <c r="B52" i="25" a="1"/>
  <c r="B282" i="25" a="1"/>
  <c r="B202" i="25" a="1"/>
  <c r="B72" i="25" a="1"/>
  <c r="B67" i="25" a="1"/>
  <c r="B257" i="25" a="1"/>
  <c r="B197" i="25" a="1"/>
  <c r="B82" i="25" a="1"/>
  <c r="B217" i="25" a="1"/>
  <c r="B177" i="25" a="1"/>
  <c r="AX408" i="25" l="1"/>
  <c r="AX407" i="25"/>
  <c r="C121" i="21" a="1"/>
  <c r="C121" i="21" s="1"/>
  <c r="B307" i="25"/>
  <c r="C307" i="25" s="1"/>
  <c r="D307" i="25" s="1"/>
  <c r="E307" i="25" s="1"/>
  <c r="F307" i="25" s="1"/>
  <c r="G307" i="25" s="1"/>
  <c r="H307" i="25" s="1"/>
  <c r="B302" i="25"/>
  <c r="C302" i="25" s="1"/>
  <c r="D302" i="25" s="1"/>
  <c r="E302" i="25" s="1"/>
  <c r="F302" i="25" s="1"/>
  <c r="G302" i="25" s="1"/>
  <c r="H302" i="25" s="1"/>
  <c r="B297" i="25"/>
  <c r="C297" i="25" s="1"/>
  <c r="D297" i="25" s="1"/>
  <c r="E297" i="25" s="1"/>
  <c r="F297" i="25" s="1"/>
  <c r="G297" i="25" s="1"/>
  <c r="H297" i="25" s="1"/>
  <c r="B292" i="25"/>
  <c r="C292" i="25" s="1"/>
  <c r="D292" i="25" s="1"/>
  <c r="E292" i="25" s="1"/>
  <c r="F292" i="25" s="1"/>
  <c r="G292" i="25" s="1"/>
  <c r="H292" i="25" s="1"/>
  <c r="B287" i="25"/>
  <c r="C287" i="25" s="1"/>
  <c r="D287" i="25" s="1"/>
  <c r="E287" i="25" s="1"/>
  <c r="F287" i="25" s="1"/>
  <c r="G287" i="25" s="1"/>
  <c r="H287" i="25" s="1"/>
  <c r="B282" i="25"/>
  <c r="C282" i="25" s="1"/>
  <c r="D282" i="25" s="1"/>
  <c r="E282" i="25" s="1"/>
  <c r="F282" i="25" s="1"/>
  <c r="G282" i="25" s="1"/>
  <c r="H282" i="25" s="1"/>
  <c r="B277" i="25"/>
  <c r="C277" i="25" s="1"/>
  <c r="D277" i="25" s="1"/>
  <c r="E277" i="25" s="1"/>
  <c r="F277" i="25" s="1"/>
  <c r="G277" i="25" s="1"/>
  <c r="H277" i="25" s="1"/>
  <c r="B272" i="25"/>
  <c r="C272" i="25" s="1"/>
  <c r="D272" i="25" s="1"/>
  <c r="E272" i="25" s="1"/>
  <c r="F272" i="25" s="1"/>
  <c r="G272" i="25" s="1"/>
  <c r="H272" i="25" s="1"/>
  <c r="B267" i="25"/>
  <c r="C267" i="25" s="1"/>
  <c r="D267" i="25" s="1"/>
  <c r="E267" i="25" s="1"/>
  <c r="F267" i="25" s="1"/>
  <c r="G267" i="25" s="1"/>
  <c r="H267" i="25" s="1"/>
  <c r="B262" i="25"/>
  <c r="C262" i="25" s="1"/>
  <c r="D262" i="25" s="1"/>
  <c r="E262" i="25" s="1"/>
  <c r="F262" i="25" s="1"/>
  <c r="G262" i="25" s="1"/>
  <c r="H262" i="25" s="1"/>
  <c r="B257" i="25"/>
  <c r="C257" i="25" s="1"/>
  <c r="D257" i="25" s="1"/>
  <c r="E257" i="25" s="1"/>
  <c r="F257" i="25" s="1"/>
  <c r="G257" i="25" s="1"/>
  <c r="H257" i="25" s="1"/>
  <c r="B252" i="25"/>
  <c r="C252" i="25" s="1"/>
  <c r="D252" i="25" s="1"/>
  <c r="E252" i="25" s="1"/>
  <c r="F252" i="25" s="1"/>
  <c r="G252" i="25" s="1"/>
  <c r="H252" i="25" s="1"/>
  <c r="B247" i="25"/>
  <c r="C247" i="25" s="1"/>
  <c r="D247" i="25" s="1"/>
  <c r="E247" i="25" s="1"/>
  <c r="F247" i="25" s="1"/>
  <c r="G247" i="25" s="1"/>
  <c r="H247" i="25" s="1"/>
  <c r="B242" i="25"/>
  <c r="C242" i="25" s="1"/>
  <c r="D242" i="25" s="1"/>
  <c r="E242" i="25" s="1"/>
  <c r="F242" i="25" s="1"/>
  <c r="G242" i="25" s="1"/>
  <c r="H242" i="25" s="1"/>
  <c r="B237" i="25"/>
  <c r="C237" i="25" s="1"/>
  <c r="D237" i="25" s="1"/>
  <c r="E237" i="25" s="1"/>
  <c r="F237" i="25" s="1"/>
  <c r="G237" i="25" s="1"/>
  <c r="H237" i="25" s="1"/>
  <c r="B232" i="25"/>
  <c r="C232" i="25" s="1"/>
  <c r="D232" i="25" s="1"/>
  <c r="E232" i="25" s="1"/>
  <c r="F232" i="25" s="1"/>
  <c r="G232" i="25" s="1"/>
  <c r="H232" i="25" s="1"/>
  <c r="B227" i="25"/>
  <c r="C227" i="25" s="1"/>
  <c r="D227" i="25" s="1"/>
  <c r="E227" i="25" s="1"/>
  <c r="F227" i="25" s="1"/>
  <c r="G227" i="25" s="1"/>
  <c r="H227" i="25" s="1"/>
  <c r="B222" i="25"/>
  <c r="C222" i="25" s="1"/>
  <c r="D222" i="25" s="1"/>
  <c r="E222" i="25" s="1"/>
  <c r="F222" i="25" s="1"/>
  <c r="G222" i="25" s="1"/>
  <c r="H222" i="25" s="1"/>
  <c r="B217" i="25"/>
  <c r="C217" i="25" s="1"/>
  <c r="D217" i="25" s="1"/>
  <c r="E217" i="25" s="1"/>
  <c r="F217" i="25" s="1"/>
  <c r="G217" i="25" s="1"/>
  <c r="H217" i="25" s="1"/>
  <c r="B212" i="25"/>
  <c r="C212" i="25" s="1"/>
  <c r="D212" i="25" s="1"/>
  <c r="E212" i="25" s="1"/>
  <c r="F212" i="25" s="1"/>
  <c r="G212" i="25" s="1"/>
  <c r="H212" i="25" s="1"/>
  <c r="B207" i="25"/>
  <c r="C207" i="25" s="1"/>
  <c r="D207" i="25" s="1"/>
  <c r="E207" i="25" s="1"/>
  <c r="F207" i="25" s="1"/>
  <c r="G207" i="25" s="1"/>
  <c r="H207" i="25" s="1"/>
  <c r="B202" i="25"/>
  <c r="C202" i="25" s="1"/>
  <c r="D202" i="25" s="1"/>
  <c r="E202" i="25" s="1"/>
  <c r="F202" i="25" s="1"/>
  <c r="G202" i="25" s="1"/>
  <c r="H202" i="25" s="1"/>
  <c r="B197" i="25"/>
  <c r="C197" i="25" s="1"/>
  <c r="D197" i="25" s="1"/>
  <c r="E197" i="25" s="1"/>
  <c r="F197" i="25" s="1"/>
  <c r="G197" i="25" s="1"/>
  <c r="H197" i="25" s="1"/>
  <c r="B192" i="25"/>
  <c r="C192" i="25" s="1"/>
  <c r="D192" i="25" s="1"/>
  <c r="E192" i="25" s="1"/>
  <c r="F192" i="25" s="1"/>
  <c r="G192" i="25" s="1"/>
  <c r="H192" i="25" s="1"/>
  <c r="B187" i="25"/>
  <c r="C187" i="25" s="1"/>
  <c r="D187" i="25" s="1"/>
  <c r="E187" i="25" s="1"/>
  <c r="F187" i="25" s="1"/>
  <c r="G187" i="25" s="1"/>
  <c r="H187" i="25" s="1"/>
  <c r="B182" i="25"/>
  <c r="C182" i="25" s="1"/>
  <c r="D182" i="25" s="1"/>
  <c r="E182" i="25" s="1"/>
  <c r="F182" i="25" s="1"/>
  <c r="G182" i="25" s="1"/>
  <c r="H182" i="25" s="1"/>
  <c r="B177" i="25"/>
  <c r="C177" i="25" s="1"/>
  <c r="D177" i="25" s="1"/>
  <c r="E177" i="25" s="1"/>
  <c r="F177" i="25" s="1"/>
  <c r="G177" i="25" s="1"/>
  <c r="H177" i="25" s="1"/>
  <c r="B172" i="25"/>
  <c r="C172" i="25" s="1"/>
  <c r="D172" i="25" s="1"/>
  <c r="E172" i="25" s="1"/>
  <c r="F172" i="25" s="1"/>
  <c r="G172" i="25" s="1"/>
  <c r="H172" i="25" s="1"/>
  <c r="B167" i="25"/>
  <c r="C167" i="25" s="1"/>
  <c r="D167" i="25" s="1"/>
  <c r="E167" i="25" s="1"/>
  <c r="F167" i="25" s="1"/>
  <c r="G167" i="25" s="1"/>
  <c r="H167" i="25" s="1"/>
  <c r="B162" i="25"/>
  <c r="C162" i="25" s="1"/>
  <c r="D162" i="25" s="1"/>
  <c r="E162" i="25" s="1"/>
  <c r="F162" i="25" s="1"/>
  <c r="G162" i="25" s="1"/>
  <c r="H162" i="25" s="1"/>
  <c r="B157" i="25"/>
  <c r="C157" i="25" s="1"/>
  <c r="D157" i="25" s="1"/>
  <c r="E157" i="25" s="1"/>
  <c r="F157" i="25" s="1"/>
  <c r="G157" i="25" s="1"/>
  <c r="H157" i="25" s="1"/>
  <c r="B152" i="25"/>
  <c r="C152" i="25" s="1"/>
  <c r="D152" i="25" s="1"/>
  <c r="E152" i="25" s="1"/>
  <c r="F152" i="25" s="1"/>
  <c r="G152" i="25" s="1"/>
  <c r="H152" i="25" s="1"/>
  <c r="B147" i="25"/>
  <c r="C147" i="25" s="1"/>
  <c r="D147" i="25" s="1"/>
  <c r="E147" i="25" s="1"/>
  <c r="F147" i="25" s="1"/>
  <c r="G147" i="25" s="1"/>
  <c r="H147" i="25" s="1"/>
  <c r="B142" i="25"/>
  <c r="C142" i="25" s="1"/>
  <c r="D142" i="25" s="1"/>
  <c r="E142" i="25" s="1"/>
  <c r="F142" i="25" s="1"/>
  <c r="G142" i="25" s="1"/>
  <c r="H142" i="25" s="1"/>
  <c r="B137" i="25"/>
  <c r="C137" i="25" s="1"/>
  <c r="D137" i="25" s="1"/>
  <c r="E137" i="25" s="1"/>
  <c r="F137" i="25" s="1"/>
  <c r="G137" i="25" s="1"/>
  <c r="H137" i="25" s="1"/>
  <c r="B132" i="25"/>
  <c r="C132" i="25" s="1"/>
  <c r="D132" i="25" s="1"/>
  <c r="E132" i="25" s="1"/>
  <c r="F132" i="25" s="1"/>
  <c r="G132" i="25" s="1"/>
  <c r="H132" i="25" s="1"/>
  <c r="B127" i="25"/>
  <c r="C127" i="25" s="1"/>
  <c r="D127" i="25" s="1"/>
  <c r="E127" i="25" s="1"/>
  <c r="F127" i="25" s="1"/>
  <c r="G127" i="25" s="1"/>
  <c r="H127" i="25" s="1"/>
  <c r="B122" i="25"/>
  <c r="C122" i="25" s="1"/>
  <c r="D122" i="25" s="1"/>
  <c r="E122" i="25" s="1"/>
  <c r="F122" i="25" s="1"/>
  <c r="G122" i="25" s="1"/>
  <c r="H122" i="25" s="1"/>
  <c r="B117" i="25"/>
  <c r="C117" i="25" s="1"/>
  <c r="D117" i="25" s="1"/>
  <c r="E117" i="25" s="1"/>
  <c r="F117" i="25" s="1"/>
  <c r="G117" i="25" s="1"/>
  <c r="H117" i="25" s="1"/>
  <c r="B112" i="25"/>
  <c r="C112" i="25" s="1"/>
  <c r="D112" i="25" s="1"/>
  <c r="E112" i="25" s="1"/>
  <c r="F112" i="25" s="1"/>
  <c r="G112" i="25" s="1"/>
  <c r="H112" i="25" s="1"/>
  <c r="B107" i="25"/>
  <c r="C107" i="25" s="1"/>
  <c r="D107" i="25" s="1"/>
  <c r="E107" i="25" s="1"/>
  <c r="F107" i="25" s="1"/>
  <c r="G107" i="25" s="1"/>
  <c r="H107" i="25" s="1"/>
  <c r="B102" i="25"/>
  <c r="C102" i="25" s="1"/>
  <c r="D102" i="25" s="1"/>
  <c r="E102" i="25" s="1"/>
  <c r="F102" i="25" s="1"/>
  <c r="G102" i="25" s="1"/>
  <c r="H102" i="25" s="1"/>
  <c r="B97" i="25"/>
  <c r="C97" i="25" s="1"/>
  <c r="D97" i="25" s="1"/>
  <c r="E97" i="25" s="1"/>
  <c r="F97" i="25" s="1"/>
  <c r="G97" i="25" s="1"/>
  <c r="H97" i="25" s="1"/>
  <c r="B92" i="25"/>
  <c r="C92" i="25" s="1"/>
  <c r="D92" i="25" s="1"/>
  <c r="E92" i="25" s="1"/>
  <c r="F92" i="25" s="1"/>
  <c r="G92" i="25" s="1"/>
  <c r="H92" i="25" s="1"/>
  <c r="B87" i="25"/>
  <c r="C87" i="25" s="1"/>
  <c r="D87" i="25" s="1"/>
  <c r="E87" i="25" s="1"/>
  <c r="F87" i="25" s="1"/>
  <c r="G87" i="25" s="1"/>
  <c r="H87" i="25" s="1"/>
  <c r="B82" i="25"/>
  <c r="C82" i="25" s="1"/>
  <c r="D82" i="25" s="1"/>
  <c r="E82" i="25" s="1"/>
  <c r="F82" i="25" s="1"/>
  <c r="G82" i="25" s="1"/>
  <c r="H82" i="25" s="1"/>
  <c r="B77" i="25"/>
  <c r="C77" i="25" s="1"/>
  <c r="D77" i="25" s="1"/>
  <c r="E77" i="25" s="1"/>
  <c r="F77" i="25" s="1"/>
  <c r="G77" i="25" s="1"/>
  <c r="H77" i="25" s="1"/>
  <c r="B72" i="25"/>
  <c r="C72" i="25" s="1"/>
  <c r="D72" i="25" s="1"/>
  <c r="E72" i="25" s="1"/>
  <c r="F72" i="25" s="1"/>
  <c r="G72" i="25" s="1"/>
  <c r="H72" i="25" s="1"/>
  <c r="B67" i="25"/>
  <c r="C67" i="25" s="1"/>
  <c r="D67" i="25" s="1"/>
  <c r="E67" i="25" s="1"/>
  <c r="F67" i="25" s="1"/>
  <c r="G67" i="25" s="1"/>
  <c r="H67" i="25" s="1"/>
  <c r="B62" i="25"/>
  <c r="C62" i="25" s="1"/>
  <c r="D62" i="25" s="1"/>
  <c r="E62" i="25" s="1"/>
  <c r="F62" i="25" s="1"/>
  <c r="G62" i="25" s="1"/>
  <c r="H62" i="25" s="1"/>
  <c r="B57" i="25"/>
  <c r="C57" i="25" s="1"/>
  <c r="D57" i="25" s="1"/>
  <c r="E57" i="25" s="1"/>
  <c r="F57" i="25" s="1"/>
  <c r="G57" i="25" s="1"/>
  <c r="H57" i="25" s="1"/>
  <c r="B52" i="25"/>
  <c r="C52" i="25" s="1"/>
  <c r="D52" i="25" s="1"/>
  <c r="E52" i="25" s="1"/>
  <c r="F52" i="25" s="1"/>
  <c r="G52" i="25" s="1"/>
  <c r="H52" i="25" s="1"/>
  <c r="B47" i="25"/>
  <c r="C47" i="25" s="1"/>
  <c r="D47" i="25" s="1"/>
  <c r="E47" i="25" s="1"/>
  <c r="F47" i="25" s="1"/>
  <c r="G47" i="25" s="1"/>
  <c r="H47" i="25" s="1"/>
  <c r="B42" i="25"/>
  <c r="C42" i="25" s="1"/>
  <c r="D42" i="25" s="1"/>
  <c r="E42" i="25" s="1"/>
  <c r="F42" i="25" s="1"/>
  <c r="G42" i="25" s="1"/>
  <c r="H42" i="25" s="1"/>
  <c r="V334" i="25" l="1"/>
  <c r="W334" i="25" s="1"/>
  <c r="X334" i="25" s="1"/>
  <c r="Y334" i="25" s="1"/>
  <c r="Z334" i="25" s="1"/>
  <c r="AA334" i="25" s="1"/>
  <c r="AB334" i="25" s="1"/>
  <c r="AC334" i="25" s="1"/>
  <c r="AD334" i="25" s="1"/>
  <c r="AE334" i="25" s="1"/>
  <c r="AF334" i="25" s="1"/>
  <c r="AG334" i="25" s="1"/>
  <c r="AH334" i="25" s="1"/>
  <c r="AI334" i="25" s="1"/>
  <c r="AJ334" i="25" s="1"/>
  <c r="AK334" i="25" s="1"/>
  <c r="AL334" i="25" s="1"/>
  <c r="AM334" i="25" s="1"/>
  <c r="AN334" i="25" s="1"/>
  <c r="AO334" i="25" s="1"/>
  <c r="AP334" i="25" s="1"/>
  <c r="AQ334" i="25" s="1"/>
  <c r="AR334" i="25" s="1"/>
  <c r="AS334" i="25" s="1"/>
  <c r="AT334" i="25" s="1"/>
  <c r="AU334" i="25" s="1"/>
  <c r="AV334" i="25" s="1"/>
  <c r="AW334" i="25" s="1"/>
  <c r="AX334" i="25" s="1"/>
  <c r="AY334" i="25" s="1"/>
  <c r="AZ334" i="25" s="1"/>
  <c r="BA334" i="25" s="1"/>
  <c r="BB334" i="25" s="1"/>
  <c r="BC334" i="25" s="1"/>
  <c r="BD334" i="25" s="1"/>
  <c r="BE334" i="25" s="1"/>
  <c r="BF334" i="25" s="1"/>
  <c r="BG334" i="25" s="1"/>
  <c r="BH334" i="25" s="1"/>
  <c r="BI334" i="25" s="1"/>
  <c r="BJ334" i="25" s="1"/>
  <c r="BK334" i="25" s="1"/>
  <c r="BL334" i="25" s="1"/>
  <c r="BM334" i="25" s="1"/>
  <c r="BN334" i="25" s="1"/>
  <c r="BO334" i="25" s="1"/>
  <c r="BP334" i="25" s="1"/>
  <c r="BQ334" i="25" s="1"/>
  <c r="BR334" i="25" s="1"/>
  <c r="BS334" i="25" s="1"/>
  <c r="BT334" i="25" s="1"/>
  <c r="BU334" i="25" s="1"/>
  <c r="BV334" i="25" s="1"/>
  <c r="BW334" i="25" s="1"/>
  <c r="V427" i="25" l="1" a="1"/>
  <c r="V427" i="25" s="1"/>
  <c r="W427" i="25" a="1"/>
  <c r="W427" i="25" s="1"/>
  <c r="X427" i="25" a="1"/>
  <c r="X427" i="25" s="1"/>
  <c r="Y427" i="25" a="1"/>
  <c r="Y427" i="25" s="1"/>
  <c r="Z427" i="25" a="1"/>
  <c r="Z427" i="25" s="1"/>
  <c r="AA427" i="25" a="1"/>
  <c r="AA427" i="25" s="1"/>
  <c r="AB427" i="25" a="1"/>
  <c r="AB427" i="25" s="1"/>
  <c r="AC427" i="25" a="1"/>
  <c r="AC427" i="25" s="1"/>
  <c r="AD427" i="25" a="1"/>
  <c r="AD427" i="25" s="1"/>
  <c r="AE427" i="25" a="1"/>
  <c r="AE427" i="25" s="1"/>
  <c r="AF427" i="25" a="1"/>
  <c r="AF427" i="25" s="1"/>
  <c r="AG427" i="25" a="1"/>
  <c r="AG427" i="25" s="1"/>
  <c r="AH427" i="25" a="1"/>
  <c r="AH427" i="25" s="1"/>
  <c r="AI427" i="25" a="1"/>
  <c r="AI427" i="25" s="1"/>
  <c r="AJ427" i="25" a="1"/>
  <c r="AJ427" i="25" s="1"/>
  <c r="AK427" i="25" a="1"/>
  <c r="AK427" i="25" s="1"/>
  <c r="AL427" i="25" a="1"/>
  <c r="AL427" i="25" s="1"/>
  <c r="AM427" i="25" a="1"/>
  <c r="AM427" i="25" s="1"/>
  <c r="AN427" i="25" a="1"/>
  <c r="AN427" i="25" s="1"/>
  <c r="AO427" i="25" a="1"/>
  <c r="AO427" i="25" s="1"/>
  <c r="AP427" i="25" a="1"/>
  <c r="AP427" i="25" s="1"/>
  <c r="AQ427" i="25" a="1"/>
  <c r="AQ427" i="25" s="1"/>
  <c r="AR427" i="25" a="1"/>
  <c r="AR427" i="25" s="1"/>
  <c r="AS427" i="25" a="1"/>
  <c r="AS427" i="25" s="1"/>
  <c r="AT427" i="25" a="1"/>
  <c r="AT427" i="25" s="1"/>
  <c r="AU427" i="25" a="1"/>
  <c r="AU427" i="25" s="1"/>
  <c r="AV427" i="25" a="1"/>
  <c r="AV427" i="25" s="1"/>
  <c r="AW427" i="25" a="1"/>
  <c r="AW427" i="25" s="1"/>
  <c r="AX427" i="25" a="1"/>
  <c r="AX427" i="25" s="1"/>
  <c r="AY427" i="25" a="1"/>
  <c r="AY427" i="25" s="1"/>
  <c r="AZ427" i="25" a="1"/>
  <c r="AZ427" i="25" s="1"/>
  <c r="BA427" i="25" a="1"/>
  <c r="BA427" i="25" s="1"/>
  <c r="BB427" i="25" a="1"/>
  <c r="BB427" i="25" s="1"/>
  <c r="BC427" i="25" a="1"/>
  <c r="BC427" i="25" s="1"/>
  <c r="BD427" i="25" a="1"/>
  <c r="BD427" i="25" s="1"/>
  <c r="BE427" i="25" a="1"/>
  <c r="BE427" i="25" s="1"/>
  <c r="BF427" i="25" a="1"/>
  <c r="BF427" i="25" s="1"/>
  <c r="BG427" i="25" a="1"/>
  <c r="BG427" i="25" s="1"/>
  <c r="BH427" i="25" a="1"/>
  <c r="BH427" i="25" s="1"/>
  <c r="BI427" i="25" a="1"/>
  <c r="BI427" i="25" s="1"/>
  <c r="BJ427" i="25" a="1"/>
  <c r="BJ427" i="25" s="1"/>
  <c r="BK427" i="25" a="1"/>
  <c r="BK427" i="25" s="1"/>
  <c r="BL427" i="25" a="1"/>
  <c r="BL427" i="25" s="1"/>
  <c r="BM427" i="25" a="1"/>
  <c r="BM427" i="25" s="1"/>
  <c r="BN427" i="25" a="1"/>
  <c r="BN427" i="25" s="1"/>
  <c r="BO427" i="25" a="1"/>
  <c r="BO427" i="25" s="1"/>
  <c r="BP427" i="25" a="1"/>
  <c r="BP427" i="25" s="1"/>
  <c r="BQ427" i="25" a="1"/>
  <c r="BQ427" i="25" s="1"/>
  <c r="BR427" i="25" a="1"/>
  <c r="BR427" i="25" s="1"/>
  <c r="BS427" i="25" a="1"/>
  <c r="BS427" i="25" s="1"/>
  <c r="BT427" i="25" a="1"/>
  <c r="BT427" i="25" s="1"/>
  <c r="BU427" i="25" a="1"/>
  <c r="BU427" i="25" s="1"/>
  <c r="BV427" i="25" a="1"/>
  <c r="BV427" i="25" s="1"/>
  <c r="BW427" i="25" a="1"/>
  <c r="BW427" i="25" s="1"/>
  <c r="V407" i="25"/>
  <c r="V408" i="25"/>
  <c r="V409" i="25"/>
  <c r="V410" i="25"/>
  <c r="V406" i="25"/>
  <c r="C436" i="25"/>
  <c r="D436" i="25" s="1"/>
  <c r="E436" i="25" s="1"/>
  <c r="F436" i="25" s="1"/>
  <c r="G436" i="25" s="1"/>
  <c r="C437" i="25"/>
  <c r="D437" i="25" s="1"/>
  <c r="E437" i="25" s="1"/>
  <c r="B389" i="25"/>
  <c r="C389" i="25" s="1"/>
  <c r="D389" i="25" s="1"/>
  <c r="E389" i="25" s="1"/>
  <c r="F389" i="25" s="1"/>
  <c r="G389" i="25" s="1"/>
  <c r="C363" i="25"/>
  <c r="D363" i="25" s="1"/>
  <c r="BH364" i="25"/>
  <c r="E105" i="23"/>
  <c r="E325" i="25"/>
  <c r="J403" i="25" s="1"/>
  <c r="G502" i="25"/>
  <c r="G501" i="25"/>
  <c r="G500" i="25"/>
  <c r="E506" i="25" s="1"/>
  <c r="G499" i="25"/>
  <c r="V488" i="25"/>
  <c r="W488" i="25" s="1"/>
  <c r="X488" i="25" s="1"/>
  <c r="Y488" i="25" s="1"/>
  <c r="Z488" i="25" s="1"/>
  <c r="AA488" i="25" s="1"/>
  <c r="AB488" i="25" s="1"/>
  <c r="AC488" i="25" s="1"/>
  <c r="AD488" i="25" s="1"/>
  <c r="AE488" i="25" s="1"/>
  <c r="AF488" i="25" s="1"/>
  <c r="AG488" i="25" s="1"/>
  <c r="AH488" i="25" s="1"/>
  <c r="AI488" i="25" s="1"/>
  <c r="AJ488" i="25" s="1"/>
  <c r="AK488" i="25" s="1"/>
  <c r="AL488" i="25" s="1"/>
  <c r="AM488" i="25" s="1"/>
  <c r="AN488" i="25" s="1"/>
  <c r="AO488" i="25" s="1"/>
  <c r="AP488" i="25" s="1"/>
  <c r="AQ488" i="25" s="1"/>
  <c r="AR488" i="25" s="1"/>
  <c r="AS488" i="25" s="1"/>
  <c r="AT488" i="25" s="1"/>
  <c r="AU488" i="25" s="1"/>
  <c r="AV488" i="25" s="1"/>
  <c r="AW488" i="25" s="1"/>
  <c r="AX488" i="25" s="1"/>
  <c r="AY488" i="25" s="1"/>
  <c r="AZ488" i="25" s="1"/>
  <c r="BA488" i="25" s="1"/>
  <c r="BB488" i="25" s="1"/>
  <c r="BC488" i="25" s="1"/>
  <c r="BD488" i="25" s="1"/>
  <c r="BE488" i="25" s="1"/>
  <c r="BF488" i="25" s="1"/>
  <c r="BG488" i="25" s="1"/>
  <c r="BH488" i="25" s="1"/>
  <c r="BI488" i="25" s="1"/>
  <c r="BJ488" i="25" s="1"/>
  <c r="BK488" i="25" s="1"/>
  <c r="BL488" i="25" s="1"/>
  <c r="BM488" i="25" s="1"/>
  <c r="BN488" i="25" s="1"/>
  <c r="BO488" i="25" s="1"/>
  <c r="BP488" i="25" s="1"/>
  <c r="BQ488" i="25" s="1"/>
  <c r="BR488" i="25" s="1"/>
  <c r="BS488" i="25" s="1"/>
  <c r="BT488" i="25" s="1"/>
  <c r="BU488" i="25" s="1"/>
  <c r="BV488" i="25" s="1"/>
  <c r="BW488" i="25" s="1"/>
  <c r="V485" i="25"/>
  <c r="W485" i="25" s="1"/>
  <c r="X485" i="25" s="1"/>
  <c r="Y485" i="25" s="1"/>
  <c r="Z485" i="25" s="1"/>
  <c r="AA485" i="25" s="1"/>
  <c r="AB485" i="25" s="1"/>
  <c r="AC485" i="25" s="1"/>
  <c r="AD485" i="25" s="1"/>
  <c r="AE485" i="25" s="1"/>
  <c r="V479" i="25"/>
  <c r="W479" i="25" s="1"/>
  <c r="X479" i="25" s="1"/>
  <c r="Y479" i="25" s="1"/>
  <c r="Z479" i="25" s="1"/>
  <c r="AA479" i="25" s="1"/>
  <c r="AB479" i="25" s="1"/>
  <c r="AC479" i="25" s="1"/>
  <c r="AD479" i="25" s="1"/>
  <c r="AE479" i="25" s="1"/>
  <c r="AF479" i="25" s="1"/>
  <c r="AG479" i="25" s="1"/>
  <c r="AH479" i="25" s="1"/>
  <c r="AI479" i="25" s="1"/>
  <c r="AJ479" i="25" s="1"/>
  <c r="AK479" i="25" s="1"/>
  <c r="AL479" i="25" s="1"/>
  <c r="AM479" i="25" s="1"/>
  <c r="AN479" i="25" s="1"/>
  <c r="AO479" i="25" s="1"/>
  <c r="AP479" i="25" s="1"/>
  <c r="AQ479" i="25" s="1"/>
  <c r="AR479" i="25" s="1"/>
  <c r="AS479" i="25" s="1"/>
  <c r="AT479" i="25" s="1"/>
  <c r="AU479" i="25" s="1"/>
  <c r="AV479" i="25" s="1"/>
  <c r="AW479" i="25" s="1"/>
  <c r="AX479" i="25" s="1"/>
  <c r="AY479" i="25" s="1"/>
  <c r="AZ479" i="25" s="1"/>
  <c r="BA479" i="25" s="1"/>
  <c r="BB479" i="25" s="1"/>
  <c r="BC479" i="25" s="1"/>
  <c r="BD479" i="25" s="1"/>
  <c r="BE479" i="25" s="1"/>
  <c r="BF479" i="25" s="1"/>
  <c r="BG479" i="25" s="1"/>
  <c r="BH479" i="25" s="1"/>
  <c r="BI479" i="25" s="1"/>
  <c r="BJ479" i="25" s="1"/>
  <c r="BK479" i="25" s="1"/>
  <c r="BL479" i="25" s="1"/>
  <c r="BM479" i="25" s="1"/>
  <c r="BN479" i="25" s="1"/>
  <c r="BO479" i="25" s="1"/>
  <c r="BP479" i="25" s="1"/>
  <c r="BQ479" i="25" s="1"/>
  <c r="BR479" i="25" s="1"/>
  <c r="BS479" i="25" s="1"/>
  <c r="BT479" i="25" s="1"/>
  <c r="BU479" i="25" s="1"/>
  <c r="BV479" i="25" s="1"/>
  <c r="BW479" i="25" s="1"/>
  <c r="V470" i="25"/>
  <c r="W470" i="25" s="1"/>
  <c r="X470" i="25" s="1"/>
  <c r="Y470" i="25" s="1"/>
  <c r="Z470" i="25" s="1"/>
  <c r="AA470" i="25" s="1"/>
  <c r="AB470" i="25" s="1"/>
  <c r="AC470" i="25" s="1"/>
  <c r="AD470" i="25" s="1"/>
  <c r="AE470" i="25" s="1"/>
  <c r="AF470" i="25" s="1"/>
  <c r="AG470" i="25" s="1"/>
  <c r="AH470" i="25" s="1"/>
  <c r="AI470" i="25" s="1"/>
  <c r="AJ470" i="25" s="1"/>
  <c r="AK470" i="25" s="1"/>
  <c r="AL470" i="25" s="1"/>
  <c r="AM470" i="25" s="1"/>
  <c r="AN470" i="25" s="1"/>
  <c r="AO470" i="25" s="1"/>
  <c r="AP470" i="25" s="1"/>
  <c r="AQ470" i="25" s="1"/>
  <c r="AR470" i="25" s="1"/>
  <c r="AS470" i="25" s="1"/>
  <c r="AT470" i="25" s="1"/>
  <c r="AU470" i="25" s="1"/>
  <c r="AV470" i="25" s="1"/>
  <c r="AW470" i="25" s="1"/>
  <c r="AX470" i="25" s="1"/>
  <c r="AY470" i="25" s="1"/>
  <c r="AZ470" i="25" s="1"/>
  <c r="BA470" i="25" s="1"/>
  <c r="BB470" i="25" s="1"/>
  <c r="BC470" i="25" s="1"/>
  <c r="BD470" i="25" s="1"/>
  <c r="BE470" i="25" s="1"/>
  <c r="BF470" i="25" s="1"/>
  <c r="BG470" i="25" s="1"/>
  <c r="BH470" i="25" s="1"/>
  <c r="BI470" i="25" s="1"/>
  <c r="BJ470" i="25" s="1"/>
  <c r="BK470" i="25" s="1"/>
  <c r="BL470" i="25" s="1"/>
  <c r="BM470" i="25" s="1"/>
  <c r="BN470" i="25" s="1"/>
  <c r="BO470" i="25" s="1"/>
  <c r="BP470" i="25" s="1"/>
  <c r="BQ470" i="25" s="1"/>
  <c r="BR470" i="25" s="1"/>
  <c r="BS470" i="25" s="1"/>
  <c r="BT470" i="25" s="1"/>
  <c r="BU470" i="25" s="1"/>
  <c r="BV470" i="25" s="1"/>
  <c r="BW470" i="25" s="1"/>
  <c r="V459" i="25"/>
  <c r="W459" i="25" s="1"/>
  <c r="X459" i="25" s="1"/>
  <c r="Y459" i="25" s="1"/>
  <c r="Z459" i="25" s="1"/>
  <c r="AA459" i="25" s="1"/>
  <c r="AB459" i="25" s="1"/>
  <c r="AC459" i="25" s="1"/>
  <c r="AD459" i="25" s="1"/>
  <c r="AE459" i="25" s="1"/>
  <c r="AF459" i="25" s="1"/>
  <c r="AG459" i="25" s="1"/>
  <c r="AH459" i="25" s="1"/>
  <c r="AI459" i="25" s="1"/>
  <c r="AJ459" i="25" s="1"/>
  <c r="AK459" i="25" s="1"/>
  <c r="AL459" i="25" s="1"/>
  <c r="AM459" i="25" s="1"/>
  <c r="AN459" i="25" s="1"/>
  <c r="AO459" i="25" s="1"/>
  <c r="AP459" i="25" s="1"/>
  <c r="AQ459" i="25" s="1"/>
  <c r="AR459" i="25" s="1"/>
  <c r="AS459" i="25" s="1"/>
  <c r="AT459" i="25" s="1"/>
  <c r="AU459" i="25" s="1"/>
  <c r="AV459" i="25" s="1"/>
  <c r="AW459" i="25" s="1"/>
  <c r="AX459" i="25" s="1"/>
  <c r="AY459" i="25" s="1"/>
  <c r="AZ459" i="25" s="1"/>
  <c r="BA459" i="25" s="1"/>
  <c r="BB459" i="25" s="1"/>
  <c r="BC459" i="25" s="1"/>
  <c r="BD459" i="25" s="1"/>
  <c r="BE459" i="25" s="1"/>
  <c r="BF459" i="25" s="1"/>
  <c r="BG459" i="25" s="1"/>
  <c r="BH459" i="25" s="1"/>
  <c r="BI459" i="25" s="1"/>
  <c r="BJ459" i="25" s="1"/>
  <c r="BK459" i="25" s="1"/>
  <c r="BL459" i="25" s="1"/>
  <c r="BM459" i="25" s="1"/>
  <c r="BN459" i="25" s="1"/>
  <c r="BO459" i="25" s="1"/>
  <c r="BP459" i="25" s="1"/>
  <c r="BQ459" i="25" s="1"/>
  <c r="BR459" i="25" s="1"/>
  <c r="BS459" i="25" s="1"/>
  <c r="BT459" i="25" s="1"/>
  <c r="BU459" i="25" s="1"/>
  <c r="BV459" i="25" s="1"/>
  <c r="BW459" i="25" s="1"/>
  <c r="V453" i="25"/>
  <c r="W453" i="25" s="1"/>
  <c r="X453" i="25" s="1"/>
  <c r="Y453" i="25" s="1"/>
  <c r="Z453" i="25" s="1"/>
  <c r="AA453" i="25" s="1"/>
  <c r="AB453" i="25" s="1"/>
  <c r="AC453" i="25" s="1"/>
  <c r="AD453" i="25" s="1"/>
  <c r="AE453" i="25" s="1"/>
  <c r="V450" i="25"/>
  <c r="W450" i="25" s="1"/>
  <c r="X450" i="25" s="1"/>
  <c r="Y450" i="25" s="1"/>
  <c r="Z450" i="25" s="1"/>
  <c r="AA450" i="25" s="1"/>
  <c r="AB450" i="25" s="1"/>
  <c r="AC450" i="25" s="1"/>
  <c r="AD450" i="25" s="1"/>
  <c r="AE450" i="25" s="1"/>
  <c r="AF450" i="25" s="1"/>
  <c r="AG450" i="25" s="1"/>
  <c r="AH450" i="25" s="1"/>
  <c r="AI450" i="25" s="1"/>
  <c r="AJ450" i="25" s="1"/>
  <c r="AK450" i="25" s="1"/>
  <c r="AL450" i="25" s="1"/>
  <c r="AM450" i="25" s="1"/>
  <c r="AN450" i="25" s="1"/>
  <c r="AO450" i="25" s="1"/>
  <c r="AP450" i="25" s="1"/>
  <c r="AQ450" i="25" s="1"/>
  <c r="AR450" i="25" s="1"/>
  <c r="AS450" i="25" s="1"/>
  <c r="AT450" i="25" s="1"/>
  <c r="AU450" i="25" s="1"/>
  <c r="AV450" i="25" s="1"/>
  <c r="AW450" i="25" s="1"/>
  <c r="AX450" i="25" s="1"/>
  <c r="AY450" i="25" s="1"/>
  <c r="AZ450" i="25" s="1"/>
  <c r="BA450" i="25" s="1"/>
  <c r="BB450" i="25" s="1"/>
  <c r="BC450" i="25" s="1"/>
  <c r="BD450" i="25" s="1"/>
  <c r="BE450" i="25" s="1"/>
  <c r="BF450" i="25" s="1"/>
  <c r="BG450" i="25" s="1"/>
  <c r="BH450" i="25" s="1"/>
  <c r="BI450" i="25" s="1"/>
  <c r="BJ450" i="25" s="1"/>
  <c r="BK450" i="25" s="1"/>
  <c r="BL450" i="25" s="1"/>
  <c r="BM450" i="25" s="1"/>
  <c r="BN450" i="25" s="1"/>
  <c r="BO450" i="25" s="1"/>
  <c r="BP450" i="25" s="1"/>
  <c r="BQ450" i="25" s="1"/>
  <c r="BR450" i="25" s="1"/>
  <c r="BS450" i="25" s="1"/>
  <c r="BT450" i="25" s="1"/>
  <c r="BU450" i="25" s="1"/>
  <c r="BV450" i="25" s="1"/>
  <c r="BW450" i="25" s="1"/>
  <c r="V441" i="25"/>
  <c r="W441" i="25" s="1"/>
  <c r="X441" i="25" s="1"/>
  <c r="Y441" i="25" s="1"/>
  <c r="Z441" i="25" s="1"/>
  <c r="AA441" i="25" s="1"/>
  <c r="AB441" i="25" s="1"/>
  <c r="AC441" i="25" s="1"/>
  <c r="AD441" i="25" s="1"/>
  <c r="AE441" i="25" s="1"/>
  <c r="AF441" i="25" s="1"/>
  <c r="AG441" i="25" s="1"/>
  <c r="AH441" i="25" s="1"/>
  <c r="AI441" i="25" s="1"/>
  <c r="AJ441" i="25" s="1"/>
  <c r="AK441" i="25" s="1"/>
  <c r="AL441" i="25" s="1"/>
  <c r="AM441" i="25" s="1"/>
  <c r="AN441" i="25" s="1"/>
  <c r="AO441" i="25" s="1"/>
  <c r="AP441" i="25" s="1"/>
  <c r="AQ441" i="25" s="1"/>
  <c r="AR441" i="25" s="1"/>
  <c r="AS441" i="25" s="1"/>
  <c r="AT441" i="25" s="1"/>
  <c r="AU441" i="25" s="1"/>
  <c r="AV441" i="25" s="1"/>
  <c r="AW441" i="25" s="1"/>
  <c r="AX441" i="25" s="1"/>
  <c r="AY441" i="25" s="1"/>
  <c r="AZ441" i="25" s="1"/>
  <c r="BA441" i="25" s="1"/>
  <c r="BB441" i="25" s="1"/>
  <c r="BC441" i="25" s="1"/>
  <c r="BD441" i="25" s="1"/>
  <c r="BE441" i="25" s="1"/>
  <c r="BF441" i="25" s="1"/>
  <c r="BG441" i="25" s="1"/>
  <c r="BH441" i="25" s="1"/>
  <c r="BI441" i="25" s="1"/>
  <c r="BJ441" i="25" s="1"/>
  <c r="BK441" i="25" s="1"/>
  <c r="BL441" i="25" s="1"/>
  <c r="BM441" i="25" s="1"/>
  <c r="BN441" i="25" s="1"/>
  <c r="BO441" i="25" s="1"/>
  <c r="BP441" i="25" s="1"/>
  <c r="BQ441" i="25" s="1"/>
  <c r="BR441" i="25" s="1"/>
  <c r="BS441" i="25" s="1"/>
  <c r="BT441" i="25" s="1"/>
  <c r="BU441" i="25" s="1"/>
  <c r="BV441" i="25" s="1"/>
  <c r="BW441" i="25" s="1"/>
  <c r="V425" i="25"/>
  <c r="W425" i="25" s="1"/>
  <c r="X425" i="25" s="1"/>
  <c r="Y425" i="25" s="1"/>
  <c r="Z425" i="25" s="1"/>
  <c r="AA425" i="25" s="1"/>
  <c r="AB425" i="25" s="1"/>
  <c r="AC425" i="25" s="1"/>
  <c r="AD425" i="25" s="1"/>
  <c r="AE425" i="25" s="1"/>
  <c r="AF425" i="25" s="1"/>
  <c r="AG425" i="25" s="1"/>
  <c r="AH425" i="25" s="1"/>
  <c r="AI425" i="25" s="1"/>
  <c r="AJ425" i="25" s="1"/>
  <c r="AK425" i="25" s="1"/>
  <c r="AL425" i="25" s="1"/>
  <c r="AM425" i="25" s="1"/>
  <c r="AN425" i="25" s="1"/>
  <c r="AO425" i="25" s="1"/>
  <c r="AP425" i="25" s="1"/>
  <c r="AQ425" i="25" s="1"/>
  <c r="AR425" i="25" s="1"/>
  <c r="AS425" i="25" s="1"/>
  <c r="AT425" i="25" s="1"/>
  <c r="AU425" i="25" s="1"/>
  <c r="AV425" i="25" s="1"/>
  <c r="AW425" i="25" s="1"/>
  <c r="AX425" i="25" s="1"/>
  <c r="AY425" i="25" s="1"/>
  <c r="AZ425" i="25" s="1"/>
  <c r="BA425" i="25" s="1"/>
  <c r="BB425" i="25" s="1"/>
  <c r="BC425" i="25" s="1"/>
  <c r="BD425" i="25" s="1"/>
  <c r="BE425" i="25" s="1"/>
  <c r="BF425" i="25" s="1"/>
  <c r="BG425" i="25" s="1"/>
  <c r="BH425" i="25" s="1"/>
  <c r="BI425" i="25" s="1"/>
  <c r="BJ425" i="25" s="1"/>
  <c r="BK425" i="25" s="1"/>
  <c r="BL425" i="25" s="1"/>
  <c r="BM425" i="25" s="1"/>
  <c r="BN425" i="25" s="1"/>
  <c r="BO425" i="25" s="1"/>
  <c r="BP425" i="25" s="1"/>
  <c r="BQ425" i="25" s="1"/>
  <c r="BR425" i="25" s="1"/>
  <c r="BS425" i="25" s="1"/>
  <c r="BT425" i="25" s="1"/>
  <c r="BU425" i="25" s="1"/>
  <c r="BV425" i="25" s="1"/>
  <c r="BW425" i="25" s="1"/>
  <c r="AI414" i="25"/>
  <c r="AF414" i="25"/>
  <c r="AI413" i="25"/>
  <c r="AF413" i="25"/>
  <c r="AI412" i="25"/>
  <c r="AF412" i="25"/>
  <c r="AI411" i="25"/>
  <c r="AF411" i="25"/>
  <c r="AI410" i="25"/>
  <c r="AF410" i="25"/>
  <c r="AI409" i="25"/>
  <c r="AF409" i="25"/>
  <c r="AF408" i="25"/>
  <c r="AF407" i="25"/>
  <c r="AF406" i="25"/>
  <c r="AF405" i="25"/>
  <c r="AI404" i="25"/>
  <c r="V394" i="25"/>
  <c r="W394" i="25" s="1"/>
  <c r="X394" i="25" s="1"/>
  <c r="Y394" i="25" s="1"/>
  <c r="Z394" i="25" s="1"/>
  <c r="AA394" i="25" s="1"/>
  <c r="AB394" i="25" s="1"/>
  <c r="AC394" i="25" s="1"/>
  <c r="AD394" i="25" s="1"/>
  <c r="AE394" i="25" s="1"/>
  <c r="AF394" i="25" s="1"/>
  <c r="AG394" i="25" s="1"/>
  <c r="AH394" i="25" s="1"/>
  <c r="AI394" i="25" s="1"/>
  <c r="AJ394" i="25" s="1"/>
  <c r="AK394" i="25" s="1"/>
  <c r="AL394" i="25" s="1"/>
  <c r="AM394" i="25" s="1"/>
  <c r="AN394" i="25" s="1"/>
  <c r="AO394" i="25" s="1"/>
  <c r="AP394" i="25" s="1"/>
  <c r="AQ394" i="25" s="1"/>
  <c r="AR394" i="25" s="1"/>
  <c r="AS394" i="25" s="1"/>
  <c r="AT394" i="25" s="1"/>
  <c r="AU394" i="25" s="1"/>
  <c r="AV394" i="25" s="1"/>
  <c r="AW394" i="25" s="1"/>
  <c r="AX394" i="25" s="1"/>
  <c r="AY394" i="25" s="1"/>
  <c r="AZ394" i="25" s="1"/>
  <c r="BA394" i="25" s="1"/>
  <c r="BB394" i="25" s="1"/>
  <c r="BC394" i="25" s="1"/>
  <c r="BD394" i="25" s="1"/>
  <c r="BE394" i="25" s="1"/>
  <c r="BF394" i="25" s="1"/>
  <c r="BG394" i="25" s="1"/>
  <c r="BH394" i="25" s="1"/>
  <c r="BI394" i="25" s="1"/>
  <c r="BJ394" i="25" s="1"/>
  <c r="BK394" i="25" s="1"/>
  <c r="BL394" i="25" s="1"/>
  <c r="BM394" i="25" s="1"/>
  <c r="BN394" i="25" s="1"/>
  <c r="BO394" i="25" s="1"/>
  <c r="BP394" i="25" s="1"/>
  <c r="BQ394" i="25" s="1"/>
  <c r="BR394" i="25" s="1"/>
  <c r="BS394" i="25" s="1"/>
  <c r="BT394" i="25" s="1"/>
  <c r="BU394" i="25" s="1"/>
  <c r="BV394" i="25" s="1"/>
  <c r="BW394" i="25" s="1"/>
  <c r="V378" i="25"/>
  <c r="W378" i="25" s="1"/>
  <c r="X378" i="25" s="1"/>
  <c r="Y378" i="25" s="1"/>
  <c r="Z378" i="25" s="1"/>
  <c r="AA378" i="25" s="1"/>
  <c r="AB378" i="25" s="1"/>
  <c r="AC378" i="25" s="1"/>
  <c r="AD378" i="25" s="1"/>
  <c r="AE378" i="25" s="1"/>
  <c r="AF378" i="25" s="1"/>
  <c r="AG378" i="25" s="1"/>
  <c r="AH378" i="25" s="1"/>
  <c r="AI378" i="25" s="1"/>
  <c r="AJ378" i="25" s="1"/>
  <c r="AK378" i="25" s="1"/>
  <c r="AL378" i="25" s="1"/>
  <c r="AM378" i="25" s="1"/>
  <c r="AN378" i="25" s="1"/>
  <c r="AO378" i="25" s="1"/>
  <c r="AP378" i="25" s="1"/>
  <c r="AQ378" i="25" s="1"/>
  <c r="AR378" i="25" s="1"/>
  <c r="AS378" i="25" s="1"/>
  <c r="AT378" i="25" s="1"/>
  <c r="AU378" i="25" s="1"/>
  <c r="AV378" i="25" s="1"/>
  <c r="AW378" i="25" s="1"/>
  <c r="AX378" i="25" s="1"/>
  <c r="AY378" i="25" s="1"/>
  <c r="AZ378" i="25" s="1"/>
  <c r="BA378" i="25" s="1"/>
  <c r="BB378" i="25" s="1"/>
  <c r="BC378" i="25" s="1"/>
  <c r="BD378" i="25" s="1"/>
  <c r="BE378" i="25" s="1"/>
  <c r="BF378" i="25" s="1"/>
  <c r="BG378" i="25" s="1"/>
  <c r="BH378" i="25" s="1"/>
  <c r="BI378" i="25" s="1"/>
  <c r="BJ378" i="25" s="1"/>
  <c r="BK378" i="25" s="1"/>
  <c r="BL378" i="25" s="1"/>
  <c r="BM378" i="25" s="1"/>
  <c r="BN378" i="25" s="1"/>
  <c r="BO378" i="25" s="1"/>
  <c r="BP378" i="25" s="1"/>
  <c r="BQ378" i="25" s="1"/>
  <c r="BR378" i="25" s="1"/>
  <c r="BS378" i="25" s="1"/>
  <c r="BT378" i="25" s="1"/>
  <c r="BU378" i="25" s="1"/>
  <c r="BV378" i="25" s="1"/>
  <c r="BW378" i="25" s="1"/>
  <c r="V369" i="25"/>
  <c r="W369" i="25" s="1"/>
  <c r="X369" i="25" s="1"/>
  <c r="Y369" i="25" s="1"/>
  <c r="Z369" i="25" s="1"/>
  <c r="AA369" i="25" s="1"/>
  <c r="AB369" i="25" s="1"/>
  <c r="AC369" i="25" s="1"/>
  <c r="AD369" i="25" s="1"/>
  <c r="AE369" i="25" s="1"/>
  <c r="AF369" i="25" s="1"/>
  <c r="AG369" i="25" s="1"/>
  <c r="AH369" i="25" s="1"/>
  <c r="AI369" i="25" s="1"/>
  <c r="AJ369" i="25" s="1"/>
  <c r="AK369" i="25" s="1"/>
  <c r="AL369" i="25" s="1"/>
  <c r="AM369" i="25" s="1"/>
  <c r="AN369" i="25" s="1"/>
  <c r="AO369" i="25" s="1"/>
  <c r="AP369" i="25" s="1"/>
  <c r="AQ369" i="25" s="1"/>
  <c r="AR369" i="25" s="1"/>
  <c r="AS369" i="25" s="1"/>
  <c r="AT369" i="25" s="1"/>
  <c r="AU369" i="25" s="1"/>
  <c r="AV369" i="25" s="1"/>
  <c r="AW369" i="25" s="1"/>
  <c r="AX369" i="25" s="1"/>
  <c r="AY369" i="25" s="1"/>
  <c r="AZ369" i="25" s="1"/>
  <c r="BA369" i="25" s="1"/>
  <c r="BB369" i="25" s="1"/>
  <c r="BC369" i="25" s="1"/>
  <c r="BD369" i="25" s="1"/>
  <c r="BE369" i="25" s="1"/>
  <c r="BF369" i="25" s="1"/>
  <c r="BG369" i="25" s="1"/>
  <c r="BH369" i="25" s="1"/>
  <c r="BI369" i="25" s="1"/>
  <c r="BJ369" i="25" s="1"/>
  <c r="BK369" i="25" s="1"/>
  <c r="BL369" i="25" s="1"/>
  <c r="BM369" i="25" s="1"/>
  <c r="BN369" i="25" s="1"/>
  <c r="BO369" i="25" s="1"/>
  <c r="BP369" i="25" s="1"/>
  <c r="BQ369" i="25" s="1"/>
  <c r="BR369" i="25" s="1"/>
  <c r="BS369" i="25" s="1"/>
  <c r="BT369" i="25" s="1"/>
  <c r="BU369" i="25" s="1"/>
  <c r="BV369" i="25" s="1"/>
  <c r="BW369" i="25" s="1"/>
  <c r="BH363" i="25"/>
  <c r="V323" i="25"/>
  <c r="W323" i="25" s="1"/>
  <c r="X323" i="25" s="1"/>
  <c r="Y323" i="25" s="1"/>
  <c r="Z323" i="25" s="1"/>
  <c r="AA323" i="25" s="1"/>
  <c r="AB323" i="25" s="1"/>
  <c r="AC323" i="25" s="1"/>
  <c r="AD323" i="25" s="1"/>
  <c r="AE323" i="25" s="1"/>
  <c r="AF323" i="25" s="1"/>
  <c r="AG323" i="25" s="1"/>
  <c r="AH323" i="25" s="1"/>
  <c r="AI323" i="25" s="1"/>
  <c r="AJ323" i="25" s="1"/>
  <c r="AK323" i="25" s="1"/>
  <c r="AL323" i="25" s="1"/>
  <c r="AM323" i="25" s="1"/>
  <c r="AN323" i="25" s="1"/>
  <c r="AO323" i="25" s="1"/>
  <c r="AP323" i="25" s="1"/>
  <c r="AQ323" i="25" s="1"/>
  <c r="AR323" i="25" s="1"/>
  <c r="AS323" i="25" s="1"/>
  <c r="AT323" i="25" s="1"/>
  <c r="AU323" i="25" s="1"/>
  <c r="AV323" i="25" s="1"/>
  <c r="AW323" i="25" s="1"/>
  <c r="AX323" i="25" s="1"/>
  <c r="AY323" i="25" s="1"/>
  <c r="AZ323" i="25" s="1"/>
  <c r="BA323" i="25" s="1"/>
  <c r="BB323" i="25" s="1"/>
  <c r="BC323" i="25" s="1"/>
  <c r="BD323" i="25" s="1"/>
  <c r="BE323" i="25" s="1"/>
  <c r="BF323" i="25" s="1"/>
  <c r="BG323" i="25" s="1"/>
  <c r="BH323" i="25" s="1"/>
  <c r="BI323" i="25" s="1"/>
  <c r="BJ323" i="25" s="1"/>
  <c r="BK323" i="25" s="1"/>
  <c r="BL323" i="25" s="1"/>
  <c r="BM323" i="25" s="1"/>
  <c r="BN323" i="25" s="1"/>
  <c r="BO323" i="25" s="1"/>
  <c r="BP323" i="25" s="1"/>
  <c r="BQ323" i="25" s="1"/>
  <c r="BR323" i="25" s="1"/>
  <c r="BS323" i="25" s="1"/>
  <c r="BT323" i="25" s="1"/>
  <c r="BU323" i="25" s="1"/>
  <c r="BV323" i="25" s="1"/>
  <c r="BW323" i="25" s="1"/>
  <c r="M506" i="25" l="1"/>
  <c r="E507" i="25"/>
  <c r="E347" i="25"/>
  <c r="E363" i="25"/>
  <c r="F363" i="25" s="1"/>
  <c r="G363" i="25" s="1"/>
  <c r="E326" i="25"/>
  <c r="E336" i="25"/>
  <c r="B44" i="25" a="1"/>
  <c r="B44" i="25" s="1"/>
  <c r="B54" i="25" a="1"/>
  <c r="B54" i="25" s="1"/>
  <c r="F437" i="25"/>
  <c r="G437" i="25" s="1"/>
  <c r="H437" i="25" s="1"/>
  <c r="B49" i="25" a="1"/>
  <c r="B49" i="25" s="1"/>
  <c r="M325" i="25"/>
  <c r="AF485" i="25"/>
  <c r="AG485" i="25" s="1"/>
  <c r="AH485" i="25" s="1"/>
  <c r="AI485" i="25" s="1"/>
  <c r="AJ485" i="25" s="1"/>
  <c r="AK485" i="25" s="1"/>
  <c r="AL485" i="25" s="1"/>
  <c r="AM485" i="25" s="1"/>
  <c r="AN485" i="25" s="1"/>
  <c r="AO485" i="25" s="1"/>
  <c r="AP485" i="25" s="1"/>
  <c r="AQ485" i="25" s="1"/>
  <c r="AR485" i="25" s="1"/>
  <c r="AS485" i="25" s="1"/>
  <c r="AT485" i="25" s="1"/>
  <c r="AU485" i="25" s="1"/>
  <c r="AV485" i="25" s="1"/>
  <c r="AW485" i="25" s="1"/>
  <c r="AX485" i="25" s="1"/>
  <c r="AY485" i="25" s="1"/>
  <c r="AZ485" i="25" s="1"/>
  <c r="BA485" i="25" s="1"/>
  <c r="BB485" i="25" s="1"/>
  <c r="BC485" i="25" s="1"/>
  <c r="BD485" i="25" s="1"/>
  <c r="BE485" i="25" s="1"/>
  <c r="BF485" i="25" s="1"/>
  <c r="BG485" i="25" s="1"/>
  <c r="BH485" i="25" s="1"/>
  <c r="BI485" i="25" s="1"/>
  <c r="BJ485" i="25" s="1"/>
  <c r="BK485" i="25" s="1"/>
  <c r="BL485" i="25" s="1"/>
  <c r="BM485" i="25" s="1"/>
  <c r="BN485" i="25" s="1"/>
  <c r="BO485" i="25" s="1"/>
  <c r="BP485" i="25" s="1"/>
  <c r="BQ485" i="25" s="1"/>
  <c r="BR485" i="25" s="1"/>
  <c r="BS485" i="25" s="1"/>
  <c r="BT485" i="25" s="1"/>
  <c r="BU485" i="25" s="1"/>
  <c r="BV485" i="25" s="1"/>
  <c r="BW485" i="25" s="1"/>
  <c r="U486" i="25" s="1"/>
  <c r="V486" i="25" s="1"/>
  <c r="W486" i="25" s="1"/>
  <c r="X486" i="25" s="1"/>
  <c r="Y486" i="25" s="1"/>
  <c r="Z486" i="25" s="1"/>
  <c r="AA486" i="25" s="1"/>
  <c r="AB486" i="25" s="1"/>
  <c r="AC486" i="25" s="1"/>
  <c r="AD486" i="25" s="1"/>
  <c r="AE486" i="25" s="1"/>
  <c r="AF453" i="25"/>
  <c r="AG453" i="25" s="1"/>
  <c r="AH453" i="25" s="1"/>
  <c r="AI453" i="25" s="1"/>
  <c r="AJ453" i="25" s="1"/>
  <c r="AK453" i="25" s="1"/>
  <c r="AL453" i="25" s="1"/>
  <c r="AM453" i="25" s="1"/>
  <c r="AN453" i="25" s="1"/>
  <c r="AO453" i="25" s="1"/>
  <c r="AP453" i="25" s="1"/>
  <c r="AQ453" i="25" s="1"/>
  <c r="AR453" i="25" s="1"/>
  <c r="AS453" i="25" s="1"/>
  <c r="AT453" i="25" s="1"/>
  <c r="AU453" i="25" s="1"/>
  <c r="AV453" i="25" s="1"/>
  <c r="AW453" i="25" s="1"/>
  <c r="AX453" i="25" s="1"/>
  <c r="AY453" i="25" s="1"/>
  <c r="AZ453" i="25" s="1"/>
  <c r="BA453" i="25" s="1"/>
  <c r="BB453" i="25" s="1"/>
  <c r="BC453" i="25" s="1"/>
  <c r="BD453" i="25" s="1"/>
  <c r="BE453" i="25" s="1"/>
  <c r="BF453" i="25" s="1"/>
  <c r="BG453" i="25" s="1"/>
  <c r="BH453" i="25" s="1"/>
  <c r="BI453" i="25" s="1"/>
  <c r="BJ453" i="25" s="1"/>
  <c r="BK453" i="25" s="1"/>
  <c r="BL453" i="25" s="1"/>
  <c r="BM453" i="25" s="1"/>
  <c r="BN453" i="25" s="1"/>
  <c r="BO453" i="25" s="1"/>
  <c r="BP453" i="25" s="1"/>
  <c r="BQ453" i="25" s="1"/>
  <c r="BR453" i="25" s="1"/>
  <c r="BS453" i="25" s="1"/>
  <c r="BT453" i="25" s="1"/>
  <c r="BU453" i="25" s="1"/>
  <c r="BV453" i="25" s="1"/>
  <c r="BW453" i="25" s="1"/>
  <c r="U454" i="25" s="1"/>
  <c r="V454" i="25" s="1"/>
  <c r="W454" i="25" s="1"/>
  <c r="X454" i="25" s="1"/>
  <c r="Y454" i="25" s="1"/>
  <c r="Z454" i="25" s="1"/>
  <c r="AA454" i="25" s="1"/>
  <c r="AB454" i="25" s="1"/>
  <c r="AC454" i="25" s="1"/>
  <c r="AD454" i="25" s="1"/>
  <c r="AE454" i="25" s="1"/>
  <c r="E461" i="25"/>
  <c r="E443" i="25"/>
  <c r="E490" i="25"/>
  <c r="E452" i="25"/>
  <c r="E427" i="25"/>
  <c r="E481" i="25"/>
  <c r="E472" i="25"/>
  <c r="E396" i="25"/>
  <c r="E418" i="25"/>
  <c r="E380" i="25"/>
  <c r="E371" i="25"/>
  <c r="B34" i="25"/>
  <c r="M507" i="25" l="1"/>
  <c r="E508" i="25"/>
  <c r="M508" i="25" s="1"/>
  <c r="AA443" i="25"/>
  <c r="AB443" i="25"/>
  <c r="AJ443" i="25"/>
  <c r="AR443" i="25"/>
  <c r="AC443" i="25"/>
  <c r="AK443" i="25"/>
  <c r="AS443" i="25"/>
  <c r="BA443" i="25"/>
  <c r="BI443" i="25"/>
  <c r="BQ443" i="25"/>
  <c r="Z443" i="25"/>
  <c r="AI443" i="25"/>
  <c r="BP443" i="25"/>
  <c r="V443" i="25"/>
  <c r="AD443" i="25"/>
  <c r="AL443" i="25"/>
  <c r="AT443" i="25"/>
  <c r="BB443" i="25"/>
  <c r="BJ443" i="25"/>
  <c r="BR443" i="25"/>
  <c r="AP443" i="25"/>
  <c r="BG443" i="25"/>
  <c r="W443" i="25"/>
  <c r="AE443" i="25"/>
  <c r="AM443" i="25"/>
  <c r="AU443" i="25"/>
  <c r="BC443" i="25"/>
  <c r="BK443" i="25"/>
  <c r="BS443" i="25"/>
  <c r="AH443" i="25"/>
  <c r="BV443" i="25"/>
  <c r="AQ443" i="25"/>
  <c r="BW443" i="25"/>
  <c r="U443" i="25"/>
  <c r="X443" i="25"/>
  <c r="AF443" i="25"/>
  <c r="AN443" i="25"/>
  <c r="AV443" i="25"/>
  <c r="BD443" i="25"/>
  <c r="BL443" i="25"/>
  <c r="BT443" i="25"/>
  <c r="AX443" i="25"/>
  <c r="BF443" i="25"/>
  <c r="BN443" i="25"/>
  <c r="BO443" i="25"/>
  <c r="AZ443" i="25"/>
  <c r="Y443" i="25"/>
  <c r="AG443" i="25"/>
  <c r="AO443" i="25"/>
  <c r="AW443" i="25"/>
  <c r="BE443" i="25"/>
  <c r="BM443" i="25"/>
  <c r="BU443" i="25"/>
  <c r="AY443" i="25"/>
  <c r="BH443" i="25"/>
  <c r="AH348" i="25"/>
  <c r="AI348" i="25"/>
  <c r="AQ348" i="25"/>
  <c r="BW348" i="25"/>
  <c r="AB348" i="25"/>
  <c r="AJ348" i="25"/>
  <c r="AR348" i="25"/>
  <c r="AZ348" i="25"/>
  <c r="BH348" i="25"/>
  <c r="BP348" i="25"/>
  <c r="V348" i="25"/>
  <c r="AW348" i="25"/>
  <c r="Z348" i="25"/>
  <c r="BN348" i="25"/>
  <c r="AY348" i="25"/>
  <c r="AC348" i="25"/>
  <c r="AK348" i="25"/>
  <c r="AS348" i="25"/>
  <c r="BA348" i="25"/>
  <c r="BI348" i="25"/>
  <c r="BQ348" i="25"/>
  <c r="AG348" i="25"/>
  <c r="BM348" i="25"/>
  <c r="AP348" i="25"/>
  <c r="BV348" i="25"/>
  <c r="AA348" i="25"/>
  <c r="AD348" i="25"/>
  <c r="AL348" i="25"/>
  <c r="AT348" i="25"/>
  <c r="BB348" i="25"/>
  <c r="BJ348" i="25"/>
  <c r="BR348" i="25"/>
  <c r="AO348" i="25"/>
  <c r="BU348" i="25"/>
  <c r="AX348" i="25"/>
  <c r="W348" i="25"/>
  <c r="AE348" i="25"/>
  <c r="AM348" i="25"/>
  <c r="AU348" i="25"/>
  <c r="BC348" i="25"/>
  <c r="BK348" i="25"/>
  <c r="BS348" i="25"/>
  <c r="Y348" i="25"/>
  <c r="BE348" i="25"/>
  <c r="BG348" i="25"/>
  <c r="X348" i="25"/>
  <c r="AF348" i="25"/>
  <c r="AN348" i="25"/>
  <c r="AV348" i="25"/>
  <c r="BD348" i="25"/>
  <c r="BL348" i="25"/>
  <c r="BT348" i="25"/>
  <c r="BF348" i="25"/>
  <c r="BO348" i="25"/>
  <c r="E348" i="25"/>
  <c r="E327" i="25"/>
  <c r="M327" i="25" s="1"/>
  <c r="M336" i="25"/>
  <c r="M347" i="25"/>
  <c r="M326" i="25"/>
  <c r="E337" i="25"/>
  <c r="B64" i="25" a="1"/>
  <c r="B64" i="25" s="1"/>
  <c r="B59" i="25" a="1"/>
  <c r="B59" i="25" s="1"/>
  <c r="I437" i="25"/>
  <c r="B69" i="25" a="1"/>
  <c r="B69" i="25" s="1"/>
  <c r="AF486" i="25"/>
  <c r="AG486" i="25" s="1"/>
  <c r="AH486" i="25" s="1"/>
  <c r="AI486" i="25" s="1"/>
  <c r="AJ486" i="25" s="1"/>
  <c r="AK486" i="25" s="1"/>
  <c r="AL486" i="25" s="1"/>
  <c r="AM486" i="25" s="1"/>
  <c r="AN486" i="25" s="1"/>
  <c r="AO486" i="25" s="1"/>
  <c r="AP486" i="25" s="1"/>
  <c r="AQ486" i="25" s="1"/>
  <c r="AR486" i="25" s="1"/>
  <c r="AS486" i="25" s="1"/>
  <c r="AT486" i="25" s="1"/>
  <c r="AU486" i="25" s="1"/>
  <c r="AV486" i="25" s="1"/>
  <c r="AW486" i="25" s="1"/>
  <c r="AX486" i="25" s="1"/>
  <c r="AY486" i="25" s="1"/>
  <c r="AZ486" i="25" s="1"/>
  <c r="BA486" i="25" s="1"/>
  <c r="BB486" i="25" s="1"/>
  <c r="BC486" i="25" s="1"/>
  <c r="BD486" i="25" s="1"/>
  <c r="BE486" i="25" s="1"/>
  <c r="BF486" i="25" s="1"/>
  <c r="BG486" i="25" s="1"/>
  <c r="BH486" i="25" s="1"/>
  <c r="BI486" i="25" s="1"/>
  <c r="BJ486" i="25" s="1"/>
  <c r="BK486" i="25" s="1"/>
  <c r="BL486" i="25" s="1"/>
  <c r="BM486" i="25" s="1"/>
  <c r="BN486" i="25" s="1"/>
  <c r="BO486" i="25" s="1"/>
  <c r="BP486" i="25" s="1"/>
  <c r="BQ486" i="25" s="1"/>
  <c r="BR486" i="25" s="1"/>
  <c r="BS486" i="25" s="1"/>
  <c r="BT486" i="25" s="1"/>
  <c r="BU486" i="25" s="1"/>
  <c r="BV486" i="25" s="1"/>
  <c r="BW486" i="25" s="1"/>
  <c r="AF454" i="25"/>
  <c r="AG454" i="25" s="1"/>
  <c r="AH454" i="25" s="1"/>
  <c r="AI454" i="25" s="1"/>
  <c r="AJ454" i="25" s="1"/>
  <c r="AK454" i="25" s="1"/>
  <c r="AL454" i="25" s="1"/>
  <c r="AM454" i="25" s="1"/>
  <c r="AN454" i="25" s="1"/>
  <c r="AO454" i="25" s="1"/>
  <c r="AP454" i="25" s="1"/>
  <c r="AQ454" i="25" s="1"/>
  <c r="AR454" i="25" s="1"/>
  <c r="AS454" i="25" s="1"/>
  <c r="AT454" i="25" s="1"/>
  <c r="AU454" i="25" s="1"/>
  <c r="AV454" i="25" s="1"/>
  <c r="AW454" i="25" s="1"/>
  <c r="AX454" i="25" s="1"/>
  <c r="AY454" i="25" s="1"/>
  <c r="AZ454" i="25" s="1"/>
  <c r="BA454" i="25" s="1"/>
  <c r="BB454" i="25" s="1"/>
  <c r="BC454" i="25" s="1"/>
  <c r="BD454" i="25" s="1"/>
  <c r="BE454" i="25" s="1"/>
  <c r="BF454" i="25" s="1"/>
  <c r="BG454" i="25" s="1"/>
  <c r="BH454" i="25" s="1"/>
  <c r="BI454" i="25" s="1"/>
  <c r="BJ454" i="25" s="1"/>
  <c r="BK454" i="25" s="1"/>
  <c r="BL454" i="25" s="1"/>
  <c r="BM454" i="25" s="1"/>
  <c r="BN454" i="25" s="1"/>
  <c r="BO454" i="25" s="1"/>
  <c r="BP454" i="25" s="1"/>
  <c r="BQ454" i="25" s="1"/>
  <c r="BR454" i="25" s="1"/>
  <c r="BS454" i="25" s="1"/>
  <c r="BT454" i="25" s="1"/>
  <c r="BU454" i="25" s="1"/>
  <c r="BV454" i="25" s="1"/>
  <c r="BW454" i="25" s="1"/>
  <c r="U455" i="25" s="1"/>
  <c r="V455" i="25" s="1"/>
  <c r="W455" i="25" s="1"/>
  <c r="X455" i="25" s="1"/>
  <c r="Y455" i="25" s="1"/>
  <c r="Z455" i="25" s="1"/>
  <c r="AA455" i="25" s="1"/>
  <c r="AB455" i="25" s="1"/>
  <c r="AC455" i="25" s="1"/>
  <c r="AD455" i="25" s="1"/>
  <c r="AE455" i="25" s="1"/>
  <c r="M481" i="25"/>
  <c r="M490" i="25"/>
  <c r="M443" i="25"/>
  <c r="M461" i="25"/>
  <c r="M472" i="25"/>
  <c r="M452" i="25"/>
  <c r="M380" i="25"/>
  <c r="M427" i="25"/>
  <c r="M396" i="25"/>
  <c r="Q325" i="25"/>
  <c r="M371" i="25"/>
  <c r="E482" i="25"/>
  <c r="E473" i="25"/>
  <c r="E444" i="25"/>
  <c r="E491" i="25"/>
  <c r="E428" i="25"/>
  <c r="E462" i="25"/>
  <c r="E397" i="25"/>
  <c r="E453" i="25"/>
  <c r="E372" i="25"/>
  <c r="E381" i="25"/>
  <c r="E419" i="25"/>
  <c r="I34" i="25"/>
  <c r="E338" i="25" l="1"/>
  <c r="AA371" i="25"/>
  <c r="AI371" i="25"/>
  <c r="AQ371" i="25"/>
  <c r="AY371" i="25"/>
  <c r="BG371" i="25"/>
  <c r="BO371" i="25"/>
  <c r="BW371" i="25"/>
  <c r="AC371" i="25"/>
  <c r="AK371" i="25"/>
  <c r="AS371" i="25"/>
  <c r="BA371" i="25"/>
  <c r="BI371" i="25"/>
  <c r="BQ371" i="25"/>
  <c r="W371" i="25"/>
  <c r="AE371" i="25"/>
  <c r="AM371" i="25"/>
  <c r="AU371" i="25"/>
  <c r="BC371" i="25"/>
  <c r="BK371" i="25"/>
  <c r="BS371" i="25"/>
  <c r="AB371" i="25"/>
  <c r="AO371" i="25"/>
  <c r="BB371" i="25"/>
  <c r="BN371" i="25"/>
  <c r="AT371" i="25"/>
  <c r="AN371" i="25"/>
  <c r="AD371" i="25"/>
  <c r="AP371" i="25"/>
  <c r="BD371" i="25"/>
  <c r="BP371" i="25"/>
  <c r="BF371" i="25"/>
  <c r="Y371" i="25"/>
  <c r="BL371" i="25"/>
  <c r="AZ371" i="25"/>
  <c r="AF371" i="25"/>
  <c r="AR371" i="25"/>
  <c r="BE371" i="25"/>
  <c r="BR371" i="25"/>
  <c r="AG371" i="25"/>
  <c r="BT371" i="25"/>
  <c r="AL371" i="25"/>
  <c r="BM371" i="25"/>
  <c r="V371" i="25"/>
  <c r="AH371" i="25"/>
  <c r="AV371" i="25"/>
  <c r="BH371" i="25"/>
  <c r="BU371" i="25"/>
  <c r="X371" i="25"/>
  <c r="AJ371" i="25"/>
  <c r="AW371" i="25"/>
  <c r="BJ371" i="25"/>
  <c r="BV371" i="25"/>
  <c r="AX371" i="25"/>
  <c r="U371" i="25"/>
  <c r="U380" i="25" s="1"/>
  <c r="Z371" i="25"/>
  <c r="E349" i="25"/>
  <c r="M338" i="25"/>
  <c r="M349" i="25"/>
  <c r="Q336" i="25"/>
  <c r="Q347" i="25"/>
  <c r="M337" i="25"/>
  <c r="M348" i="25"/>
  <c r="J437" i="25"/>
  <c r="B74" i="25" a="1"/>
  <c r="B74" i="25" s="1"/>
  <c r="AF455" i="25"/>
  <c r="AG455" i="25" s="1"/>
  <c r="AH455" i="25" s="1"/>
  <c r="AI455" i="25" s="1"/>
  <c r="AJ455" i="25" s="1"/>
  <c r="AK455" i="25" s="1"/>
  <c r="AL455" i="25" s="1"/>
  <c r="AM455" i="25" s="1"/>
  <c r="AN455" i="25" s="1"/>
  <c r="AO455" i="25" s="1"/>
  <c r="AP455" i="25" s="1"/>
  <c r="AQ455" i="25" s="1"/>
  <c r="AR455" i="25" s="1"/>
  <c r="AS455" i="25" s="1"/>
  <c r="AT455" i="25" s="1"/>
  <c r="AU455" i="25" s="1"/>
  <c r="AV455" i="25" s="1"/>
  <c r="AW455" i="25" s="1"/>
  <c r="AX455" i="25" s="1"/>
  <c r="AY455" i="25" s="1"/>
  <c r="AZ455" i="25" s="1"/>
  <c r="BA455" i="25" s="1"/>
  <c r="BB455" i="25" s="1"/>
  <c r="BC455" i="25" s="1"/>
  <c r="BD455" i="25" s="1"/>
  <c r="BE455" i="25" s="1"/>
  <c r="BF455" i="25" s="1"/>
  <c r="BG455" i="25" s="1"/>
  <c r="BH455" i="25" s="1"/>
  <c r="BI455" i="25" s="1"/>
  <c r="BJ455" i="25" s="1"/>
  <c r="BK455" i="25" s="1"/>
  <c r="BL455" i="25" s="1"/>
  <c r="BM455" i="25" s="1"/>
  <c r="BN455" i="25" s="1"/>
  <c r="BO455" i="25" s="1"/>
  <c r="BP455" i="25" s="1"/>
  <c r="BQ455" i="25" s="1"/>
  <c r="BR455" i="25" s="1"/>
  <c r="BS455" i="25" s="1"/>
  <c r="BT455" i="25" s="1"/>
  <c r="BU455" i="25" s="1"/>
  <c r="BV455" i="25" s="1"/>
  <c r="BW455" i="25" s="1"/>
  <c r="U456" i="25" s="1"/>
  <c r="V456" i="25" s="1"/>
  <c r="W456" i="25" s="1"/>
  <c r="X456" i="25" s="1"/>
  <c r="Y456" i="25" s="1"/>
  <c r="Z456" i="25" s="1"/>
  <c r="AA456" i="25" s="1"/>
  <c r="AB456" i="25" s="1"/>
  <c r="AC456" i="25" s="1"/>
  <c r="AD456" i="25" s="1"/>
  <c r="AE456" i="25" s="1"/>
  <c r="E429" i="25"/>
  <c r="E454" i="25"/>
  <c r="E420" i="25"/>
  <c r="E463" i="25"/>
  <c r="E445" i="25"/>
  <c r="E398" i="25"/>
  <c r="E382" i="25"/>
  <c r="E492" i="25"/>
  <c r="E474" i="25"/>
  <c r="P34" i="25"/>
  <c r="E483" i="25"/>
  <c r="E373" i="25"/>
  <c r="Q490" i="25"/>
  <c r="Q452" i="25"/>
  <c r="Q427" i="25"/>
  <c r="Q461" i="25"/>
  <c r="Q443" i="25"/>
  <c r="Q396" i="25"/>
  <c r="Q481" i="25"/>
  <c r="Q472" i="25"/>
  <c r="Q380" i="25"/>
  <c r="Q371" i="25"/>
  <c r="M428" i="25"/>
  <c r="M491" i="25"/>
  <c r="M453" i="25"/>
  <c r="M462" i="25"/>
  <c r="M444" i="25"/>
  <c r="M381" i="25"/>
  <c r="M482" i="25"/>
  <c r="M473" i="25"/>
  <c r="M397" i="25"/>
  <c r="M372" i="25"/>
  <c r="Q326" i="25"/>
  <c r="E328" i="25"/>
  <c r="B38" i="25" a="1"/>
  <c r="Z350" i="25" l="1"/>
  <c r="AH350" i="25"/>
  <c r="AP350" i="25"/>
  <c r="AX350" i="25"/>
  <c r="BF350" i="25"/>
  <c r="BN350" i="25"/>
  <c r="BV350" i="25"/>
  <c r="AA350" i="25"/>
  <c r="AI350" i="25"/>
  <c r="AQ350" i="25"/>
  <c r="AY350" i="25"/>
  <c r="BG350" i="25"/>
  <c r="BO350" i="25"/>
  <c r="BW350" i="25"/>
  <c r="AB350" i="25"/>
  <c r="AJ350" i="25"/>
  <c r="AR350" i="25"/>
  <c r="AZ350" i="25"/>
  <c r="BH350" i="25"/>
  <c r="BP350" i="25"/>
  <c r="AC350" i="25"/>
  <c r="AK350" i="25"/>
  <c r="AS350" i="25"/>
  <c r="BA350" i="25"/>
  <c r="BI350" i="25"/>
  <c r="BQ350" i="25"/>
  <c r="V350" i="25"/>
  <c r="AD350" i="25"/>
  <c r="AL350" i="25"/>
  <c r="AT350" i="25"/>
  <c r="BB350" i="25"/>
  <c r="BJ350" i="25"/>
  <c r="BR350" i="25"/>
  <c r="W350" i="25"/>
  <c r="AE350" i="25"/>
  <c r="AM350" i="25"/>
  <c r="AU350" i="25"/>
  <c r="BC350" i="25"/>
  <c r="BK350" i="25"/>
  <c r="BS350" i="25"/>
  <c r="AG350" i="25"/>
  <c r="BM350" i="25"/>
  <c r="AN350" i="25"/>
  <c r="BT350" i="25"/>
  <c r="AO350" i="25"/>
  <c r="BU350" i="25"/>
  <c r="AW350" i="25"/>
  <c r="BL350" i="25"/>
  <c r="AV350" i="25"/>
  <c r="X350" i="25"/>
  <c r="BD350" i="25"/>
  <c r="Y350" i="25"/>
  <c r="BE350" i="25"/>
  <c r="AF350" i="25"/>
  <c r="E350" i="25"/>
  <c r="Q337" i="25"/>
  <c r="Q348" i="25"/>
  <c r="M328" i="25"/>
  <c r="E339" i="25"/>
  <c r="AQ380" i="25" a="1"/>
  <c r="AQ380" i="25" s="1"/>
  <c r="BW380" i="25" a="1"/>
  <c r="BW380" i="25" s="1"/>
  <c r="Z380" i="25" a="1"/>
  <c r="Z380" i="25" s="1"/>
  <c r="AG380" i="25" a="1"/>
  <c r="AG380" i="25" s="1"/>
  <c r="AV380" i="25" a="1"/>
  <c r="AV380" i="25" s="1"/>
  <c r="AM380" i="25" a="1"/>
  <c r="AM380" i="25" s="1"/>
  <c r="BQ380" i="25" a="1"/>
  <c r="BQ380" i="25" s="1"/>
  <c r="AB380" i="25" a="1"/>
  <c r="AB380" i="25" s="1"/>
  <c r="AR380" i="25" a="1"/>
  <c r="AR380" i="25" s="1"/>
  <c r="AJ380" i="25" a="1"/>
  <c r="AJ380" i="25" s="1"/>
  <c r="AX380" i="25" a="1"/>
  <c r="AX380" i="25" s="1"/>
  <c r="AN380" i="25" a="1"/>
  <c r="AN380" i="25" s="1"/>
  <c r="BI380" i="25" a="1"/>
  <c r="BI380" i="25" s="1"/>
  <c r="BF380" i="25" a="1"/>
  <c r="BF380" i="25" s="1"/>
  <c r="BG380" i="25" a="1"/>
  <c r="BG380" i="25" s="1"/>
  <c r="AP380" i="25" a="1"/>
  <c r="AP380" i="25" s="1"/>
  <c r="AF380" i="25" a="1"/>
  <c r="AF380" i="25" s="1"/>
  <c r="BR380" i="25" a="1"/>
  <c r="BR380" i="25" s="1"/>
  <c r="BA380" i="25" a="1"/>
  <c r="BA380" i="25" s="1"/>
  <c r="AO380" i="25" a="1"/>
  <c r="AO380" i="25" s="1"/>
  <c r="W380" i="25" a="1"/>
  <c r="W380" i="25" s="1"/>
  <c r="BU380" i="25" a="1"/>
  <c r="BU380" i="25" s="1"/>
  <c r="Y380" i="25" a="1"/>
  <c r="Y380" i="25" s="1"/>
  <c r="AC380" i="25" a="1"/>
  <c r="AC380" i="25" s="1"/>
  <c r="AY380" i="25" a="1"/>
  <c r="AY380" i="25" s="1"/>
  <c r="AH380" i="25" a="1"/>
  <c r="AH380" i="25" s="1"/>
  <c r="BJ380" i="25" a="1"/>
  <c r="BJ380" i="25" s="1"/>
  <c r="AS380" i="25" a="1"/>
  <c r="AS380" i="25" s="1"/>
  <c r="AD380" i="25" a="1"/>
  <c r="AD380" i="25" s="1"/>
  <c r="BO380" i="25" a="1"/>
  <c r="BO380" i="25" s="1"/>
  <c r="BP380" i="25" a="1"/>
  <c r="BP380" i="25" s="1"/>
  <c r="BB380" i="25" a="1"/>
  <c r="BB380" i="25" s="1"/>
  <c r="X380" i="25" a="1"/>
  <c r="X380" i="25" s="1"/>
  <c r="AA380" i="25" a="1"/>
  <c r="AA380" i="25" s="1"/>
  <c r="BE380" i="25" a="1"/>
  <c r="BE380" i="25" s="1"/>
  <c r="BS380" i="25" a="1"/>
  <c r="BS380" i="25" s="1"/>
  <c r="AK380" i="25" a="1"/>
  <c r="AK380" i="25" s="1"/>
  <c r="AE380" i="25" a="1"/>
  <c r="AE380" i="25" s="1"/>
  <c r="BM380" i="25" a="1"/>
  <c r="BM380" i="25" s="1"/>
  <c r="AI380" i="25" a="1"/>
  <c r="AI380" i="25" s="1"/>
  <c r="AW380" i="25" a="1"/>
  <c r="AW380" i="25" s="1"/>
  <c r="BT380" i="25" a="1"/>
  <c r="BT380" i="25" s="1"/>
  <c r="BK380" i="25" a="1"/>
  <c r="BK380" i="25" s="1"/>
  <c r="AT380" i="25" a="1"/>
  <c r="AT380" i="25" s="1"/>
  <c r="BV380" i="25" a="1"/>
  <c r="BV380" i="25" s="1"/>
  <c r="BL380" i="25" a="1"/>
  <c r="BL380" i="25" s="1"/>
  <c r="BC380" i="25" a="1"/>
  <c r="BC380" i="25" s="1"/>
  <c r="AL380" i="25" a="1"/>
  <c r="AL380" i="25" s="1"/>
  <c r="V380" i="25" a="1"/>
  <c r="V380" i="25" s="1"/>
  <c r="BH380" i="25" a="1"/>
  <c r="BH380" i="25" s="1"/>
  <c r="AZ380" i="25" a="1"/>
  <c r="AZ380" i="25" s="1"/>
  <c r="BN380" i="25" a="1"/>
  <c r="BN380" i="25" s="1"/>
  <c r="BD380" i="25" a="1"/>
  <c r="BD380" i="25" s="1"/>
  <c r="AU380" i="25" a="1"/>
  <c r="AU380" i="25" s="1"/>
  <c r="K437" i="25"/>
  <c r="B79" i="25" a="1"/>
  <c r="B79" i="25" s="1"/>
  <c r="B38" i="25"/>
  <c r="AF456" i="25"/>
  <c r="AG456" i="25" s="1"/>
  <c r="AH456" i="25" s="1"/>
  <c r="AI456" i="25" s="1"/>
  <c r="AJ456" i="25" s="1"/>
  <c r="AK456" i="25" s="1"/>
  <c r="AL456" i="25" s="1"/>
  <c r="AM456" i="25" s="1"/>
  <c r="AN456" i="25" s="1"/>
  <c r="AO456" i="25" s="1"/>
  <c r="AP456" i="25" s="1"/>
  <c r="AQ456" i="25" s="1"/>
  <c r="AR456" i="25" s="1"/>
  <c r="AS456" i="25" s="1"/>
  <c r="AT456" i="25" s="1"/>
  <c r="AU456" i="25" s="1"/>
  <c r="AV456" i="25" s="1"/>
  <c r="AW456" i="25" s="1"/>
  <c r="AX456" i="25" s="1"/>
  <c r="AY456" i="25" s="1"/>
  <c r="AZ456" i="25" s="1"/>
  <c r="BA456" i="25" s="1"/>
  <c r="BB456" i="25" s="1"/>
  <c r="BC456" i="25" s="1"/>
  <c r="BD456" i="25" s="1"/>
  <c r="BE456" i="25" s="1"/>
  <c r="BF456" i="25" s="1"/>
  <c r="BG456" i="25" s="1"/>
  <c r="BH456" i="25" s="1"/>
  <c r="BI456" i="25" s="1"/>
  <c r="BJ456" i="25" s="1"/>
  <c r="BK456" i="25" s="1"/>
  <c r="BL456" i="25" s="1"/>
  <c r="BM456" i="25" s="1"/>
  <c r="BN456" i="25" s="1"/>
  <c r="BO456" i="25" s="1"/>
  <c r="BP456" i="25" s="1"/>
  <c r="BQ456" i="25" s="1"/>
  <c r="BR456" i="25" s="1"/>
  <c r="BS456" i="25" s="1"/>
  <c r="BT456" i="25" s="1"/>
  <c r="BU456" i="25" s="1"/>
  <c r="BV456" i="25" s="1"/>
  <c r="BW456" i="25" s="1"/>
  <c r="U457" i="25" s="1"/>
  <c r="V457" i="25" s="1"/>
  <c r="W457" i="25" s="1"/>
  <c r="X457" i="25" s="1"/>
  <c r="Y457" i="25" s="1"/>
  <c r="Z457" i="25" s="1"/>
  <c r="AA457" i="25" s="1"/>
  <c r="AB457" i="25" s="1"/>
  <c r="AC457" i="25" s="1"/>
  <c r="AD457" i="25" s="1"/>
  <c r="AE457" i="25" s="1"/>
  <c r="E484" i="25"/>
  <c r="E446" i="25"/>
  <c r="E464" i="25"/>
  <c r="E475" i="25"/>
  <c r="E430" i="25"/>
  <c r="E399" i="25"/>
  <c r="E374" i="25"/>
  <c r="E493" i="25"/>
  <c r="E421" i="25"/>
  <c r="E383" i="25"/>
  <c r="E455" i="25"/>
  <c r="W34" i="25"/>
  <c r="M474" i="25"/>
  <c r="M463" i="25"/>
  <c r="M429" i="25"/>
  <c r="M483" i="25"/>
  <c r="M492" i="25"/>
  <c r="M445" i="25"/>
  <c r="M454" i="25"/>
  <c r="M398" i="25"/>
  <c r="M382" i="25"/>
  <c r="Q327" i="25"/>
  <c r="M373" i="25"/>
  <c r="E329" i="25"/>
  <c r="Q473" i="25"/>
  <c r="Q444" i="25"/>
  <c r="Q482" i="25"/>
  <c r="Q462" i="25"/>
  <c r="Q491" i="25"/>
  <c r="Q428" i="25"/>
  <c r="Q397" i="25"/>
  <c r="Q453" i="25"/>
  <c r="Q372" i="25"/>
  <c r="Q381" i="25"/>
  <c r="B168" i="25" a="1"/>
  <c r="B63" i="25" a="1"/>
  <c r="B138" i="25" a="1"/>
  <c r="B153" i="25" a="1"/>
  <c r="B283" i="25" a="1"/>
  <c r="B158" i="25" a="1"/>
  <c r="B248" i="25" a="1"/>
  <c r="B238" i="25" a="1"/>
  <c r="B93" i="25" a="1"/>
  <c r="B163" i="25" a="1"/>
  <c r="B228" i="25" a="1"/>
  <c r="B88" i="25" a="1"/>
  <c r="B118" i="25" a="1"/>
  <c r="B208" i="25" a="1"/>
  <c r="B78" i="25" a="1"/>
  <c r="B233" i="25" a="1"/>
  <c r="B218" i="25" a="1"/>
  <c r="B243" i="25" a="1"/>
  <c r="B73" i="25" a="1"/>
  <c r="B113" i="25" a="1"/>
  <c r="B308" i="25" a="1"/>
  <c r="B213" i="25" a="1"/>
  <c r="B268" i="25" a="1"/>
  <c r="B173" i="25" a="1"/>
  <c r="B293" i="25" a="1"/>
  <c r="B53" i="25" a="1"/>
  <c r="B128" i="25" a="1"/>
  <c r="B178" i="25" a="1"/>
  <c r="B198" i="25" a="1"/>
  <c r="B148" i="25" a="1"/>
  <c r="B258" i="25" a="1"/>
  <c r="B143" i="25" a="1"/>
  <c r="B188" i="25" a="1"/>
  <c r="B223" i="25" a="1"/>
  <c r="B43" i="25" a="1"/>
  <c r="B83" i="25" a="1"/>
  <c r="B253" i="25" a="1"/>
  <c r="B123" i="25" a="1"/>
  <c r="B133" i="25" a="1"/>
  <c r="B183" i="25" a="1"/>
  <c r="B273" i="25" a="1"/>
  <c r="B108" i="25" a="1"/>
  <c r="B58" i="25" a="1"/>
  <c r="B203" i="25" a="1"/>
  <c r="B98" i="25" a="1"/>
  <c r="B103" i="25" a="1"/>
  <c r="B68" i="25" a="1"/>
  <c r="B48" i="25" a="1"/>
  <c r="B278" i="25" a="1"/>
  <c r="B263" i="25" a="1"/>
  <c r="B288" i="25" a="1"/>
  <c r="B303" i="25" a="1"/>
  <c r="B298" i="25" a="1"/>
  <c r="B193" i="25" a="1"/>
  <c r="AB351" i="25" l="1"/>
  <c r="AJ351" i="25"/>
  <c r="AR351" i="25"/>
  <c r="AZ351" i="25"/>
  <c r="BH351" i="25"/>
  <c r="BP351" i="25"/>
  <c r="AC351" i="25"/>
  <c r="AK351" i="25"/>
  <c r="AS351" i="25"/>
  <c r="BA351" i="25"/>
  <c r="BI351" i="25"/>
  <c r="BQ351" i="25"/>
  <c r="V351" i="25"/>
  <c r="AD351" i="25"/>
  <c r="AL351" i="25"/>
  <c r="AT351" i="25"/>
  <c r="BB351" i="25"/>
  <c r="BJ351" i="25"/>
  <c r="BR351" i="25"/>
  <c r="W351" i="25"/>
  <c r="AE351" i="25"/>
  <c r="AM351" i="25"/>
  <c r="AU351" i="25"/>
  <c r="BC351" i="25"/>
  <c r="BK351" i="25"/>
  <c r="BS351" i="25"/>
  <c r="X351" i="25"/>
  <c r="AF351" i="25"/>
  <c r="AN351" i="25"/>
  <c r="AV351" i="25"/>
  <c r="BD351" i="25"/>
  <c r="BL351" i="25"/>
  <c r="BT351" i="25"/>
  <c r="Y351" i="25"/>
  <c r="AG351" i="25"/>
  <c r="AO351" i="25"/>
  <c r="AW351" i="25"/>
  <c r="BE351" i="25"/>
  <c r="BM351" i="25"/>
  <c r="BU351" i="25"/>
  <c r="AQ351" i="25"/>
  <c r="AX351" i="25"/>
  <c r="AY351" i="25"/>
  <c r="AA351" i="25"/>
  <c r="BG351" i="25"/>
  <c r="BV351" i="25"/>
  <c r="Z351" i="25"/>
  <c r="BF351" i="25"/>
  <c r="AH351" i="25"/>
  <c r="BN351" i="25"/>
  <c r="AI351" i="25"/>
  <c r="BO351" i="25"/>
  <c r="AP351" i="25"/>
  <c r="BW351" i="25"/>
  <c r="E340" i="25"/>
  <c r="E351" i="25"/>
  <c r="Q338" i="25"/>
  <c r="Q349" i="25"/>
  <c r="M339" i="25"/>
  <c r="M350" i="25"/>
  <c r="B178" i="25"/>
  <c r="L437" i="25"/>
  <c r="B84" i="25" a="1"/>
  <c r="B84" i="25" s="1"/>
  <c r="B218" i="25"/>
  <c r="B118" i="25"/>
  <c r="B293" i="25"/>
  <c r="B228" i="25"/>
  <c r="B173" i="25"/>
  <c r="B193" i="25"/>
  <c r="B68" i="25"/>
  <c r="B123" i="25"/>
  <c r="B108" i="25"/>
  <c r="B203" i="25"/>
  <c r="B243" i="25"/>
  <c r="B148" i="25"/>
  <c r="B223" i="25"/>
  <c r="B303" i="25"/>
  <c r="B58" i="25"/>
  <c r="B298" i="25"/>
  <c r="B128" i="25"/>
  <c r="B98" i="25"/>
  <c r="B138" i="25"/>
  <c r="B78" i="25"/>
  <c r="B208" i="25"/>
  <c r="B63" i="25"/>
  <c r="B158" i="25"/>
  <c r="B288" i="25"/>
  <c r="B48" i="25"/>
  <c r="B258" i="25"/>
  <c r="B103" i="25"/>
  <c r="B198" i="25"/>
  <c r="B88" i="25"/>
  <c r="B253" i="25"/>
  <c r="B43" i="25"/>
  <c r="B248" i="25"/>
  <c r="B113" i="25"/>
  <c r="B53" i="25"/>
  <c r="B238" i="25"/>
  <c r="B273" i="25"/>
  <c r="B188" i="25"/>
  <c r="B283" i="25"/>
  <c r="B263" i="25"/>
  <c r="B308" i="25"/>
  <c r="B93" i="25"/>
  <c r="B73" i="25"/>
  <c r="B213" i="25"/>
  <c r="B83" i="25"/>
  <c r="B163" i="25"/>
  <c r="B233" i="25"/>
  <c r="B268" i="25"/>
  <c r="B143" i="25"/>
  <c r="B278" i="25"/>
  <c r="B183" i="25"/>
  <c r="B153" i="25"/>
  <c r="B133" i="25"/>
  <c r="B168" i="25"/>
  <c r="E330" i="25"/>
  <c r="M329" i="25"/>
  <c r="AF457" i="25"/>
  <c r="AG457" i="25" s="1"/>
  <c r="AH457" i="25" s="1"/>
  <c r="AI457" i="25" s="1"/>
  <c r="AJ457" i="25" s="1"/>
  <c r="AK457" i="25" s="1"/>
  <c r="AL457" i="25" s="1"/>
  <c r="AM457" i="25" s="1"/>
  <c r="AN457" i="25" s="1"/>
  <c r="AO457" i="25" s="1"/>
  <c r="AP457" i="25" s="1"/>
  <c r="AQ457" i="25" s="1"/>
  <c r="AR457" i="25" s="1"/>
  <c r="AS457" i="25" s="1"/>
  <c r="AT457" i="25" s="1"/>
  <c r="AU457" i="25" s="1"/>
  <c r="AV457" i="25" s="1"/>
  <c r="AW457" i="25" s="1"/>
  <c r="AX457" i="25" s="1"/>
  <c r="AY457" i="25" s="1"/>
  <c r="AZ457" i="25" s="1"/>
  <c r="BA457" i="25" s="1"/>
  <c r="BB457" i="25" s="1"/>
  <c r="BC457" i="25" s="1"/>
  <c r="BD457" i="25" s="1"/>
  <c r="BE457" i="25" s="1"/>
  <c r="BF457" i="25" s="1"/>
  <c r="BG457" i="25" s="1"/>
  <c r="BH457" i="25" s="1"/>
  <c r="BI457" i="25" s="1"/>
  <c r="BJ457" i="25" s="1"/>
  <c r="BK457" i="25" s="1"/>
  <c r="BL457" i="25" s="1"/>
  <c r="BM457" i="25" s="1"/>
  <c r="BN457" i="25" s="1"/>
  <c r="BO457" i="25" s="1"/>
  <c r="BP457" i="25" s="1"/>
  <c r="BQ457" i="25" s="1"/>
  <c r="BR457" i="25" s="1"/>
  <c r="BS457" i="25" s="1"/>
  <c r="BT457" i="25" s="1"/>
  <c r="BU457" i="25" s="1"/>
  <c r="BV457" i="25" s="1"/>
  <c r="BW457" i="25" s="1"/>
  <c r="E447" i="25"/>
  <c r="E494" i="25"/>
  <c r="E456" i="25"/>
  <c r="E431" i="25"/>
  <c r="E476" i="25"/>
  <c r="E485" i="25"/>
  <c r="E465" i="25"/>
  <c r="E400" i="25"/>
  <c r="E422" i="25"/>
  <c r="AD34" i="25"/>
  <c r="E384" i="25"/>
  <c r="E375" i="25"/>
  <c r="Q454" i="25"/>
  <c r="Q492" i="25"/>
  <c r="Q445" i="25"/>
  <c r="Q429" i="25"/>
  <c r="Q463" i="25"/>
  <c r="Q483" i="25"/>
  <c r="Q474" i="25"/>
  <c r="Q398" i="25"/>
  <c r="Q373" i="25"/>
  <c r="Q382" i="25"/>
  <c r="M493" i="25"/>
  <c r="M464" i="25"/>
  <c r="M430" i="25"/>
  <c r="M475" i="25"/>
  <c r="M484" i="25"/>
  <c r="M383" i="25"/>
  <c r="M399" i="25"/>
  <c r="M446" i="25"/>
  <c r="Q328" i="25"/>
  <c r="M455" i="25"/>
  <c r="M374" i="25"/>
  <c r="V352" i="25" l="1"/>
  <c r="AD352" i="25"/>
  <c r="AL352" i="25"/>
  <c r="AT352" i="25"/>
  <c r="BB352" i="25"/>
  <c r="BJ352" i="25"/>
  <c r="BR352" i="25"/>
  <c r="W352" i="25"/>
  <c r="AE352" i="25"/>
  <c r="AM352" i="25"/>
  <c r="AU352" i="25"/>
  <c r="X352" i="25"/>
  <c r="AF352" i="25"/>
  <c r="AN352" i="25"/>
  <c r="AV352" i="25"/>
  <c r="BD352" i="25"/>
  <c r="BL352" i="25"/>
  <c r="BT352" i="25"/>
  <c r="Y352" i="25"/>
  <c r="AG352" i="25"/>
  <c r="AO352" i="25"/>
  <c r="AW352" i="25"/>
  <c r="BE352" i="25"/>
  <c r="BM352" i="25"/>
  <c r="BU352" i="25"/>
  <c r="Z352" i="25"/>
  <c r="AH352" i="25"/>
  <c r="AP352" i="25"/>
  <c r="AX352" i="25"/>
  <c r="BF352" i="25"/>
  <c r="BN352" i="25"/>
  <c r="BV352" i="25"/>
  <c r="AA352" i="25"/>
  <c r="AI352" i="25"/>
  <c r="AQ352" i="25"/>
  <c r="AY352" i="25"/>
  <c r="BG352" i="25"/>
  <c r="BO352" i="25"/>
  <c r="BW352" i="25"/>
  <c r="AB352" i="25"/>
  <c r="BC352" i="25"/>
  <c r="AC352" i="25"/>
  <c r="BH352" i="25"/>
  <c r="AK352" i="25"/>
  <c r="BK352" i="25"/>
  <c r="BA352" i="25"/>
  <c r="AJ352" i="25"/>
  <c r="BI352" i="25"/>
  <c r="BS352" i="25"/>
  <c r="AR352" i="25"/>
  <c r="BP352" i="25"/>
  <c r="AS352" i="25"/>
  <c r="BQ352" i="25"/>
  <c r="AZ352" i="25"/>
  <c r="X374" i="25"/>
  <c r="AF374" i="25"/>
  <c r="AN374" i="25"/>
  <c r="AV374" i="25"/>
  <c r="BD374" i="25"/>
  <c r="BL374" i="25"/>
  <c r="BT374" i="25"/>
  <c r="U374" i="25"/>
  <c r="U383" i="25" s="1"/>
  <c r="Z374" i="25"/>
  <c r="AH374" i="25"/>
  <c r="AP374" i="25"/>
  <c r="AX374" i="25"/>
  <c r="BF374" i="25"/>
  <c r="BN374" i="25"/>
  <c r="BV374" i="25"/>
  <c r="AA374" i="25"/>
  <c r="AI374" i="25"/>
  <c r="AB374" i="25"/>
  <c r="AJ374" i="25"/>
  <c r="AR374" i="25"/>
  <c r="AZ374" i="25"/>
  <c r="BH374" i="25"/>
  <c r="BP374" i="25"/>
  <c r="AC374" i="25"/>
  <c r="AK374" i="25"/>
  <c r="AS374" i="25"/>
  <c r="BA374" i="25"/>
  <c r="BI374" i="25"/>
  <c r="BQ374" i="25"/>
  <c r="V374" i="25"/>
  <c r="W374" i="25"/>
  <c r="AQ374" i="25"/>
  <c r="BG374" i="25"/>
  <c r="BW374" i="25"/>
  <c r="AW374" i="25"/>
  <c r="Y374" i="25"/>
  <c r="AT374" i="25"/>
  <c r="BJ374" i="25"/>
  <c r="AE374" i="25"/>
  <c r="BM374" i="25"/>
  <c r="AM374" i="25"/>
  <c r="BE374" i="25"/>
  <c r="AD374" i="25"/>
  <c r="AU374" i="25"/>
  <c r="BK374" i="25"/>
  <c r="AO374" i="25"/>
  <c r="AG374" i="25"/>
  <c r="AY374" i="25"/>
  <c r="BO374" i="25"/>
  <c r="AL374" i="25"/>
  <c r="BB374" i="25"/>
  <c r="BR374" i="25"/>
  <c r="BC374" i="25"/>
  <c r="BS374" i="25"/>
  <c r="BU374" i="25"/>
  <c r="E352" i="25"/>
  <c r="M340" i="25"/>
  <c r="M351" i="25"/>
  <c r="Q339" i="25"/>
  <c r="Q350" i="25"/>
  <c r="M330" i="25"/>
  <c r="M495" i="25" s="1"/>
  <c r="E341" i="25"/>
  <c r="E477" i="25"/>
  <c r="E486" i="25"/>
  <c r="M437" i="25"/>
  <c r="B89" i="25" a="1"/>
  <c r="B89" i="25" s="1"/>
  <c r="E401" i="25"/>
  <c r="E495" i="25"/>
  <c r="E376" i="25"/>
  <c r="AK34" i="25"/>
  <c r="E432" i="25"/>
  <c r="E448" i="25"/>
  <c r="E423" i="25"/>
  <c r="E466" i="25"/>
  <c r="E385" i="25"/>
  <c r="E457" i="25"/>
  <c r="M476" i="25"/>
  <c r="M465" i="25"/>
  <c r="M485" i="25"/>
  <c r="M494" i="25"/>
  <c r="M431" i="25"/>
  <c r="M447" i="25"/>
  <c r="M384" i="25"/>
  <c r="M456" i="25"/>
  <c r="M400" i="25"/>
  <c r="M375" i="25"/>
  <c r="Q329" i="25"/>
  <c r="Q484" i="25"/>
  <c r="Q475" i="25"/>
  <c r="Q455" i="25"/>
  <c r="Q430" i="25"/>
  <c r="Q399" i="25"/>
  <c r="Q493" i="25"/>
  <c r="Q464" i="25"/>
  <c r="Q446" i="25"/>
  <c r="Q383" i="25"/>
  <c r="Q374" i="25"/>
  <c r="W38" i="25" a="1"/>
  <c r="M466" i="25" l="1"/>
  <c r="M401" i="25"/>
  <c r="M376" i="25"/>
  <c r="M457" i="25"/>
  <c r="M448" i="25"/>
  <c r="M432" i="25"/>
  <c r="M385" i="25"/>
  <c r="Z375" i="25"/>
  <c r="AH375" i="25"/>
  <c r="AP375" i="25"/>
  <c r="AX375" i="25"/>
  <c r="BF375" i="25"/>
  <c r="BN375" i="25"/>
  <c r="BV375" i="25"/>
  <c r="AB375" i="25"/>
  <c r="AJ375" i="25"/>
  <c r="AR375" i="25"/>
  <c r="AZ375" i="25"/>
  <c r="BH375" i="25"/>
  <c r="BP375" i="25"/>
  <c r="V375" i="25"/>
  <c r="AD375" i="25"/>
  <c r="AL375" i="25"/>
  <c r="AT375" i="25"/>
  <c r="BB375" i="25"/>
  <c r="BJ375" i="25"/>
  <c r="BR375" i="25"/>
  <c r="W375" i="25"/>
  <c r="AE375" i="25"/>
  <c r="AM375" i="25"/>
  <c r="AU375" i="25"/>
  <c r="BC375" i="25"/>
  <c r="BK375" i="25"/>
  <c r="BS375" i="25"/>
  <c r="AI375" i="25"/>
  <c r="AK375" i="25"/>
  <c r="BA375" i="25"/>
  <c r="BQ375" i="25"/>
  <c r="BW375" i="25"/>
  <c r="X375" i="25"/>
  <c r="AN375" i="25"/>
  <c r="BD375" i="25"/>
  <c r="BT375" i="25"/>
  <c r="AQ375" i="25"/>
  <c r="BG375" i="25"/>
  <c r="U375" i="25"/>
  <c r="U384" i="25" s="1"/>
  <c r="AG375" i="25"/>
  <c r="AY375" i="25"/>
  <c r="Y375" i="25"/>
  <c r="AO375" i="25"/>
  <c r="BE375" i="25"/>
  <c r="BU375" i="25"/>
  <c r="AA375" i="25"/>
  <c r="AW375" i="25"/>
  <c r="AC375" i="25"/>
  <c r="AS375" i="25"/>
  <c r="BI375" i="25"/>
  <c r="AF375" i="25"/>
  <c r="AV375" i="25"/>
  <c r="BL375" i="25"/>
  <c r="BM375" i="25"/>
  <c r="BO375" i="25"/>
  <c r="M486" i="25"/>
  <c r="Q330" i="25"/>
  <c r="Q352" i="25" s="1"/>
  <c r="M477" i="25"/>
  <c r="Q340" i="25"/>
  <c r="Q351" i="25"/>
  <c r="M341" i="25"/>
  <c r="M352" i="25"/>
  <c r="Y383" i="25" a="1"/>
  <c r="Y383" i="25" s="1"/>
  <c r="AE383" i="25" a="1"/>
  <c r="AE383" i="25" s="1"/>
  <c r="AT383" i="25" a="1"/>
  <c r="AT383" i="25" s="1"/>
  <c r="W383" i="25" a="1"/>
  <c r="W383" i="25" s="1"/>
  <c r="BL383" i="25" a="1"/>
  <c r="BL383" i="25" s="1"/>
  <c r="BD383" i="25" a="1"/>
  <c r="BD383" i="25" s="1"/>
  <c r="AW383" i="25" a="1"/>
  <c r="AW383" i="25" s="1"/>
  <c r="BQ383" i="25" a="1"/>
  <c r="BQ383" i="25" s="1"/>
  <c r="AZ383" i="25" a="1"/>
  <c r="AZ383" i="25" s="1"/>
  <c r="AI383" i="25" a="1"/>
  <c r="AI383" i="25" s="1"/>
  <c r="N437" i="25"/>
  <c r="B94" i="25" a="1"/>
  <c r="B94" i="25" s="1"/>
  <c r="AQ383" i="25" a="1"/>
  <c r="AQ383" i="25" s="1"/>
  <c r="AA383" i="25" a="1"/>
  <c r="AA383" i="25" s="1"/>
  <c r="AO383" i="25" a="1"/>
  <c r="AO383" i="25" s="1"/>
  <c r="AG383" i="25" a="1"/>
  <c r="AG383" i="25" s="1"/>
  <c r="BI383" i="25" a="1"/>
  <c r="BI383" i="25" s="1"/>
  <c r="AR383" i="25" a="1"/>
  <c r="AR383" i="25" s="1"/>
  <c r="BV383" i="25" a="1"/>
  <c r="BV383" i="25" s="1"/>
  <c r="BH383" i="25" a="1"/>
  <c r="BH383" i="25" s="1"/>
  <c r="AC383" i="25" a="1"/>
  <c r="AC383" i="25" s="1"/>
  <c r="BJ383" i="25" a="1"/>
  <c r="BJ383" i="25" s="1"/>
  <c r="BA383" i="25" a="1"/>
  <c r="BA383" i="25" s="1"/>
  <c r="BN383" i="25" a="1"/>
  <c r="BN383" i="25" s="1"/>
  <c r="AD383" i="25" a="1"/>
  <c r="AD383" i="25" s="1"/>
  <c r="BT383" i="25" a="1"/>
  <c r="BT383" i="25" s="1"/>
  <c r="AV383" i="25" a="1"/>
  <c r="AV383" i="25" s="1"/>
  <c r="BS383" i="25" a="1"/>
  <c r="BS383" i="25" s="1"/>
  <c r="AJ383" i="25" a="1"/>
  <c r="AJ383" i="25" s="1"/>
  <c r="AN383" i="25" a="1"/>
  <c r="AN383" i="25" s="1"/>
  <c r="BK383" i="25" a="1"/>
  <c r="BK383" i="25" s="1"/>
  <c r="AS383" i="25" a="1"/>
  <c r="AS383" i="25" s="1"/>
  <c r="BW383" i="25" a="1"/>
  <c r="BW383" i="25" s="1"/>
  <c r="BF383" i="25" a="1"/>
  <c r="BF383" i="25" s="1"/>
  <c r="AB383" i="25" a="1"/>
  <c r="AB383" i="25" s="1"/>
  <c r="BE383" i="25" a="1"/>
  <c r="BE383" i="25" s="1"/>
  <c r="BU383" i="25" a="1"/>
  <c r="BU383" i="25" s="1"/>
  <c r="BC383" i="25" a="1"/>
  <c r="BC383" i="25" s="1"/>
  <c r="AK383" i="25" a="1"/>
  <c r="AK383" i="25" s="1"/>
  <c r="BO383" i="25" a="1"/>
  <c r="BO383" i="25" s="1"/>
  <c r="AX383" i="25" a="1"/>
  <c r="AX383" i="25" s="1"/>
  <c r="X383" i="25" a="1"/>
  <c r="X383" i="25" s="1"/>
  <c r="AL383" i="25" a="1"/>
  <c r="AL383" i="25" s="1"/>
  <c r="BB383" i="25" a="1"/>
  <c r="BB383" i="25" s="1"/>
  <c r="AU383" i="25" a="1"/>
  <c r="AU383" i="25" s="1"/>
  <c r="BG383" i="25" a="1"/>
  <c r="BG383" i="25" s="1"/>
  <c r="AP383" i="25" a="1"/>
  <c r="AP383" i="25" s="1"/>
  <c r="Z383" i="25" a="1"/>
  <c r="Z383" i="25" s="1"/>
  <c r="V383" i="25" a="1"/>
  <c r="V383" i="25" s="1"/>
  <c r="BM383" i="25" a="1"/>
  <c r="BM383" i="25" s="1"/>
  <c r="BR383" i="25" a="1"/>
  <c r="BR383" i="25" s="1"/>
  <c r="AF383" i="25" a="1"/>
  <c r="AF383" i="25" s="1"/>
  <c r="AM383" i="25" a="1"/>
  <c r="AM383" i="25" s="1"/>
  <c r="BP383" i="25" a="1"/>
  <c r="BP383" i="25" s="1"/>
  <c r="AY383" i="25" a="1"/>
  <c r="AY383" i="25" s="1"/>
  <c r="AH383" i="25" a="1"/>
  <c r="AH383" i="25" s="1"/>
  <c r="W38" i="25"/>
  <c r="Q447" i="25"/>
  <c r="Q485" i="25"/>
  <c r="Q494" i="25"/>
  <c r="Q431" i="25"/>
  <c r="Q456" i="25"/>
  <c r="Q400" i="25"/>
  <c r="Q476" i="25"/>
  <c r="Q465" i="25"/>
  <c r="Q384" i="25"/>
  <c r="Q375" i="25"/>
  <c r="W173" i="25" a="1"/>
  <c r="W53" i="25" a="1"/>
  <c r="W63" i="25" a="1"/>
  <c r="W263" i="25" a="1"/>
  <c r="W198" i="25" a="1"/>
  <c r="W143" i="25" a="1"/>
  <c r="W273" i="25" a="1"/>
  <c r="W103" i="25" a="1"/>
  <c r="W293" i="25" a="1"/>
  <c r="W123" i="25" a="1"/>
  <c r="W128" i="25" a="1"/>
  <c r="W133" i="25" a="1"/>
  <c r="W163" i="25" a="1"/>
  <c r="W223" i="25" a="1"/>
  <c r="W228" i="25" a="1"/>
  <c r="W208" i="25" a="1"/>
  <c r="W138" i="25" a="1"/>
  <c r="W178" i="25" a="1"/>
  <c r="W183" i="25" a="1"/>
  <c r="W298" i="25" a="1"/>
  <c r="W258" i="25" a="1"/>
  <c r="W118" i="25" a="1"/>
  <c r="W83" i="25" a="1"/>
  <c r="W88" i="25" a="1"/>
  <c r="W113" i="25" a="1"/>
  <c r="W158" i="25" a="1"/>
  <c r="W153" i="25" a="1"/>
  <c r="W203" i="25" a="1"/>
  <c r="W238" i="25" a="1"/>
  <c r="W308" i="25" a="1"/>
  <c r="W58" i="25" a="1"/>
  <c r="W268" i="25" a="1"/>
  <c r="W48" i="25" a="1"/>
  <c r="W148" i="25" a="1"/>
  <c r="W218" i="25" a="1"/>
  <c r="W43" i="25" a="1"/>
  <c r="W193" i="25" a="1"/>
  <c r="W188" i="25" a="1"/>
  <c r="W283" i="25" a="1"/>
  <c r="W213" i="25" a="1"/>
  <c r="W233" i="25" a="1"/>
  <c r="W93" i="25" a="1"/>
  <c r="W168" i="25" a="1"/>
  <c r="W68" i="25" a="1"/>
  <c r="AD38" i="25" a="1"/>
  <c r="W108" i="25" a="1"/>
  <c r="W248" i="25" a="1"/>
  <c r="W243" i="25" a="1"/>
  <c r="W253" i="25" a="1"/>
  <c r="W288" i="25" a="1"/>
  <c r="W303" i="25" a="1"/>
  <c r="W78" i="25" a="1"/>
  <c r="W98" i="25" a="1"/>
  <c r="W73" i="25" a="1"/>
  <c r="W278" i="25" a="1"/>
  <c r="AM329" i="25" l="1"/>
  <c r="X327" i="25"/>
  <c r="AJ326" i="25"/>
  <c r="AJ337" i="25" s="1" a="1"/>
  <c r="AJ337" i="25" s="1"/>
  <c r="AJ372" i="25" s="1"/>
  <c r="BM328" i="25"/>
  <c r="BJ330" i="25"/>
  <c r="AT325" i="25"/>
  <c r="BH329" i="25"/>
  <c r="BU325" i="25"/>
  <c r="BG329" i="25"/>
  <c r="BI328" i="25"/>
  <c r="BR328" i="25"/>
  <c r="BS330" i="25"/>
  <c r="AY325" i="25"/>
  <c r="BV329" i="25"/>
  <c r="AC329" i="25"/>
  <c r="AW327" i="25"/>
  <c r="X329" i="25"/>
  <c r="AC328" i="25"/>
  <c r="AG330" i="25"/>
  <c r="BO327" i="25"/>
  <c r="BU329" i="25"/>
  <c r="BK330" i="25"/>
  <c r="AB330" i="25"/>
  <c r="AA327" i="25"/>
  <c r="BQ327" i="25"/>
  <c r="AN330" i="25"/>
  <c r="BF327" i="25"/>
  <c r="BR327" i="25"/>
  <c r="Z330" i="25"/>
  <c r="AP328" i="25"/>
  <c r="BV327" i="25"/>
  <c r="AX327" i="25"/>
  <c r="BS327" i="25"/>
  <c r="AX328" i="25"/>
  <c r="AK330" i="25"/>
  <c r="AX325" i="25"/>
  <c r="V327" i="25"/>
  <c r="Q448" i="25"/>
  <c r="AH327" i="25"/>
  <c r="AL326" i="25"/>
  <c r="AL337" i="25" s="1" a="1"/>
  <c r="AL337" i="25" s="1"/>
  <c r="AL372" i="25" s="1"/>
  <c r="BF328" i="25"/>
  <c r="BH325" i="25"/>
  <c r="AM326" i="25"/>
  <c r="AM337" i="25" s="1" a="1"/>
  <c r="AM337" i="25" s="1"/>
  <c r="AM372" i="25" s="1"/>
  <c r="AD330" i="25"/>
  <c r="Q401" i="25"/>
  <c r="Q486" i="25"/>
  <c r="AE326" i="25"/>
  <c r="AE337" i="25" s="1" a="1"/>
  <c r="AE337" i="25" s="1"/>
  <c r="AE372" i="25" s="1"/>
  <c r="W329" i="25"/>
  <c r="Z328" i="25"/>
  <c r="U325" i="25"/>
  <c r="U336" i="25" s="1" a="1"/>
  <c r="U336" i="25" s="1"/>
  <c r="AP325" i="25"/>
  <c r="BD325" i="25"/>
  <c r="AZ328" i="25"/>
  <c r="AS326" i="25"/>
  <c r="AS337" i="25" s="1" a="1"/>
  <c r="AS337" i="25" s="1"/>
  <c r="AS372" i="25" s="1"/>
  <c r="AN328" i="25"/>
  <c r="AP327" i="25"/>
  <c r="BG327" i="25"/>
  <c r="AQ328" i="25"/>
  <c r="AV326" i="25"/>
  <c r="AV337" i="25" s="1" a="1"/>
  <c r="AV337" i="25" s="1"/>
  <c r="AV372" i="25" s="1"/>
  <c r="BB330" i="25"/>
  <c r="BH330" i="25"/>
  <c r="AR330" i="25"/>
  <c r="AU330" i="25"/>
  <c r="AM330" i="25"/>
  <c r="AF330" i="25"/>
  <c r="BK326" i="25"/>
  <c r="BK337" i="25" s="1" a="1"/>
  <c r="BK337" i="25" s="1"/>
  <c r="BK372" i="25" s="1"/>
  <c r="BG328" i="25"/>
  <c r="BR325" i="25"/>
  <c r="BQ325" i="25"/>
  <c r="BC328" i="25"/>
  <c r="AU327" i="25"/>
  <c r="AG327" i="25"/>
  <c r="AO327" i="25"/>
  <c r="AO326" i="25"/>
  <c r="AO337" i="25" s="1" a="1"/>
  <c r="AO337" i="25" s="1"/>
  <c r="AO372" i="25" s="1"/>
  <c r="BV326" i="25"/>
  <c r="BV337" i="25" s="1" a="1"/>
  <c r="BV337" i="25" s="1"/>
  <c r="BV372" i="25" s="1"/>
  <c r="BR329" i="25"/>
  <c r="AZ329" i="25"/>
  <c r="AY329" i="25"/>
  <c r="BN329" i="25"/>
  <c r="BM329" i="25"/>
  <c r="AI326" i="25"/>
  <c r="AI337" i="25" s="1" a="1"/>
  <c r="AI337" i="25" s="1"/>
  <c r="AI372" i="25" s="1"/>
  <c r="BB328" i="25"/>
  <c r="BJ327" i="25"/>
  <c r="AT328" i="25"/>
  <c r="AF327" i="25"/>
  <c r="AC330" i="25"/>
  <c r="Z329" i="25"/>
  <c r="AA326" i="25"/>
  <c r="AA337" i="25" s="1" a="1"/>
  <c r="AA337" i="25" s="1"/>
  <c r="AA372" i="25" s="1"/>
  <c r="X325" i="25"/>
  <c r="AQ327" i="25"/>
  <c r="BF326" i="25"/>
  <c r="BF337" i="25" s="1" a="1"/>
  <c r="BF337" i="25" s="1"/>
  <c r="BF372" i="25" s="1"/>
  <c r="AS328" i="25"/>
  <c r="BU327" i="25"/>
  <c r="BV325" i="25"/>
  <c r="BL327" i="25"/>
  <c r="AM325" i="25"/>
  <c r="AR328" i="25"/>
  <c r="AF326" i="25"/>
  <c r="AF337" i="25" s="1" a="1"/>
  <c r="AF337" i="25" s="1"/>
  <c r="AF372" i="25" s="1"/>
  <c r="AT330" i="25"/>
  <c r="BW330" i="25"/>
  <c r="BV330" i="25"/>
  <c r="AZ330" i="25"/>
  <c r="BP330" i="25"/>
  <c r="AL327" i="25"/>
  <c r="BN327" i="25"/>
  <c r="BH328" i="25"/>
  <c r="AO325" i="25"/>
  <c r="AZ325" i="25"/>
  <c r="BT328" i="25"/>
  <c r="BB326" i="25"/>
  <c r="BB337" i="25" s="1" a="1"/>
  <c r="BB337" i="25" s="1"/>
  <c r="BB372" i="25" s="1"/>
  <c r="BI326" i="25"/>
  <c r="BI337" i="25" s="1" a="1"/>
  <c r="BI337" i="25" s="1"/>
  <c r="BI372" i="25" s="1"/>
  <c r="BT325" i="25"/>
  <c r="BC326" i="25"/>
  <c r="BC337" i="25" s="1" a="1"/>
  <c r="BC337" i="25" s="1"/>
  <c r="BC372" i="25" s="1"/>
  <c r="BL329" i="25"/>
  <c r="BJ329" i="25"/>
  <c r="AR329" i="25"/>
  <c r="AQ329" i="25"/>
  <c r="BF329" i="25"/>
  <c r="BE329" i="25"/>
  <c r="BN326" i="25"/>
  <c r="BN337" i="25" s="1" a="1"/>
  <c r="BN337" i="25" s="1"/>
  <c r="BN372" i="25" s="1"/>
  <c r="BS328" i="25"/>
  <c r="BQ328" i="25"/>
  <c r="BO326" i="25"/>
  <c r="BO337" i="25" s="1" a="1"/>
  <c r="BO337" i="25" s="1"/>
  <c r="BO372" i="25" s="1"/>
  <c r="Y326" i="25"/>
  <c r="Y337" i="25" s="1" a="1"/>
  <c r="Y337" i="25" s="1"/>
  <c r="Y372" i="25" s="1"/>
  <c r="Y329" i="25"/>
  <c r="AC325" i="25"/>
  <c r="W328" i="25"/>
  <c r="BC327" i="25"/>
  <c r="BK325" i="25"/>
  <c r="AY326" i="25"/>
  <c r="AY337" i="25" s="1" a="1"/>
  <c r="AY337" i="25" s="1"/>
  <c r="AY372" i="25" s="1"/>
  <c r="BB327" i="25"/>
  <c r="BB325" i="25"/>
  <c r="AF325" i="25"/>
  <c r="AG326" i="25"/>
  <c r="AG337" i="25" s="1" a="1"/>
  <c r="AG337" i="25" s="1"/>
  <c r="AG372" i="25" s="1"/>
  <c r="AK328" i="25"/>
  <c r="AR326" i="25"/>
  <c r="AR337" i="25" s="1" a="1"/>
  <c r="AR337" i="25" s="1"/>
  <c r="AR372" i="25" s="1"/>
  <c r="AL330" i="25"/>
  <c r="BO330" i="25"/>
  <c r="BN330" i="25"/>
  <c r="BU330" i="25"/>
  <c r="AJ330" i="25"/>
  <c r="AN325" i="25"/>
  <c r="BT326" i="25"/>
  <c r="BT337" i="25" s="1" a="1"/>
  <c r="BT337" i="25" s="1"/>
  <c r="BT372" i="25" s="1"/>
  <c r="BA328" i="25"/>
  <c r="BJ325" i="25"/>
  <c r="BH327" i="25"/>
  <c r="BQ326" i="25"/>
  <c r="BQ337" i="25" s="1" a="1"/>
  <c r="BQ337" i="25" s="1"/>
  <c r="BQ372" i="25" s="1"/>
  <c r="BC325" i="25"/>
  <c r="AK325" i="25"/>
  <c r="AG325" i="25"/>
  <c r="BP325" i="25"/>
  <c r="AN329" i="25"/>
  <c r="BB329" i="25"/>
  <c r="AJ329" i="25"/>
  <c r="AI329" i="25"/>
  <c r="AX329" i="25"/>
  <c r="AW329" i="25"/>
  <c r="AY327" i="25"/>
  <c r="AV325" i="25"/>
  <c r="AT326" i="25"/>
  <c r="AT337" i="25" s="1" a="1"/>
  <c r="AT337" i="25" s="1"/>
  <c r="AT372" i="25" s="1"/>
  <c r="BG326" i="25"/>
  <c r="BG337" i="25" s="1" a="1"/>
  <c r="BG337" i="25" s="1"/>
  <c r="BG372" i="25" s="1"/>
  <c r="Q477" i="25"/>
  <c r="AD326" i="25"/>
  <c r="AD337" i="25" s="1" a="1"/>
  <c r="AD337" i="25" s="1"/>
  <c r="AD372" i="25" s="1"/>
  <c r="AE330" i="25"/>
  <c r="AB327" i="25"/>
  <c r="AB325" i="25"/>
  <c r="AG328" i="25"/>
  <c r="BR326" i="25"/>
  <c r="BR337" i="25" s="1" a="1"/>
  <c r="BR337" i="25" s="1"/>
  <c r="BR372" i="25" s="1"/>
  <c r="BM326" i="25"/>
  <c r="BM337" i="25" s="1" a="1"/>
  <c r="BM337" i="25" s="1"/>
  <c r="BM372" i="25" s="1"/>
  <c r="AH328" i="25"/>
  <c r="BA326" i="25"/>
  <c r="BA337" i="25" s="1" a="1"/>
  <c r="BA337" i="25" s="1"/>
  <c r="BA372" i="25" s="1"/>
  <c r="BD328" i="25"/>
  <c r="AS325" i="25"/>
  <c r="BU328" i="25"/>
  <c r="AT327" i="25"/>
  <c r="BQ330" i="25"/>
  <c r="BG330" i="25"/>
  <c r="BF330" i="25"/>
  <c r="BM330" i="25"/>
  <c r="BT330" i="25"/>
  <c r="AY328" i="25"/>
  <c r="AW326" i="25"/>
  <c r="AW337" i="25" s="1" a="1"/>
  <c r="AW337" i="25" s="1"/>
  <c r="AW372" i="25" s="1"/>
  <c r="AU328" i="25"/>
  <c r="BE327" i="25"/>
  <c r="BI325" i="25"/>
  <c r="BU326" i="25"/>
  <c r="BU337" i="25" s="1" a="1"/>
  <c r="BU337" i="25" s="1"/>
  <c r="BU372" i="25" s="1"/>
  <c r="AQ325" i="25"/>
  <c r="BD326" i="25"/>
  <c r="BD337" i="25" s="1" a="1"/>
  <c r="BD337" i="25" s="1"/>
  <c r="BD372" i="25" s="1"/>
  <c r="AK326" i="25"/>
  <c r="AK337" i="25" s="1" a="1"/>
  <c r="AK337" i="25" s="1"/>
  <c r="AK372" i="25" s="1"/>
  <c r="AJ325" i="25"/>
  <c r="BS329" i="25"/>
  <c r="AT329" i="25"/>
  <c r="BD329" i="25"/>
  <c r="BT329" i="25"/>
  <c r="AP329" i="25"/>
  <c r="AO329" i="25"/>
  <c r="BV328" i="25"/>
  <c r="AE328" i="25"/>
  <c r="AR327" i="25"/>
  <c r="AD325" i="25"/>
  <c r="AA329" i="25"/>
  <c r="AB328" i="25"/>
  <c r="Q376" i="25"/>
  <c r="Z325" i="25"/>
  <c r="U329" i="25"/>
  <c r="U400" i="25" s="1"/>
  <c r="U447" i="25" s="1"/>
  <c r="AA328" i="25"/>
  <c r="Y328" i="25"/>
  <c r="U330" i="25"/>
  <c r="U401" i="25" s="1"/>
  <c r="U448" i="25" s="1"/>
  <c r="Y330" i="25"/>
  <c r="Q432" i="25"/>
  <c r="AA325" i="25"/>
  <c r="W327" i="25"/>
  <c r="AD329" i="25"/>
  <c r="W326" i="25"/>
  <c r="W337" i="25" s="1" a="1"/>
  <c r="W337" i="25" s="1"/>
  <c r="W372" i="25" s="1"/>
  <c r="AD327" i="25"/>
  <c r="V326" i="25"/>
  <c r="AO328" i="25"/>
  <c r="AS327" i="25"/>
  <c r="X328" i="25"/>
  <c r="AI328" i="25"/>
  <c r="AU326" i="25"/>
  <c r="AU337" i="25" s="1" a="1"/>
  <c r="AU337" i="25" s="1"/>
  <c r="AU372" i="25" s="1"/>
  <c r="BO325" i="25"/>
  <c r="AW325" i="25"/>
  <c r="AV328" i="25"/>
  <c r="U328" i="25"/>
  <c r="U399" i="25" s="1"/>
  <c r="BI330" i="25"/>
  <c r="AY330" i="25"/>
  <c r="AX330" i="25"/>
  <c r="BE330" i="25"/>
  <c r="BL330" i="25"/>
  <c r="AM328" i="25"/>
  <c r="BJ326" i="25"/>
  <c r="BJ337" i="25" s="1" a="1"/>
  <c r="BJ337" i="25" s="1"/>
  <c r="BJ372" i="25" s="1"/>
  <c r="BL328" i="25"/>
  <c r="AD328" i="25"/>
  <c r="BN328" i="25"/>
  <c r="BE325" i="25"/>
  <c r="AU325" i="25"/>
  <c r="AZ326" i="25"/>
  <c r="AZ337" i="25" s="1" a="1"/>
  <c r="AZ337" i="25" s="1"/>
  <c r="AZ372" i="25" s="1"/>
  <c r="BS326" i="25"/>
  <c r="BS337" i="25" s="1" a="1"/>
  <c r="BS337" i="25" s="1"/>
  <c r="BS372" i="25" s="1"/>
  <c r="BD327" i="25"/>
  <c r="BK329" i="25"/>
  <c r="AL329" i="25"/>
  <c r="BA329" i="25"/>
  <c r="AF329" i="25"/>
  <c r="AH329" i="25"/>
  <c r="AG329" i="25"/>
  <c r="BK328" i="25"/>
  <c r="BL325" i="25"/>
  <c r="BS325" i="25"/>
  <c r="W325" i="25"/>
  <c r="Z327" i="25"/>
  <c r="AA330" i="25"/>
  <c r="W330" i="25"/>
  <c r="Q385" i="25"/>
  <c r="Q457" i="25"/>
  <c r="Y325" i="25"/>
  <c r="AB326" i="25"/>
  <c r="AB337" i="25" s="1" a="1"/>
  <c r="AB337" i="25" s="1"/>
  <c r="AB372" i="25" s="1"/>
  <c r="V329" i="25"/>
  <c r="AC327" i="25"/>
  <c r="V328" i="25"/>
  <c r="BK327" i="25"/>
  <c r="BE328" i="25"/>
  <c r="AC326" i="25"/>
  <c r="AC337" i="25" s="1" a="1"/>
  <c r="AC337" i="25" s="1"/>
  <c r="AC372" i="25" s="1"/>
  <c r="BW325" i="25"/>
  <c r="AJ328" i="25"/>
  <c r="BE326" i="25"/>
  <c r="BE337" i="25" s="1" a="1"/>
  <c r="BE337" i="25" s="1"/>
  <c r="BH326" i="25"/>
  <c r="BH337" i="25" s="1" a="1"/>
  <c r="BH337" i="25" s="1"/>
  <c r="BH372" i="25" s="1"/>
  <c r="AI327" i="25"/>
  <c r="AH326" i="25"/>
  <c r="AH337" i="25" s="1" a="1"/>
  <c r="AH337" i="25" s="1"/>
  <c r="AH372" i="25" s="1"/>
  <c r="BC330" i="25"/>
  <c r="BA330" i="25"/>
  <c r="AQ330" i="25"/>
  <c r="AP330" i="25"/>
  <c r="AW330" i="25"/>
  <c r="BD330" i="25"/>
  <c r="BA325" i="25"/>
  <c r="AV327" i="25"/>
  <c r="BP326" i="25"/>
  <c r="BP337" i="25" s="1" a="1"/>
  <c r="BP337" i="25" s="1"/>
  <c r="BP372" i="25" s="1"/>
  <c r="U326" i="25"/>
  <c r="BO328" i="25"/>
  <c r="AX326" i="25"/>
  <c r="AX337" i="25" s="1" a="1"/>
  <c r="AX337" i="25" s="1"/>
  <c r="AX372" i="25" s="1"/>
  <c r="AZ327" i="25"/>
  <c r="AR325" i="25"/>
  <c r="AJ327" i="25"/>
  <c r="BW327" i="25"/>
  <c r="BC329" i="25"/>
  <c r="AS329" i="25"/>
  <c r="BW329" i="25"/>
  <c r="BQ329" i="25"/>
  <c r="AV329" i="25"/>
  <c r="AE325" i="25"/>
  <c r="AI325" i="25"/>
  <c r="BJ328" i="25"/>
  <c r="Z326" i="25"/>
  <c r="Z337" i="25" s="1" a="1"/>
  <c r="Z337" i="25" s="1"/>
  <c r="BI327" i="25"/>
  <c r="Y327" i="25"/>
  <c r="V330" i="25"/>
  <c r="X330" i="25"/>
  <c r="Q466" i="25"/>
  <c r="Q495" i="25"/>
  <c r="U327" i="25"/>
  <c r="U398" i="25" s="1"/>
  <c r="AB329" i="25"/>
  <c r="AE329" i="25"/>
  <c r="V325" i="25"/>
  <c r="X326" i="25"/>
  <c r="X337" i="25" s="1" a="1"/>
  <c r="X337" i="25" s="1"/>
  <c r="X372" i="25" s="1"/>
  <c r="BP327" i="25"/>
  <c r="AL328" i="25"/>
  <c r="BM327" i="25"/>
  <c r="BT327" i="25"/>
  <c r="AW328" i="25"/>
  <c r="AM327" i="25"/>
  <c r="BL326" i="25"/>
  <c r="BL337" i="25" s="1" a="1"/>
  <c r="BL337" i="25" s="1"/>
  <c r="BL372" i="25" s="1"/>
  <c r="AP326" i="25"/>
  <c r="AP337" i="25" s="1" a="1"/>
  <c r="AP337" i="25" s="1"/>
  <c r="AP372" i="25" s="1"/>
  <c r="BN325" i="25"/>
  <c r="BR330" i="25"/>
  <c r="AS330" i="25"/>
  <c r="AI330" i="25"/>
  <c r="AH330" i="25"/>
  <c r="AO330" i="25"/>
  <c r="AV330" i="25"/>
  <c r="BG325" i="25"/>
  <c r="AQ326" i="25"/>
  <c r="AQ337" i="25" s="1" a="1"/>
  <c r="AQ337" i="25" s="1"/>
  <c r="AQ372" i="25" s="1"/>
  <c r="BW326" i="25"/>
  <c r="BW337" i="25" s="1" a="1"/>
  <c r="BW337" i="25" s="1"/>
  <c r="BW372" i="25" s="1"/>
  <c r="BF325" i="25"/>
  <c r="BP328" i="25"/>
  <c r="AH325" i="25"/>
  <c r="AK327" i="25"/>
  <c r="BA327" i="25"/>
  <c r="AN327" i="25"/>
  <c r="AN326" i="25"/>
  <c r="AN337" i="25" s="1" a="1"/>
  <c r="AN337" i="25" s="1"/>
  <c r="AU329" i="25"/>
  <c r="BP329" i="25"/>
  <c r="BO329" i="25"/>
  <c r="AK329" i="25"/>
  <c r="BI329" i="25"/>
  <c r="AL325" i="25"/>
  <c r="BM325" i="25"/>
  <c r="AF328" i="25"/>
  <c r="AE327" i="25"/>
  <c r="BW328" i="25"/>
  <c r="Q341" i="25"/>
  <c r="AM384" i="25" a="1"/>
  <c r="AM384" i="25" s="1"/>
  <c r="AV384" i="25" a="1"/>
  <c r="AV384" i="25" s="1"/>
  <c r="BU384" i="25" a="1"/>
  <c r="BU384" i="25" s="1"/>
  <c r="Y384" i="25" a="1"/>
  <c r="Y384" i="25" s="1"/>
  <c r="W178" i="25"/>
  <c r="W384" i="25" a="1"/>
  <c r="W384" i="25" s="1"/>
  <c r="BC384" i="25" a="1"/>
  <c r="BC384" i="25" s="1"/>
  <c r="BR384" i="25" a="1"/>
  <c r="BR384" i="25" s="1"/>
  <c r="AZ384" i="25" a="1"/>
  <c r="AZ384" i="25" s="1"/>
  <c r="AI384" i="25" a="1"/>
  <c r="AI384" i="25" s="1"/>
  <c r="BM384" i="25" a="1"/>
  <c r="BM384" i="25" s="1"/>
  <c r="AE384" i="25" a="1"/>
  <c r="AE384" i="25" s="1"/>
  <c r="BD384" i="25" a="1"/>
  <c r="BD384" i="25" s="1"/>
  <c r="AF384" i="25" a="1"/>
  <c r="AF384" i="25" s="1"/>
  <c r="BJ384" i="25" a="1"/>
  <c r="BJ384" i="25" s="1"/>
  <c r="AR384" i="25" a="1"/>
  <c r="AR384" i="25" s="1"/>
  <c r="BV384" i="25" a="1"/>
  <c r="BV384" i="25" s="1"/>
  <c r="BE384" i="25" a="1"/>
  <c r="BE384" i="25" s="1"/>
  <c r="AD384" i="25" a="1"/>
  <c r="AD384" i="25" s="1"/>
  <c r="AK384" i="25" a="1"/>
  <c r="AK384" i="25" s="1"/>
  <c r="BQ384" i="25" a="1"/>
  <c r="BQ384" i="25" s="1"/>
  <c r="BB384" i="25" a="1"/>
  <c r="BB384" i="25" s="1"/>
  <c r="AJ384" i="25" a="1"/>
  <c r="AJ384" i="25" s="1"/>
  <c r="BN384" i="25" a="1"/>
  <c r="BN384" i="25" s="1"/>
  <c r="AW384" i="25" a="1"/>
  <c r="AW384" i="25" s="1"/>
  <c r="BH384" i="25" a="1"/>
  <c r="BH384" i="25" s="1"/>
  <c r="X384" i="25" a="1"/>
  <c r="X384" i="25" s="1"/>
  <c r="AC384" i="25" a="1"/>
  <c r="AC384" i="25" s="1"/>
  <c r="AU384" i="25" a="1"/>
  <c r="AU384" i="25" s="1"/>
  <c r="AT384" i="25" a="1"/>
  <c r="AT384" i="25" s="1"/>
  <c r="BW384" i="25" a="1"/>
  <c r="BW384" i="25" s="1"/>
  <c r="BF384" i="25" a="1"/>
  <c r="BF384" i="25" s="1"/>
  <c r="AO384" i="25" a="1"/>
  <c r="AO384" i="25" s="1"/>
  <c r="AQ384" i="25" a="1"/>
  <c r="AQ384" i="25" s="1"/>
  <c r="Z384" i="25" a="1"/>
  <c r="Z384" i="25" s="1"/>
  <c r="V384" i="25" a="1"/>
  <c r="V384" i="25" s="1"/>
  <c r="BK384" i="25" a="1"/>
  <c r="BK384" i="25" s="1"/>
  <c r="BT384" i="25" a="1"/>
  <c r="BT384" i="25" s="1"/>
  <c r="AN384" i="25" a="1"/>
  <c r="AN384" i="25" s="1"/>
  <c r="AL384" i="25" a="1"/>
  <c r="AL384" i="25" s="1"/>
  <c r="BO384" i="25" a="1"/>
  <c r="BO384" i="25" s="1"/>
  <c r="AX384" i="25" a="1"/>
  <c r="AX384" i="25" s="1"/>
  <c r="AG384" i="25" a="1"/>
  <c r="AG384" i="25" s="1"/>
  <c r="AA384" i="25" a="1"/>
  <c r="AA384" i="25" s="1"/>
  <c r="BA384" i="25" a="1"/>
  <c r="BA384" i="25" s="1"/>
  <c r="BL384" i="25" a="1"/>
  <c r="BL384" i="25" s="1"/>
  <c r="BG384" i="25" a="1"/>
  <c r="BG384" i="25" s="1"/>
  <c r="AP384" i="25" a="1"/>
  <c r="AP384" i="25" s="1"/>
  <c r="AB384" i="25" a="1"/>
  <c r="AB384" i="25" s="1"/>
  <c r="BI384" i="25" a="1"/>
  <c r="BI384" i="25" s="1"/>
  <c r="BS384" i="25" a="1"/>
  <c r="BS384" i="25" s="1"/>
  <c r="AS384" i="25" a="1"/>
  <c r="AS384" i="25" s="1"/>
  <c r="BP384" i="25" a="1"/>
  <c r="BP384" i="25" s="1"/>
  <c r="AY384" i="25" a="1"/>
  <c r="AY384" i="25" s="1"/>
  <c r="AH384" i="25" a="1"/>
  <c r="AH384" i="25" s="1"/>
  <c r="O437" i="25"/>
  <c r="B99" i="25" a="1"/>
  <c r="B99" i="25" s="1"/>
  <c r="W148" i="25"/>
  <c r="W293" i="25"/>
  <c r="W113" i="25"/>
  <c r="W193" i="25"/>
  <c r="W118" i="25"/>
  <c r="W283" i="25"/>
  <c r="W48" i="25"/>
  <c r="W278" i="25"/>
  <c r="W258" i="25"/>
  <c r="W183" i="25"/>
  <c r="W223" i="25"/>
  <c r="W268" i="25"/>
  <c r="W143" i="25"/>
  <c r="W208" i="25"/>
  <c r="W308" i="25"/>
  <c r="W68" i="25"/>
  <c r="W198" i="25"/>
  <c r="W173" i="25"/>
  <c r="W238" i="25"/>
  <c r="W103" i="25"/>
  <c r="W228" i="25"/>
  <c r="W218" i="25"/>
  <c r="W248" i="25"/>
  <c r="W98" i="25"/>
  <c r="W288" i="25"/>
  <c r="W138" i="25"/>
  <c r="W213" i="25"/>
  <c r="W83" i="25"/>
  <c r="W43" i="25"/>
  <c r="W158" i="25"/>
  <c r="W253" i="25"/>
  <c r="W188" i="25"/>
  <c r="W168" i="25"/>
  <c r="W273" i="25"/>
  <c r="W203" i="25"/>
  <c r="W243" i="25"/>
  <c r="W53" i="25"/>
  <c r="W298" i="25"/>
  <c r="W123" i="25"/>
  <c r="W73" i="25"/>
  <c r="W78" i="25"/>
  <c r="W303" i="25"/>
  <c r="W128" i="25"/>
  <c r="W88" i="25"/>
  <c r="W63" i="25"/>
  <c r="W58" i="25"/>
  <c r="W263" i="25"/>
  <c r="W153" i="25"/>
  <c r="W108" i="25"/>
  <c r="W233" i="25"/>
  <c r="W133" i="25"/>
  <c r="W93" i="25"/>
  <c r="W163" i="25"/>
  <c r="AD38" i="25"/>
  <c r="U396" i="25"/>
  <c r="I82" i="25" a="1"/>
  <c r="I187" i="25" a="1"/>
  <c r="I262" i="25" a="1"/>
  <c r="AD293" i="25" a="1"/>
  <c r="AD48" i="25" a="1"/>
  <c r="I197" i="25" a="1"/>
  <c r="I247" i="25" a="1"/>
  <c r="AD58" i="25" a="1"/>
  <c r="AD158" i="25" a="1"/>
  <c r="AD168" i="25" a="1"/>
  <c r="AD148" i="25" a="1"/>
  <c r="AD238" i="25" a="1"/>
  <c r="AD78" i="25" a="1"/>
  <c r="AD253" i="25" a="1"/>
  <c r="AD83" i="25" a="1"/>
  <c r="I207" i="25" a="1"/>
  <c r="I112" i="25" a="1"/>
  <c r="I282" i="25" a="1"/>
  <c r="I177" i="25" a="1"/>
  <c r="I212" i="25" a="1"/>
  <c r="AD203" i="25" a="1"/>
  <c r="AD288" i="25" a="1"/>
  <c r="AD93" i="25" a="1"/>
  <c r="I137" i="25" a="1"/>
  <c r="I292" i="25" a="1"/>
  <c r="AD173" i="25" a="1"/>
  <c r="AD118" i="25" a="1"/>
  <c r="AD258" i="25" a="1"/>
  <c r="AD133" i="25" a="1"/>
  <c r="I307" i="25" a="1"/>
  <c r="I182" i="25" a="1"/>
  <c r="I267" i="25" a="1"/>
  <c r="I47" i="25" a="1"/>
  <c r="I232" i="25" a="1"/>
  <c r="I127" i="25" a="1"/>
  <c r="AD233" i="25" a="1"/>
  <c r="AD73" i="25" a="1"/>
  <c r="AD53" i="25" a="1"/>
  <c r="I222" i="25" a="1"/>
  <c r="AD188" i="25" a="1"/>
  <c r="I172" i="25" a="1"/>
  <c r="AD283" i="25" a="1"/>
  <c r="I297" i="25" a="1"/>
  <c r="AD128" i="25" a="1"/>
  <c r="I132" i="25" a="1"/>
  <c r="I62" i="25" a="1"/>
  <c r="AD278" i="25" a="1"/>
  <c r="I122" i="25" a="1"/>
  <c r="AD243" i="25" a="1"/>
  <c r="AD308" i="25" a="1"/>
  <c r="AD263" i="25" a="1"/>
  <c r="AD153" i="25" a="1"/>
  <c r="AD63" i="25" a="1"/>
  <c r="I257" i="25" a="1"/>
  <c r="AD178" i="25" a="1"/>
  <c r="AD273" i="25" a="1"/>
  <c r="AD98" i="25" a="1"/>
  <c r="I92" i="25" a="1"/>
  <c r="AD303" i="25" a="1"/>
  <c r="I147" i="25" a="1"/>
  <c r="AD183" i="25" a="1"/>
  <c r="I52" i="25" a="1"/>
  <c r="I217" i="25" a="1"/>
  <c r="I107" i="25" a="1"/>
  <c r="I87" i="25" a="1"/>
  <c r="AD123" i="25" a="1"/>
  <c r="B37" i="25" a="1"/>
  <c r="AD223" i="25" a="1"/>
  <c r="AD268" i="25" a="1"/>
  <c r="I142" i="25" a="1"/>
  <c r="I287" i="25" a="1"/>
  <c r="I67" i="25" a="1"/>
  <c r="I237" i="25" a="1"/>
  <c r="AD68" i="25" a="1"/>
  <c r="I162" i="25" a="1"/>
  <c r="AD213" i="25" a="1"/>
  <c r="AD218" i="25" a="1"/>
  <c r="AD208" i="25" a="1"/>
  <c r="AD108" i="25" a="1"/>
  <c r="I242" i="25" a="1"/>
  <c r="I152" i="25" a="1"/>
  <c r="I202" i="25" a="1"/>
  <c r="I157" i="25" a="1"/>
  <c r="I167" i="25" a="1"/>
  <c r="I57" i="25" a="1"/>
  <c r="I117" i="25" a="1"/>
  <c r="I97" i="25" a="1"/>
  <c r="AD138" i="25" a="1"/>
  <c r="I102" i="25" a="1"/>
  <c r="AD198" i="25" a="1"/>
  <c r="AD88" i="25" a="1"/>
  <c r="AD298" i="25" a="1"/>
  <c r="I192" i="25" a="1"/>
  <c r="AD43" i="25" a="1"/>
  <c r="I277" i="25" a="1"/>
  <c r="AD143" i="25" a="1"/>
  <c r="AD103" i="25" a="1"/>
  <c r="I227" i="25" a="1"/>
  <c r="AD163" i="25" a="1"/>
  <c r="I77" i="25" a="1"/>
  <c r="I272" i="25" a="1"/>
  <c r="AD248" i="25" a="1"/>
  <c r="AD228" i="25" a="1"/>
  <c r="I252" i="25" a="1"/>
  <c r="AD193" i="25" a="1"/>
  <c r="AD113" i="25" a="1"/>
  <c r="I302" i="25" a="1"/>
  <c r="I72" i="25" a="1"/>
  <c r="U337" i="25" l="1" a="1"/>
  <c r="U337" i="25" s="1"/>
  <c r="U338" i="25" s="1" a="1"/>
  <c r="U338" i="25" s="1"/>
  <c r="V337" i="25" a="1"/>
  <c r="V337" i="25" s="1"/>
  <c r="U397" i="25"/>
  <c r="U445" i="25" s="1"/>
  <c r="U463" i="25" s="1"/>
  <c r="I112" i="25"/>
  <c r="J112" i="25" s="1"/>
  <c r="K112" i="25" s="1"/>
  <c r="L112" i="25" s="1"/>
  <c r="M112" i="25" s="1"/>
  <c r="N112" i="25" s="1"/>
  <c r="O112" i="25" s="1"/>
  <c r="AJ349" i="25"/>
  <c r="AN372" i="25"/>
  <c r="I127" i="25"/>
  <c r="J127" i="25" s="1"/>
  <c r="K127" i="25" s="1"/>
  <c r="L127" i="25" s="1"/>
  <c r="M127" i="25" s="1"/>
  <c r="N127" i="25" s="1"/>
  <c r="O127" i="25" s="1"/>
  <c r="I122" i="25"/>
  <c r="J122" i="25" s="1"/>
  <c r="K122" i="25" s="1"/>
  <c r="L122" i="25" s="1"/>
  <c r="M122" i="25" s="1"/>
  <c r="N122" i="25" s="1"/>
  <c r="O122" i="25" s="1"/>
  <c r="AM349" i="25"/>
  <c r="AL349" i="25"/>
  <c r="I307" i="25"/>
  <c r="J307" i="25" s="1"/>
  <c r="K307" i="25" s="1"/>
  <c r="L307" i="25" s="1"/>
  <c r="M307" i="25" s="1"/>
  <c r="N307" i="25" s="1"/>
  <c r="O307" i="25" s="1"/>
  <c r="I232" i="25"/>
  <c r="J232" i="25" s="1"/>
  <c r="K232" i="25" s="1"/>
  <c r="L232" i="25" s="1"/>
  <c r="M232" i="25" s="1"/>
  <c r="N232" i="25" s="1"/>
  <c r="O232" i="25" s="1"/>
  <c r="I197" i="25"/>
  <c r="J197" i="25" s="1"/>
  <c r="K197" i="25" s="1"/>
  <c r="L197" i="25" s="1"/>
  <c r="M197" i="25" s="1"/>
  <c r="N197" i="25" s="1"/>
  <c r="O197" i="25" s="1"/>
  <c r="I82" i="25"/>
  <c r="J82" i="25" s="1"/>
  <c r="K82" i="25" s="1"/>
  <c r="L82" i="25" s="1"/>
  <c r="M82" i="25" s="1"/>
  <c r="N82" i="25" s="1"/>
  <c r="O82" i="25" s="1"/>
  <c r="I277" i="25"/>
  <c r="J277" i="25" s="1"/>
  <c r="K277" i="25" s="1"/>
  <c r="L277" i="25" s="1"/>
  <c r="M277" i="25" s="1"/>
  <c r="N277" i="25" s="1"/>
  <c r="O277" i="25" s="1"/>
  <c r="I267" i="25"/>
  <c r="J267" i="25" s="1"/>
  <c r="K267" i="25" s="1"/>
  <c r="L267" i="25" s="1"/>
  <c r="M267" i="25" s="1"/>
  <c r="N267" i="25" s="1"/>
  <c r="O267" i="25" s="1"/>
  <c r="I222" i="25"/>
  <c r="J222" i="25" s="1"/>
  <c r="K222" i="25" s="1"/>
  <c r="L222" i="25" s="1"/>
  <c r="M222" i="25" s="1"/>
  <c r="N222" i="25" s="1"/>
  <c r="O222" i="25" s="1"/>
  <c r="I302" i="25"/>
  <c r="J302" i="25" s="1"/>
  <c r="K302" i="25" s="1"/>
  <c r="L302" i="25" s="1"/>
  <c r="M302" i="25" s="1"/>
  <c r="N302" i="25" s="1"/>
  <c r="O302" i="25" s="1"/>
  <c r="I172" i="25"/>
  <c r="J172" i="25" s="1"/>
  <c r="K172" i="25" s="1"/>
  <c r="L172" i="25" s="1"/>
  <c r="M172" i="25" s="1"/>
  <c r="N172" i="25" s="1"/>
  <c r="O172" i="25" s="1"/>
  <c r="I132" i="25"/>
  <c r="J132" i="25" s="1"/>
  <c r="K132" i="25" s="1"/>
  <c r="L132" i="25" s="1"/>
  <c r="M132" i="25" s="1"/>
  <c r="N132" i="25" s="1"/>
  <c r="O132" i="25" s="1"/>
  <c r="I147" i="25"/>
  <c r="J147" i="25" s="1"/>
  <c r="K147" i="25" s="1"/>
  <c r="L147" i="25" s="1"/>
  <c r="M147" i="25" s="1"/>
  <c r="N147" i="25" s="1"/>
  <c r="O147" i="25" s="1"/>
  <c r="I217" i="25"/>
  <c r="J217" i="25" s="1"/>
  <c r="K217" i="25" s="1"/>
  <c r="L217" i="25" s="1"/>
  <c r="M217" i="25" s="1"/>
  <c r="N217" i="25" s="1"/>
  <c r="O217" i="25" s="1"/>
  <c r="I297" i="25"/>
  <c r="J297" i="25" s="1"/>
  <c r="K297" i="25" s="1"/>
  <c r="L297" i="25" s="1"/>
  <c r="M297" i="25" s="1"/>
  <c r="N297" i="25" s="1"/>
  <c r="O297" i="25" s="1"/>
  <c r="I187" i="25"/>
  <c r="J187" i="25" s="1"/>
  <c r="K187" i="25" s="1"/>
  <c r="L187" i="25" s="1"/>
  <c r="M187" i="25" s="1"/>
  <c r="N187" i="25" s="1"/>
  <c r="O187" i="25" s="1"/>
  <c r="I92" i="25"/>
  <c r="J92" i="25" s="1"/>
  <c r="K92" i="25" s="1"/>
  <c r="L92" i="25" s="1"/>
  <c r="M92" i="25" s="1"/>
  <c r="N92" i="25" s="1"/>
  <c r="O92" i="25" s="1"/>
  <c r="I137" i="25"/>
  <c r="J137" i="25" s="1"/>
  <c r="K137" i="25" s="1"/>
  <c r="L137" i="25" s="1"/>
  <c r="M137" i="25" s="1"/>
  <c r="N137" i="25" s="1"/>
  <c r="O137" i="25" s="1"/>
  <c r="I247" i="25"/>
  <c r="J247" i="25" s="1"/>
  <c r="K247" i="25" s="1"/>
  <c r="L247" i="25" s="1"/>
  <c r="M247" i="25" s="1"/>
  <c r="N247" i="25" s="1"/>
  <c r="O247" i="25" s="1"/>
  <c r="B37" i="25"/>
  <c r="C37" i="25" s="1"/>
  <c r="D37" i="25" s="1"/>
  <c r="E37" i="25" s="1"/>
  <c r="F37" i="25" s="1"/>
  <c r="G37" i="25" s="1"/>
  <c r="H37" i="25" s="1"/>
  <c r="I142" i="25"/>
  <c r="J142" i="25" s="1"/>
  <c r="K142" i="25" s="1"/>
  <c r="L142" i="25" s="1"/>
  <c r="M142" i="25" s="1"/>
  <c r="N142" i="25" s="1"/>
  <c r="O142" i="25" s="1"/>
  <c r="I52" i="25"/>
  <c r="J52" i="25" s="1"/>
  <c r="K52" i="25" s="1"/>
  <c r="L52" i="25" s="1"/>
  <c r="M52" i="25" s="1"/>
  <c r="N52" i="25" s="1"/>
  <c r="O52" i="25" s="1"/>
  <c r="I182" i="25"/>
  <c r="J182" i="25" s="1"/>
  <c r="K182" i="25" s="1"/>
  <c r="L182" i="25" s="1"/>
  <c r="M182" i="25" s="1"/>
  <c r="N182" i="25" s="1"/>
  <c r="O182" i="25" s="1"/>
  <c r="I72" i="25"/>
  <c r="J72" i="25" s="1"/>
  <c r="K72" i="25" s="1"/>
  <c r="L72" i="25" s="1"/>
  <c r="M72" i="25" s="1"/>
  <c r="N72" i="25" s="1"/>
  <c r="O72" i="25" s="1"/>
  <c r="I257" i="25"/>
  <c r="J257" i="25" s="1"/>
  <c r="K257" i="25" s="1"/>
  <c r="L257" i="25" s="1"/>
  <c r="M257" i="25" s="1"/>
  <c r="N257" i="25" s="1"/>
  <c r="O257" i="25" s="1"/>
  <c r="I227" i="25"/>
  <c r="J227" i="25" s="1"/>
  <c r="K227" i="25" s="1"/>
  <c r="L227" i="25" s="1"/>
  <c r="M227" i="25" s="1"/>
  <c r="N227" i="25" s="1"/>
  <c r="O227" i="25" s="1"/>
  <c r="I207" i="25"/>
  <c r="J207" i="25" s="1"/>
  <c r="K207" i="25" s="1"/>
  <c r="L207" i="25" s="1"/>
  <c r="M207" i="25" s="1"/>
  <c r="N207" i="25" s="1"/>
  <c r="O207" i="25" s="1"/>
  <c r="I107" i="25"/>
  <c r="J107" i="25" s="1"/>
  <c r="K107" i="25" s="1"/>
  <c r="L107" i="25" s="1"/>
  <c r="M107" i="25" s="1"/>
  <c r="N107" i="25" s="1"/>
  <c r="O107" i="25" s="1"/>
  <c r="I252" i="25"/>
  <c r="J252" i="25" s="1"/>
  <c r="K252" i="25" s="1"/>
  <c r="L252" i="25" s="1"/>
  <c r="M252" i="25" s="1"/>
  <c r="N252" i="25" s="1"/>
  <c r="O252" i="25" s="1"/>
  <c r="I242" i="25"/>
  <c r="J242" i="25" s="1"/>
  <c r="K242" i="25" s="1"/>
  <c r="L242" i="25" s="1"/>
  <c r="M242" i="25" s="1"/>
  <c r="N242" i="25" s="1"/>
  <c r="O242" i="25" s="1"/>
  <c r="I282" i="25"/>
  <c r="J282" i="25" s="1"/>
  <c r="K282" i="25" s="1"/>
  <c r="L282" i="25" s="1"/>
  <c r="M282" i="25" s="1"/>
  <c r="N282" i="25" s="1"/>
  <c r="O282" i="25" s="1"/>
  <c r="I162" i="25"/>
  <c r="J162" i="25" s="1"/>
  <c r="K162" i="25" s="1"/>
  <c r="L162" i="25" s="1"/>
  <c r="M162" i="25" s="1"/>
  <c r="N162" i="25" s="1"/>
  <c r="O162" i="25" s="1"/>
  <c r="I152" i="25"/>
  <c r="J152" i="25" s="1"/>
  <c r="K152" i="25" s="1"/>
  <c r="L152" i="25" s="1"/>
  <c r="M152" i="25" s="1"/>
  <c r="N152" i="25" s="1"/>
  <c r="O152" i="25" s="1"/>
  <c r="I262" i="25"/>
  <c r="J262" i="25" s="1"/>
  <c r="K262" i="25" s="1"/>
  <c r="L262" i="25" s="1"/>
  <c r="M262" i="25" s="1"/>
  <c r="N262" i="25" s="1"/>
  <c r="O262" i="25" s="1"/>
  <c r="I67" i="25"/>
  <c r="J67" i="25" s="1"/>
  <c r="K67" i="25" s="1"/>
  <c r="L67" i="25" s="1"/>
  <c r="M67" i="25" s="1"/>
  <c r="N67" i="25" s="1"/>
  <c r="O67" i="25" s="1"/>
  <c r="I77" i="25"/>
  <c r="J77" i="25" s="1"/>
  <c r="K77" i="25" s="1"/>
  <c r="L77" i="25" s="1"/>
  <c r="M77" i="25" s="1"/>
  <c r="N77" i="25" s="1"/>
  <c r="O77" i="25" s="1"/>
  <c r="I287" i="25"/>
  <c r="J287" i="25" s="1"/>
  <c r="K287" i="25" s="1"/>
  <c r="L287" i="25" s="1"/>
  <c r="M287" i="25" s="1"/>
  <c r="N287" i="25" s="1"/>
  <c r="O287" i="25" s="1"/>
  <c r="I292" i="25"/>
  <c r="J292" i="25" s="1"/>
  <c r="K292" i="25" s="1"/>
  <c r="L292" i="25" s="1"/>
  <c r="M292" i="25" s="1"/>
  <c r="N292" i="25" s="1"/>
  <c r="O292" i="25" s="1"/>
  <c r="I237" i="25"/>
  <c r="J237" i="25" s="1"/>
  <c r="K237" i="25" s="1"/>
  <c r="L237" i="25" s="1"/>
  <c r="M237" i="25" s="1"/>
  <c r="N237" i="25" s="1"/>
  <c r="O237" i="25" s="1"/>
  <c r="I87" i="25"/>
  <c r="J87" i="25" s="1"/>
  <c r="K87" i="25" s="1"/>
  <c r="L87" i="25" s="1"/>
  <c r="M87" i="25" s="1"/>
  <c r="N87" i="25" s="1"/>
  <c r="O87" i="25" s="1"/>
  <c r="I62" i="25"/>
  <c r="J62" i="25" s="1"/>
  <c r="K62" i="25" s="1"/>
  <c r="L62" i="25" s="1"/>
  <c r="M62" i="25" s="1"/>
  <c r="N62" i="25" s="1"/>
  <c r="O62" i="25" s="1"/>
  <c r="I272" i="25"/>
  <c r="J272" i="25" s="1"/>
  <c r="K272" i="25" s="1"/>
  <c r="L272" i="25" s="1"/>
  <c r="M272" i="25" s="1"/>
  <c r="N272" i="25" s="1"/>
  <c r="O272" i="25" s="1"/>
  <c r="I192" i="25"/>
  <c r="J192" i="25" s="1"/>
  <c r="K192" i="25" s="1"/>
  <c r="L192" i="25" s="1"/>
  <c r="M192" i="25" s="1"/>
  <c r="N192" i="25" s="1"/>
  <c r="O192" i="25" s="1"/>
  <c r="I47" i="25"/>
  <c r="J47" i="25" s="1"/>
  <c r="K47" i="25" s="1"/>
  <c r="L47" i="25" s="1"/>
  <c r="M47" i="25" s="1"/>
  <c r="N47" i="25" s="1"/>
  <c r="O47" i="25" s="1"/>
  <c r="I177" i="25"/>
  <c r="J177" i="25" s="1"/>
  <c r="K177" i="25" s="1"/>
  <c r="L177" i="25" s="1"/>
  <c r="M177" i="25" s="1"/>
  <c r="N177" i="25" s="1"/>
  <c r="O177" i="25" s="1"/>
  <c r="I97" i="25"/>
  <c r="J97" i="25" s="1"/>
  <c r="K97" i="25" s="1"/>
  <c r="L97" i="25" s="1"/>
  <c r="M97" i="25" s="1"/>
  <c r="N97" i="25" s="1"/>
  <c r="O97" i="25" s="1"/>
  <c r="I202" i="25"/>
  <c r="J202" i="25" s="1"/>
  <c r="K202" i="25" s="1"/>
  <c r="L202" i="25" s="1"/>
  <c r="M202" i="25" s="1"/>
  <c r="N202" i="25" s="1"/>
  <c r="O202" i="25" s="1"/>
  <c r="I157" i="25"/>
  <c r="J157" i="25" s="1"/>
  <c r="K157" i="25" s="1"/>
  <c r="L157" i="25" s="1"/>
  <c r="M157" i="25" s="1"/>
  <c r="N157" i="25" s="1"/>
  <c r="O157" i="25" s="1"/>
  <c r="I102" i="25"/>
  <c r="J102" i="25" s="1"/>
  <c r="K102" i="25" s="1"/>
  <c r="L102" i="25" s="1"/>
  <c r="M102" i="25" s="1"/>
  <c r="N102" i="25" s="1"/>
  <c r="O102" i="25" s="1"/>
  <c r="I167" i="25"/>
  <c r="J167" i="25" s="1"/>
  <c r="K167" i="25" s="1"/>
  <c r="L167" i="25" s="1"/>
  <c r="M167" i="25" s="1"/>
  <c r="N167" i="25" s="1"/>
  <c r="O167" i="25" s="1"/>
  <c r="I117" i="25"/>
  <c r="J117" i="25" s="1"/>
  <c r="K117" i="25" s="1"/>
  <c r="L117" i="25" s="1"/>
  <c r="M117" i="25" s="1"/>
  <c r="N117" i="25" s="1"/>
  <c r="O117" i="25" s="1"/>
  <c r="I212" i="25"/>
  <c r="J212" i="25" s="1"/>
  <c r="K212" i="25" s="1"/>
  <c r="L212" i="25" s="1"/>
  <c r="M212" i="25" s="1"/>
  <c r="N212" i="25" s="1"/>
  <c r="O212" i="25" s="1"/>
  <c r="I57" i="25"/>
  <c r="J57" i="25" s="1"/>
  <c r="K57" i="25" s="1"/>
  <c r="L57" i="25" s="1"/>
  <c r="M57" i="25" s="1"/>
  <c r="N57" i="25" s="1"/>
  <c r="O57" i="25" s="1"/>
  <c r="BW349" i="25"/>
  <c r="BH349" i="25"/>
  <c r="BA349" i="25"/>
  <c r="AD349" i="25"/>
  <c r="BQ349" i="25"/>
  <c r="BO349" i="25"/>
  <c r="BF349" i="25"/>
  <c r="BV349" i="25"/>
  <c r="AV349" i="25"/>
  <c r="AN349" i="25"/>
  <c r="AQ349" i="25"/>
  <c r="BE349" i="25"/>
  <c r="BU349" i="25"/>
  <c r="AY349" i="25"/>
  <c r="AF349" i="25"/>
  <c r="AO349" i="25"/>
  <c r="BK349" i="25"/>
  <c r="AP349" i="25"/>
  <c r="X349" i="25"/>
  <c r="AX349" i="25"/>
  <c r="AB349" i="25"/>
  <c r="BM349" i="25"/>
  <c r="BG349" i="25"/>
  <c r="BC349" i="25"/>
  <c r="AI349" i="25"/>
  <c r="BL349" i="25"/>
  <c r="BJ349" i="25"/>
  <c r="BR349" i="25"/>
  <c r="AT349" i="25"/>
  <c r="AR349" i="25"/>
  <c r="BN349" i="25"/>
  <c r="AA349" i="25"/>
  <c r="AC349" i="25"/>
  <c r="BS349" i="25"/>
  <c r="BT349" i="25"/>
  <c r="BI349" i="25"/>
  <c r="AE349" i="25"/>
  <c r="Z349" i="25"/>
  <c r="BP349" i="25"/>
  <c r="AZ349" i="25"/>
  <c r="W349" i="25"/>
  <c r="AW349" i="25"/>
  <c r="AG349" i="25"/>
  <c r="BB349" i="25"/>
  <c r="AS349" i="25"/>
  <c r="AH349" i="25"/>
  <c r="AU349" i="25"/>
  <c r="AK349" i="25"/>
  <c r="BE372" i="25"/>
  <c r="BD381" i="25" s="1" a="1"/>
  <c r="BD381" i="25" s="1"/>
  <c r="BD397" i="25" s="1"/>
  <c r="AV419" i="25" s="1" a="1"/>
  <c r="AV419" i="25" s="1"/>
  <c r="Z372" i="25"/>
  <c r="BD349" i="25"/>
  <c r="Y349" i="25"/>
  <c r="U446" i="25"/>
  <c r="U464" i="25" s="1"/>
  <c r="BM381" i="25" a="1"/>
  <c r="BM381" i="25" s="1"/>
  <c r="BM397" i="25" s="1"/>
  <c r="BE419" i="25" s="1" a="1"/>
  <c r="BE419" i="25" s="1"/>
  <c r="BW381" i="25" a="1"/>
  <c r="BW381" i="25" s="1"/>
  <c r="BW397" i="25" s="1"/>
  <c r="BO419" i="25" s="1" a="1"/>
  <c r="BO419" i="25" s="1"/>
  <c r="BK381" i="25" a="1"/>
  <c r="BK381" i="25" s="1"/>
  <c r="BK397" i="25" s="1"/>
  <c r="BC419" i="25" s="1" a="1"/>
  <c r="BC419" i="25" s="1"/>
  <c r="AD178" i="25"/>
  <c r="P437" i="25"/>
  <c r="B104" i="25" a="1"/>
  <c r="B104" i="25" s="1"/>
  <c r="BS381" i="25" a="1"/>
  <c r="BS381" i="25" s="1"/>
  <c r="BS397" i="25" s="1"/>
  <c r="BK419" i="25" s="1" a="1"/>
  <c r="BK419" i="25" s="1"/>
  <c r="BN381" i="25" a="1"/>
  <c r="BN381" i="25" s="1"/>
  <c r="BN397" i="25" s="1"/>
  <c r="BF419" i="25" s="1" a="1"/>
  <c r="BF419" i="25" s="1"/>
  <c r="BI381" i="25" a="1"/>
  <c r="BI381" i="25" s="1"/>
  <c r="BI397" i="25" s="1"/>
  <c r="BA419" i="25" s="1" a="1"/>
  <c r="BA419" i="25" s="1"/>
  <c r="BH381" i="25" a="1"/>
  <c r="BH381" i="25" s="1"/>
  <c r="BH397" i="25" s="1"/>
  <c r="AZ419" i="25" s="1" a="1"/>
  <c r="AZ419" i="25" s="1"/>
  <c r="BV381" i="25" a="1"/>
  <c r="BV381" i="25" s="1"/>
  <c r="BV397" i="25" s="1"/>
  <c r="BN419" i="25" s="1" a="1"/>
  <c r="BN419" i="25" s="1"/>
  <c r="BG381" i="25" a="1"/>
  <c r="BG381" i="25" s="1"/>
  <c r="BG397" i="25" s="1"/>
  <c r="AY419" i="25" s="1" a="1"/>
  <c r="AY419" i="25" s="1"/>
  <c r="BQ381" i="25" a="1"/>
  <c r="BQ381" i="25" s="1"/>
  <c r="BQ397" i="25" s="1"/>
  <c r="BI419" i="25" s="1" a="1"/>
  <c r="BI419" i="25" s="1"/>
  <c r="BT381" i="25" a="1"/>
  <c r="BT381" i="25" s="1"/>
  <c r="BT397" i="25" s="1"/>
  <c r="BL419" i="25" s="1" a="1"/>
  <c r="BL419" i="25" s="1"/>
  <c r="BP381" i="25" a="1"/>
  <c r="BP381" i="25" s="1"/>
  <c r="BP397" i="25" s="1"/>
  <c r="BH419" i="25" s="1" a="1"/>
  <c r="BH419" i="25" s="1"/>
  <c r="BF381" i="25" a="1"/>
  <c r="BF381" i="25" s="1"/>
  <c r="BF397" i="25" s="1"/>
  <c r="AX419" i="25" s="1" a="1"/>
  <c r="AX419" i="25" s="1"/>
  <c r="BJ381" i="25" a="1"/>
  <c r="BJ381" i="25" s="1"/>
  <c r="BJ397" i="25" s="1"/>
  <c r="BB419" i="25" s="1" a="1"/>
  <c r="BB419" i="25" s="1"/>
  <c r="BR381" i="25" a="1"/>
  <c r="BR381" i="25" s="1"/>
  <c r="BR397" i="25" s="1"/>
  <c r="BJ419" i="25" s="1" a="1"/>
  <c r="BJ419" i="25" s="1"/>
  <c r="BU381" i="25" a="1"/>
  <c r="BU381" i="25" s="1"/>
  <c r="BU397" i="25" s="1"/>
  <c r="BM419" i="25" s="1" a="1"/>
  <c r="BM419" i="25" s="1"/>
  <c r="BL381" i="25" a="1"/>
  <c r="BL381" i="25" s="1"/>
  <c r="BL397" i="25" s="1"/>
  <c r="BD419" i="25" s="1" a="1"/>
  <c r="BD419" i="25" s="1"/>
  <c r="BO381" i="25" a="1"/>
  <c r="BO381" i="25" s="1"/>
  <c r="BO397" i="25" s="1"/>
  <c r="BG419" i="25" s="1" a="1"/>
  <c r="BG419" i="25" s="1"/>
  <c r="AD168" i="25"/>
  <c r="AD63" i="25"/>
  <c r="AD243" i="25"/>
  <c r="AD158" i="25"/>
  <c r="AD43" i="25"/>
  <c r="AD68" i="25"/>
  <c r="AD103" i="25"/>
  <c r="AD183" i="25"/>
  <c r="AD93" i="25"/>
  <c r="AD258" i="25"/>
  <c r="AD173" i="25"/>
  <c r="AD188" i="25"/>
  <c r="AD268" i="25"/>
  <c r="AD213" i="25"/>
  <c r="AD108" i="25"/>
  <c r="AD128" i="25"/>
  <c r="AD288" i="25"/>
  <c r="AD143" i="25"/>
  <c r="AD123" i="25"/>
  <c r="AD203" i="25"/>
  <c r="AD133" i="25"/>
  <c r="AD233" i="25"/>
  <c r="AD193" i="25"/>
  <c r="AD228" i="25"/>
  <c r="AD153" i="25"/>
  <c r="AD98" i="25"/>
  <c r="AD73" i="25"/>
  <c r="AD223" i="25"/>
  <c r="AD238" i="25"/>
  <c r="AD118" i="25"/>
  <c r="AD283" i="25"/>
  <c r="AD293" i="25"/>
  <c r="AD48" i="25"/>
  <c r="AD218" i="25"/>
  <c r="AD208" i="25"/>
  <c r="AD263" i="25"/>
  <c r="AD83" i="25"/>
  <c r="AD113" i="25"/>
  <c r="AD163" i="25"/>
  <c r="AD53" i="25"/>
  <c r="AD58" i="25"/>
  <c r="AD298" i="25"/>
  <c r="AD253" i="25"/>
  <c r="AD248" i="25"/>
  <c r="AD78" i="25"/>
  <c r="AD88" i="25"/>
  <c r="AD303" i="25"/>
  <c r="AD273" i="25"/>
  <c r="AD148" i="25"/>
  <c r="AD198" i="25"/>
  <c r="AD138" i="25"/>
  <c r="AD278" i="25"/>
  <c r="AD308" i="25"/>
  <c r="U466" i="25"/>
  <c r="U465" i="25"/>
  <c r="I293" i="25" a="1"/>
  <c r="I308" i="25" a="1"/>
  <c r="I223" i="25" a="1"/>
  <c r="I278" i="25" a="1"/>
  <c r="I233" i="25" a="1"/>
  <c r="I228" i="25" a="1"/>
  <c r="I303" i="25" a="1"/>
  <c r="I263" i="25" a="1"/>
  <c r="I288" i="25" a="1"/>
  <c r="P37" i="25" a="1"/>
  <c r="I238" i="25" a="1"/>
  <c r="I37" i="25" a="1"/>
  <c r="I42" i="25" a="1"/>
  <c r="I283" i="25" a="1"/>
  <c r="I213" i="25" a="1"/>
  <c r="I268" i="25" a="1"/>
  <c r="I298" i="25" a="1"/>
  <c r="I258" i="25" a="1"/>
  <c r="I248" i="25" a="1"/>
  <c r="I253" i="25" a="1"/>
  <c r="I243" i="25" a="1"/>
  <c r="I273" i="25" a="1"/>
  <c r="AD338" i="25" l="1" a="1"/>
  <c r="AD338" i="25" s="1"/>
  <c r="U444" i="25"/>
  <c r="U462" i="25" s="1"/>
  <c r="Y338" i="25" a="1"/>
  <c r="Y338" i="25" s="1"/>
  <c r="Y373" i="25" s="1"/>
  <c r="AA338" i="25" a="1"/>
  <c r="AA338" i="25" s="1"/>
  <c r="AY338" i="25" a="1"/>
  <c r="AY338" i="25" s="1"/>
  <c r="AE338" i="25" a="1"/>
  <c r="AE338" i="25" s="1"/>
  <c r="BW338" i="25" a="1"/>
  <c r="BW338" i="25" s="1"/>
  <c r="BH338" i="25" a="1"/>
  <c r="BH338" i="25" s="1"/>
  <c r="AX338" i="25" a="1"/>
  <c r="AX338" i="25" s="1"/>
  <c r="BF338" i="25" a="1"/>
  <c r="BF338" i="25" s="1"/>
  <c r="BP338" i="25" a="1"/>
  <c r="BP338" i="25" s="1"/>
  <c r="AW338" i="25" a="1"/>
  <c r="AW338" i="25" s="1"/>
  <c r="AP338" i="25" a="1"/>
  <c r="AP338" i="25" s="1"/>
  <c r="BD338" i="25" a="1"/>
  <c r="BD338" i="25" s="1"/>
  <c r="AF338" i="25" a="1"/>
  <c r="AF338" i="25" s="1"/>
  <c r="BN338" i="25" a="1"/>
  <c r="BN338" i="25" s="1"/>
  <c r="BN373" i="25" s="1"/>
  <c r="AM338" i="25" a="1"/>
  <c r="AM338" i="25" s="1"/>
  <c r="W381" i="25" a="1"/>
  <c r="W381" i="25" s="1"/>
  <c r="BT338" i="25" a="1"/>
  <c r="BT338" i="25" s="1"/>
  <c r="AA381" i="25" a="1"/>
  <c r="AA381" i="25" s="1"/>
  <c r="AR338" i="25" a="1"/>
  <c r="AR338" i="25" s="1"/>
  <c r="AK338" i="25" a="1"/>
  <c r="AK338" i="25" s="1"/>
  <c r="AC338" i="25" a="1"/>
  <c r="AC338" i="25" s="1"/>
  <c r="BO338" i="25" a="1"/>
  <c r="BO338" i="25" s="1"/>
  <c r="AB338" i="25" a="1"/>
  <c r="AB338" i="25" s="1"/>
  <c r="AB373" i="25" s="1"/>
  <c r="BE338" i="25" a="1"/>
  <c r="BE338" i="25" s="1"/>
  <c r="BJ338" i="25" a="1"/>
  <c r="BJ338" i="25" s="1"/>
  <c r="BR338" i="25" a="1"/>
  <c r="BR338" i="25" s="1"/>
  <c r="AQ338" i="25" a="1"/>
  <c r="AQ338" i="25" s="1"/>
  <c r="AH338" i="25" a="1"/>
  <c r="AH338" i="25" s="1"/>
  <c r="BC338" i="25" a="1"/>
  <c r="BC338" i="25" s="1"/>
  <c r="BV338" i="25" a="1"/>
  <c r="BV338" i="25" s="1"/>
  <c r="AN338" i="25" a="1"/>
  <c r="AN338" i="25" s="1"/>
  <c r="BS338" i="25" a="1"/>
  <c r="BS338" i="25" s="1"/>
  <c r="BQ338" i="25" a="1"/>
  <c r="BQ338" i="25" s="1"/>
  <c r="AO338" i="25" a="1"/>
  <c r="AO338" i="25" s="1"/>
  <c r="BL338" i="25" a="1"/>
  <c r="BL338" i="25" s="1"/>
  <c r="BM338" i="25" a="1"/>
  <c r="BM338" i="25" s="1"/>
  <c r="AS338" i="25" a="1"/>
  <c r="AS338" i="25" s="1"/>
  <c r="AJ338" i="25" a="1"/>
  <c r="AJ338" i="25" s="1"/>
  <c r="AG338" i="25" a="1"/>
  <c r="AG338" i="25" s="1"/>
  <c r="AI338" i="25" a="1"/>
  <c r="AI338" i="25" s="1"/>
  <c r="BA338" i="25" a="1"/>
  <c r="BA338" i="25" s="1"/>
  <c r="AV338" i="25" a="1"/>
  <c r="AV338" i="25" s="1"/>
  <c r="BB338" i="25" a="1"/>
  <c r="BB338" i="25" s="1"/>
  <c r="BK338" i="25" a="1"/>
  <c r="BK338" i="25" s="1"/>
  <c r="AU338" i="25" a="1"/>
  <c r="AU338" i="25" s="1"/>
  <c r="BG338" i="25" a="1"/>
  <c r="BG338" i="25" s="1"/>
  <c r="AT338" i="25" a="1"/>
  <c r="AT338" i="25" s="1"/>
  <c r="AL338" i="25" a="1"/>
  <c r="AL338" i="25" s="1"/>
  <c r="BU338" i="25" a="1"/>
  <c r="BU338" i="25" s="1"/>
  <c r="AZ338" i="25" a="1"/>
  <c r="AZ338" i="25" s="1"/>
  <c r="BI338" i="25" a="1"/>
  <c r="BI338" i="25" s="1"/>
  <c r="Z338" i="25" a="1"/>
  <c r="Z338" i="25" s="1"/>
  <c r="U372" i="25"/>
  <c r="U381" i="25" s="1"/>
  <c r="V338" i="25" a="1"/>
  <c r="V338" i="25" s="1"/>
  <c r="V373" i="25" s="1"/>
  <c r="V349" i="25"/>
  <c r="AJ381" i="25" a="1"/>
  <c r="AJ381" i="25" s="1"/>
  <c r="AZ381" i="25" a="1"/>
  <c r="AZ381" i="25" s="1"/>
  <c r="W338" i="25" a="1"/>
  <c r="W338" i="25" s="1"/>
  <c r="X338" i="25" a="1"/>
  <c r="X338" i="25" s="1"/>
  <c r="V372" i="25"/>
  <c r="V381" i="25" s="1" a="1"/>
  <c r="V381" i="25" s="1"/>
  <c r="I37" i="25"/>
  <c r="J37" i="25" s="1"/>
  <c r="K37" i="25" s="1"/>
  <c r="L37" i="25" s="1"/>
  <c r="M37" i="25" s="1"/>
  <c r="N37" i="25" s="1"/>
  <c r="O37" i="25" s="1"/>
  <c r="U339" i="25" a="1"/>
  <c r="U339" i="25" s="1"/>
  <c r="U340" i="25" s="1" a="1"/>
  <c r="U340" i="25" s="1"/>
  <c r="U476" i="25" s="1"/>
  <c r="U494" i="25" s="1"/>
  <c r="U373" i="25"/>
  <c r="U382" i="25" s="1"/>
  <c r="I42" i="25"/>
  <c r="J42" i="25" s="1"/>
  <c r="K42" i="25" s="1"/>
  <c r="L42" i="25" s="1"/>
  <c r="M42" i="25" s="1"/>
  <c r="N42" i="25" s="1"/>
  <c r="O42" i="25" s="1"/>
  <c r="X381" i="25" a="1"/>
  <c r="X381" i="25" s="1"/>
  <c r="P37" i="25"/>
  <c r="Q37" i="25" s="1"/>
  <c r="R37" i="25" s="1"/>
  <c r="S37" i="25" s="1"/>
  <c r="T37" i="25" s="1"/>
  <c r="U37" i="25" s="1"/>
  <c r="V37" i="25" s="1"/>
  <c r="Z381" i="25" a="1"/>
  <c r="Z381" i="25" s="1"/>
  <c r="Y381" i="25" a="1"/>
  <c r="Y381" i="25" s="1"/>
  <c r="BE381" i="25" a="1"/>
  <c r="BE381" i="25" s="1"/>
  <c r="AD381" i="25" a="1"/>
  <c r="AD381" i="25" s="1"/>
  <c r="AP381" i="25" a="1"/>
  <c r="AP381" i="25" s="1"/>
  <c r="BA381" i="25" a="1"/>
  <c r="BA381" i="25" s="1"/>
  <c r="AV381" i="25" a="1"/>
  <c r="AV381" i="25" s="1"/>
  <c r="AT381" i="25" a="1"/>
  <c r="AT381" i="25" s="1"/>
  <c r="AM381" i="25" a="1"/>
  <c r="AM381" i="25" s="1"/>
  <c r="AG381" i="25" a="1"/>
  <c r="AG381" i="25" s="1"/>
  <c r="AE381" i="25" a="1"/>
  <c r="AE381" i="25" s="1"/>
  <c r="AB381" i="25" a="1"/>
  <c r="AB381" i="25" s="1"/>
  <c r="AI381" i="25" a="1"/>
  <c r="AI381" i="25" s="1"/>
  <c r="BB381" i="25" a="1"/>
  <c r="BB381" i="25" s="1"/>
  <c r="AH381" i="25" a="1"/>
  <c r="AH381" i="25" s="1"/>
  <c r="AW381" i="25" a="1"/>
  <c r="AW381" i="25" s="1"/>
  <c r="AX381" i="25" a="1"/>
  <c r="AX381" i="25" s="1"/>
  <c r="AC381" i="25" a="1"/>
  <c r="AC381" i="25" s="1"/>
  <c r="AL381" i="25" a="1"/>
  <c r="AL381" i="25" s="1"/>
  <c r="AU381" i="25" a="1"/>
  <c r="AU381" i="25" s="1"/>
  <c r="AF381" i="25" a="1"/>
  <c r="AF381" i="25" s="1"/>
  <c r="AK381" i="25" a="1"/>
  <c r="AK381" i="25" s="1"/>
  <c r="AS381" i="25" a="1"/>
  <c r="AS381" i="25" s="1"/>
  <c r="AQ381" i="25" a="1"/>
  <c r="AQ381" i="25" s="1"/>
  <c r="AN381" i="25" a="1"/>
  <c r="AN381" i="25" s="1"/>
  <c r="AO381" i="25" a="1"/>
  <c r="AO381" i="25" s="1"/>
  <c r="AY381" i="25" a="1"/>
  <c r="AY381" i="25" s="1"/>
  <c r="BC381" i="25" a="1"/>
  <c r="BC381" i="25" s="1"/>
  <c r="AR381" i="25" a="1"/>
  <c r="AR381" i="25" s="1"/>
  <c r="BH444" i="25"/>
  <c r="BH462" i="25" s="1"/>
  <c r="BW444" i="25"/>
  <c r="BW462" i="25" s="1"/>
  <c r="BI444" i="25"/>
  <c r="BI462" i="25" s="1"/>
  <c r="BL444" i="25"/>
  <c r="BL462" i="25" s="1"/>
  <c r="BJ444" i="25"/>
  <c r="BJ462" i="25" s="1"/>
  <c r="BQ444" i="25"/>
  <c r="BQ462" i="25" s="1"/>
  <c r="BO444" i="25"/>
  <c r="BO462" i="25" s="1"/>
  <c r="BN444" i="25"/>
  <c r="BN462" i="25" s="1"/>
  <c r="BF444" i="25"/>
  <c r="BF462" i="25" s="1"/>
  <c r="BR444" i="25"/>
  <c r="BR462" i="25" s="1"/>
  <c r="BP444" i="25"/>
  <c r="BP462" i="25" s="1"/>
  <c r="BS444" i="25"/>
  <c r="BS462" i="25" s="1"/>
  <c r="BU444" i="25"/>
  <c r="BU462" i="25" s="1"/>
  <c r="BD444" i="25"/>
  <c r="BD462" i="25" s="1"/>
  <c r="BG444" i="25"/>
  <c r="BG462" i="25" s="1"/>
  <c r="BT444" i="25"/>
  <c r="BT462" i="25" s="1"/>
  <c r="BV444" i="25"/>
  <c r="BV462" i="25" s="1"/>
  <c r="BK444" i="25"/>
  <c r="BK462" i="25" s="1"/>
  <c r="BM444" i="25"/>
  <c r="BM462" i="25" s="1"/>
  <c r="Q437" i="25"/>
  <c r="B109" i="25" a="1"/>
  <c r="B109" i="25" s="1"/>
  <c r="I308" i="25"/>
  <c r="I238" i="25"/>
  <c r="I273" i="25"/>
  <c r="I268" i="25"/>
  <c r="I253" i="25"/>
  <c r="I293" i="25"/>
  <c r="I303" i="25"/>
  <c r="I228" i="25"/>
  <c r="I298" i="25"/>
  <c r="I248" i="25"/>
  <c r="I283" i="25"/>
  <c r="I258" i="25"/>
  <c r="I288" i="25"/>
  <c r="I243" i="25"/>
  <c r="I278" i="25"/>
  <c r="I233" i="25"/>
  <c r="I263" i="25"/>
  <c r="I213" i="25"/>
  <c r="I223" i="25"/>
  <c r="AC115" i="23"/>
  <c r="H87" i="21"/>
  <c r="I203" i="25" a="1"/>
  <c r="I93" i="25" a="1"/>
  <c r="P297" i="25" a="1"/>
  <c r="I48" i="25" a="1"/>
  <c r="I173" i="25" a="1"/>
  <c r="P152" i="25" a="1"/>
  <c r="P117" i="25" a="1"/>
  <c r="I133" i="25" a="1"/>
  <c r="I68" i="25" a="1"/>
  <c r="I73" i="25" a="1"/>
  <c r="P242" i="25" a="1"/>
  <c r="P237" i="25" a="1"/>
  <c r="P112" i="25" a="1"/>
  <c r="I98" i="25" a="1"/>
  <c r="I118" i="25" a="1"/>
  <c r="I58" i="25" a="1"/>
  <c r="I43" i="25" a="1"/>
  <c r="P197" i="25" a="1"/>
  <c r="P202" i="25" a="1"/>
  <c r="P162" i="25" a="1"/>
  <c r="P302" i="25" a="1"/>
  <c r="P38" i="25" a="1"/>
  <c r="P307" i="25" a="1"/>
  <c r="P232" i="25" a="1"/>
  <c r="P292" i="25" a="1"/>
  <c r="P67" i="25" a="1"/>
  <c r="P257" i="25" a="1"/>
  <c r="AD37" i="25" a="1"/>
  <c r="P252" i="25" a="1"/>
  <c r="P167" i="25" a="1"/>
  <c r="P187" i="25" a="1"/>
  <c r="P247" i="25" a="1"/>
  <c r="P262" i="25" a="1"/>
  <c r="P277" i="25" a="1"/>
  <c r="P182" i="25" a="1"/>
  <c r="P272" i="25" a="1"/>
  <c r="P47" i="25" a="1"/>
  <c r="P62" i="25" a="1"/>
  <c r="P122" i="25" a="1"/>
  <c r="I38" i="25" a="1"/>
  <c r="I108" i="25" a="1"/>
  <c r="I178" i="25" a="1"/>
  <c r="P212" i="25" a="1"/>
  <c r="I128" i="25" a="1"/>
  <c r="I83" i="25" a="1"/>
  <c r="I123" i="25" a="1"/>
  <c r="P227" i="25" a="1"/>
  <c r="P137" i="25" a="1"/>
  <c r="P127" i="25" a="1"/>
  <c r="I78" i="25" a="1"/>
  <c r="I198" i="25" a="1"/>
  <c r="P52" i="25" a="1"/>
  <c r="I103" i="25" a="1"/>
  <c r="P287" i="25" a="1"/>
  <c r="I218" i="25" a="1"/>
  <c r="P87" i="25" a="1"/>
  <c r="P97" i="25" a="1"/>
  <c r="I153" i="25" a="1"/>
  <c r="I158" i="25" a="1"/>
  <c r="P192" i="25" a="1"/>
  <c r="P157" i="25" a="1"/>
  <c r="I208" i="25" a="1"/>
  <c r="I193" i="25" a="1"/>
  <c r="I113" i="25" a="1"/>
  <c r="I183" i="25" a="1"/>
  <c r="I168" i="25" a="1"/>
  <c r="P267" i="25" a="1"/>
  <c r="I163" i="25" a="1"/>
  <c r="I88" i="25" a="1"/>
  <c r="W37" i="25" a="1"/>
  <c r="P57" i="25" a="1"/>
  <c r="P147" i="25" a="1"/>
  <c r="P77" i="25" a="1"/>
  <c r="I138" i="25" a="1"/>
  <c r="P142" i="25" a="1"/>
  <c r="P72" i="25" a="1"/>
  <c r="I143" i="25" a="1"/>
  <c r="P207" i="25" a="1"/>
  <c r="P92" i="25" a="1"/>
  <c r="P282" i="25" a="1"/>
  <c r="P177" i="25" a="1"/>
  <c r="I63" i="25" a="1"/>
  <c r="P172" i="25" a="1"/>
  <c r="P102" i="25" a="1"/>
  <c r="I188" i="25" a="1"/>
  <c r="P222" i="25" a="1"/>
  <c r="P217" i="25" a="1"/>
  <c r="P42" i="25" a="1"/>
  <c r="I53" i="25" a="1"/>
  <c r="P107" i="25" a="1"/>
  <c r="P82" i="25" a="1"/>
  <c r="I148" i="25" a="1"/>
  <c r="P132" i="25" a="1"/>
  <c r="AM158" i="23" l="1"/>
  <c r="AM155" i="23"/>
  <c r="P82" i="25"/>
  <c r="Q82" i="25" s="1"/>
  <c r="R82" i="25" s="1"/>
  <c r="S82" i="25" s="1"/>
  <c r="T82" i="25" s="1"/>
  <c r="U82" i="25" s="1"/>
  <c r="V82" i="25" s="1"/>
  <c r="AD373" i="25"/>
  <c r="AD339" i="25" a="1"/>
  <c r="AD339" i="25" s="1"/>
  <c r="AP339" i="25" a="1"/>
  <c r="AP339" i="25" s="1"/>
  <c r="BK339" i="25" a="1"/>
  <c r="BK339" i="25" s="1"/>
  <c r="P57" i="25"/>
  <c r="Q57" i="25" s="1"/>
  <c r="R57" i="25" s="1"/>
  <c r="S57" i="25" s="1"/>
  <c r="T57" i="25" s="1"/>
  <c r="U57" i="25" s="1"/>
  <c r="V57" i="25" s="1"/>
  <c r="BI339" i="25" a="1"/>
  <c r="BI339" i="25" s="1"/>
  <c r="BG339" i="25" a="1"/>
  <c r="BG339" i="25" s="1"/>
  <c r="AM339" i="25" a="1"/>
  <c r="AM339" i="25" s="1"/>
  <c r="AY339" i="25" a="1"/>
  <c r="AY339" i="25" s="1"/>
  <c r="BM339" i="25" a="1"/>
  <c r="BM339" i="25" s="1"/>
  <c r="BL339" i="25" a="1"/>
  <c r="BL339" i="25" s="1"/>
  <c r="P232" i="25"/>
  <c r="Q232" i="25" s="1"/>
  <c r="R232" i="25" s="1"/>
  <c r="S232" i="25" s="1"/>
  <c r="T232" i="25" s="1"/>
  <c r="U232" i="25" s="1"/>
  <c r="V232" i="25" s="1"/>
  <c r="P307" i="25"/>
  <c r="Q307" i="25" s="1"/>
  <c r="R307" i="25" s="1"/>
  <c r="S307" i="25" s="1"/>
  <c r="T307" i="25" s="1"/>
  <c r="U307" i="25" s="1"/>
  <c r="V307" i="25" s="1"/>
  <c r="P87" i="25"/>
  <c r="Q87" i="25" s="1"/>
  <c r="R87" i="25" s="1"/>
  <c r="S87" i="25" s="1"/>
  <c r="T87" i="25" s="1"/>
  <c r="U87" i="25" s="1"/>
  <c r="V87" i="25" s="1"/>
  <c r="P187" i="25"/>
  <c r="Q187" i="25" s="1"/>
  <c r="R187" i="25" s="1"/>
  <c r="S187" i="25" s="1"/>
  <c r="T187" i="25" s="1"/>
  <c r="U187" i="25" s="1"/>
  <c r="V187" i="25" s="1"/>
  <c r="P67" i="25"/>
  <c r="Q67" i="25" s="1"/>
  <c r="R67" i="25" s="1"/>
  <c r="S67" i="25" s="1"/>
  <c r="T67" i="25" s="1"/>
  <c r="U67" i="25" s="1"/>
  <c r="V67" i="25" s="1"/>
  <c r="BH373" i="25"/>
  <c r="BW373" i="25"/>
  <c r="BW382" i="25" s="1" a="1"/>
  <c r="BW382" i="25" s="1"/>
  <c r="AC339" i="25" a="1"/>
  <c r="AC339" i="25" s="1"/>
  <c r="AE373" i="25"/>
  <c r="AY373" i="25"/>
  <c r="AA373" i="25"/>
  <c r="P267" i="25"/>
  <c r="Q267" i="25" s="1"/>
  <c r="R267" i="25" s="1"/>
  <c r="S267" i="25" s="1"/>
  <c r="T267" i="25" s="1"/>
  <c r="U267" i="25" s="1"/>
  <c r="V267" i="25" s="1"/>
  <c r="P262" i="25"/>
  <c r="Q262" i="25" s="1"/>
  <c r="R262" i="25" s="1"/>
  <c r="S262" i="25" s="1"/>
  <c r="T262" i="25" s="1"/>
  <c r="U262" i="25" s="1"/>
  <c r="V262" i="25" s="1"/>
  <c r="P77" i="25"/>
  <c r="Q77" i="25" s="1"/>
  <c r="R77" i="25" s="1"/>
  <c r="S77" i="25" s="1"/>
  <c r="T77" i="25" s="1"/>
  <c r="U77" i="25" s="1"/>
  <c r="V77" i="25" s="1"/>
  <c r="P92" i="25"/>
  <c r="Q92" i="25" s="1"/>
  <c r="R92" i="25" s="1"/>
  <c r="S92" i="25" s="1"/>
  <c r="T92" i="25" s="1"/>
  <c r="U92" i="25" s="1"/>
  <c r="V92" i="25" s="1"/>
  <c r="P117" i="25"/>
  <c r="Q117" i="25" s="1"/>
  <c r="R117" i="25" s="1"/>
  <c r="S117" i="25" s="1"/>
  <c r="T117" i="25" s="1"/>
  <c r="U117" i="25" s="1"/>
  <c r="V117" i="25" s="1"/>
  <c r="P212" i="25"/>
  <c r="Q212" i="25" s="1"/>
  <c r="R212" i="25" s="1"/>
  <c r="S212" i="25" s="1"/>
  <c r="T212" i="25" s="1"/>
  <c r="U212" i="25" s="1"/>
  <c r="V212" i="25" s="1"/>
  <c r="P152" i="25"/>
  <c r="Q152" i="25" s="1"/>
  <c r="R152" i="25" s="1"/>
  <c r="S152" i="25" s="1"/>
  <c r="T152" i="25" s="1"/>
  <c r="U152" i="25" s="1"/>
  <c r="V152" i="25" s="1"/>
  <c r="P142" i="25"/>
  <c r="Q142" i="25" s="1"/>
  <c r="R142" i="25" s="1"/>
  <c r="S142" i="25" s="1"/>
  <c r="T142" i="25" s="1"/>
  <c r="U142" i="25" s="1"/>
  <c r="V142" i="25" s="1"/>
  <c r="P282" i="25"/>
  <c r="Q282" i="25" s="1"/>
  <c r="R282" i="25" s="1"/>
  <c r="S282" i="25" s="1"/>
  <c r="T282" i="25" s="1"/>
  <c r="U282" i="25" s="1"/>
  <c r="V282" i="25" s="1"/>
  <c r="I68" i="25"/>
  <c r="P177" i="25"/>
  <c r="Q177" i="25" s="1"/>
  <c r="R177" i="25" s="1"/>
  <c r="S177" i="25" s="1"/>
  <c r="T177" i="25" s="1"/>
  <c r="U177" i="25" s="1"/>
  <c r="V177" i="25" s="1"/>
  <c r="P242" i="25"/>
  <c r="Q242" i="25" s="1"/>
  <c r="R242" i="25" s="1"/>
  <c r="S242" i="25" s="1"/>
  <c r="T242" i="25" s="1"/>
  <c r="U242" i="25" s="1"/>
  <c r="V242" i="25" s="1"/>
  <c r="P292" i="25"/>
  <c r="Q292" i="25" s="1"/>
  <c r="R292" i="25" s="1"/>
  <c r="S292" i="25" s="1"/>
  <c r="T292" i="25" s="1"/>
  <c r="U292" i="25" s="1"/>
  <c r="V292" i="25" s="1"/>
  <c r="P272" i="25"/>
  <c r="Q272" i="25" s="1"/>
  <c r="R272" i="25" s="1"/>
  <c r="S272" i="25" s="1"/>
  <c r="T272" i="25" s="1"/>
  <c r="U272" i="25" s="1"/>
  <c r="V272" i="25" s="1"/>
  <c r="P217" i="25"/>
  <c r="Q217" i="25" s="1"/>
  <c r="R217" i="25" s="1"/>
  <c r="S217" i="25" s="1"/>
  <c r="T217" i="25" s="1"/>
  <c r="U217" i="25" s="1"/>
  <c r="V217" i="25" s="1"/>
  <c r="I48" i="25"/>
  <c r="P222" i="25"/>
  <c r="Q222" i="25" s="1"/>
  <c r="R222" i="25" s="1"/>
  <c r="S222" i="25" s="1"/>
  <c r="T222" i="25" s="1"/>
  <c r="U222" i="25" s="1"/>
  <c r="V222" i="25" s="1"/>
  <c r="P72" i="25"/>
  <c r="Q72" i="25" s="1"/>
  <c r="R72" i="25" s="1"/>
  <c r="S72" i="25" s="1"/>
  <c r="T72" i="25" s="1"/>
  <c r="U72" i="25" s="1"/>
  <c r="V72" i="25" s="1"/>
  <c r="P127" i="25"/>
  <c r="Q127" i="25" s="1"/>
  <c r="R127" i="25" s="1"/>
  <c r="S127" i="25" s="1"/>
  <c r="T127" i="25" s="1"/>
  <c r="U127" i="25" s="1"/>
  <c r="V127" i="25" s="1"/>
  <c r="P182" i="25"/>
  <c r="Q182" i="25" s="1"/>
  <c r="R182" i="25" s="1"/>
  <c r="S182" i="25" s="1"/>
  <c r="T182" i="25" s="1"/>
  <c r="U182" i="25" s="1"/>
  <c r="V182" i="25" s="1"/>
  <c r="BO373" i="25"/>
  <c r="AN339" i="25" a="1"/>
  <c r="AN339" i="25" s="1"/>
  <c r="AC373" i="25"/>
  <c r="AF373" i="25"/>
  <c r="AK373" i="25"/>
  <c r="BD373" i="25"/>
  <c r="AR373" i="25"/>
  <c r="AP373" i="25"/>
  <c r="BR373" i="25"/>
  <c r="AW373" i="25"/>
  <c r="BJ373" i="25"/>
  <c r="BT373" i="25"/>
  <c r="BP373" i="25"/>
  <c r="BN339" i="25" a="1"/>
  <c r="BN339" i="25" s="1"/>
  <c r="AO339" i="25" a="1"/>
  <c r="AO339" i="25" s="1"/>
  <c r="BE373" i="25"/>
  <c r="BF373" i="25"/>
  <c r="AM373" i="25"/>
  <c r="AX373" i="25"/>
  <c r="P237" i="25"/>
  <c r="Q237" i="25" s="1"/>
  <c r="R237" i="25" s="1"/>
  <c r="S237" i="25" s="1"/>
  <c r="T237" i="25" s="1"/>
  <c r="U237" i="25" s="1"/>
  <c r="V237" i="25" s="1"/>
  <c r="P202" i="25"/>
  <c r="Q202" i="25" s="1"/>
  <c r="R202" i="25" s="1"/>
  <c r="S202" i="25" s="1"/>
  <c r="T202" i="25" s="1"/>
  <c r="U202" i="25" s="1"/>
  <c r="V202" i="25" s="1"/>
  <c r="P147" i="25"/>
  <c r="Q147" i="25" s="1"/>
  <c r="R147" i="25" s="1"/>
  <c r="S147" i="25" s="1"/>
  <c r="T147" i="25" s="1"/>
  <c r="U147" i="25" s="1"/>
  <c r="V147" i="25" s="1"/>
  <c r="P192" i="25"/>
  <c r="Q192" i="25" s="1"/>
  <c r="R192" i="25" s="1"/>
  <c r="S192" i="25" s="1"/>
  <c r="T192" i="25" s="1"/>
  <c r="U192" i="25" s="1"/>
  <c r="V192" i="25" s="1"/>
  <c r="P172" i="25"/>
  <c r="Q172" i="25" s="1"/>
  <c r="R172" i="25" s="1"/>
  <c r="S172" i="25" s="1"/>
  <c r="T172" i="25" s="1"/>
  <c r="U172" i="25" s="1"/>
  <c r="V172" i="25" s="1"/>
  <c r="P137" i="25"/>
  <c r="Q137" i="25" s="1"/>
  <c r="R137" i="25" s="1"/>
  <c r="S137" i="25" s="1"/>
  <c r="T137" i="25" s="1"/>
  <c r="U137" i="25" s="1"/>
  <c r="V137" i="25" s="1"/>
  <c r="P297" i="25"/>
  <c r="Q297" i="25" s="1"/>
  <c r="R297" i="25" s="1"/>
  <c r="S297" i="25" s="1"/>
  <c r="T297" i="25" s="1"/>
  <c r="U297" i="25" s="1"/>
  <c r="V297" i="25" s="1"/>
  <c r="P197" i="25"/>
  <c r="Q197" i="25" s="1"/>
  <c r="R197" i="25" s="1"/>
  <c r="S197" i="25" s="1"/>
  <c r="T197" i="25" s="1"/>
  <c r="U197" i="25" s="1"/>
  <c r="V197" i="25" s="1"/>
  <c r="P277" i="25"/>
  <c r="Q277" i="25" s="1"/>
  <c r="R277" i="25" s="1"/>
  <c r="S277" i="25" s="1"/>
  <c r="T277" i="25" s="1"/>
  <c r="U277" i="25" s="1"/>
  <c r="V277" i="25" s="1"/>
  <c r="P122" i="25"/>
  <c r="Q122" i="25" s="1"/>
  <c r="R122" i="25" s="1"/>
  <c r="S122" i="25" s="1"/>
  <c r="T122" i="25" s="1"/>
  <c r="U122" i="25" s="1"/>
  <c r="V122" i="25" s="1"/>
  <c r="P107" i="25"/>
  <c r="Q107" i="25" s="1"/>
  <c r="R107" i="25" s="1"/>
  <c r="S107" i="25" s="1"/>
  <c r="T107" i="25" s="1"/>
  <c r="U107" i="25" s="1"/>
  <c r="V107" i="25" s="1"/>
  <c r="P287" i="25"/>
  <c r="Q287" i="25" s="1"/>
  <c r="R287" i="25" s="1"/>
  <c r="S287" i="25" s="1"/>
  <c r="T287" i="25" s="1"/>
  <c r="U287" i="25" s="1"/>
  <c r="V287" i="25" s="1"/>
  <c r="P162" i="25"/>
  <c r="Q162" i="25" s="1"/>
  <c r="R162" i="25" s="1"/>
  <c r="S162" i="25" s="1"/>
  <c r="T162" i="25" s="1"/>
  <c r="U162" i="25" s="1"/>
  <c r="V162" i="25" s="1"/>
  <c r="P132" i="25"/>
  <c r="Q132" i="25" s="1"/>
  <c r="R132" i="25" s="1"/>
  <c r="S132" i="25" s="1"/>
  <c r="T132" i="25" s="1"/>
  <c r="U132" i="25" s="1"/>
  <c r="V132" i="25" s="1"/>
  <c r="P97" i="25"/>
  <c r="Q97" i="25" s="1"/>
  <c r="R97" i="25" s="1"/>
  <c r="S97" i="25" s="1"/>
  <c r="T97" i="25" s="1"/>
  <c r="U97" i="25" s="1"/>
  <c r="V97" i="25" s="1"/>
  <c r="P227" i="25"/>
  <c r="Q227" i="25" s="1"/>
  <c r="R227" i="25" s="1"/>
  <c r="S227" i="25" s="1"/>
  <c r="T227" i="25" s="1"/>
  <c r="U227" i="25" s="1"/>
  <c r="V227" i="25" s="1"/>
  <c r="P112" i="25"/>
  <c r="Q112" i="25" s="1"/>
  <c r="R112" i="25" s="1"/>
  <c r="S112" i="25" s="1"/>
  <c r="T112" i="25" s="1"/>
  <c r="U112" i="25" s="1"/>
  <c r="V112" i="25" s="1"/>
  <c r="P302" i="25"/>
  <c r="Q302" i="25" s="1"/>
  <c r="R302" i="25" s="1"/>
  <c r="S302" i="25" s="1"/>
  <c r="T302" i="25" s="1"/>
  <c r="U302" i="25" s="1"/>
  <c r="V302" i="25" s="1"/>
  <c r="P167" i="25"/>
  <c r="Q167" i="25" s="1"/>
  <c r="R167" i="25" s="1"/>
  <c r="S167" i="25" s="1"/>
  <c r="T167" i="25" s="1"/>
  <c r="U167" i="25" s="1"/>
  <c r="V167" i="25" s="1"/>
  <c r="P157" i="25"/>
  <c r="Q157" i="25" s="1"/>
  <c r="R157" i="25" s="1"/>
  <c r="S157" i="25" s="1"/>
  <c r="T157" i="25" s="1"/>
  <c r="U157" i="25" s="1"/>
  <c r="V157" i="25" s="1"/>
  <c r="P207" i="25"/>
  <c r="Q207" i="25" s="1"/>
  <c r="R207" i="25" s="1"/>
  <c r="S207" i="25" s="1"/>
  <c r="T207" i="25" s="1"/>
  <c r="U207" i="25" s="1"/>
  <c r="V207" i="25" s="1"/>
  <c r="P62" i="25"/>
  <c r="Q62" i="25" s="1"/>
  <c r="R62" i="25" s="1"/>
  <c r="S62" i="25" s="1"/>
  <c r="T62" i="25" s="1"/>
  <c r="U62" i="25" s="1"/>
  <c r="V62" i="25" s="1"/>
  <c r="P247" i="25"/>
  <c r="Q247" i="25" s="1"/>
  <c r="R247" i="25" s="1"/>
  <c r="S247" i="25" s="1"/>
  <c r="T247" i="25" s="1"/>
  <c r="U247" i="25" s="1"/>
  <c r="V247" i="25" s="1"/>
  <c r="P257" i="25"/>
  <c r="Q257" i="25" s="1"/>
  <c r="R257" i="25" s="1"/>
  <c r="S257" i="25" s="1"/>
  <c r="T257" i="25" s="1"/>
  <c r="U257" i="25" s="1"/>
  <c r="V257" i="25" s="1"/>
  <c r="P102" i="25"/>
  <c r="Q102" i="25" s="1"/>
  <c r="R102" i="25" s="1"/>
  <c r="S102" i="25" s="1"/>
  <c r="T102" i="25" s="1"/>
  <c r="U102" i="25" s="1"/>
  <c r="V102" i="25" s="1"/>
  <c r="P252" i="25"/>
  <c r="Q252" i="25" s="1"/>
  <c r="R252" i="25" s="1"/>
  <c r="S252" i="25" s="1"/>
  <c r="T252" i="25" s="1"/>
  <c r="U252" i="25" s="1"/>
  <c r="V252" i="25" s="1"/>
  <c r="BD339" i="25" a="1"/>
  <c r="BD339" i="25" s="1"/>
  <c r="BI373" i="25"/>
  <c r="BB373" i="25"/>
  <c r="AQ373" i="25"/>
  <c r="BW339" i="25" a="1"/>
  <c r="BW339" i="25" s="1"/>
  <c r="AZ373" i="25"/>
  <c r="AV373" i="25"/>
  <c r="AO373" i="25"/>
  <c r="BU373" i="25"/>
  <c r="BA373" i="25"/>
  <c r="BQ373" i="25"/>
  <c r="AL373" i="25"/>
  <c r="AI373" i="25"/>
  <c r="BS373" i="25"/>
  <c r="AT373" i="25"/>
  <c r="AN373" i="25"/>
  <c r="AG373" i="25"/>
  <c r="BJ339" i="25" a="1"/>
  <c r="BJ339" i="25" s="1"/>
  <c r="BG373" i="25"/>
  <c r="AJ373" i="25"/>
  <c r="BV373" i="25"/>
  <c r="BH339" i="25" a="1"/>
  <c r="BH339" i="25" s="1"/>
  <c r="AU373" i="25"/>
  <c r="AS373" i="25"/>
  <c r="BC373" i="25"/>
  <c r="Z373" i="25"/>
  <c r="BK373" i="25"/>
  <c r="BM373" i="25"/>
  <c r="AH373" i="25"/>
  <c r="BL373" i="25"/>
  <c r="AK339" i="25" a="1"/>
  <c r="AK339" i="25" s="1"/>
  <c r="BA339" i="25" a="1"/>
  <c r="BA339" i="25" s="1"/>
  <c r="BF339" i="25" a="1"/>
  <c r="BF339" i="25" s="1"/>
  <c r="AW339" i="25" a="1"/>
  <c r="AW339" i="25" s="1"/>
  <c r="AG339" i="25" a="1"/>
  <c r="AG339" i="25" s="1"/>
  <c r="AZ339" i="25" a="1"/>
  <c r="AZ339" i="25" s="1"/>
  <c r="BB339" i="25" a="1"/>
  <c r="BB339" i="25" s="1"/>
  <c r="AU339" i="25" a="1"/>
  <c r="AU339" i="25" s="1"/>
  <c r="AQ339" i="25" a="1"/>
  <c r="AQ339" i="25" s="1"/>
  <c r="BV339" i="25" a="1"/>
  <c r="BV339" i="25" s="1"/>
  <c r="BE339" i="25" a="1"/>
  <c r="BE339" i="25" s="1"/>
  <c r="AF339" i="25" a="1"/>
  <c r="AF339" i="25" s="1"/>
  <c r="AE339" i="25" a="1"/>
  <c r="AE339" i="25" s="1"/>
  <c r="AB339" i="25" a="1"/>
  <c r="AB339" i="25" s="1"/>
  <c r="AV339" i="25" a="1"/>
  <c r="AV339" i="25" s="1"/>
  <c r="BR339" i="25" a="1"/>
  <c r="BR339" i="25" s="1"/>
  <c r="AH339" i="25" a="1"/>
  <c r="AH339" i="25" s="1"/>
  <c r="BS339" i="25" a="1"/>
  <c r="BS339" i="25" s="1"/>
  <c r="AX339" i="25" a="1"/>
  <c r="AX339" i="25" s="1"/>
  <c r="BP339" i="25" a="1"/>
  <c r="BP339" i="25" s="1"/>
  <c r="I38" i="25"/>
  <c r="V339" i="25" a="1"/>
  <c r="V339" i="25" s="1"/>
  <c r="W339" i="25" a="1"/>
  <c r="W339" i="25" s="1"/>
  <c r="BU339" i="25" a="1"/>
  <c r="BU339" i="25" s="1"/>
  <c r="AT339" i="25" a="1"/>
  <c r="AT339" i="25" s="1"/>
  <c r="BT339" i="25" a="1"/>
  <c r="BT339" i="25" s="1"/>
  <c r="BC339" i="25" a="1"/>
  <c r="BC339" i="25" s="1"/>
  <c r="BQ339" i="25" a="1"/>
  <c r="BQ339" i="25" s="1"/>
  <c r="P42" i="25"/>
  <c r="Q42" i="25" s="1"/>
  <c r="R42" i="25" s="1"/>
  <c r="S42" i="25" s="1"/>
  <c r="T42" i="25" s="1"/>
  <c r="U42" i="25" s="1"/>
  <c r="V42" i="25" s="1"/>
  <c r="Z339" i="25" a="1"/>
  <c r="Z339" i="25" s="1"/>
  <c r="I193" i="25"/>
  <c r="I113" i="25"/>
  <c r="AZ397" i="25"/>
  <c r="AJ397" i="25"/>
  <c r="P52" i="25"/>
  <c r="Q52" i="25" s="1"/>
  <c r="R52" i="25" s="1"/>
  <c r="S52" i="25" s="1"/>
  <c r="T52" i="25" s="1"/>
  <c r="U52" i="25" s="1"/>
  <c r="V52" i="25" s="1"/>
  <c r="P47" i="25"/>
  <c r="Q47" i="25" s="1"/>
  <c r="R47" i="25" s="1"/>
  <c r="S47" i="25" s="1"/>
  <c r="T47" i="25" s="1"/>
  <c r="U47" i="25" s="1"/>
  <c r="V47" i="25" s="1"/>
  <c r="AI339" i="25" a="1"/>
  <c r="AI339" i="25" s="1"/>
  <c r="AL339" i="25" a="1"/>
  <c r="AL339" i="25" s="1"/>
  <c r="AR339" i="25" a="1"/>
  <c r="AR339" i="25" s="1"/>
  <c r="AJ339" i="25" a="1"/>
  <c r="AJ339" i="25" s="1"/>
  <c r="BO339" i="25" a="1"/>
  <c r="BO339" i="25" s="1"/>
  <c r="AS339" i="25" a="1"/>
  <c r="AS339" i="25" s="1"/>
  <c r="X339" i="25" a="1"/>
  <c r="X339" i="25" s="1"/>
  <c r="X373" i="25"/>
  <c r="Y339" i="25" a="1"/>
  <c r="Y339" i="25" s="1"/>
  <c r="AA339" i="25" a="1"/>
  <c r="AA339" i="25" s="1"/>
  <c r="W373" i="25"/>
  <c r="P38" i="25"/>
  <c r="W37" i="25"/>
  <c r="X37" i="25" s="1"/>
  <c r="Y37" i="25" s="1"/>
  <c r="Z37" i="25" s="1"/>
  <c r="AA37" i="25" s="1"/>
  <c r="AB37" i="25" s="1"/>
  <c r="AC37" i="25" s="1"/>
  <c r="I53" i="25"/>
  <c r="I58" i="25"/>
  <c r="I43" i="25"/>
  <c r="I63" i="25"/>
  <c r="V397" i="25"/>
  <c r="W397" i="25" s="1"/>
  <c r="I218" i="25"/>
  <c r="BE397" i="25"/>
  <c r="I83" i="25"/>
  <c r="I168" i="25"/>
  <c r="I73" i="25"/>
  <c r="I123" i="25"/>
  <c r="I88" i="25"/>
  <c r="I78" i="25"/>
  <c r="I183" i="25"/>
  <c r="I128" i="25"/>
  <c r="I178" i="25"/>
  <c r="I163" i="25"/>
  <c r="I158" i="25"/>
  <c r="I103" i="25"/>
  <c r="I173" i="25"/>
  <c r="I98" i="25"/>
  <c r="I118" i="25"/>
  <c r="I203" i="25"/>
  <c r="I198" i="25"/>
  <c r="I93" i="25"/>
  <c r="I108" i="25"/>
  <c r="I143" i="25"/>
  <c r="AU397" i="25"/>
  <c r="AL397" i="25"/>
  <c r="AX397" i="25"/>
  <c r="AM397" i="25"/>
  <c r="AW397" i="25"/>
  <c r="AT397" i="25"/>
  <c r="AS397" i="25"/>
  <c r="AH397" i="25"/>
  <c r="AV397" i="25"/>
  <c r="AG397" i="25"/>
  <c r="AK397" i="25"/>
  <c r="BB397" i="25"/>
  <c r="BA397" i="25"/>
  <c r="AF397" i="25"/>
  <c r="AI397" i="25"/>
  <c r="AP397" i="25"/>
  <c r="I148" i="25"/>
  <c r="AQ397" i="25"/>
  <c r="I133" i="25"/>
  <c r="AN397" i="25"/>
  <c r="I188" i="25"/>
  <c r="I138" i="25"/>
  <c r="AY397" i="25"/>
  <c r="AO397" i="25"/>
  <c r="I153" i="25"/>
  <c r="I208" i="25"/>
  <c r="AR397" i="25"/>
  <c r="BC397" i="25"/>
  <c r="AD37" i="25"/>
  <c r="AE37" i="25" s="1"/>
  <c r="AF37" i="25" s="1"/>
  <c r="AG37" i="25" s="1"/>
  <c r="AH37" i="25" s="1"/>
  <c r="AI37" i="25" s="1"/>
  <c r="AJ37" i="25" s="1"/>
  <c r="U341" i="25" a="1"/>
  <c r="U341" i="25" s="1"/>
  <c r="B114" i="25" a="1"/>
  <c r="B114" i="25" s="1"/>
  <c r="R437" i="25"/>
  <c r="AI406" i="25"/>
  <c r="AI408" i="25"/>
  <c r="AI405" i="25"/>
  <c r="AI407" i="25"/>
  <c r="G52" i="21"/>
  <c r="D18" i="21"/>
  <c r="J404" i="25" s="1"/>
  <c r="W257" i="25" a="1"/>
  <c r="W92" i="25" a="1"/>
  <c r="W172" i="25" a="1"/>
  <c r="W212" i="25" a="1"/>
  <c r="W52" i="25" a="1"/>
  <c r="W57" i="25" a="1"/>
  <c r="W152" i="25" a="1"/>
  <c r="W187" i="25" a="1"/>
  <c r="W202" i="25" a="1"/>
  <c r="W297" i="25" a="1"/>
  <c r="W77" i="25" a="1"/>
  <c r="W82" i="25" a="1"/>
  <c r="W217" i="25" a="1"/>
  <c r="W167" i="25" a="1"/>
  <c r="W107" i="25" a="1"/>
  <c r="W292" i="25" a="1"/>
  <c r="W72" i="25" a="1"/>
  <c r="W272" i="25" a="1"/>
  <c r="W42" i="25" a="1"/>
  <c r="W127" i="25" a="1"/>
  <c r="W262" i="25" a="1"/>
  <c r="W232" i="25" a="1"/>
  <c r="W147" i="25" a="1"/>
  <c r="W117" i="25" a="1"/>
  <c r="W267" i="25" a="1"/>
  <c r="W277" i="25" a="1"/>
  <c r="P308" i="25" a="1"/>
  <c r="W207" i="25" a="1"/>
  <c r="W102" i="25" a="1"/>
  <c r="W47" i="25" a="1"/>
  <c r="W67" i="25" a="1"/>
  <c r="W227" i="25" a="1"/>
  <c r="W97" i="25" a="1"/>
  <c r="W137" i="25" a="1"/>
  <c r="W157" i="25" a="1"/>
  <c r="W302" i="25" a="1"/>
  <c r="W287" i="25" a="1"/>
  <c r="W87" i="25" a="1"/>
  <c r="W162" i="25" a="1"/>
  <c r="W222" i="25" a="1"/>
  <c r="W307" i="25" a="1"/>
  <c r="W182" i="25" a="1"/>
  <c r="W62" i="25" a="1"/>
  <c r="W237" i="25" a="1"/>
  <c r="W142" i="25" a="1"/>
  <c r="W242" i="25" a="1"/>
  <c r="W247" i="25" a="1"/>
  <c r="W112" i="25" a="1"/>
  <c r="W122" i="25" a="1"/>
  <c r="AK37" i="25" a="1"/>
  <c r="W197" i="25" a="1"/>
  <c r="W177" i="25" a="1"/>
  <c r="W192" i="25" a="1"/>
  <c r="W132" i="25" a="1"/>
  <c r="W282" i="25" a="1"/>
  <c r="W252" i="25" a="1"/>
  <c r="W142" i="25" l="1"/>
  <c r="X142" i="25" s="1"/>
  <c r="Y142" i="25" s="1"/>
  <c r="Z142" i="25" s="1"/>
  <c r="AA142" i="25" s="1"/>
  <c r="AB142" i="25" s="1"/>
  <c r="AC142" i="25" s="1"/>
  <c r="W247" i="25"/>
  <c r="X247" i="25" s="1"/>
  <c r="Y247" i="25" s="1"/>
  <c r="Z247" i="25" s="1"/>
  <c r="AA247" i="25" s="1"/>
  <c r="AB247" i="25" s="1"/>
  <c r="AC247" i="25" s="1"/>
  <c r="W82" i="25"/>
  <c r="X82" i="25" s="1"/>
  <c r="Y82" i="25" s="1"/>
  <c r="Z82" i="25" s="1"/>
  <c r="AA82" i="25" s="1"/>
  <c r="AB82" i="25" s="1"/>
  <c r="AC82" i="25" s="1"/>
  <c r="W252" i="25"/>
  <c r="X252" i="25" s="1"/>
  <c r="Y252" i="25" s="1"/>
  <c r="Z252" i="25" s="1"/>
  <c r="AA252" i="25" s="1"/>
  <c r="AB252" i="25" s="1"/>
  <c r="AC252" i="25" s="1"/>
  <c r="W257" i="25"/>
  <c r="X257" i="25" s="1"/>
  <c r="Y257" i="25" s="1"/>
  <c r="Z257" i="25" s="1"/>
  <c r="AA257" i="25" s="1"/>
  <c r="AB257" i="25" s="1"/>
  <c r="AC257" i="25" s="1"/>
  <c r="W187" i="25"/>
  <c r="X187" i="25" s="1"/>
  <c r="Y187" i="25" s="1"/>
  <c r="Z187" i="25" s="1"/>
  <c r="AA187" i="25" s="1"/>
  <c r="AB187" i="25" s="1"/>
  <c r="AC187" i="25" s="1"/>
  <c r="W127" i="25"/>
  <c r="X127" i="25" s="1"/>
  <c r="Y127" i="25" s="1"/>
  <c r="Z127" i="25" s="1"/>
  <c r="AA127" i="25" s="1"/>
  <c r="AB127" i="25" s="1"/>
  <c r="AC127" i="25" s="1"/>
  <c r="W227" i="25"/>
  <c r="X227" i="25" s="1"/>
  <c r="Y227" i="25" s="1"/>
  <c r="Z227" i="25" s="1"/>
  <c r="AA227" i="25" s="1"/>
  <c r="AB227" i="25" s="1"/>
  <c r="AC227" i="25" s="1"/>
  <c r="W237" i="25"/>
  <c r="X237" i="25" s="1"/>
  <c r="Y237" i="25" s="1"/>
  <c r="Z237" i="25" s="1"/>
  <c r="AA237" i="25" s="1"/>
  <c r="AB237" i="25" s="1"/>
  <c r="AC237" i="25" s="1"/>
  <c r="Y382" i="25" a="1"/>
  <c r="Y382" i="25" s="1"/>
  <c r="BA382" i="25" a="1"/>
  <c r="BA382" i="25" s="1"/>
  <c r="W77" i="25"/>
  <c r="X77" i="25" s="1"/>
  <c r="Y77" i="25" s="1"/>
  <c r="Z77" i="25" s="1"/>
  <c r="AA77" i="25" s="1"/>
  <c r="AB77" i="25" s="1"/>
  <c r="AC77" i="25" s="1"/>
  <c r="P308" i="25"/>
  <c r="BV382" i="25" a="1"/>
  <c r="BV382" i="25" s="1"/>
  <c r="AJ382" i="25" a="1"/>
  <c r="AJ382" i="25" s="1"/>
  <c r="AT382" i="25" a="1"/>
  <c r="AT382" i="25" s="1"/>
  <c r="AL382" i="25" a="1"/>
  <c r="AL382" i="25" s="1"/>
  <c r="BG382" i="25" a="1"/>
  <c r="BG382" i="25" s="1"/>
  <c r="AQ382" i="25" a="1"/>
  <c r="AQ382" i="25" s="1"/>
  <c r="AE382" i="25" a="1"/>
  <c r="AE382" i="25" s="1"/>
  <c r="AW382" i="25" a="1"/>
  <c r="AW382" i="25" s="1"/>
  <c r="BL382" i="25" a="1"/>
  <c r="BL382" i="25" s="1"/>
  <c r="BN382" i="25" a="1"/>
  <c r="BN382" i="25" s="1"/>
  <c r="AC382" i="25" a="1"/>
  <c r="AC382" i="25" s="1"/>
  <c r="W132" i="25"/>
  <c r="X132" i="25" s="1"/>
  <c r="Y132" i="25" s="1"/>
  <c r="Z132" i="25" s="1"/>
  <c r="AA132" i="25" s="1"/>
  <c r="AB132" i="25" s="1"/>
  <c r="AC132" i="25" s="1"/>
  <c r="W137" i="25"/>
  <c r="X137" i="25" s="1"/>
  <c r="Y137" i="25" s="1"/>
  <c r="Z137" i="25" s="1"/>
  <c r="AA137" i="25" s="1"/>
  <c r="AB137" i="25" s="1"/>
  <c r="AC137" i="25" s="1"/>
  <c r="W262" i="25"/>
  <c r="X262" i="25" s="1"/>
  <c r="Y262" i="25" s="1"/>
  <c r="Z262" i="25" s="1"/>
  <c r="AA262" i="25" s="1"/>
  <c r="AB262" i="25" s="1"/>
  <c r="AC262" i="25" s="1"/>
  <c r="AA382" i="25" a="1"/>
  <c r="AA382" i="25" s="1"/>
  <c r="AX382" i="25" a="1"/>
  <c r="AX382" i="25" s="1"/>
  <c r="AR382" i="25" a="1"/>
  <c r="AR382" i="25" s="1"/>
  <c r="BK382" i="25" a="1"/>
  <c r="BK382" i="25" s="1"/>
  <c r="AI382" i="25" a="1"/>
  <c r="AI382" i="25" s="1"/>
  <c r="AP382" i="25" a="1"/>
  <c r="AP382" i="25" s="1"/>
  <c r="AV382" i="25" a="1"/>
  <c r="AV382" i="25" s="1"/>
  <c r="BI382" i="25" a="1"/>
  <c r="BI382" i="25" s="1"/>
  <c r="BB382" i="25" a="1"/>
  <c r="BB382" i="25" s="1"/>
  <c r="X382" i="25" a="1"/>
  <c r="X382" i="25" s="1"/>
  <c r="AM382" i="25" a="1"/>
  <c r="AM382" i="25" s="1"/>
  <c r="AF382" i="25" a="1"/>
  <c r="AF382" i="25" s="1"/>
  <c r="AU382" i="25" a="1"/>
  <c r="AU382" i="25" s="1"/>
  <c r="AS382" i="25" a="1"/>
  <c r="AS382" i="25" s="1"/>
  <c r="W307" i="25"/>
  <c r="X307" i="25" s="1"/>
  <c r="Y307" i="25" s="1"/>
  <c r="Z307" i="25" s="1"/>
  <c r="AA307" i="25" s="1"/>
  <c r="AB307" i="25" s="1"/>
  <c r="AC307" i="25" s="1"/>
  <c r="W242" i="25"/>
  <c r="X242" i="25" s="1"/>
  <c r="Y242" i="25" s="1"/>
  <c r="Z242" i="25" s="1"/>
  <c r="AA242" i="25" s="1"/>
  <c r="AB242" i="25" s="1"/>
  <c r="AC242" i="25" s="1"/>
  <c r="W212" i="25"/>
  <c r="X212" i="25" s="1"/>
  <c r="Y212" i="25" s="1"/>
  <c r="Z212" i="25" s="1"/>
  <c r="AA212" i="25" s="1"/>
  <c r="AB212" i="25" s="1"/>
  <c r="AC212" i="25" s="1"/>
  <c r="W232" i="25"/>
  <c r="X232" i="25" s="1"/>
  <c r="Y232" i="25" s="1"/>
  <c r="Z232" i="25" s="1"/>
  <c r="AA232" i="25" s="1"/>
  <c r="AB232" i="25" s="1"/>
  <c r="AC232" i="25" s="1"/>
  <c r="AB382" i="25" a="1"/>
  <c r="AB382" i="25" s="1"/>
  <c r="AH382" i="25" a="1"/>
  <c r="AH382" i="25" s="1"/>
  <c r="AN382" i="25" a="1"/>
  <c r="AN382" i="25" s="1"/>
  <c r="BD382" i="25" a="1"/>
  <c r="BD382" i="25" s="1"/>
  <c r="BJ382" i="25" a="1"/>
  <c r="BJ382" i="25" s="1"/>
  <c r="AO382" i="25" a="1"/>
  <c r="AO382" i="25" s="1"/>
  <c r="BC382" i="25" a="1"/>
  <c r="BC382" i="25" s="1"/>
  <c r="AZ382" i="25" a="1"/>
  <c r="AZ382" i="25" s="1"/>
  <c r="AY382" i="25" a="1"/>
  <c r="AY382" i="25" s="1"/>
  <c r="AK382" i="25" a="1"/>
  <c r="AK382" i="25" s="1"/>
  <c r="BH382" i="25" a="1"/>
  <c r="BH382" i="25" s="1"/>
  <c r="BP382" i="25" a="1"/>
  <c r="BP382" i="25" s="1"/>
  <c r="BQ382" i="25" a="1"/>
  <c r="BQ382" i="25" s="1"/>
  <c r="BO382" i="25" a="1"/>
  <c r="BO382" i="25" s="1"/>
  <c r="Z382" i="25" a="1"/>
  <c r="Z382" i="25" s="1"/>
  <c r="BF382" i="25" a="1"/>
  <c r="BF382" i="25" s="1"/>
  <c r="AG382" i="25" a="1"/>
  <c r="AG382" i="25" s="1"/>
  <c r="BU382" i="25" a="1"/>
  <c r="BU382" i="25" s="1"/>
  <c r="BT382" i="25" a="1"/>
  <c r="BT382" i="25" s="1"/>
  <c r="AD382" i="25" a="1"/>
  <c r="AD382" i="25" s="1"/>
  <c r="BE382" i="25" a="1"/>
  <c r="BE382" i="25" s="1"/>
  <c r="BM382" i="25" a="1"/>
  <c r="BM382" i="25" s="1"/>
  <c r="BM398" i="25" s="1"/>
  <c r="BR382" i="25" a="1"/>
  <c r="BR382" i="25" s="1"/>
  <c r="BS382" i="25" a="1"/>
  <c r="BS382" i="25" s="1"/>
  <c r="W117" i="25"/>
  <c r="X117" i="25" s="1"/>
  <c r="Y117" i="25" s="1"/>
  <c r="Z117" i="25" s="1"/>
  <c r="AA117" i="25" s="1"/>
  <c r="AB117" i="25" s="1"/>
  <c r="AC117" i="25" s="1"/>
  <c r="W197" i="25"/>
  <c r="X197" i="25" s="1"/>
  <c r="Y197" i="25" s="1"/>
  <c r="Z197" i="25" s="1"/>
  <c r="AA197" i="25" s="1"/>
  <c r="AB197" i="25" s="1"/>
  <c r="AC197" i="25" s="1"/>
  <c r="W177" i="25"/>
  <c r="X177" i="25" s="1"/>
  <c r="Y177" i="25" s="1"/>
  <c r="Z177" i="25" s="1"/>
  <c r="AA177" i="25" s="1"/>
  <c r="AB177" i="25" s="1"/>
  <c r="AC177" i="25" s="1"/>
  <c r="W302" i="25"/>
  <c r="X302" i="25" s="1"/>
  <c r="Y302" i="25" s="1"/>
  <c r="Z302" i="25" s="1"/>
  <c r="AA302" i="25" s="1"/>
  <c r="AB302" i="25" s="1"/>
  <c r="AC302" i="25" s="1"/>
  <c r="W147" i="25"/>
  <c r="X147" i="25" s="1"/>
  <c r="Y147" i="25" s="1"/>
  <c r="Z147" i="25" s="1"/>
  <c r="AA147" i="25" s="1"/>
  <c r="AB147" i="25" s="1"/>
  <c r="AC147" i="25" s="1"/>
  <c r="W167" i="25"/>
  <c r="X167" i="25" s="1"/>
  <c r="Y167" i="25" s="1"/>
  <c r="Z167" i="25" s="1"/>
  <c r="AA167" i="25" s="1"/>
  <c r="AB167" i="25" s="1"/>
  <c r="AC167" i="25" s="1"/>
  <c r="W202" i="25"/>
  <c r="X202" i="25" s="1"/>
  <c r="Y202" i="25" s="1"/>
  <c r="Z202" i="25" s="1"/>
  <c r="AA202" i="25" s="1"/>
  <c r="AB202" i="25" s="1"/>
  <c r="AC202" i="25" s="1"/>
  <c r="W192" i="25"/>
  <c r="X192" i="25" s="1"/>
  <c r="Y192" i="25" s="1"/>
  <c r="Z192" i="25" s="1"/>
  <c r="AA192" i="25" s="1"/>
  <c r="AB192" i="25" s="1"/>
  <c r="AC192" i="25" s="1"/>
  <c r="W97" i="25"/>
  <c r="X97" i="25" s="1"/>
  <c r="Y97" i="25" s="1"/>
  <c r="Z97" i="25" s="1"/>
  <c r="AA97" i="25" s="1"/>
  <c r="AB97" i="25" s="1"/>
  <c r="AC97" i="25" s="1"/>
  <c r="W217" i="25"/>
  <c r="X217" i="25" s="1"/>
  <c r="Y217" i="25" s="1"/>
  <c r="Z217" i="25" s="1"/>
  <c r="AA217" i="25" s="1"/>
  <c r="AB217" i="25" s="1"/>
  <c r="AC217" i="25" s="1"/>
  <c r="W222" i="25"/>
  <c r="X222" i="25" s="1"/>
  <c r="Y222" i="25" s="1"/>
  <c r="Z222" i="25" s="1"/>
  <c r="AA222" i="25" s="1"/>
  <c r="AB222" i="25" s="1"/>
  <c r="AC222" i="25" s="1"/>
  <c r="W87" i="25"/>
  <c r="X87" i="25" s="1"/>
  <c r="Y87" i="25" s="1"/>
  <c r="Z87" i="25" s="1"/>
  <c r="AA87" i="25" s="1"/>
  <c r="AB87" i="25" s="1"/>
  <c r="AC87" i="25" s="1"/>
  <c r="W92" i="25"/>
  <c r="X92" i="25" s="1"/>
  <c r="Y92" i="25" s="1"/>
  <c r="Z92" i="25" s="1"/>
  <c r="AA92" i="25" s="1"/>
  <c r="AB92" i="25" s="1"/>
  <c r="AC92" i="25" s="1"/>
  <c r="W72" i="25"/>
  <c r="X72" i="25" s="1"/>
  <c r="Y72" i="25" s="1"/>
  <c r="Z72" i="25" s="1"/>
  <c r="AA72" i="25" s="1"/>
  <c r="AB72" i="25" s="1"/>
  <c r="AC72" i="25" s="1"/>
  <c r="W272" i="25"/>
  <c r="X272" i="25" s="1"/>
  <c r="Y272" i="25" s="1"/>
  <c r="Z272" i="25" s="1"/>
  <c r="AA272" i="25" s="1"/>
  <c r="AB272" i="25" s="1"/>
  <c r="AC272" i="25" s="1"/>
  <c r="W182" i="25"/>
  <c r="X182" i="25" s="1"/>
  <c r="Y182" i="25" s="1"/>
  <c r="Z182" i="25" s="1"/>
  <c r="AA182" i="25" s="1"/>
  <c r="AB182" i="25" s="1"/>
  <c r="AC182" i="25" s="1"/>
  <c r="W287" i="25"/>
  <c r="X287" i="25" s="1"/>
  <c r="Y287" i="25" s="1"/>
  <c r="Z287" i="25" s="1"/>
  <c r="AA287" i="25" s="1"/>
  <c r="AB287" i="25" s="1"/>
  <c r="AC287" i="25" s="1"/>
  <c r="W102" i="25"/>
  <c r="X102" i="25" s="1"/>
  <c r="Y102" i="25" s="1"/>
  <c r="Z102" i="25" s="1"/>
  <c r="AA102" i="25" s="1"/>
  <c r="AB102" i="25" s="1"/>
  <c r="AC102" i="25" s="1"/>
  <c r="W282" i="25"/>
  <c r="X282" i="25" s="1"/>
  <c r="Y282" i="25" s="1"/>
  <c r="Z282" i="25" s="1"/>
  <c r="AA282" i="25" s="1"/>
  <c r="AB282" i="25" s="1"/>
  <c r="AC282" i="25" s="1"/>
  <c r="W172" i="25"/>
  <c r="X172" i="25" s="1"/>
  <c r="Y172" i="25" s="1"/>
  <c r="Z172" i="25" s="1"/>
  <c r="AA172" i="25" s="1"/>
  <c r="AB172" i="25" s="1"/>
  <c r="AC172" i="25" s="1"/>
  <c r="W340" i="25" a="1"/>
  <c r="W340" i="25" s="1"/>
  <c r="W476" i="25" s="1"/>
  <c r="W494" i="25" s="1"/>
  <c r="X340" i="25" a="1"/>
  <c r="X340" i="25" s="1"/>
  <c r="X476" i="25" s="1"/>
  <c r="X494" i="25" s="1"/>
  <c r="V340" i="25" a="1"/>
  <c r="V340" i="25" s="1"/>
  <c r="V476" i="25" s="1"/>
  <c r="V494" i="25" s="1"/>
  <c r="W297" i="25"/>
  <c r="X297" i="25" s="1"/>
  <c r="Y297" i="25" s="1"/>
  <c r="Z297" i="25" s="1"/>
  <c r="AA297" i="25" s="1"/>
  <c r="AB297" i="25" s="1"/>
  <c r="AC297" i="25" s="1"/>
  <c r="W47" i="25"/>
  <c r="X47" i="25" s="1"/>
  <c r="Y47" i="25" s="1"/>
  <c r="Z47" i="25" s="1"/>
  <c r="AA47" i="25" s="1"/>
  <c r="AB47" i="25" s="1"/>
  <c r="AC47" i="25" s="1"/>
  <c r="W42" i="25"/>
  <c r="X42" i="25" s="1"/>
  <c r="Y42" i="25" s="1"/>
  <c r="Z42" i="25" s="1"/>
  <c r="AA42" i="25" s="1"/>
  <c r="AB42" i="25" s="1"/>
  <c r="AC42" i="25" s="1"/>
  <c r="BI340" i="25" a="1"/>
  <c r="BI340" i="25" s="1"/>
  <c r="BT340" i="25" a="1"/>
  <c r="BT340" i="25" s="1"/>
  <c r="AF340" i="25" a="1"/>
  <c r="AF340" i="25" s="1"/>
  <c r="AF476" i="25" s="1"/>
  <c r="AF494" i="25" s="1"/>
  <c r="BN340" i="25" a="1"/>
  <c r="BN340" i="25" s="1"/>
  <c r="BH340" i="25" a="1"/>
  <c r="BH340" i="25" s="1"/>
  <c r="BG340" i="25" a="1"/>
  <c r="BG340" i="25" s="1"/>
  <c r="AE340" i="25" a="1"/>
  <c r="AE340" i="25" s="1"/>
  <c r="AE476" i="25" s="1"/>
  <c r="AE494" i="25" s="1"/>
  <c r="W162" i="25"/>
  <c r="X162" i="25" s="1"/>
  <c r="Y162" i="25" s="1"/>
  <c r="Z162" i="25" s="1"/>
  <c r="AA162" i="25" s="1"/>
  <c r="AB162" i="25" s="1"/>
  <c r="AC162" i="25" s="1"/>
  <c r="W277" i="25"/>
  <c r="X277" i="25" s="1"/>
  <c r="Y277" i="25" s="1"/>
  <c r="Z277" i="25" s="1"/>
  <c r="AA277" i="25" s="1"/>
  <c r="AB277" i="25" s="1"/>
  <c r="AC277" i="25" s="1"/>
  <c r="W207" i="25"/>
  <c r="X207" i="25" s="1"/>
  <c r="Y207" i="25" s="1"/>
  <c r="Z207" i="25" s="1"/>
  <c r="AA207" i="25" s="1"/>
  <c r="AB207" i="25" s="1"/>
  <c r="AC207" i="25" s="1"/>
  <c r="W292" i="25"/>
  <c r="X292" i="25" s="1"/>
  <c r="Y292" i="25" s="1"/>
  <c r="Z292" i="25" s="1"/>
  <c r="AA292" i="25" s="1"/>
  <c r="AB292" i="25" s="1"/>
  <c r="AC292" i="25" s="1"/>
  <c r="BF340" i="25" a="1"/>
  <c r="BF340" i="25" s="1"/>
  <c r="AD340" i="25" a="1"/>
  <c r="AD340" i="25" s="1"/>
  <c r="AT340" i="25" a="1"/>
  <c r="AT340" i="25" s="1"/>
  <c r="BU340" i="25" a="1"/>
  <c r="BU340" i="25" s="1"/>
  <c r="AO340" i="25" a="1"/>
  <c r="AO340" i="25" s="1"/>
  <c r="W62" i="25"/>
  <c r="X62" i="25" s="1"/>
  <c r="Y62" i="25" s="1"/>
  <c r="Z62" i="25" s="1"/>
  <c r="AA62" i="25" s="1"/>
  <c r="AB62" i="25" s="1"/>
  <c r="AC62" i="25" s="1"/>
  <c r="BP340" i="25" a="1"/>
  <c r="BP340" i="25" s="1"/>
  <c r="AB340" i="25" a="1"/>
  <c r="AB340" i="25" s="1"/>
  <c r="AH340" i="25" a="1"/>
  <c r="AH340" i="25" s="1"/>
  <c r="AH476" i="25" s="1"/>
  <c r="AH494" i="25" s="1"/>
  <c r="AK340" i="25" a="1"/>
  <c r="AK340" i="25" s="1"/>
  <c r="AL340" i="25" a="1"/>
  <c r="AL340" i="25" s="1"/>
  <c r="Y340" i="25" a="1"/>
  <c r="Y340" i="25" s="1"/>
  <c r="Y476" i="25" s="1"/>
  <c r="Y494" i="25" s="1"/>
  <c r="BA340" i="25" a="1"/>
  <c r="BA340" i="25" s="1"/>
  <c r="AN340" i="25" a="1"/>
  <c r="AN340" i="25" s="1"/>
  <c r="BR340" i="25" a="1"/>
  <c r="BR340" i="25" s="1"/>
  <c r="AB419" i="25" a="1"/>
  <c r="AB419" i="25" s="1"/>
  <c r="AJ428" i="25" s="1" a="1"/>
  <c r="AJ428" i="25" s="1"/>
  <c r="I114" i="25" s="1" a="1"/>
  <c r="I114" i="25" s="1"/>
  <c r="AJ444" i="25"/>
  <c r="AJ462" i="25" s="1"/>
  <c r="AI340" i="25" a="1"/>
  <c r="AI340" i="25" s="1"/>
  <c r="V382" i="25" a="1"/>
  <c r="V382" i="25" s="1"/>
  <c r="AR419" i="25" a="1"/>
  <c r="AR419" i="25" s="1"/>
  <c r="AZ428" i="25" s="1" a="1"/>
  <c r="AZ428" i="25" s="1"/>
  <c r="AZ444" i="25"/>
  <c r="AZ462" i="25" s="1"/>
  <c r="AR340" i="25" a="1"/>
  <c r="AR340" i="25" s="1"/>
  <c r="AY340" i="25" a="1"/>
  <c r="AY340" i="25" s="1"/>
  <c r="W267" i="25"/>
  <c r="X267" i="25" s="1"/>
  <c r="Y267" i="25" s="1"/>
  <c r="Z267" i="25" s="1"/>
  <c r="AA267" i="25" s="1"/>
  <c r="AB267" i="25" s="1"/>
  <c r="AC267" i="25" s="1"/>
  <c r="W112" i="25"/>
  <c r="X112" i="25" s="1"/>
  <c r="Y112" i="25" s="1"/>
  <c r="Z112" i="25" s="1"/>
  <c r="AA112" i="25" s="1"/>
  <c r="AB112" i="25" s="1"/>
  <c r="AC112" i="25" s="1"/>
  <c r="W57" i="25"/>
  <c r="X57" i="25" s="1"/>
  <c r="Y57" i="25" s="1"/>
  <c r="Z57" i="25" s="1"/>
  <c r="AA57" i="25" s="1"/>
  <c r="AB57" i="25" s="1"/>
  <c r="AC57" i="25" s="1"/>
  <c r="W152" i="25"/>
  <c r="X152" i="25" s="1"/>
  <c r="Y152" i="25" s="1"/>
  <c r="Z152" i="25" s="1"/>
  <c r="AA152" i="25" s="1"/>
  <c r="AB152" i="25" s="1"/>
  <c r="AC152" i="25" s="1"/>
  <c r="W67" i="25"/>
  <c r="X67" i="25" s="1"/>
  <c r="Y67" i="25" s="1"/>
  <c r="Z67" i="25" s="1"/>
  <c r="AA67" i="25" s="1"/>
  <c r="AB67" i="25" s="1"/>
  <c r="AC67" i="25" s="1"/>
  <c r="W122" i="25"/>
  <c r="X122" i="25" s="1"/>
  <c r="Y122" i="25" s="1"/>
  <c r="Z122" i="25" s="1"/>
  <c r="AA122" i="25" s="1"/>
  <c r="AB122" i="25" s="1"/>
  <c r="AC122" i="25" s="1"/>
  <c r="W52" i="25"/>
  <c r="X52" i="25" s="1"/>
  <c r="Y52" i="25" s="1"/>
  <c r="Z52" i="25" s="1"/>
  <c r="AA52" i="25" s="1"/>
  <c r="AB52" i="25" s="1"/>
  <c r="AC52" i="25" s="1"/>
  <c r="W107" i="25"/>
  <c r="X107" i="25" s="1"/>
  <c r="Y107" i="25" s="1"/>
  <c r="Z107" i="25" s="1"/>
  <c r="AA107" i="25" s="1"/>
  <c r="AB107" i="25" s="1"/>
  <c r="AC107" i="25" s="1"/>
  <c r="W157" i="25"/>
  <c r="X157" i="25" s="1"/>
  <c r="Y157" i="25" s="1"/>
  <c r="Z157" i="25" s="1"/>
  <c r="AA157" i="25" s="1"/>
  <c r="AB157" i="25" s="1"/>
  <c r="AC157" i="25" s="1"/>
  <c r="W382" i="25" a="1"/>
  <c r="W382" i="25" s="1"/>
  <c r="BE340" i="25" a="1"/>
  <c r="BE340" i="25" s="1"/>
  <c r="BM340" i="25" a="1"/>
  <c r="BM340" i="25" s="1"/>
  <c r="BD340" i="25" a="1"/>
  <c r="BD340" i="25" s="1"/>
  <c r="BB340" i="25" a="1"/>
  <c r="BB340" i="25" s="1"/>
  <c r="BL340" i="25" a="1"/>
  <c r="BL340" i="25" s="1"/>
  <c r="AJ340" i="25" a="1"/>
  <c r="AJ340" i="25" s="1"/>
  <c r="AJ476" i="25" s="1"/>
  <c r="AJ494" i="25" s="1"/>
  <c r="BQ340" i="25" a="1"/>
  <c r="BQ340" i="25" s="1"/>
  <c r="BJ340" i="25" a="1"/>
  <c r="BJ340" i="25" s="1"/>
  <c r="O419" i="25" a="1"/>
  <c r="O419" i="25" s="1"/>
  <c r="W428" i="25" s="1" a="1"/>
  <c r="W428" i="25" s="1"/>
  <c r="I49" i="25" s="1" a="1"/>
  <c r="I49" i="25" s="1"/>
  <c r="X397" i="25"/>
  <c r="W444" i="25"/>
  <c r="W462" i="25" s="1"/>
  <c r="AA340" i="25" a="1"/>
  <c r="AA340" i="25" s="1"/>
  <c r="AA476" i="25" s="1"/>
  <c r="AA494" i="25" s="1"/>
  <c r="AU340" i="25" a="1"/>
  <c r="AU340" i="25" s="1"/>
  <c r="BS340" i="25" a="1"/>
  <c r="BS340" i="25" s="1"/>
  <c r="AZ340" i="25" a="1"/>
  <c r="AZ340" i="25" s="1"/>
  <c r="AS340" i="25" a="1"/>
  <c r="AS340" i="25" s="1"/>
  <c r="AC340" i="25" a="1"/>
  <c r="AC340" i="25" s="1"/>
  <c r="AG340" i="25" a="1"/>
  <c r="AG340" i="25" s="1"/>
  <c r="BO340" i="25" a="1"/>
  <c r="BO340" i="25" s="1"/>
  <c r="BW340" i="25" a="1"/>
  <c r="BW340" i="25" s="1"/>
  <c r="BC340" i="25" a="1"/>
  <c r="BC340" i="25" s="1"/>
  <c r="BK340" i="25" a="1"/>
  <c r="BK340" i="25" s="1"/>
  <c r="AV340" i="25" a="1"/>
  <c r="AV340" i="25" s="1"/>
  <c r="Z340" i="25" a="1"/>
  <c r="Z340" i="25" s="1"/>
  <c r="Z476" i="25" s="1"/>
  <c r="Z494" i="25" s="1"/>
  <c r="AM340" i="25" a="1"/>
  <c r="AM340" i="25" s="1"/>
  <c r="AW340" i="25" a="1"/>
  <c r="AW340" i="25" s="1"/>
  <c r="AX340" i="25" a="1"/>
  <c r="AX340" i="25" s="1"/>
  <c r="BV340" i="25" a="1"/>
  <c r="BV340" i="25" s="1"/>
  <c r="AQ340" i="25" a="1"/>
  <c r="AQ340" i="25" s="1"/>
  <c r="AP340" i="25" a="1"/>
  <c r="AP340" i="25" s="1"/>
  <c r="N419" i="25" a="1"/>
  <c r="N419" i="25" s="1"/>
  <c r="V428" i="25" s="1" a="1"/>
  <c r="V428" i="25" s="1"/>
  <c r="I44" i="25" s="1" a="1"/>
  <c r="I44" i="25" s="1"/>
  <c r="V444" i="25"/>
  <c r="V462" i="25" s="1"/>
  <c r="BB398" i="25"/>
  <c r="BB399" i="25" s="1"/>
  <c r="BB446" i="25" s="1"/>
  <c r="BB464" i="25" s="1"/>
  <c r="AW419" i="25" a="1"/>
  <c r="AW419" i="25" s="1"/>
  <c r="BE428" i="25" s="1" a="1"/>
  <c r="BE428" i="25" s="1"/>
  <c r="BE444" i="25"/>
  <c r="BE462" i="25" s="1"/>
  <c r="AS419" i="25" a="1"/>
  <c r="AS419" i="25" s="1"/>
  <c r="BA428" i="25" s="1" a="1"/>
  <c r="BA428" i="25" s="1"/>
  <c r="BA444" i="25"/>
  <c r="BA462" i="25" s="1"/>
  <c r="AO419" i="25" a="1"/>
  <c r="AO419" i="25" s="1"/>
  <c r="AW428" i="25" s="1" a="1"/>
  <c r="AW428" i="25" s="1"/>
  <c r="AW444" i="25"/>
  <c r="AW462" i="25" s="1"/>
  <c r="AT419" i="25" a="1"/>
  <c r="AT419" i="25" s="1"/>
  <c r="BB428" i="25" s="1" a="1"/>
  <c r="BB428" i="25" s="1"/>
  <c r="BB444" i="25"/>
  <c r="BB462" i="25" s="1"/>
  <c r="AE419" i="25" a="1"/>
  <c r="AE419" i="25" s="1"/>
  <c r="AM428" i="25" s="1" a="1"/>
  <c r="AM428" i="25" s="1"/>
  <c r="AM444" i="25"/>
  <c r="AM462" i="25" s="1"/>
  <c r="AC419" i="25" a="1"/>
  <c r="AC419" i="25" s="1"/>
  <c r="AK428" i="25" s="1" a="1"/>
  <c r="AK428" i="25" s="1"/>
  <c r="I119" i="25" s="1" a="1"/>
  <c r="I119" i="25" s="1"/>
  <c r="AK444" i="25"/>
  <c r="AK462" i="25" s="1"/>
  <c r="AP419" i="25" a="1"/>
  <c r="AP419" i="25" s="1"/>
  <c r="AX428" i="25" s="1" a="1"/>
  <c r="AX428" i="25" s="1"/>
  <c r="AX444" i="25"/>
  <c r="AX462" i="25" s="1"/>
  <c r="Y419" i="25" a="1"/>
  <c r="Y419" i="25" s="1"/>
  <c r="AG428" i="25" s="1" a="1"/>
  <c r="AG428" i="25" s="1"/>
  <c r="I99" i="25" s="1" a="1"/>
  <c r="I99" i="25" s="1"/>
  <c r="AG444" i="25"/>
  <c r="AG462" i="25" s="1"/>
  <c r="AD419" i="25" a="1"/>
  <c r="AD419" i="25" s="1"/>
  <c r="AL428" i="25" s="1" a="1"/>
  <c r="AL428" i="25" s="1"/>
  <c r="AL444" i="25"/>
  <c r="AL462" i="25" s="1"/>
  <c r="AH419" i="25" a="1"/>
  <c r="AH419" i="25" s="1"/>
  <c r="AP428" i="25" s="1" a="1"/>
  <c r="AP428" i="25" s="1"/>
  <c r="AP444" i="25"/>
  <c r="AP462" i="25" s="1"/>
  <c r="AN419" i="25" a="1"/>
  <c r="AN419" i="25" s="1"/>
  <c r="AV428" i="25" s="1" a="1"/>
  <c r="AV428" i="25" s="1"/>
  <c r="AV444" i="25"/>
  <c r="AV462" i="25" s="1"/>
  <c r="AM419" i="25" a="1"/>
  <c r="AM419" i="25" s="1"/>
  <c r="AU428" i="25" s="1" a="1"/>
  <c r="AU428" i="25" s="1"/>
  <c r="AU444" i="25"/>
  <c r="AU462" i="25" s="1"/>
  <c r="AA419" i="25" a="1"/>
  <c r="AA419" i="25" s="1"/>
  <c r="AI428" i="25" s="1" a="1"/>
  <c r="AI428" i="25" s="1"/>
  <c r="I109" i="25" s="1" a="1"/>
  <c r="I109" i="25" s="1"/>
  <c r="AI444" i="25"/>
  <c r="AI462" i="25" s="1"/>
  <c r="Z419" i="25" a="1"/>
  <c r="Z419" i="25" s="1"/>
  <c r="AH428" i="25" s="1" a="1"/>
  <c r="AH428" i="25" s="1"/>
  <c r="I104" i="25" s="1" a="1"/>
  <c r="I104" i="25" s="1"/>
  <c r="AH444" i="25"/>
  <c r="AH462" i="25" s="1"/>
  <c r="X419" i="25" a="1"/>
  <c r="X419" i="25" s="1"/>
  <c r="AF428" i="25" s="1" a="1"/>
  <c r="AF428" i="25" s="1"/>
  <c r="I94" i="25" s="1" a="1"/>
  <c r="I94" i="25" s="1"/>
  <c r="AF444" i="25"/>
  <c r="AF462" i="25" s="1"/>
  <c r="AK419" i="25" a="1"/>
  <c r="AK419" i="25" s="1"/>
  <c r="AS428" i="25" s="1" a="1"/>
  <c r="AS428" i="25" s="1"/>
  <c r="AS444" i="25"/>
  <c r="AS462" i="25" s="1"/>
  <c r="AL419" i="25" a="1"/>
  <c r="AL419" i="25" s="1"/>
  <c r="AT428" i="25" s="1" a="1"/>
  <c r="AT428" i="25" s="1"/>
  <c r="AT444" i="25"/>
  <c r="AT462" i="25" s="1"/>
  <c r="AI419" i="25" a="1"/>
  <c r="AI419" i="25" s="1"/>
  <c r="AQ428" i="25" s="1" a="1"/>
  <c r="AQ428" i="25" s="1"/>
  <c r="AQ444" i="25"/>
  <c r="AQ462" i="25" s="1"/>
  <c r="AF419" i="25" a="1"/>
  <c r="AF419" i="25" s="1"/>
  <c r="AN428" i="25" s="1" a="1"/>
  <c r="AN428" i="25" s="1"/>
  <c r="AN444" i="25"/>
  <c r="AN462" i="25" s="1"/>
  <c r="AG419" i="25" a="1"/>
  <c r="AG419" i="25" s="1"/>
  <c r="AO428" i="25" s="1" a="1"/>
  <c r="AO428" i="25" s="1"/>
  <c r="AO444" i="25"/>
  <c r="AO462" i="25" s="1"/>
  <c r="AQ419" i="25" a="1"/>
  <c r="AQ419" i="25" s="1"/>
  <c r="AY428" i="25" s="1" a="1"/>
  <c r="AY428" i="25" s="1"/>
  <c r="AY444" i="25"/>
  <c r="AY462" i="25" s="1"/>
  <c r="AJ419" i="25" a="1"/>
  <c r="AJ419" i="25" s="1"/>
  <c r="AR428" i="25" s="1" a="1"/>
  <c r="AR428" i="25" s="1"/>
  <c r="AR444" i="25"/>
  <c r="AR462" i="25" s="1"/>
  <c r="AU419" i="25" a="1"/>
  <c r="AU419" i="25" s="1"/>
  <c r="BC428" i="25" s="1" a="1"/>
  <c r="BC428" i="25" s="1"/>
  <c r="BC444" i="25"/>
  <c r="BC462" i="25" s="1"/>
  <c r="BF428" i="25" a="1"/>
  <c r="BF428" i="25" s="1"/>
  <c r="BT428" i="25" a="1"/>
  <c r="BT428" i="25" s="1"/>
  <c r="BI428" i="25" a="1"/>
  <c r="BI428" i="25" s="1"/>
  <c r="BN428" i="25" a="1"/>
  <c r="BN428" i="25" s="1"/>
  <c r="BK428" i="25" a="1"/>
  <c r="BK428" i="25" s="1"/>
  <c r="BQ428" i="25" a="1"/>
  <c r="BQ428" i="25" s="1"/>
  <c r="BR428" i="25" a="1"/>
  <c r="BR428" i="25" s="1"/>
  <c r="BM428" i="25" a="1"/>
  <c r="BM428" i="25" s="1"/>
  <c r="BV428" i="25" a="1"/>
  <c r="BV428" i="25" s="1"/>
  <c r="BP428" i="25" a="1"/>
  <c r="BP428" i="25" s="1"/>
  <c r="BO428" i="25" a="1"/>
  <c r="BO428" i="25" s="1"/>
  <c r="BD428" i="25" a="1"/>
  <c r="BD428" i="25" s="1"/>
  <c r="BH428" i="25" a="1"/>
  <c r="BH428" i="25" s="1"/>
  <c r="BU428" i="25" a="1"/>
  <c r="BU428" i="25" s="1"/>
  <c r="BJ428" i="25" a="1"/>
  <c r="BJ428" i="25" s="1"/>
  <c r="BS428" i="25" a="1"/>
  <c r="BS428" i="25" s="1"/>
  <c r="BW428" i="25" a="1"/>
  <c r="BW428" i="25" s="1"/>
  <c r="BL428" i="25" a="1"/>
  <c r="BL428" i="25" s="1"/>
  <c r="BG428" i="25" a="1"/>
  <c r="BG428" i="25" s="1"/>
  <c r="U376" i="25"/>
  <c r="U385" i="25" s="1"/>
  <c r="U477" i="25"/>
  <c r="U495" i="25" s="1"/>
  <c r="AK37" i="25"/>
  <c r="AL37" i="25" s="1"/>
  <c r="AM37" i="25" s="1"/>
  <c r="AN37" i="25" s="1"/>
  <c r="AO37" i="25" s="1"/>
  <c r="AP37" i="25" s="1"/>
  <c r="AQ37" i="25" s="1"/>
  <c r="I356" i="25"/>
  <c r="Z397" i="25"/>
  <c r="R419" i="25" s="1" a="1"/>
  <c r="R419" i="25" s="1"/>
  <c r="M418" i="25"/>
  <c r="U427" i="25" s="1" a="1"/>
  <c r="U427" i="25" s="1"/>
  <c r="B39" i="25" s="1" a="1"/>
  <c r="B39" i="25" s="1"/>
  <c r="S437" i="25"/>
  <c r="B119" i="25" a="1"/>
  <c r="B119" i="25" s="1"/>
  <c r="B11" i="25"/>
  <c r="C11" i="25" s="1"/>
  <c r="D11" i="25" s="1"/>
  <c r="E11" i="25" s="1"/>
  <c r="F11" i="25" s="1"/>
  <c r="G11" i="25" s="1"/>
  <c r="H11" i="25" s="1"/>
  <c r="B9" i="25"/>
  <c r="B13" i="25"/>
  <c r="X159" i="23"/>
  <c r="X160" i="23"/>
  <c r="X161" i="23"/>
  <c r="X162" i="23"/>
  <c r="X163" i="23"/>
  <c r="X164" i="23"/>
  <c r="P58" i="25" a="1"/>
  <c r="P158" i="25" a="1"/>
  <c r="P198" i="25" a="1"/>
  <c r="AD62" i="25" a="1"/>
  <c r="AD297" i="25" a="1"/>
  <c r="AD207" i="25" a="1"/>
  <c r="P83" i="25" a="1"/>
  <c r="AD137" i="25" a="1"/>
  <c r="P63" i="25" a="1"/>
  <c r="P263" i="25" a="1"/>
  <c r="AD292" i="25" a="1"/>
  <c r="AD247" i="25" a="1"/>
  <c r="P143" i="25" a="1"/>
  <c r="AD202" i="25" a="1"/>
  <c r="P253" i="25" a="1"/>
  <c r="AD92" i="25" a="1"/>
  <c r="AD252" i="25" a="1"/>
  <c r="P248" i="25" a="1"/>
  <c r="AD67" i="25" a="1"/>
  <c r="P228" i="25" a="1"/>
  <c r="P233" i="25" a="1"/>
  <c r="AK38" i="25" a="1"/>
  <c r="AD232" i="25" a="1"/>
  <c r="AD102" i="25" a="1"/>
  <c r="P208" i="25" a="1"/>
  <c r="P193" i="25" a="1"/>
  <c r="AD152" i="25" a="1"/>
  <c r="AD97" i="25" a="1"/>
  <c r="AD87" i="25" a="1"/>
  <c r="AD142" i="25" a="1"/>
  <c r="P118" i="25" a="1"/>
  <c r="AD217" i="25" a="1"/>
  <c r="AD212" i="25" a="1"/>
  <c r="P108" i="25" a="1"/>
  <c r="P98" i="25" a="1"/>
  <c r="P243" i="25" a="1"/>
  <c r="AD277" i="25" a="1"/>
  <c r="AD47" i="25" a="1"/>
  <c r="P203" i="25" a="1"/>
  <c r="AD42" i="25" a="1"/>
  <c r="AD187" i="25" a="1"/>
  <c r="P183" i="25" a="1"/>
  <c r="AD117" i="25" a="1"/>
  <c r="P188" i="25" a="1"/>
  <c r="P163" i="25" a="1"/>
  <c r="AD147" i="25" a="1"/>
  <c r="AD262" i="25" a="1"/>
  <c r="AD182" i="25" a="1"/>
  <c r="P128" i="25" a="1"/>
  <c r="P293" i="25" a="1"/>
  <c r="AD282" i="25" a="1"/>
  <c r="P288" i="25" a="1"/>
  <c r="P283" i="25" a="1"/>
  <c r="AD192" i="25" a="1"/>
  <c r="P113" i="25" a="1"/>
  <c r="AD222" i="25" a="1"/>
  <c r="AD112" i="25" a="1"/>
  <c r="P218" i="25" a="1"/>
  <c r="AD272" i="25" a="1"/>
  <c r="AD172" i="25" a="1"/>
  <c r="P238" i="25" a="1"/>
  <c r="AD72" i="25" a="1"/>
  <c r="P178" i="25" a="1"/>
  <c r="AD107" i="25" a="1"/>
  <c r="AD267" i="25" a="1"/>
  <c r="AD77" i="25" a="1"/>
  <c r="P298" i="25" a="1"/>
  <c r="AD177" i="25" a="1"/>
  <c r="P48" i="25" a="1"/>
  <c r="P88" i="25" a="1"/>
  <c r="P303" i="25" a="1"/>
  <c r="P78" i="25" a="1"/>
  <c r="P123" i="25" a="1"/>
  <c r="AD167" i="25" a="1"/>
  <c r="AD302" i="25" a="1"/>
  <c r="AD127" i="25" a="1"/>
  <c r="AD257" i="25" a="1"/>
  <c r="AD237" i="25" a="1"/>
  <c r="P258" i="25" a="1"/>
  <c r="P103" i="25" a="1"/>
  <c r="P73" i="25" a="1"/>
  <c r="P278" i="25" a="1"/>
  <c r="P223" i="25" a="1"/>
  <c r="P53" i="25" a="1"/>
  <c r="AD82" i="25" a="1"/>
  <c r="P43" i="25" a="1"/>
  <c r="P93" i="25" a="1"/>
  <c r="P133" i="25" a="1"/>
  <c r="AD52" i="25" a="1"/>
  <c r="P273" i="25" a="1"/>
  <c r="AD157" i="25" a="1"/>
  <c r="AD307" i="25" a="1"/>
  <c r="P68" i="25" a="1"/>
  <c r="P148" i="25" a="1"/>
  <c r="AD122" i="25" a="1"/>
  <c r="AD57" i="25" a="1"/>
  <c r="P153" i="25" a="1"/>
  <c r="P138" i="25" a="1"/>
  <c r="P213" i="25" a="1"/>
  <c r="AD162" i="25" a="1"/>
  <c r="AD227" i="25" a="1"/>
  <c r="AD197" i="25" a="1"/>
  <c r="AD242" i="25" a="1"/>
  <c r="P268" i="25" a="1"/>
  <c r="P168" i="25" a="1"/>
  <c r="AD287" i="25" a="1"/>
  <c r="P173" i="25" a="1"/>
  <c r="AD132" i="25" a="1"/>
  <c r="BN398" i="25" l="1"/>
  <c r="BN399" i="25" s="1"/>
  <c r="BN446" i="25" s="1"/>
  <c r="BN464" i="25" s="1"/>
  <c r="P198" i="25"/>
  <c r="P58" i="25"/>
  <c r="P148" i="25"/>
  <c r="P228" i="25"/>
  <c r="P78" i="25"/>
  <c r="P163" i="25"/>
  <c r="P123" i="25"/>
  <c r="P263" i="25"/>
  <c r="P113" i="25"/>
  <c r="P253" i="25"/>
  <c r="P303" i="25"/>
  <c r="P178" i="25"/>
  <c r="P88" i="25"/>
  <c r="P248" i="25"/>
  <c r="P153" i="25"/>
  <c r="P183" i="25"/>
  <c r="P68" i="25"/>
  <c r="P93" i="25"/>
  <c r="P128" i="25"/>
  <c r="P53" i="25"/>
  <c r="P203" i="25"/>
  <c r="P238" i="25"/>
  <c r="P173" i="25"/>
  <c r="P158" i="25"/>
  <c r="P143" i="25"/>
  <c r="P168" i="25"/>
  <c r="P108" i="25"/>
  <c r="P293" i="25"/>
  <c r="P233" i="25"/>
  <c r="P133" i="25"/>
  <c r="P298" i="25"/>
  <c r="P118" i="25"/>
  <c r="P103" i="25"/>
  <c r="P73" i="25"/>
  <c r="P188" i="25"/>
  <c r="P288" i="25"/>
  <c r="P223" i="25"/>
  <c r="P193" i="25"/>
  <c r="P98" i="25"/>
  <c r="P283" i="25"/>
  <c r="P63" i="25"/>
  <c r="P208" i="25"/>
  <c r="P258" i="25"/>
  <c r="P268" i="25"/>
  <c r="P138" i="25"/>
  <c r="P278" i="25"/>
  <c r="P243" i="25"/>
  <c r="P218" i="25"/>
  <c r="P83" i="25"/>
  <c r="P273" i="25"/>
  <c r="P213" i="25"/>
  <c r="Y341" i="25" a="1"/>
  <c r="Y341" i="25" s="1"/>
  <c r="Y376" i="25" s="1"/>
  <c r="W341" i="25" a="1"/>
  <c r="W341" i="25" s="1"/>
  <c r="K356" i="25" s="1"/>
  <c r="X341" i="25" a="1"/>
  <c r="X341" i="25" s="1"/>
  <c r="X376" i="25" s="1"/>
  <c r="AD47" i="25"/>
  <c r="AE47" i="25" s="1"/>
  <c r="AF47" i="25" s="1"/>
  <c r="AG47" i="25" s="1"/>
  <c r="AH47" i="25" s="1"/>
  <c r="AI47" i="25" s="1"/>
  <c r="AJ47" i="25" s="1"/>
  <c r="AD42" i="25"/>
  <c r="AE42" i="25" s="1"/>
  <c r="AF42" i="25" s="1"/>
  <c r="AG42" i="25" s="1"/>
  <c r="AH42" i="25" s="1"/>
  <c r="AI42" i="25" s="1"/>
  <c r="AJ42" i="25" s="1"/>
  <c r="AD52" i="25"/>
  <c r="AE52" i="25" s="1"/>
  <c r="AF52" i="25" s="1"/>
  <c r="AG52" i="25" s="1"/>
  <c r="AH52" i="25" s="1"/>
  <c r="AI52" i="25" s="1"/>
  <c r="AJ52" i="25" s="1"/>
  <c r="V341" i="25" a="1"/>
  <c r="V341" i="25" s="1"/>
  <c r="V376" i="25" s="1"/>
  <c r="AD237" i="25"/>
  <c r="AE237" i="25" s="1"/>
  <c r="AF237" i="25" s="1"/>
  <c r="AG237" i="25" s="1"/>
  <c r="AH237" i="25" s="1"/>
  <c r="AI237" i="25" s="1"/>
  <c r="AJ237" i="25" s="1"/>
  <c r="BI476" i="25"/>
  <c r="BI494" i="25" s="1"/>
  <c r="AD292" i="25"/>
  <c r="AE292" i="25" s="1"/>
  <c r="AF292" i="25" s="1"/>
  <c r="AG292" i="25" s="1"/>
  <c r="AH292" i="25" s="1"/>
  <c r="AI292" i="25" s="1"/>
  <c r="AJ292" i="25" s="1"/>
  <c r="BB400" i="25"/>
  <c r="BB447" i="25" s="1"/>
  <c r="BB465" i="25" s="1"/>
  <c r="BT476" i="25"/>
  <c r="BT494" i="25" s="1"/>
  <c r="AD262" i="25"/>
  <c r="AE262" i="25" s="1"/>
  <c r="AF262" i="25" s="1"/>
  <c r="AG262" i="25" s="1"/>
  <c r="AH262" i="25" s="1"/>
  <c r="AI262" i="25" s="1"/>
  <c r="AJ262" i="25" s="1"/>
  <c r="AD92" i="25"/>
  <c r="AE92" i="25" s="1"/>
  <c r="AF92" i="25" s="1"/>
  <c r="AG92" i="25" s="1"/>
  <c r="AH92" i="25" s="1"/>
  <c r="AI92" i="25" s="1"/>
  <c r="AJ92" i="25" s="1"/>
  <c r="BN476" i="25"/>
  <c r="BN494" i="25" s="1"/>
  <c r="AD87" i="25"/>
  <c r="AE87" i="25" s="1"/>
  <c r="AF87" i="25" s="1"/>
  <c r="AG87" i="25" s="1"/>
  <c r="AH87" i="25" s="1"/>
  <c r="AI87" i="25" s="1"/>
  <c r="AJ87" i="25" s="1"/>
  <c r="AD227" i="25"/>
  <c r="AE227" i="25" s="1"/>
  <c r="AF227" i="25" s="1"/>
  <c r="AG227" i="25" s="1"/>
  <c r="AH227" i="25" s="1"/>
  <c r="AI227" i="25" s="1"/>
  <c r="AJ227" i="25" s="1"/>
  <c r="AD232" i="25"/>
  <c r="AE232" i="25" s="1"/>
  <c r="AF232" i="25" s="1"/>
  <c r="AG232" i="25" s="1"/>
  <c r="AH232" i="25" s="1"/>
  <c r="AI232" i="25" s="1"/>
  <c r="AJ232" i="25" s="1"/>
  <c r="BG476" i="25"/>
  <c r="BG494" i="25" s="1"/>
  <c r="BH476" i="25"/>
  <c r="BH494" i="25" s="1"/>
  <c r="AD82" i="25"/>
  <c r="AE82" i="25" s="1"/>
  <c r="AF82" i="25" s="1"/>
  <c r="AG82" i="25" s="1"/>
  <c r="AH82" i="25" s="1"/>
  <c r="AI82" i="25" s="1"/>
  <c r="AJ82" i="25" s="1"/>
  <c r="AD162" i="25"/>
  <c r="AE162" i="25" s="1"/>
  <c r="AF162" i="25" s="1"/>
  <c r="AG162" i="25" s="1"/>
  <c r="AH162" i="25" s="1"/>
  <c r="AI162" i="25" s="1"/>
  <c r="AJ162" i="25" s="1"/>
  <c r="AD222" i="25"/>
  <c r="AE222" i="25" s="1"/>
  <c r="AF222" i="25" s="1"/>
  <c r="AG222" i="25" s="1"/>
  <c r="AH222" i="25" s="1"/>
  <c r="AI222" i="25" s="1"/>
  <c r="AJ222" i="25" s="1"/>
  <c r="AD137" i="25"/>
  <c r="AE137" i="25" s="1"/>
  <c r="AF137" i="25" s="1"/>
  <c r="AG137" i="25" s="1"/>
  <c r="AH137" i="25" s="1"/>
  <c r="AI137" i="25" s="1"/>
  <c r="AJ137" i="25" s="1"/>
  <c r="AD297" i="25"/>
  <c r="AE297" i="25" s="1"/>
  <c r="AF297" i="25" s="1"/>
  <c r="AG297" i="25" s="1"/>
  <c r="AH297" i="25" s="1"/>
  <c r="AI297" i="25" s="1"/>
  <c r="AJ297" i="25" s="1"/>
  <c r="AD476" i="25"/>
  <c r="AD494" i="25" s="1"/>
  <c r="AT476" i="25"/>
  <c r="AT494" i="25" s="1"/>
  <c r="BF476" i="25"/>
  <c r="BF494" i="25" s="1"/>
  <c r="AO476" i="25"/>
  <c r="AO494" i="25" s="1"/>
  <c r="BU476" i="25"/>
  <c r="BU494" i="25" s="1"/>
  <c r="AD341" i="25" a="1"/>
  <c r="AD341" i="25" s="1"/>
  <c r="R356" i="25" s="1"/>
  <c r="AD272" i="25"/>
  <c r="AE272" i="25" s="1"/>
  <c r="AF272" i="25" s="1"/>
  <c r="AG272" i="25" s="1"/>
  <c r="AH272" i="25" s="1"/>
  <c r="AI272" i="25" s="1"/>
  <c r="AJ272" i="25" s="1"/>
  <c r="BP476" i="25"/>
  <c r="BP494" i="25" s="1"/>
  <c r="AC341" i="25" a="1"/>
  <c r="AC341" i="25" s="1"/>
  <c r="AC376" i="25" s="1"/>
  <c r="AD102" i="25"/>
  <c r="AE102" i="25" s="1"/>
  <c r="AF102" i="25" s="1"/>
  <c r="AG102" i="25" s="1"/>
  <c r="AH102" i="25" s="1"/>
  <c r="AI102" i="25" s="1"/>
  <c r="AJ102" i="25" s="1"/>
  <c r="AD72" i="25"/>
  <c r="AE72" i="25" s="1"/>
  <c r="AF72" i="25" s="1"/>
  <c r="AG72" i="25" s="1"/>
  <c r="AH72" i="25" s="1"/>
  <c r="AI72" i="25" s="1"/>
  <c r="AJ72" i="25" s="1"/>
  <c r="AI341" i="25" a="1"/>
  <c r="AI341" i="25" s="1"/>
  <c r="W356" i="25" s="1"/>
  <c r="AB476" i="25"/>
  <c r="AB494" i="25" s="1"/>
  <c r="BU341" i="25" a="1"/>
  <c r="BU341" i="25" s="1"/>
  <c r="BI356" i="25" s="1"/>
  <c r="BF341" i="25" a="1"/>
  <c r="BF341" i="25" s="1"/>
  <c r="AT356" i="25" s="1"/>
  <c r="AR341" i="25" a="1"/>
  <c r="AR341" i="25" s="1"/>
  <c r="AF356" i="25" s="1"/>
  <c r="BG341" i="25" a="1"/>
  <c r="BG341" i="25" s="1"/>
  <c r="AU356" i="25" s="1"/>
  <c r="AU341" i="25" a="1"/>
  <c r="AU341" i="25" s="1"/>
  <c r="AI356" i="25" s="1"/>
  <c r="BM341" i="25" a="1"/>
  <c r="BM341" i="25" s="1"/>
  <c r="BA356" i="25" s="1"/>
  <c r="AD117" i="25"/>
  <c r="AE117" i="25" s="1"/>
  <c r="AF117" i="25" s="1"/>
  <c r="AG117" i="25" s="1"/>
  <c r="AH117" i="25" s="1"/>
  <c r="AI117" i="25" s="1"/>
  <c r="AJ117" i="25" s="1"/>
  <c r="BT341" i="25" a="1"/>
  <c r="BT341" i="25" s="1"/>
  <c r="BH356" i="25" s="1"/>
  <c r="AK476" i="25"/>
  <c r="AK494" i="25" s="1"/>
  <c r="AW341" i="25" a="1"/>
  <c r="AW341" i="25" s="1"/>
  <c r="AK356" i="25" s="1"/>
  <c r="AO341" i="25" a="1"/>
  <c r="AO341" i="25" s="1"/>
  <c r="AC356" i="25" s="1"/>
  <c r="AD122" i="25"/>
  <c r="AE122" i="25" s="1"/>
  <c r="AF122" i="25" s="1"/>
  <c r="AG122" i="25" s="1"/>
  <c r="AH122" i="25" s="1"/>
  <c r="AI122" i="25" s="1"/>
  <c r="AJ122" i="25" s="1"/>
  <c r="BV341" i="25" a="1"/>
  <c r="BV341" i="25" s="1"/>
  <c r="BJ356" i="25" s="1"/>
  <c r="AA341" i="25" a="1"/>
  <c r="AA341" i="25" s="1"/>
  <c r="O356" i="25" s="1"/>
  <c r="BQ341" i="25" a="1"/>
  <c r="BQ341" i="25" s="1"/>
  <c r="BE356" i="25" s="1"/>
  <c r="AL476" i="25"/>
  <c r="AL494" i="25" s="1"/>
  <c r="AD197" i="25"/>
  <c r="AE197" i="25" s="1"/>
  <c r="AF197" i="25" s="1"/>
  <c r="AG197" i="25" s="1"/>
  <c r="AH197" i="25" s="1"/>
  <c r="AI197" i="25" s="1"/>
  <c r="AJ197" i="25" s="1"/>
  <c r="AD57" i="25"/>
  <c r="AE57" i="25" s="1"/>
  <c r="AF57" i="25" s="1"/>
  <c r="AG57" i="25" s="1"/>
  <c r="AH57" i="25" s="1"/>
  <c r="AI57" i="25" s="1"/>
  <c r="AJ57" i="25" s="1"/>
  <c r="BK341" i="25" a="1"/>
  <c r="BK341" i="25" s="1"/>
  <c r="AY356" i="25" s="1"/>
  <c r="BJ341" i="25" a="1"/>
  <c r="BJ341" i="25" s="1"/>
  <c r="AX356" i="25" s="1"/>
  <c r="AJ341" i="25" a="1"/>
  <c r="AJ341" i="25" s="1"/>
  <c r="X356" i="25" s="1"/>
  <c r="BS341" i="25" a="1"/>
  <c r="BS341" i="25" s="1"/>
  <c r="BG356" i="25" s="1"/>
  <c r="AV341" i="25" a="1"/>
  <c r="AV341" i="25" s="1"/>
  <c r="AV376" i="25" s="1"/>
  <c r="BA476" i="25"/>
  <c r="BA494" i="25" s="1"/>
  <c r="P43" i="25"/>
  <c r="AD107" i="25"/>
  <c r="AE107" i="25" s="1"/>
  <c r="AF107" i="25" s="1"/>
  <c r="AG107" i="25" s="1"/>
  <c r="AH107" i="25" s="1"/>
  <c r="AI107" i="25" s="1"/>
  <c r="AJ107" i="25" s="1"/>
  <c r="AD282" i="25"/>
  <c r="AE282" i="25" s="1"/>
  <c r="AF282" i="25" s="1"/>
  <c r="AG282" i="25" s="1"/>
  <c r="AH282" i="25" s="1"/>
  <c r="AI282" i="25" s="1"/>
  <c r="AJ282" i="25" s="1"/>
  <c r="AD152" i="25"/>
  <c r="AE152" i="25" s="1"/>
  <c r="AF152" i="25" s="1"/>
  <c r="AG152" i="25" s="1"/>
  <c r="AH152" i="25" s="1"/>
  <c r="AI152" i="25" s="1"/>
  <c r="AJ152" i="25" s="1"/>
  <c r="AD132" i="25"/>
  <c r="AE132" i="25" s="1"/>
  <c r="AF132" i="25" s="1"/>
  <c r="AG132" i="25" s="1"/>
  <c r="AH132" i="25" s="1"/>
  <c r="AI132" i="25" s="1"/>
  <c r="AJ132" i="25" s="1"/>
  <c r="AM341" i="25" a="1"/>
  <c r="AM341" i="25" s="1"/>
  <c r="AA356" i="25" s="1"/>
  <c r="AF341" i="25" a="1"/>
  <c r="AF341" i="25" s="1"/>
  <c r="AF376" i="25" s="1"/>
  <c r="AB341" i="25" a="1"/>
  <c r="AB341" i="25" s="1"/>
  <c r="P356" i="25" s="1"/>
  <c r="Z341" i="25" a="1"/>
  <c r="Z341" i="25" s="1"/>
  <c r="V398" i="25"/>
  <c r="AI476" i="25"/>
  <c r="AI494" i="25" s="1"/>
  <c r="BL341" i="25" a="1"/>
  <c r="BL341" i="25" s="1"/>
  <c r="AZ356" i="25" s="1"/>
  <c r="AQ341" i="25" a="1"/>
  <c r="AQ341" i="25" s="1"/>
  <c r="AQ477" i="25" s="1"/>
  <c r="AQ495" i="25" s="1"/>
  <c r="BR476" i="25"/>
  <c r="BR494" i="25" s="1"/>
  <c r="AE341" i="25" a="1"/>
  <c r="AE341" i="25" s="1"/>
  <c r="AE376" i="25" s="1"/>
  <c r="AR476" i="25"/>
  <c r="AR494" i="25" s="1"/>
  <c r="AN476" i="25"/>
  <c r="AN494" i="25" s="1"/>
  <c r="AD187" i="25"/>
  <c r="AE187" i="25" s="1"/>
  <c r="AF187" i="25" s="1"/>
  <c r="AG187" i="25" s="1"/>
  <c r="AH187" i="25" s="1"/>
  <c r="AI187" i="25" s="1"/>
  <c r="AJ187" i="25" s="1"/>
  <c r="AH341" i="25" a="1"/>
  <c r="AH341" i="25" s="1"/>
  <c r="AH477" i="25" s="1"/>
  <c r="AH495" i="25" s="1"/>
  <c r="BR341" i="25" a="1"/>
  <c r="BR341" i="25" s="1"/>
  <c r="BR376" i="25" s="1"/>
  <c r="BD341" i="25" a="1"/>
  <c r="BD341" i="25" s="1"/>
  <c r="AR356" i="25" s="1"/>
  <c r="AY341" i="25" a="1"/>
  <c r="AY341" i="25" s="1"/>
  <c r="AM356" i="25" s="1"/>
  <c r="AY476" i="25"/>
  <c r="AY494" i="25" s="1"/>
  <c r="AD247" i="25"/>
  <c r="AE247" i="25" s="1"/>
  <c r="AF247" i="25" s="1"/>
  <c r="AG247" i="25" s="1"/>
  <c r="AH247" i="25" s="1"/>
  <c r="AI247" i="25" s="1"/>
  <c r="AJ247" i="25" s="1"/>
  <c r="AD302" i="25"/>
  <c r="AE302" i="25" s="1"/>
  <c r="AF302" i="25" s="1"/>
  <c r="AG302" i="25" s="1"/>
  <c r="AH302" i="25" s="1"/>
  <c r="AI302" i="25" s="1"/>
  <c r="AJ302" i="25" s="1"/>
  <c r="AD307" i="25"/>
  <c r="AE307" i="25" s="1"/>
  <c r="AF307" i="25" s="1"/>
  <c r="AG307" i="25" s="1"/>
  <c r="AH307" i="25" s="1"/>
  <c r="AI307" i="25" s="1"/>
  <c r="AJ307" i="25" s="1"/>
  <c r="AD67" i="25"/>
  <c r="AE67" i="25" s="1"/>
  <c r="AF67" i="25" s="1"/>
  <c r="AG67" i="25" s="1"/>
  <c r="AH67" i="25" s="1"/>
  <c r="AI67" i="25" s="1"/>
  <c r="AJ67" i="25" s="1"/>
  <c r="AD202" i="25"/>
  <c r="AE202" i="25" s="1"/>
  <c r="AF202" i="25" s="1"/>
  <c r="AG202" i="25" s="1"/>
  <c r="AH202" i="25" s="1"/>
  <c r="AI202" i="25" s="1"/>
  <c r="AJ202" i="25" s="1"/>
  <c r="AD182" i="25"/>
  <c r="AE182" i="25" s="1"/>
  <c r="AF182" i="25" s="1"/>
  <c r="AG182" i="25" s="1"/>
  <c r="AH182" i="25" s="1"/>
  <c r="AI182" i="25" s="1"/>
  <c r="AJ182" i="25" s="1"/>
  <c r="AD267" i="25"/>
  <c r="AE267" i="25" s="1"/>
  <c r="AF267" i="25" s="1"/>
  <c r="AG267" i="25" s="1"/>
  <c r="AH267" i="25" s="1"/>
  <c r="AI267" i="25" s="1"/>
  <c r="AJ267" i="25" s="1"/>
  <c r="AD212" i="25"/>
  <c r="AE212" i="25" s="1"/>
  <c r="AF212" i="25" s="1"/>
  <c r="AG212" i="25" s="1"/>
  <c r="AH212" i="25" s="1"/>
  <c r="AI212" i="25" s="1"/>
  <c r="AJ212" i="25" s="1"/>
  <c r="AD257" i="25"/>
  <c r="AE257" i="25" s="1"/>
  <c r="AF257" i="25" s="1"/>
  <c r="AG257" i="25" s="1"/>
  <c r="AH257" i="25" s="1"/>
  <c r="AI257" i="25" s="1"/>
  <c r="AJ257" i="25" s="1"/>
  <c r="AD177" i="25"/>
  <c r="AE177" i="25" s="1"/>
  <c r="AF177" i="25" s="1"/>
  <c r="AG177" i="25" s="1"/>
  <c r="AH177" i="25" s="1"/>
  <c r="AI177" i="25" s="1"/>
  <c r="AJ177" i="25" s="1"/>
  <c r="AD127" i="25"/>
  <c r="AE127" i="25" s="1"/>
  <c r="AF127" i="25" s="1"/>
  <c r="AG127" i="25" s="1"/>
  <c r="AH127" i="25" s="1"/>
  <c r="AI127" i="25" s="1"/>
  <c r="AJ127" i="25" s="1"/>
  <c r="AD77" i="25"/>
  <c r="AE77" i="25" s="1"/>
  <c r="AF77" i="25" s="1"/>
  <c r="AG77" i="25" s="1"/>
  <c r="AH77" i="25" s="1"/>
  <c r="AI77" i="25" s="1"/>
  <c r="AJ77" i="25" s="1"/>
  <c r="AD217" i="25"/>
  <c r="AE217" i="25" s="1"/>
  <c r="AF217" i="25" s="1"/>
  <c r="AG217" i="25" s="1"/>
  <c r="AH217" i="25" s="1"/>
  <c r="AI217" i="25" s="1"/>
  <c r="AJ217" i="25" s="1"/>
  <c r="AD97" i="25"/>
  <c r="AE97" i="25" s="1"/>
  <c r="AF97" i="25" s="1"/>
  <c r="AG97" i="25" s="1"/>
  <c r="AH97" i="25" s="1"/>
  <c r="AI97" i="25" s="1"/>
  <c r="AJ97" i="25" s="1"/>
  <c r="AD62" i="25"/>
  <c r="AE62" i="25" s="1"/>
  <c r="AF62" i="25" s="1"/>
  <c r="AG62" i="25" s="1"/>
  <c r="AH62" i="25" s="1"/>
  <c r="AI62" i="25" s="1"/>
  <c r="AJ62" i="25" s="1"/>
  <c r="AD157" i="25"/>
  <c r="AE157" i="25" s="1"/>
  <c r="AF157" i="25" s="1"/>
  <c r="AG157" i="25" s="1"/>
  <c r="AH157" i="25" s="1"/>
  <c r="AI157" i="25" s="1"/>
  <c r="AJ157" i="25" s="1"/>
  <c r="AD242" i="25"/>
  <c r="AE242" i="25" s="1"/>
  <c r="AF242" i="25" s="1"/>
  <c r="AG242" i="25" s="1"/>
  <c r="AH242" i="25" s="1"/>
  <c r="AI242" i="25" s="1"/>
  <c r="AJ242" i="25" s="1"/>
  <c r="P48" i="25"/>
  <c r="AD172" i="25"/>
  <c r="AE172" i="25" s="1"/>
  <c r="AF172" i="25" s="1"/>
  <c r="AG172" i="25" s="1"/>
  <c r="AH172" i="25" s="1"/>
  <c r="AI172" i="25" s="1"/>
  <c r="AJ172" i="25" s="1"/>
  <c r="AD192" i="25"/>
  <c r="AE192" i="25" s="1"/>
  <c r="AF192" i="25" s="1"/>
  <c r="AG192" i="25" s="1"/>
  <c r="AH192" i="25" s="1"/>
  <c r="AI192" i="25" s="1"/>
  <c r="AJ192" i="25" s="1"/>
  <c r="AD277" i="25"/>
  <c r="AE277" i="25" s="1"/>
  <c r="AF277" i="25" s="1"/>
  <c r="AG277" i="25" s="1"/>
  <c r="AH277" i="25" s="1"/>
  <c r="AI277" i="25" s="1"/>
  <c r="AJ277" i="25" s="1"/>
  <c r="AD287" i="25"/>
  <c r="AE287" i="25" s="1"/>
  <c r="AF287" i="25" s="1"/>
  <c r="AG287" i="25" s="1"/>
  <c r="AH287" i="25" s="1"/>
  <c r="AI287" i="25" s="1"/>
  <c r="AJ287" i="25" s="1"/>
  <c r="AD112" i="25"/>
  <c r="AE112" i="25" s="1"/>
  <c r="AF112" i="25" s="1"/>
  <c r="AG112" i="25" s="1"/>
  <c r="AH112" i="25" s="1"/>
  <c r="AI112" i="25" s="1"/>
  <c r="AJ112" i="25" s="1"/>
  <c r="AD142" i="25"/>
  <c r="AE142" i="25" s="1"/>
  <c r="AF142" i="25" s="1"/>
  <c r="AG142" i="25" s="1"/>
  <c r="AH142" i="25" s="1"/>
  <c r="AI142" i="25" s="1"/>
  <c r="AJ142" i="25" s="1"/>
  <c r="AD147" i="25"/>
  <c r="AE147" i="25" s="1"/>
  <c r="AF147" i="25" s="1"/>
  <c r="AG147" i="25" s="1"/>
  <c r="AH147" i="25" s="1"/>
  <c r="AI147" i="25" s="1"/>
  <c r="AJ147" i="25" s="1"/>
  <c r="AD207" i="25"/>
  <c r="AE207" i="25" s="1"/>
  <c r="AF207" i="25" s="1"/>
  <c r="AG207" i="25" s="1"/>
  <c r="AH207" i="25" s="1"/>
  <c r="AI207" i="25" s="1"/>
  <c r="AJ207" i="25" s="1"/>
  <c r="AD167" i="25"/>
  <c r="AE167" i="25" s="1"/>
  <c r="AF167" i="25" s="1"/>
  <c r="AG167" i="25" s="1"/>
  <c r="AH167" i="25" s="1"/>
  <c r="AI167" i="25" s="1"/>
  <c r="AJ167" i="25" s="1"/>
  <c r="AD252" i="25"/>
  <c r="AE252" i="25" s="1"/>
  <c r="AF252" i="25" s="1"/>
  <c r="AG252" i="25" s="1"/>
  <c r="AH252" i="25" s="1"/>
  <c r="AI252" i="25" s="1"/>
  <c r="AJ252" i="25" s="1"/>
  <c r="BK476" i="25"/>
  <c r="BK494" i="25" s="1"/>
  <c r="BE341" i="25" a="1"/>
  <c r="BE341" i="25" s="1"/>
  <c r="AS356" i="25" s="1"/>
  <c r="AK341" i="25" a="1"/>
  <c r="AK341" i="25" s="1"/>
  <c r="Y356" i="25" s="1"/>
  <c r="BO341" i="25" a="1"/>
  <c r="BO341" i="25" s="1"/>
  <c r="BC356" i="25" s="1"/>
  <c r="BW341" i="25" a="1"/>
  <c r="BW341" i="25" s="1"/>
  <c r="BK356" i="25" s="1"/>
  <c r="AG476" i="25"/>
  <c r="AG494" i="25" s="1"/>
  <c r="AZ341" i="25" a="1"/>
  <c r="AZ341" i="25" s="1"/>
  <c r="AN341" i="25" a="1"/>
  <c r="AN341" i="25" s="1"/>
  <c r="AB356" i="25" s="1"/>
  <c r="BV476" i="25"/>
  <c r="BV494" i="25" s="1"/>
  <c r="BW476" i="25"/>
  <c r="BW494" i="25" s="1"/>
  <c r="BB476" i="25"/>
  <c r="BB494" i="25" s="1"/>
  <c r="AX476" i="25"/>
  <c r="AX494" i="25" s="1"/>
  <c r="BO476" i="25"/>
  <c r="BO494" i="25" s="1"/>
  <c r="BD476" i="25"/>
  <c r="BD494" i="25" s="1"/>
  <c r="P419" i="25" a="1"/>
  <c r="P419" i="25" s="1"/>
  <c r="X428" i="25" s="1" a="1"/>
  <c r="X428" i="25" s="1"/>
  <c r="I54" i="25" s="1" a="1"/>
  <c r="I54" i="25" s="1"/>
  <c r="Y397" i="25"/>
  <c r="X444" i="25"/>
  <c r="X462" i="25" s="1"/>
  <c r="BM476" i="25"/>
  <c r="BM494" i="25" s="1"/>
  <c r="AW476" i="25"/>
  <c r="AW494" i="25" s="1"/>
  <c r="BN341" i="25" a="1"/>
  <c r="BN341" i="25" s="1"/>
  <c r="BB356" i="25" s="1"/>
  <c r="BI341" i="25" a="1"/>
  <c r="BI341" i="25" s="1"/>
  <c r="BI477" i="25" s="1"/>
  <c r="BI495" i="25" s="1"/>
  <c r="AT341" i="25" a="1"/>
  <c r="AT341" i="25" s="1"/>
  <c r="AP341" i="25" a="1"/>
  <c r="AP341" i="25" s="1"/>
  <c r="AD356" i="25" s="1"/>
  <c r="AM476" i="25"/>
  <c r="AM494" i="25" s="1"/>
  <c r="AC476" i="25"/>
  <c r="AC494" i="25" s="1"/>
  <c r="BE476" i="25"/>
  <c r="BE494" i="25" s="1"/>
  <c r="AX341" i="25" a="1"/>
  <c r="AX341" i="25" s="1"/>
  <c r="AL356" i="25" s="1"/>
  <c r="BH341" i="25" a="1"/>
  <c r="BH341" i="25" s="1"/>
  <c r="AV356" i="25" s="1"/>
  <c r="AS341" i="25" a="1"/>
  <c r="AS341" i="25" s="1"/>
  <c r="AS376" i="25" s="1"/>
  <c r="AL341" i="25" a="1"/>
  <c r="AL341" i="25" s="1"/>
  <c r="Z356" i="25" s="1"/>
  <c r="AS476" i="25"/>
  <c r="AS494" i="25" s="1"/>
  <c r="BJ476" i="25"/>
  <c r="BJ494" i="25" s="1"/>
  <c r="AV476" i="25"/>
  <c r="AV494" i="25" s="1"/>
  <c r="AZ476" i="25"/>
  <c r="AZ494" i="25" s="1"/>
  <c r="BQ476" i="25"/>
  <c r="BQ494" i="25" s="1"/>
  <c r="BS476" i="25"/>
  <c r="BS494" i="25" s="1"/>
  <c r="AP476" i="25"/>
  <c r="AP494" i="25" s="1"/>
  <c r="BP341" i="25" a="1"/>
  <c r="BP341" i="25" s="1"/>
  <c r="BD356" i="25" s="1"/>
  <c r="BA341" i="25" a="1"/>
  <c r="BA341" i="25" s="1"/>
  <c r="AO356" i="25" s="1"/>
  <c r="BC341" i="25" a="1"/>
  <c r="BC341" i="25" s="1"/>
  <c r="BC376" i="25" s="1"/>
  <c r="BB341" i="25" a="1"/>
  <c r="BB341" i="25" s="1"/>
  <c r="AG341" i="25" a="1"/>
  <c r="AG341" i="25" s="1"/>
  <c r="U356" i="25" s="1"/>
  <c r="AQ476" i="25"/>
  <c r="AQ494" i="25" s="1"/>
  <c r="BC476" i="25"/>
  <c r="BC494" i="25" s="1"/>
  <c r="AU476" i="25"/>
  <c r="AU494" i="25" s="1"/>
  <c r="BL476" i="25"/>
  <c r="BL494" i="25" s="1"/>
  <c r="BC398" i="25"/>
  <c r="BC445" i="25" s="1"/>
  <c r="BC463" i="25" s="1"/>
  <c r="BB445" i="25"/>
  <c r="BB463" i="25" s="1"/>
  <c r="AT421" i="25" a="1"/>
  <c r="AT421" i="25" s="1"/>
  <c r="BB430" i="25" s="1" a="1"/>
  <c r="BB430" i="25" s="1"/>
  <c r="BN445" i="25"/>
  <c r="BN463" i="25" s="1"/>
  <c r="BO398" i="25"/>
  <c r="BM445" i="25"/>
  <c r="BM463" i="25" s="1"/>
  <c r="BM399" i="25"/>
  <c r="AK38" i="25"/>
  <c r="Z444" i="25"/>
  <c r="Z462" i="25" s="1"/>
  <c r="BF376" i="25"/>
  <c r="AI376" i="25"/>
  <c r="Z428" i="25" a="1"/>
  <c r="Z428" i="25" s="1"/>
  <c r="I64" i="25" s="1" a="1"/>
  <c r="I64" i="25" s="1"/>
  <c r="AA397" i="25"/>
  <c r="S419" i="25" s="1" a="1"/>
  <c r="S419" i="25" s="1"/>
  <c r="T437" i="25"/>
  <c r="B124" i="25" a="1"/>
  <c r="B124" i="25" s="1"/>
  <c r="I124" i="25" a="1"/>
  <c r="I124" i="25" s="1"/>
  <c r="I13" i="25"/>
  <c r="I9" i="25"/>
  <c r="I11" i="25"/>
  <c r="J11" i="25" s="1"/>
  <c r="K11" i="25" s="1"/>
  <c r="L11" i="25" s="1"/>
  <c r="M11" i="25" s="1"/>
  <c r="N11" i="25" s="1"/>
  <c r="O11" i="25" s="1"/>
  <c r="E106" i="23"/>
  <c r="J153" i="23"/>
  <c r="M105" i="23"/>
  <c r="E52" i="21"/>
  <c r="AK267" i="25" a="1"/>
  <c r="AK147" i="25" a="1"/>
  <c r="AK302" i="25" a="1"/>
  <c r="AK277" i="25" a="1"/>
  <c r="AK82" i="25" a="1"/>
  <c r="AK162" i="25" a="1"/>
  <c r="AK237" i="25" a="1"/>
  <c r="AK297" i="25" a="1"/>
  <c r="AK137" i="25" a="1"/>
  <c r="AK227" i="25" a="1"/>
  <c r="AK232" i="25" a="1"/>
  <c r="AK77" i="25" a="1"/>
  <c r="AK242" i="25" a="1"/>
  <c r="AK47" i="25" a="1"/>
  <c r="AK167" i="25" a="1"/>
  <c r="AK307" i="25" a="1"/>
  <c r="AK282" i="25" a="1"/>
  <c r="AK142" i="25" a="1"/>
  <c r="AK52" i="25" a="1"/>
  <c r="AK252" i="25" a="1"/>
  <c r="AK247" i="25" a="1"/>
  <c r="AK287" i="25" a="1"/>
  <c r="AK292" i="25" a="1"/>
  <c r="AK257" i="25" a="1"/>
  <c r="AK187" i="25" a="1"/>
  <c r="AK67" i="25" a="1"/>
  <c r="AK177" i="25" a="1"/>
  <c r="AK87" i="25" a="1"/>
  <c r="AK192" i="25" a="1"/>
  <c r="AK72" i="25" a="1"/>
  <c r="AK212" i="25" a="1"/>
  <c r="AK172" i="25" a="1"/>
  <c r="AK152" i="25" a="1"/>
  <c r="AK97" i="25" a="1"/>
  <c r="AK262" i="25" a="1"/>
  <c r="AK202" i="25" a="1"/>
  <c r="AK182" i="25" a="1"/>
  <c r="AK127" i="25" a="1"/>
  <c r="AK57" i="25" a="1"/>
  <c r="AK62" i="25" a="1"/>
  <c r="AK92" i="25" a="1"/>
  <c r="AK197" i="25" a="1"/>
  <c r="AK207" i="25" a="1"/>
  <c r="AK222" i="25" a="1"/>
  <c r="AK117" i="25" a="1"/>
  <c r="AK112" i="25" a="1"/>
  <c r="AK42" i="25" a="1"/>
  <c r="AK157" i="25" a="1"/>
  <c r="AK107" i="25" a="1"/>
  <c r="AK217" i="25" a="1"/>
  <c r="AK102" i="25" a="1"/>
  <c r="AK122" i="25" a="1"/>
  <c r="AK132" i="25" a="1"/>
  <c r="AK272" i="25" a="1"/>
  <c r="BQ376" i="25" l="1"/>
  <c r="Y477" i="25"/>
  <c r="Y495" i="25" s="1"/>
  <c r="BF420" i="25" a="1"/>
  <c r="BF420" i="25" s="1"/>
  <c r="BN429" i="25" s="1" a="1"/>
  <c r="BN429" i="25" s="1"/>
  <c r="BU376" i="25"/>
  <c r="AM376" i="25"/>
  <c r="BS376" i="25"/>
  <c r="BM376" i="25"/>
  <c r="AA376" i="25"/>
  <c r="BB401" i="25"/>
  <c r="BB448" i="25" s="1"/>
  <c r="BB466" i="25" s="1"/>
  <c r="AK376" i="25"/>
  <c r="W398" i="25"/>
  <c r="W399" i="25" s="1"/>
  <c r="W446" i="25" s="1"/>
  <c r="W464" i="25" s="1"/>
  <c r="V445" i="25"/>
  <c r="V463" i="25" s="1"/>
  <c r="BN376" i="25"/>
  <c r="S356" i="25"/>
  <c r="AK57" i="25"/>
  <c r="AL57" i="25" s="1"/>
  <c r="AM57" i="25" s="1"/>
  <c r="AN57" i="25" s="1"/>
  <c r="AO57" i="25" s="1"/>
  <c r="AP57" i="25" s="1"/>
  <c r="AQ57" i="25" s="1"/>
  <c r="M356" i="25"/>
  <c r="L356" i="25"/>
  <c r="AD376" i="25"/>
  <c r="BG376" i="25"/>
  <c r="AU376" i="25"/>
  <c r="AY376" i="25"/>
  <c r="AJ376" i="25"/>
  <c r="W477" i="25"/>
  <c r="W495" i="25" s="1"/>
  <c r="AB376" i="25"/>
  <c r="T356" i="25"/>
  <c r="BV376" i="25"/>
  <c r="BJ376" i="25"/>
  <c r="BL376" i="25"/>
  <c r="AK47" i="25"/>
  <c r="AL47" i="25" s="1"/>
  <c r="AM47" i="25" s="1"/>
  <c r="AN47" i="25" s="1"/>
  <c r="AO47" i="25" s="1"/>
  <c r="AP47" i="25" s="1"/>
  <c r="AQ47" i="25" s="1"/>
  <c r="BI376" i="25"/>
  <c r="W376" i="25"/>
  <c r="BT376" i="25"/>
  <c r="BA376" i="25"/>
  <c r="AK52" i="25"/>
  <c r="AL52" i="25" s="1"/>
  <c r="AM52" i="25" s="1"/>
  <c r="AN52" i="25" s="1"/>
  <c r="AO52" i="25" s="1"/>
  <c r="AP52" i="25" s="1"/>
  <c r="AQ52" i="25" s="1"/>
  <c r="X477" i="25"/>
  <c r="X495" i="25" s="1"/>
  <c r="AK42" i="25"/>
  <c r="AL42" i="25" s="1"/>
  <c r="AM42" i="25" s="1"/>
  <c r="AN42" i="25" s="1"/>
  <c r="AO42" i="25" s="1"/>
  <c r="AP42" i="25" s="1"/>
  <c r="AQ42" i="25" s="1"/>
  <c r="V477" i="25"/>
  <c r="V495" i="25" s="1"/>
  <c r="J356" i="25"/>
  <c r="AC477" i="25"/>
  <c r="AC495" i="25" s="1"/>
  <c r="BW376" i="25"/>
  <c r="BW385" i="25" s="1" a="1"/>
  <c r="BW385" i="25" s="1"/>
  <c r="AX376" i="25"/>
  <c r="BE376" i="25"/>
  <c r="AQ376" i="25"/>
  <c r="BF356" i="25"/>
  <c r="AH376" i="25"/>
  <c r="AR376" i="25"/>
  <c r="AW376" i="25"/>
  <c r="BD376" i="25"/>
  <c r="N356" i="25"/>
  <c r="Z376" i="25"/>
  <c r="BP376" i="25"/>
  <c r="AL376" i="25"/>
  <c r="BK376" i="25"/>
  <c r="AK82" i="25"/>
  <c r="AL82" i="25" s="1"/>
  <c r="AM82" i="25" s="1"/>
  <c r="AN82" i="25" s="1"/>
  <c r="AO82" i="25" s="1"/>
  <c r="AP82" i="25" s="1"/>
  <c r="AQ82" i="25" s="1"/>
  <c r="AD477" i="25"/>
  <c r="AD495" i="25" s="1"/>
  <c r="BQ477" i="25"/>
  <c r="BQ495" i="25" s="1"/>
  <c r="AK77" i="25"/>
  <c r="AL77" i="25" s="1"/>
  <c r="AM77" i="25" s="1"/>
  <c r="AN77" i="25" s="1"/>
  <c r="AO77" i="25" s="1"/>
  <c r="AP77" i="25" s="1"/>
  <c r="AQ77" i="25" s="1"/>
  <c r="Q356" i="25"/>
  <c r="AK107" i="25"/>
  <c r="AL107" i="25" s="1"/>
  <c r="AM107" i="25" s="1"/>
  <c r="AN107" i="25" s="1"/>
  <c r="AO107" i="25" s="1"/>
  <c r="AP107" i="25" s="1"/>
  <c r="AQ107" i="25" s="1"/>
  <c r="AI477" i="25"/>
  <c r="AI495" i="25" s="1"/>
  <c r="AK222" i="25"/>
  <c r="AL222" i="25" s="1"/>
  <c r="AM222" i="25" s="1"/>
  <c r="AN222" i="25" s="1"/>
  <c r="AO222" i="25" s="1"/>
  <c r="AP222" i="25" s="1"/>
  <c r="AQ222" i="25" s="1"/>
  <c r="AK297" i="25"/>
  <c r="AL297" i="25" s="1"/>
  <c r="AM297" i="25" s="1"/>
  <c r="AN297" i="25" s="1"/>
  <c r="AO297" i="25" s="1"/>
  <c r="AP297" i="25" s="1"/>
  <c r="AQ297" i="25" s="1"/>
  <c r="BF477" i="25"/>
  <c r="BF495" i="25" s="1"/>
  <c r="BU477" i="25"/>
  <c r="BU495" i="25" s="1"/>
  <c r="AK227" i="25"/>
  <c r="AL227" i="25" s="1"/>
  <c r="AM227" i="25" s="1"/>
  <c r="AN227" i="25" s="1"/>
  <c r="AO227" i="25" s="1"/>
  <c r="AP227" i="25" s="1"/>
  <c r="AQ227" i="25" s="1"/>
  <c r="AK152" i="25"/>
  <c r="AL152" i="25" s="1"/>
  <c r="AM152" i="25" s="1"/>
  <c r="AN152" i="25" s="1"/>
  <c r="AO152" i="25" s="1"/>
  <c r="AP152" i="25" s="1"/>
  <c r="AQ152" i="25" s="1"/>
  <c r="BG477" i="25"/>
  <c r="BG495" i="25" s="1"/>
  <c r="AR477" i="25"/>
  <c r="AR495" i="25" s="1"/>
  <c r="AK257" i="25"/>
  <c r="AL257" i="25" s="1"/>
  <c r="AM257" i="25" s="1"/>
  <c r="AN257" i="25" s="1"/>
  <c r="AO257" i="25" s="1"/>
  <c r="AP257" i="25" s="1"/>
  <c r="AQ257" i="25" s="1"/>
  <c r="AK167" i="25"/>
  <c r="AL167" i="25" s="1"/>
  <c r="AM167" i="25" s="1"/>
  <c r="AN167" i="25" s="1"/>
  <c r="AO167" i="25" s="1"/>
  <c r="AP167" i="25" s="1"/>
  <c r="AQ167" i="25" s="1"/>
  <c r="AW356" i="25"/>
  <c r="AO477" i="25"/>
  <c r="AO495" i="25" s="1"/>
  <c r="BM477" i="25"/>
  <c r="BM495" i="25" s="1"/>
  <c r="AU477" i="25"/>
  <c r="AU495" i="25" s="1"/>
  <c r="AK292" i="25"/>
  <c r="AL292" i="25" s="1"/>
  <c r="AM292" i="25" s="1"/>
  <c r="AN292" i="25" s="1"/>
  <c r="AO292" i="25" s="1"/>
  <c r="AP292" i="25" s="1"/>
  <c r="AQ292" i="25" s="1"/>
  <c r="BT477" i="25"/>
  <c r="BT495" i="25" s="1"/>
  <c r="AK177" i="25"/>
  <c r="AL177" i="25" s="1"/>
  <c r="AM177" i="25" s="1"/>
  <c r="AN177" i="25" s="1"/>
  <c r="AO177" i="25" s="1"/>
  <c r="AP177" i="25" s="1"/>
  <c r="AQ177" i="25" s="1"/>
  <c r="V356" i="25"/>
  <c r="AW477" i="25"/>
  <c r="AW495" i="25" s="1"/>
  <c r="AK137" i="25"/>
  <c r="AL137" i="25" s="1"/>
  <c r="AM137" i="25" s="1"/>
  <c r="AN137" i="25" s="1"/>
  <c r="AO137" i="25" s="1"/>
  <c r="AP137" i="25" s="1"/>
  <c r="AQ137" i="25" s="1"/>
  <c r="AO376" i="25"/>
  <c r="AK277" i="25"/>
  <c r="AL277" i="25" s="1"/>
  <c r="AM277" i="25" s="1"/>
  <c r="AN277" i="25" s="1"/>
  <c r="AO277" i="25" s="1"/>
  <c r="AP277" i="25" s="1"/>
  <c r="AQ277" i="25" s="1"/>
  <c r="AK67" i="25"/>
  <c r="AL67" i="25" s="1"/>
  <c r="AM67" i="25" s="1"/>
  <c r="AN67" i="25" s="1"/>
  <c r="AO67" i="25" s="1"/>
  <c r="AP67" i="25" s="1"/>
  <c r="AQ67" i="25" s="1"/>
  <c r="AK302" i="25"/>
  <c r="AL302" i="25" s="1"/>
  <c r="AM302" i="25" s="1"/>
  <c r="AN302" i="25" s="1"/>
  <c r="AO302" i="25" s="1"/>
  <c r="AP302" i="25" s="1"/>
  <c r="AQ302" i="25" s="1"/>
  <c r="AA477" i="25"/>
  <c r="AA495" i="25" s="1"/>
  <c r="BV477" i="25"/>
  <c r="BV495" i="25" s="1"/>
  <c r="AK287" i="25"/>
  <c r="AL287" i="25" s="1"/>
  <c r="AM287" i="25" s="1"/>
  <c r="AN287" i="25" s="1"/>
  <c r="AO287" i="25" s="1"/>
  <c r="AP287" i="25" s="1"/>
  <c r="AQ287" i="25" s="1"/>
  <c r="AK172" i="25"/>
  <c r="AL172" i="25" s="1"/>
  <c r="AM172" i="25" s="1"/>
  <c r="AN172" i="25" s="1"/>
  <c r="AO172" i="25" s="1"/>
  <c r="AP172" i="25" s="1"/>
  <c r="AQ172" i="25" s="1"/>
  <c r="AK112" i="25"/>
  <c r="AL112" i="25" s="1"/>
  <c r="AM112" i="25" s="1"/>
  <c r="AN112" i="25" s="1"/>
  <c r="AO112" i="25" s="1"/>
  <c r="AP112" i="25" s="1"/>
  <c r="AQ112" i="25" s="1"/>
  <c r="AK242" i="25"/>
  <c r="AL242" i="25" s="1"/>
  <c r="AM242" i="25" s="1"/>
  <c r="AN242" i="25" s="1"/>
  <c r="AO242" i="25" s="1"/>
  <c r="AP242" i="25" s="1"/>
  <c r="AQ242" i="25" s="1"/>
  <c r="AK247" i="25"/>
  <c r="AL247" i="25" s="1"/>
  <c r="AM247" i="25" s="1"/>
  <c r="AN247" i="25" s="1"/>
  <c r="AO247" i="25" s="1"/>
  <c r="AP247" i="25" s="1"/>
  <c r="AQ247" i="25" s="1"/>
  <c r="BS477" i="25"/>
  <c r="BS495" i="25" s="1"/>
  <c r="AV477" i="25"/>
  <c r="AV495" i="25" s="1"/>
  <c r="BN477" i="25"/>
  <c r="BN495" i="25" s="1"/>
  <c r="AJ356" i="25"/>
  <c r="AJ477" i="25"/>
  <c r="AJ495" i="25" s="1"/>
  <c r="BJ477" i="25"/>
  <c r="BJ495" i="25" s="1"/>
  <c r="BK477" i="25"/>
  <c r="BK495" i="25" s="1"/>
  <c r="AT423" i="25"/>
  <c r="BB432" i="25" s="1" a="1"/>
  <c r="BB432" i="25" s="1"/>
  <c r="AK87" i="25"/>
  <c r="AL87" i="25" s="1"/>
  <c r="AM87" i="25" s="1"/>
  <c r="AN87" i="25" s="1"/>
  <c r="AO87" i="25" s="1"/>
  <c r="AP87" i="25" s="1"/>
  <c r="AQ87" i="25" s="1"/>
  <c r="AK92" i="25"/>
  <c r="AL92" i="25" s="1"/>
  <c r="AM92" i="25" s="1"/>
  <c r="AN92" i="25" s="1"/>
  <c r="AO92" i="25" s="1"/>
  <c r="AP92" i="25" s="1"/>
  <c r="AQ92" i="25" s="1"/>
  <c r="AK127" i="25"/>
  <c r="AL127" i="25" s="1"/>
  <c r="AM127" i="25" s="1"/>
  <c r="AN127" i="25" s="1"/>
  <c r="AO127" i="25" s="1"/>
  <c r="AP127" i="25" s="1"/>
  <c r="AQ127" i="25" s="1"/>
  <c r="AK147" i="25"/>
  <c r="AL147" i="25" s="1"/>
  <c r="AM147" i="25" s="1"/>
  <c r="AN147" i="25" s="1"/>
  <c r="AO147" i="25" s="1"/>
  <c r="AP147" i="25" s="1"/>
  <c r="AQ147" i="25" s="1"/>
  <c r="AK252" i="25"/>
  <c r="AL252" i="25" s="1"/>
  <c r="AM252" i="25" s="1"/>
  <c r="AN252" i="25" s="1"/>
  <c r="AO252" i="25" s="1"/>
  <c r="AP252" i="25" s="1"/>
  <c r="AQ252" i="25" s="1"/>
  <c r="AK72" i="25"/>
  <c r="AL72" i="25" s="1"/>
  <c r="AM72" i="25" s="1"/>
  <c r="AN72" i="25" s="1"/>
  <c r="AO72" i="25" s="1"/>
  <c r="AP72" i="25" s="1"/>
  <c r="AQ72" i="25" s="1"/>
  <c r="AK62" i="25"/>
  <c r="AL62" i="25" s="1"/>
  <c r="AM62" i="25" s="1"/>
  <c r="AN62" i="25" s="1"/>
  <c r="AO62" i="25" s="1"/>
  <c r="AP62" i="25" s="1"/>
  <c r="AQ62" i="25" s="1"/>
  <c r="AE477" i="25"/>
  <c r="AE495" i="25" s="1"/>
  <c r="AF477" i="25"/>
  <c r="AF495" i="25" s="1"/>
  <c r="AM477" i="25"/>
  <c r="AM495" i="25" s="1"/>
  <c r="AE356" i="25"/>
  <c r="BL477" i="25"/>
  <c r="BL495" i="25" s="1"/>
  <c r="V399" i="25"/>
  <c r="N420" i="25" a="1"/>
  <c r="N420" i="25" s="1"/>
  <c r="V429" i="25" s="1" a="1"/>
  <c r="V429" i="25" s="1"/>
  <c r="P44" i="25" s="1" a="1"/>
  <c r="P44" i="25" s="1"/>
  <c r="AB477" i="25"/>
  <c r="AB495" i="25" s="1"/>
  <c r="Z477" i="25"/>
  <c r="Z495" i="25" s="1"/>
  <c r="AK187" i="25"/>
  <c r="AL187" i="25" s="1"/>
  <c r="AM187" i="25" s="1"/>
  <c r="AN187" i="25" s="1"/>
  <c r="AO187" i="25" s="1"/>
  <c r="AP187" i="25" s="1"/>
  <c r="AQ187" i="25" s="1"/>
  <c r="AK212" i="25"/>
  <c r="AL212" i="25" s="1"/>
  <c r="AM212" i="25" s="1"/>
  <c r="AN212" i="25" s="1"/>
  <c r="AO212" i="25" s="1"/>
  <c r="AP212" i="25" s="1"/>
  <c r="AQ212" i="25" s="1"/>
  <c r="AK282" i="25"/>
  <c r="AL282" i="25" s="1"/>
  <c r="AM282" i="25" s="1"/>
  <c r="AN282" i="25" s="1"/>
  <c r="AO282" i="25" s="1"/>
  <c r="AP282" i="25" s="1"/>
  <c r="AQ282" i="25" s="1"/>
  <c r="AK102" i="25"/>
  <c r="AL102" i="25" s="1"/>
  <c r="AM102" i="25" s="1"/>
  <c r="AN102" i="25" s="1"/>
  <c r="AO102" i="25" s="1"/>
  <c r="AP102" i="25" s="1"/>
  <c r="AQ102" i="25" s="1"/>
  <c r="AY477" i="25"/>
  <c r="AY495" i="25" s="1"/>
  <c r="BD477" i="25"/>
  <c r="BD495" i="25" s="1"/>
  <c r="BR477" i="25"/>
  <c r="BR495" i="25" s="1"/>
  <c r="AK272" i="25"/>
  <c r="AL272" i="25" s="1"/>
  <c r="AM272" i="25" s="1"/>
  <c r="AN272" i="25" s="1"/>
  <c r="AO272" i="25" s="1"/>
  <c r="AP272" i="25" s="1"/>
  <c r="AQ272" i="25" s="1"/>
  <c r="AK122" i="25"/>
  <c r="AL122" i="25" s="1"/>
  <c r="AM122" i="25" s="1"/>
  <c r="AN122" i="25" s="1"/>
  <c r="AO122" i="25" s="1"/>
  <c r="AP122" i="25" s="1"/>
  <c r="AQ122" i="25" s="1"/>
  <c r="AK142" i="25"/>
  <c r="AL142" i="25" s="1"/>
  <c r="AM142" i="25" s="1"/>
  <c r="AN142" i="25" s="1"/>
  <c r="AO142" i="25" s="1"/>
  <c r="AP142" i="25" s="1"/>
  <c r="AQ142" i="25" s="1"/>
  <c r="AK132" i="25"/>
  <c r="AL132" i="25" s="1"/>
  <c r="AM132" i="25" s="1"/>
  <c r="AN132" i="25" s="1"/>
  <c r="AO132" i="25" s="1"/>
  <c r="AP132" i="25" s="1"/>
  <c r="AQ132" i="25" s="1"/>
  <c r="AK162" i="25"/>
  <c r="AL162" i="25" s="1"/>
  <c r="AM162" i="25" s="1"/>
  <c r="AN162" i="25" s="1"/>
  <c r="AO162" i="25" s="1"/>
  <c r="AP162" i="25" s="1"/>
  <c r="AQ162" i="25" s="1"/>
  <c r="AK192" i="25"/>
  <c r="AL192" i="25" s="1"/>
  <c r="AM192" i="25" s="1"/>
  <c r="AN192" i="25" s="1"/>
  <c r="AO192" i="25" s="1"/>
  <c r="AP192" i="25" s="1"/>
  <c r="AQ192" i="25" s="1"/>
  <c r="AK157" i="25"/>
  <c r="AL157" i="25" s="1"/>
  <c r="AM157" i="25" s="1"/>
  <c r="AN157" i="25" s="1"/>
  <c r="AO157" i="25" s="1"/>
  <c r="AP157" i="25" s="1"/>
  <c r="AQ157" i="25" s="1"/>
  <c r="AK232" i="25"/>
  <c r="AL232" i="25" s="1"/>
  <c r="AM232" i="25" s="1"/>
  <c r="AN232" i="25" s="1"/>
  <c r="AO232" i="25" s="1"/>
  <c r="AP232" i="25" s="1"/>
  <c r="AQ232" i="25" s="1"/>
  <c r="AK97" i="25"/>
  <c r="AL97" i="25" s="1"/>
  <c r="AM97" i="25" s="1"/>
  <c r="AN97" i="25" s="1"/>
  <c r="AO97" i="25" s="1"/>
  <c r="AP97" i="25" s="1"/>
  <c r="AQ97" i="25" s="1"/>
  <c r="AK182" i="25"/>
  <c r="AL182" i="25" s="1"/>
  <c r="AM182" i="25" s="1"/>
  <c r="AN182" i="25" s="1"/>
  <c r="AO182" i="25" s="1"/>
  <c r="AP182" i="25" s="1"/>
  <c r="AQ182" i="25" s="1"/>
  <c r="AK237" i="25"/>
  <c r="AL237" i="25" s="1"/>
  <c r="AM237" i="25" s="1"/>
  <c r="AN237" i="25" s="1"/>
  <c r="AO237" i="25" s="1"/>
  <c r="AP237" i="25" s="1"/>
  <c r="AQ237" i="25" s="1"/>
  <c r="AK202" i="25"/>
  <c r="AL202" i="25" s="1"/>
  <c r="AM202" i="25" s="1"/>
  <c r="AN202" i="25" s="1"/>
  <c r="AO202" i="25" s="1"/>
  <c r="AP202" i="25" s="1"/>
  <c r="AQ202" i="25" s="1"/>
  <c r="AK262" i="25"/>
  <c r="AL262" i="25" s="1"/>
  <c r="AM262" i="25" s="1"/>
  <c r="AN262" i="25" s="1"/>
  <c r="AO262" i="25" s="1"/>
  <c r="AP262" i="25" s="1"/>
  <c r="AQ262" i="25" s="1"/>
  <c r="AK307" i="25"/>
  <c r="AL307" i="25" s="1"/>
  <c r="AM307" i="25" s="1"/>
  <c r="AN307" i="25" s="1"/>
  <c r="AO307" i="25" s="1"/>
  <c r="AP307" i="25" s="1"/>
  <c r="AQ307" i="25" s="1"/>
  <c r="AK207" i="25"/>
  <c r="AL207" i="25" s="1"/>
  <c r="AM207" i="25" s="1"/>
  <c r="AN207" i="25" s="1"/>
  <c r="AO207" i="25" s="1"/>
  <c r="AP207" i="25" s="1"/>
  <c r="AQ207" i="25" s="1"/>
  <c r="AK267" i="25"/>
  <c r="AL267" i="25" s="1"/>
  <c r="AM267" i="25" s="1"/>
  <c r="AN267" i="25" s="1"/>
  <c r="AO267" i="25" s="1"/>
  <c r="AP267" i="25" s="1"/>
  <c r="AQ267" i="25" s="1"/>
  <c r="AK117" i="25"/>
  <c r="AL117" i="25" s="1"/>
  <c r="AM117" i="25" s="1"/>
  <c r="AN117" i="25" s="1"/>
  <c r="AO117" i="25" s="1"/>
  <c r="AP117" i="25" s="1"/>
  <c r="AQ117" i="25" s="1"/>
  <c r="AK197" i="25"/>
  <c r="AL197" i="25" s="1"/>
  <c r="AM197" i="25" s="1"/>
  <c r="AN197" i="25" s="1"/>
  <c r="AO197" i="25" s="1"/>
  <c r="AP197" i="25" s="1"/>
  <c r="AQ197" i="25" s="1"/>
  <c r="AK217" i="25"/>
  <c r="AL217" i="25" s="1"/>
  <c r="AM217" i="25" s="1"/>
  <c r="AN217" i="25" s="1"/>
  <c r="AO217" i="25" s="1"/>
  <c r="AP217" i="25" s="1"/>
  <c r="AQ217" i="25" s="1"/>
  <c r="BO376" i="25"/>
  <c r="BP477" i="25"/>
  <c r="BP495" i="25" s="1"/>
  <c r="AL477" i="25"/>
  <c r="AL495" i="25" s="1"/>
  <c r="AP477" i="25"/>
  <c r="AP495" i="25" s="1"/>
  <c r="AP376" i="25"/>
  <c r="Q419" i="25" a="1"/>
  <c r="Q419" i="25" s="1"/>
  <c r="Y428" i="25" s="1" a="1"/>
  <c r="Y428" i="25" s="1"/>
  <c r="I59" i="25" s="1" a="1"/>
  <c r="I59" i="25" s="1"/>
  <c r="Y444" i="25"/>
  <c r="Y462" i="25" s="1"/>
  <c r="AN477" i="25"/>
  <c r="AN495" i="25" s="1"/>
  <c r="AN376" i="25"/>
  <c r="AT477" i="25"/>
  <c r="AT495" i="25" s="1"/>
  <c r="AT376" i="25"/>
  <c r="AH356" i="25"/>
  <c r="AZ477" i="25"/>
  <c r="AZ495" i="25" s="1"/>
  <c r="AN356" i="25"/>
  <c r="AZ376" i="25"/>
  <c r="AS477" i="25"/>
  <c r="AS495" i="25" s="1"/>
  <c r="BH477" i="25"/>
  <c r="BH495" i="25" s="1"/>
  <c r="AG356" i="25"/>
  <c r="AG477" i="25"/>
  <c r="AG495" i="25" s="1"/>
  <c r="AG376" i="25"/>
  <c r="AX477" i="25"/>
  <c r="AX495" i="25" s="1"/>
  <c r="BH376" i="25"/>
  <c r="BB477" i="25"/>
  <c r="BB495" i="25" s="1"/>
  <c r="AP356" i="25"/>
  <c r="BB376" i="25"/>
  <c r="BW477" i="25"/>
  <c r="BW495" i="25" s="1"/>
  <c r="BC477" i="25"/>
  <c r="BC495" i="25" s="1"/>
  <c r="AQ356" i="25"/>
  <c r="BO477" i="25"/>
  <c r="BO495" i="25" s="1"/>
  <c r="AK477" i="25"/>
  <c r="AK495" i="25" s="1"/>
  <c r="BA477" i="25"/>
  <c r="BA495" i="25" s="1"/>
  <c r="BE477" i="25"/>
  <c r="BE495" i="25" s="1"/>
  <c r="BN400" i="25"/>
  <c r="BN447" i="25" s="1"/>
  <c r="BN465" i="25" s="1"/>
  <c r="BF421" i="25" a="1"/>
  <c r="BF421" i="25" s="1"/>
  <c r="BN430" i="25" s="1" a="1"/>
  <c r="BN430" i="25" s="1"/>
  <c r="BC399" i="25"/>
  <c r="BC446" i="25" s="1"/>
  <c r="BC464" i="25" s="1"/>
  <c r="BD398" i="25"/>
  <c r="AU420" i="25" a="1"/>
  <c r="AU420" i="25" s="1"/>
  <c r="BC429" i="25" s="1" a="1"/>
  <c r="BC429" i="25" s="1"/>
  <c r="BO445" i="25"/>
  <c r="BO463" i="25" s="1"/>
  <c r="BP398" i="25"/>
  <c r="BG420" i="25" a="1"/>
  <c r="BG420" i="25" s="1"/>
  <c r="BO429" i="25" s="1" a="1"/>
  <c r="BO429" i="25" s="1"/>
  <c r="BO399" i="25"/>
  <c r="BO446" i="25" s="1"/>
  <c r="BO464" i="25" s="1"/>
  <c r="BM446" i="25"/>
  <c r="BM464" i="25" s="1"/>
  <c r="BE421" i="25" a="1"/>
  <c r="BE421" i="25" s="1"/>
  <c r="BM400" i="25"/>
  <c r="AA444" i="25"/>
  <c r="AA462" i="25" s="1"/>
  <c r="AA428" i="25" a="1"/>
  <c r="AA428" i="25" s="1"/>
  <c r="I69" i="25" s="1" a="1"/>
  <c r="I69" i="25" s="1"/>
  <c r="AB397" i="25"/>
  <c r="T419" i="25" s="1" a="1"/>
  <c r="T419" i="25" s="1"/>
  <c r="U437" i="25"/>
  <c r="B129" i="25" a="1"/>
  <c r="B129" i="25" s="1"/>
  <c r="I129" i="25" a="1"/>
  <c r="I129" i="25" s="1"/>
  <c r="AM154" i="23"/>
  <c r="P11" i="25"/>
  <c r="Q11" i="25" s="1"/>
  <c r="R11" i="25" s="1"/>
  <c r="S11" i="25" s="1"/>
  <c r="T11" i="25" s="1"/>
  <c r="U11" i="25" s="1"/>
  <c r="V11" i="25" s="1"/>
  <c r="P13" i="25"/>
  <c r="P9" i="25"/>
  <c r="M106" i="23"/>
  <c r="J154" i="23"/>
  <c r="C118" i="21"/>
  <c r="F128" i="21"/>
  <c r="E128" i="21"/>
  <c r="AK308" i="25" a="1"/>
  <c r="O420" i="25" l="1" a="1"/>
  <c r="O420" i="25" s="1"/>
  <c r="W429" i="25" s="1" a="1"/>
  <c r="W429" i="25" s="1"/>
  <c r="P49" i="25" s="1" a="1"/>
  <c r="P49" i="25" s="1"/>
  <c r="W445" i="25"/>
  <c r="W463" i="25" s="1"/>
  <c r="X398" i="25"/>
  <c r="X445" i="25" s="1"/>
  <c r="X463" i="25" s="1"/>
  <c r="BR385" i="25" a="1"/>
  <c r="BR385" i="25" s="1"/>
  <c r="BT385" i="25" a="1"/>
  <c r="BT385" i="25" s="1"/>
  <c r="BV385" i="25" a="1"/>
  <c r="BV385" i="25" s="1"/>
  <c r="BQ385" i="25" a="1"/>
  <c r="BQ385" i="25" s="1"/>
  <c r="AK308" i="25"/>
  <c r="BP385" i="25" a="1"/>
  <c r="BP385" i="25" s="1"/>
  <c r="BU385" i="25" a="1"/>
  <c r="BU385" i="25" s="1"/>
  <c r="BS385" i="25" a="1"/>
  <c r="BS385" i="25" s="1"/>
  <c r="BJ385" i="25" a="1"/>
  <c r="BJ385" i="25" s="1"/>
  <c r="BK385" i="25" a="1"/>
  <c r="BK385" i="25" s="1"/>
  <c r="BM385" i="25" a="1"/>
  <c r="BM385" i="25" s="1"/>
  <c r="BL385" i="25" a="1"/>
  <c r="BL385" i="25" s="1"/>
  <c r="BI385" i="25" a="1"/>
  <c r="BI385" i="25" s="1"/>
  <c r="W400" i="25"/>
  <c r="W447" i="25" s="1"/>
  <c r="W465" i="25" s="1"/>
  <c r="BN385" i="25" a="1"/>
  <c r="BN385" i="25" s="1"/>
  <c r="BO385" i="25" a="1"/>
  <c r="BO385" i="25" s="1"/>
  <c r="BN401" i="25"/>
  <c r="BN448" i="25" s="1"/>
  <c r="BN466" i="25" s="1"/>
  <c r="AY385" i="25" a="1"/>
  <c r="AY385" i="25" s="1"/>
  <c r="AZ385" i="25" a="1"/>
  <c r="AZ385" i="25" s="1"/>
  <c r="AA385" i="25" a="1"/>
  <c r="AA385" i="25" s="1"/>
  <c r="AW385" i="25" a="1"/>
  <c r="AW385" i="25" s="1"/>
  <c r="BF385" i="25" a="1"/>
  <c r="BF385" i="25" s="1"/>
  <c r="AO385" i="25" a="1"/>
  <c r="AO385" i="25" s="1"/>
  <c r="AI385" i="25" a="1"/>
  <c r="AI385" i="25" s="1"/>
  <c r="V446" i="25"/>
  <c r="V464" i="25" s="1"/>
  <c r="V400" i="25"/>
  <c r="N421" i="25" a="1"/>
  <c r="N421" i="25" s="1"/>
  <c r="BB385" i="25" a="1"/>
  <c r="BB385" i="25" s="1"/>
  <c r="AR385" i="25" a="1"/>
  <c r="AR385" i="25" s="1"/>
  <c r="AJ385" i="25" a="1"/>
  <c r="AJ385" i="25" s="1"/>
  <c r="AL385" i="25" a="1"/>
  <c r="AL385" i="25" s="1"/>
  <c r="AT385" i="25" a="1"/>
  <c r="AT385" i="25" s="1"/>
  <c r="AP385" i="25" a="1"/>
  <c r="AP385" i="25" s="1"/>
  <c r="AD385" i="25" a="1"/>
  <c r="AD385" i="25" s="1"/>
  <c r="AQ385" i="25" a="1"/>
  <c r="AQ385" i="25" s="1"/>
  <c r="I357" i="25" a="1"/>
  <c r="BD385" i="25" a="1"/>
  <c r="BD385" i="25" s="1"/>
  <c r="W385" i="25" a="1"/>
  <c r="W385" i="25" s="1"/>
  <c r="AF385" i="25" a="1"/>
  <c r="AF385" i="25" s="1"/>
  <c r="AH385" i="25" a="1"/>
  <c r="AH385" i="25" s="1"/>
  <c r="BA385" i="25" a="1"/>
  <c r="BA385" i="25" s="1"/>
  <c r="BH385" i="25" a="1"/>
  <c r="BH385" i="25" s="1"/>
  <c r="AN385" i="25" a="1"/>
  <c r="AN385" i="25" s="1"/>
  <c r="BE385" i="25" a="1"/>
  <c r="BE385" i="25" s="1"/>
  <c r="AS385" i="25" a="1"/>
  <c r="AS385" i="25" s="1"/>
  <c r="AV385" i="25" a="1"/>
  <c r="AV385" i="25" s="1"/>
  <c r="AC385" i="25" a="1"/>
  <c r="AC385" i="25" s="1"/>
  <c r="AX385" i="25" a="1"/>
  <c r="AX385" i="25" s="1"/>
  <c r="AG385" i="25" a="1"/>
  <c r="AG385" i="25" s="1"/>
  <c r="V385" i="25" a="1"/>
  <c r="V385" i="25" s="1"/>
  <c r="Y385" i="25" a="1"/>
  <c r="Y385" i="25" s="1"/>
  <c r="AK385" i="25" a="1"/>
  <c r="AK385" i="25" s="1"/>
  <c r="Z385" i="25" a="1"/>
  <c r="Z385" i="25" s="1"/>
  <c r="BG385" i="25" a="1"/>
  <c r="BG385" i="25" s="1"/>
  <c r="X385" i="25" a="1"/>
  <c r="X385" i="25" s="1"/>
  <c r="AU385" i="25" a="1"/>
  <c r="AU385" i="25" s="1"/>
  <c r="AM385" i="25" a="1"/>
  <c r="AM385" i="25" s="1"/>
  <c r="AE385" i="25" a="1"/>
  <c r="AE385" i="25" s="1"/>
  <c r="AB385" i="25" a="1"/>
  <c r="AB385" i="25" s="1"/>
  <c r="BC385" i="25" a="1"/>
  <c r="BC385" i="25" s="1"/>
  <c r="BF423" i="25"/>
  <c r="BN432" i="25" s="1" a="1"/>
  <c r="BN432" i="25" s="1"/>
  <c r="BF422" i="25"/>
  <c r="BN431" i="25" s="1" a="1"/>
  <c r="BN431" i="25" s="1"/>
  <c r="BD445" i="25"/>
  <c r="BD463" i="25" s="1"/>
  <c r="AV420" i="25" a="1"/>
  <c r="AV420" i="25" s="1"/>
  <c r="BD429" i="25" s="1" a="1"/>
  <c r="BD429" i="25" s="1"/>
  <c r="BD399" i="25"/>
  <c r="BD446" i="25" s="1"/>
  <c r="BD464" i="25" s="1"/>
  <c r="BE398" i="25"/>
  <c r="BE445" i="25" s="1"/>
  <c r="BE463" i="25" s="1"/>
  <c r="BC400" i="25"/>
  <c r="AU421" i="25" a="1"/>
  <c r="AU421" i="25" s="1"/>
  <c r="BO400" i="25"/>
  <c r="BG421" i="25" a="1"/>
  <c r="BG421" i="25" s="1"/>
  <c r="BP445" i="25"/>
  <c r="BP463" i="25" s="1"/>
  <c r="BP399" i="25"/>
  <c r="BP446" i="25" s="1"/>
  <c r="BP464" i="25" s="1"/>
  <c r="BQ398" i="25"/>
  <c r="BH420" i="25" a="1"/>
  <c r="BH420" i="25" s="1"/>
  <c r="BP429" i="25" s="1" a="1"/>
  <c r="BP429" i="25" s="1"/>
  <c r="BM447" i="25"/>
  <c r="BM465" i="25" s="1"/>
  <c r="BM401" i="25"/>
  <c r="BM448" i="25" s="1"/>
  <c r="BM466" i="25" s="1"/>
  <c r="BM430" i="25" a="1"/>
  <c r="BM430" i="25" s="1"/>
  <c r="BE423" i="25"/>
  <c r="BM432" i="25" s="1" a="1"/>
  <c r="BM432" i="25" s="1"/>
  <c r="AB444" i="25"/>
  <c r="AB462" i="25" s="1"/>
  <c r="M419" i="25" a="1"/>
  <c r="M419" i="25" s="1"/>
  <c r="U428" i="25" s="1" a="1"/>
  <c r="U428" i="25" s="1"/>
  <c r="I39" i="25" s="1" a="1"/>
  <c r="I39" i="25" s="1"/>
  <c r="AB428" i="25" a="1"/>
  <c r="AB428" i="25" s="1"/>
  <c r="I74" i="25" s="1" a="1"/>
  <c r="I74" i="25" s="1"/>
  <c r="AC397" i="25"/>
  <c r="U419" i="25" s="1" a="1"/>
  <c r="U419" i="25" s="1"/>
  <c r="BE420" i="25" a="1"/>
  <c r="BE420" i="25" s="1"/>
  <c r="BE422" i="25" s="1"/>
  <c r="M420" i="25" a="1"/>
  <c r="M420" i="25" s="1"/>
  <c r="AT420" i="25" a="1"/>
  <c r="AT420" i="25" s="1"/>
  <c r="AT422" i="25" s="1"/>
  <c r="V437" i="25"/>
  <c r="B134" i="25" a="1"/>
  <c r="B134" i="25" s="1"/>
  <c r="I134" i="25" a="1"/>
  <c r="I134" i="25" s="1"/>
  <c r="F130" i="21"/>
  <c r="E130" i="21"/>
  <c r="F129" i="21"/>
  <c r="E129" i="21"/>
  <c r="AK283" i="25" a="1"/>
  <c r="AK133" i="25" a="1"/>
  <c r="AK108" i="25" a="1"/>
  <c r="AK228" i="25" a="1"/>
  <c r="AK218" i="25" a="1"/>
  <c r="AK198" i="25" a="1"/>
  <c r="AK203" i="25" a="1"/>
  <c r="AK238" i="25" a="1"/>
  <c r="AK213" i="25" a="1"/>
  <c r="AK88" i="25" a="1"/>
  <c r="AK268" i="25" a="1"/>
  <c r="AK98" i="25" a="1"/>
  <c r="AK208" i="25" a="1"/>
  <c r="AK143" i="25" a="1"/>
  <c r="AK78" i="25" a="1"/>
  <c r="AK48" i="25" a="1"/>
  <c r="AK148" i="25" a="1"/>
  <c r="AK248" i="25" a="1"/>
  <c r="AK118" i="25" a="1"/>
  <c r="AK193" i="25" a="1"/>
  <c r="AK263" i="25" a="1"/>
  <c r="AK178" i="25" a="1"/>
  <c r="AK298" i="25" a="1"/>
  <c r="AK258" i="25" a="1"/>
  <c r="AK233" i="25" a="1"/>
  <c r="AK53" i="25" a="1"/>
  <c r="AK173" i="25" a="1"/>
  <c r="AK158" i="25" a="1"/>
  <c r="AK223" i="25" a="1"/>
  <c r="AK293" i="25" a="1"/>
  <c r="AK58" i="25" a="1"/>
  <c r="AK163" i="25" a="1"/>
  <c r="AK288" i="25" a="1"/>
  <c r="AK253" i="25" a="1"/>
  <c r="AK128" i="25" a="1"/>
  <c r="AK93" i="25" a="1"/>
  <c r="AK303" i="25" a="1"/>
  <c r="AK278" i="25" a="1"/>
  <c r="AK73" i="25" a="1"/>
  <c r="AK63" i="25" a="1"/>
  <c r="AK138" i="25" a="1"/>
  <c r="AK123" i="25" a="1"/>
  <c r="AK103" i="25" a="1"/>
  <c r="AK68" i="25" a="1"/>
  <c r="AK273" i="25" a="1"/>
  <c r="AK83" i="25" a="1"/>
  <c r="AK43" i="25" a="1"/>
  <c r="AK113" i="25" a="1"/>
  <c r="AK153" i="25" a="1"/>
  <c r="AK243" i="25" a="1"/>
  <c r="AK168" i="25" a="1"/>
  <c r="AK183" i="25" a="1"/>
  <c r="AK188" i="25" a="1"/>
  <c r="O421" i="25" l="1" a="1"/>
  <c r="O421" i="25" s="1"/>
  <c r="O423" i="25" s="1"/>
  <c r="W432" i="25" s="1" a="1"/>
  <c r="W432" i="25" s="1"/>
  <c r="AK49" i="25" s="1" a="1"/>
  <c r="AK49" i="25" s="1"/>
  <c r="X399" i="25"/>
  <c r="X446" i="25" s="1"/>
  <c r="X464" i="25" s="1"/>
  <c r="P420" i="25" a="1"/>
  <c r="P420" i="25" s="1"/>
  <c r="X429" i="25" s="1" a="1"/>
  <c r="X429" i="25" s="1"/>
  <c r="P54" i="25" s="1" a="1"/>
  <c r="P54" i="25" s="1"/>
  <c r="Y398" i="25"/>
  <c r="K358" i="25"/>
  <c r="L359" i="25"/>
  <c r="L358" i="25"/>
  <c r="K359" i="25"/>
  <c r="AK278" i="25"/>
  <c r="AK303" i="25"/>
  <c r="AK293" i="25"/>
  <c r="AK283" i="25"/>
  <c r="AK288" i="25"/>
  <c r="AK298" i="25"/>
  <c r="AK273" i="25"/>
  <c r="AK243" i="25"/>
  <c r="AK258" i="25"/>
  <c r="AK248" i="25"/>
  <c r="W401" i="25"/>
  <c r="W448" i="25" s="1"/>
  <c r="W466" i="25" s="1"/>
  <c r="AK253" i="25"/>
  <c r="AK268" i="25"/>
  <c r="AK263" i="25"/>
  <c r="AK238" i="25"/>
  <c r="AK188" i="25"/>
  <c r="AK193" i="25"/>
  <c r="J359" i="25"/>
  <c r="J358" i="25"/>
  <c r="AK178" i="25"/>
  <c r="AK68" i="25"/>
  <c r="AK203" i="25"/>
  <c r="AK153" i="25"/>
  <c r="AK108" i="25"/>
  <c r="AK123" i="25"/>
  <c r="AK138" i="25"/>
  <c r="AK113" i="25"/>
  <c r="AK223" i="25"/>
  <c r="I357" i="25"/>
  <c r="V430" i="25" a="1"/>
  <c r="V430" i="25" s="1"/>
  <c r="W44" i="25" s="1" a="1"/>
  <c r="W44" i="25" s="1"/>
  <c r="N423" i="25"/>
  <c r="V432" i="25" s="1" a="1"/>
  <c r="V432" i="25" s="1"/>
  <c r="AK44" i="25" s="1" a="1"/>
  <c r="AK44" i="25" s="1"/>
  <c r="N422" i="25"/>
  <c r="V431" i="25" s="1" a="1"/>
  <c r="V431" i="25" s="1"/>
  <c r="AD44" i="25" s="1" a="1"/>
  <c r="AD44" i="25" s="1"/>
  <c r="V447" i="25"/>
  <c r="V465" i="25" s="1"/>
  <c r="V401" i="25"/>
  <c r="V448" i="25" s="1"/>
  <c r="V466" i="25" s="1"/>
  <c r="AK143" i="25"/>
  <c r="AK163" i="25"/>
  <c r="AK213" i="25"/>
  <c r="AK148" i="25"/>
  <c r="AK83" i="25"/>
  <c r="AK63" i="25"/>
  <c r="AK158" i="25"/>
  <c r="AK208" i="25"/>
  <c r="AK118" i="25"/>
  <c r="AK218" i="25"/>
  <c r="AK73" i="25"/>
  <c r="AK133" i="25"/>
  <c r="AK88" i="25"/>
  <c r="AK43" i="25"/>
  <c r="AK233" i="25"/>
  <c r="AK128" i="25"/>
  <c r="AK98" i="25"/>
  <c r="AK198" i="25"/>
  <c r="AK58" i="25"/>
  <c r="AK168" i="25"/>
  <c r="AK183" i="25"/>
  <c r="AK103" i="25"/>
  <c r="AK53" i="25"/>
  <c r="AK78" i="25"/>
  <c r="AK93" i="25"/>
  <c r="AK228" i="25"/>
  <c r="AK173" i="25"/>
  <c r="AK48" i="25"/>
  <c r="BC430" i="25" a="1"/>
  <c r="BC430" i="25" s="1"/>
  <c r="AU422" i="25"/>
  <c r="BC431" i="25" s="1" a="1"/>
  <c r="BC431" i="25" s="1"/>
  <c r="AU423" i="25"/>
  <c r="BC432" i="25" s="1" a="1"/>
  <c r="BC432" i="25" s="1"/>
  <c r="BC447" i="25"/>
  <c r="BC465" i="25" s="1"/>
  <c r="BC401" i="25"/>
  <c r="BC448" i="25" s="1"/>
  <c r="BC466" i="25" s="1"/>
  <c r="AW420" i="25" a="1"/>
  <c r="AW420" i="25" s="1"/>
  <c r="BE429" i="25" s="1" a="1"/>
  <c r="BE429" i="25" s="1"/>
  <c r="BE399" i="25"/>
  <c r="BF398" i="25"/>
  <c r="BF445" i="25" s="1"/>
  <c r="BF463" i="25" s="1"/>
  <c r="BD400" i="25"/>
  <c r="AV421" i="25" a="1"/>
  <c r="AV421" i="25" s="1"/>
  <c r="BQ445" i="25"/>
  <c r="BQ463" i="25" s="1"/>
  <c r="BQ399" i="25"/>
  <c r="BQ446" i="25" s="1"/>
  <c r="BQ464" i="25" s="1"/>
  <c r="BR398" i="25"/>
  <c r="BI420" i="25" a="1"/>
  <c r="BI420" i="25" s="1"/>
  <c r="BQ429" i="25" s="1" a="1"/>
  <c r="BQ429" i="25" s="1"/>
  <c r="BP400" i="25"/>
  <c r="BH421" i="25" a="1"/>
  <c r="BH421" i="25" s="1"/>
  <c r="BG423" i="25"/>
  <c r="BO432" i="25" s="1" a="1"/>
  <c r="BO432" i="25" s="1"/>
  <c r="BG422" i="25"/>
  <c r="BO431" i="25" s="1" a="1"/>
  <c r="BO431" i="25" s="1"/>
  <c r="BO430" i="25" a="1"/>
  <c r="BO430" i="25" s="1"/>
  <c r="BO447" i="25"/>
  <c r="BO465" i="25" s="1"/>
  <c r="BO401" i="25"/>
  <c r="BO448" i="25" s="1"/>
  <c r="BO466" i="25" s="1"/>
  <c r="M421" i="25" a="1"/>
  <c r="M421" i="25" s="1"/>
  <c r="AC444" i="25"/>
  <c r="AC462" i="25" s="1"/>
  <c r="AC428" i="25" a="1"/>
  <c r="AC428" i="25" s="1"/>
  <c r="I79" i="25" s="1" a="1"/>
  <c r="I79" i="25" s="1"/>
  <c r="AD397" i="25"/>
  <c r="BM431" i="25" a="1"/>
  <c r="BM431" i="25" s="1"/>
  <c r="BM429" i="25" a="1"/>
  <c r="BM429" i="25" s="1"/>
  <c r="BB431" i="25" a="1"/>
  <c r="BB431" i="25" s="1"/>
  <c r="BB429" i="25" a="1"/>
  <c r="BB429" i="25" s="1"/>
  <c r="U429" i="25" a="1"/>
  <c r="U429" i="25" s="1"/>
  <c r="P39" i="25" s="1" a="1"/>
  <c r="P39" i="25" s="1"/>
  <c r="W437" i="25"/>
  <c r="B139" i="25" a="1"/>
  <c r="B139" i="25" s="1"/>
  <c r="I139" i="25" a="1"/>
  <c r="I139" i="25" s="1"/>
  <c r="E107" i="23"/>
  <c r="E131" i="21"/>
  <c r="F131" i="21"/>
  <c r="G252" i="23"/>
  <c r="G249" i="23"/>
  <c r="U156" i="23"/>
  <c r="X156" i="23" s="1"/>
  <c r="U157" i="23"/>
  <c r="X157" i="23" s="1"/>
  <c r="U158" i="23"/>
  <c r="X158" i="23" s="1"/>
  <c r="U159" i="23"/>
  <c r="U160" i="23"/>
  <c r="U161" i="23"/>
  <c r="U162" i="23"/>
  <c r="U163" i="23"/>
  <c r="U164" i="23"/>
  <c r="U155" i="23"/>
  <c r="X155" i="23" s="1"/>
  <c r="G251" i="23"/>
  <c r="G250" i="23"/>
  <c r="E256" i="23" s="1"/>
  <c r="O422" i="25" l="1"/>
  <c r="W431" i="25" s="1" a="1"/>
  <c r="W431" i="25" s="1"/>
  <c r="AD49" i="25" s="1" a="1"/>
  <c r="AD49" i="25" s="1"/>
  <c r="W430" i="25" a="1"/>
  <c r="W430" i="25" s="1"/>
  <c r="W49" i="25" s="1" a="1"/>
  <c r="W49" i="25" s="1"/>
  <c r="X400" i="25"/>
  <c r="X447" i="25" s="1"/>
  <c r="X465" i="25" s="1"/>
  <c r="P421" i="25" a="1"/>
  <c r="P421" i="25" s="1"/>
  <c r="P423" i="25" s="1"/>
  <c r="X432" i="25" s="1" a="1"/>
  <c r="X432" i="25" s="1"/>
  <c r="AK54" i="25" s="1" a="1"/>
  <c r="AK54" i="25" s="1"/>
  <c r="Q420" i="25" a="1"/>
  <c r="Q420" i="25" s="1"/>
  <c r="Y429" i="25" s="1" a="1"/>
  <c r="Y429" i="25" s="1"/>
  <c r="P59" i="25" s="1" a="1"/>
  <c r="P59" i="25" s="1"/>
  <c r="Z398" i="25"/>
  <c r="Y399" i="25"/>
  <c r="Y445" i="25"/>
  <c r="Y463" i="25" s="1"/>
  <c r="I358" i="25"/>
  <c r="I359" i="25"/>
  <c r="BG398" i="25"/>
  <c r="BG445" i="25" s="1"/>
  <c r="BG463" i="25" s="1"/>
  <c r="AX420" i="25" a="1"/>
  <c r="AX420" i="25" s="1"/>
  <c r="BF429" i="25" s="1" a="1"/>
  <c r="BF429" i="25" s="1"/>
  <c r="BF399" i="25"/>
  <c r="BE446" i="25"/>
  <c r="BE464" i="25" s="1"/>
  <c r="AW421" i="25" a="1"/>
  <c r="AW421" i="25" s="1"/>
  <c r="BE400" i="25"/>
  <c r="BD430" i="25" a="1"/>
  <c r="BD430" i="25" s="1"/>
  <c r="AV423" i="25"/>
  <c r="BD432" i="25" s="1" a="1"/>
  <c r="BD432" i="25" s="1"/>
  <c r="AV422" i="25"/>
  <c r="BD431" i="25" s="1" a="1"/>
  <c r="BD431" i="25" s="1"/>
  <c r="BD447" i="25"/>
  <c r="BD465" i="25" s="1"/>
  <c r="BD401" i="25"/>
  <c r="BD448" i="25" s="1"/>
  <c r="BD466" i="25" s="1"/>
  <c r="BR445" i="25"/>
  <c r="BR463" i="25" s="1"/>
  <c r="BS398" i="25"/>
  <c r="BJ420" i="25" a="1"/>
  <c r="BJ420" i="25" s="1"/>
  <c r="BR429" i="25" s="1" a="1"/>
  <c r="BR429" i="25" s="1"/>
  <c r="BR399" i="25"/>
  <c r="BR446" i="25" s="1"/>
  <c r="BR464" i="25" s="1"/>
  <c r="BI421" i="25" a="1"/>
  <c r="BI421" i="25" s="1"/>
  <c r="BQ400" i="25"/>
  <c r="BH423" i="25"/>
  <c r="BP432" i="25" s="1" a="1"/>
  <c r="BP432" i="25" s="1"/>
  <c r="BP430" i="25" a="1"/>
  <c r="BP430" i="25" s="1"/>
  <c r="BH422" i="25"/>
  <c r="BP431" i="25" s="1" a="1"/>
  <c r="BP431" i="25" s="1"/>
  <c r="BP447" i="25"/>
  <c r="BP465" i="25" s="1"/>
  <c r="BP401" i="25"/>
  <c r="BP448" i="25" s="1"/>
  <c r="BP466" i="25" s="1"/>
  <c r="V419" i="25" a="1"/>
  <c r="V419" i="25" s="1"/>
  <c r="AD428" i="25" s="1" a="1"/>
  <c r="AD428" i="25" s="1"/>
  <c r="I84" i="25" s="1" a="1"/>
  <c r="I84" i="25" s="1"/>
  <c r="U430" i="25" a="1"/>
  <c r="U430" i="25" s="1"/>
  <c r="W39" i="25" s="1" a="1"/>
  <c r="W39" i="25" s="1"/>
  <c r="M423" i="25"/>
  <c r="U432" i="25" s="1" a="1"/>
  <c r="U432" i="25" s="1"/>
  <c r="AK39" i="25" s="1" a="1"/>
  <c r="AK39" i="25" s="1"/>
  <c r="M422" i="25"/>
  <c r="U431" i="25" s="1" a="1"/>
  <c r="U431" i="25" s="1"/>
  <c r="AD39" i="25" s="1" a="1"/>
  <c r="AD39" i="25" s="1"/>
  <c r="AD444" i="25"/>
  <c r="AD462" i="25" s="1"/>
  <c r="AE397" i="25"/>
  <c r="W419" i="25" s="1" a="1"/>
  <c r="W419" i="25" s="1"/>
  <c r="X437" i="25"/>
  <c r="B144" i="25" a="1"/>
  <c r="B144" i="25" s="1"/>
  <c r="I144" i="25" a="1"/>
  <c r="I144" i="25" s="1"/>
  <c r="M107" i="23"/>
  <c r="E108" i="23"/>
  <c r="M108" i="23" s="1"/>
  <c r="M256" i="23"/>
  <c r="B13" i="23" s="1"/>
  <c r="E257" i="23"/>
  <c r="E132" i="21"/>
  <c r="F132" i="21"/>
  <c r="A109" i="21" a="1"/>
  <c r="A109" i="21" s="1"/>
  <c r="B11" i="23"/>
  <c r="C11" i="23" s="1"/>
  <c r="D11" i="23" s="1"/>
  <c r="E11" i="23" s="1"/>
  <c r="F11" i="23" s="1"/>
  <c r="G11" i="23" s="1"/>
  <c r="H11" i="23" s="1"/>
  <c r="B9" i="23"/>
  <c r="X401" i="25" l="1"/>
  <c r="X448" i="25" s="1"/>
  <c r="X466" i="25" s="1"/>
  <c r="X430" i="25" a="1"/>
  <c r="X430" i="25" s="1"/>
  <c r="W54" i="25" s="1" a="1"/>
  <c r="W54" i="25" s="1"/>
  <c r="P422" i="25"/>
  <c r="X431" i="25" s="1" a="1"/>
  <c r="X431" i="25" s="1"/>
  <c r="AD54" i="25" s="1" a="1"/>
  <c r="AD54" i="25" s="1"/>
  <c r="AA398" i="25"/>
  <c r="Z399" i="25"/>
  <c r="Z446" i="25" s="1"/>
  <c r="Z464" i="25" s="1"/>
  <c r="R420" i="25" a="1"/>
  <c r="R420" i="25" s="1"/>
  <c r="Z429" i="25" s="1" a="1"/>
  <c r="Z429" i="25" s="1"/>
  <c r="P64" i="25" s="1" a="1"/>
  <c r="P64" i="25" s="1"/>
  <c r="Z445" i="25"/>
  <c r="Z463" i="25" s="1"/>
  <c r="Y446" i="25"/>
  <c r="Y464" i="25" s="1"/>
  <c r="Q421" i="25" a="1"/>
  <c r="Q421" i="25" s="1"/>
  <c r="Y400" i="25"/>
  <c r="A91" i="25"/>
  <c r="A97" i="25"/>
  <c r="A48" i="25"/>
  <c r="A275" i="25"/>
  <c r="A162" i="25"/>
  <c r="A166" i="25"/>
  <c r="A250" i="25"/>
  <c r="A82" i="25"/>
  <c r="A224" i="25"/>
  <c r="A79" i="25"/>
  <c r="A149" i="25"/>
  <c r="A183" i="25"/>
  <c r="A234" i="25"/>
  <c r="A66" i="25"/>
  <c r="A160" i="25"/>
  <c r="A193" i="25"/>
  <c r="A284" i="25"/>
  <c r="A154" i="25"/>
  <c r="A231" i="25"/>
  <c r="A194" i="25"/>
  <c r="A273" i="25"/>
  <c r="A136" i="25"/>
  <c r="A207" i="25"/>
  <c r="A196" i="25"/>
  <c r="A291" i="25"/>
  <c r="A170" i="25"/>
  <c r="A161" i="25"/>
  <c r="A72" i="25"/>
  <c r="A198" i="25"/>
  <c r="A235" i="25"/>
  <c r="A282" i="25"/>
  <c r="A106" i="25"/>
  <c r="A304" i="25"/>
  <c r="A167" i="25"/>
  <c r="A302" i="25"/>
  <c r="A57" i="25"/>
  <c r="A54" i="25"/>
  <c r="A258" i="25"/>
  <c r="A90" i="25"/>
  <c r="A240" i="25"/>
  <c r="A103" i="25"/>
  <c r="A173" i="25"/>
  <c r="A288" i="25"/>
  <c r="A200" i="25"/>
  <c r="A112" i="25"/>
  <c r="A281" i="25"/>
  <c r="A143" i="25"/>
  <c r="A55" i="25"/>
  <c r="A286" i="25"/>
  <c r="A134" i="25"/>
  <c r="A238" i="25"/>
  <c r="A77" i="25"/>
  <c r="A289" i="25"/>
  <c r="A305" i="25"/>
  <c r="A314" i="25"/>
  <c r="A226" i="25"/>
  <c r="A146" i="25"/>
  <c r="A58" i="25"/>
  <c r="A89" i="25"/>
  <c r="A280" i="25"/>
  <c r="A192" i="25"/>
  <c r="A104" i="25"/>
  <c r="A177" i="25"/>
  <c r="A135" i="25"/>
  <c r="A47" i="25"/>
  <c r="A246" i="25"/>
  <c r="A126" i="25"/>
  <c r="A261" i="25"/>
  <c r="A69" i="25"/>
  <c r="A243" i="25"/>
  <c r="A209" i="25"/>
  <c r="A298" i="25"/>
  <c r="A218" i="25"/>
  <c r="A130" i="25"/>
  <c r="A42" i="25"/>
  <c r="A81" i="25"/>
  <c r="A264" i="25"/>
  <c r="A176" i="25"/>
  <c r="A96" i="25"/>
  <c r="A271" i="25"/>
  <c r="A119" i="25"/>
  <c r="A39" i="25"/>
  <c r="A230" i="25"/>
  <c r="A94" i="25"/>
  <c r="A245" i="25"/>
  <c r="A311" i="25"/>
  <c r="A155" i="25"/>
  <c r="A121" i="25"/>
  <c r="A290" i="25"/>
  <c r="A210" i="25"/>
  <c r="A122" i="25"/>
  <c r="A41" i="25"/>
  <c r="A73" i="25"/>
  <c r="A256" i="25"/>
  <c r="A168" i="25"/>
  <c r="A88" i="25"/>
  <c r="A223" i="25"/>
  <c r="A111" i="25"/>
  <c r="A297" i="25"/>
  <c r="A206" i="25"/>
  <c r="A62" i="25"/>
  <c r="A237" i="25"/>
  <c r="A318" i="25"/>
  <c r="A307" i="25"/>
  <c r="A274" i="25"/>
  <c r="A186" i="25"/>
  <c r="A98" i="25"/>
  <c r="A225" i="25"/>
  <c r="A49" i="25"/>
  <c r="A232" i="25"/>
  <c r="A152" i="25"/>
  <c r="A64" i="25"/>
  <c r="A175" i="25"/>
  <c r="A95" i="25"/>
  <c r="A129" i="25"/>
  <c r="A190" i="25"/>
  <c r="A38" i="25"/>
  <c r="A165" i="25"/>
  <c r="A260" i="25"/>
  <c r="A113" i="25"/>
  <c r="A296" i="25"/>
  <c r="A216" i="25"/>
  <c r="A128" i="25"/>
  <c r="A40" i="25"/>
  <c r="A159" i="25"/>
  <c r="A71" i="25"/>
  <c r="A310" i="25"/>
  <c r="A142" i="25"/>
  <c r="A278" i="25"/>
  <c r="A85" i="25"/>
  <c r="A116" i="25"/>
  <c r="A257" i="25"/>
  <c r="A259" i="25"/>
  <c r="A266" i="25"/>
  <c r="A202" i="25"/>
  <c r="A138" i="25"/>
  <c r="A74" i="25"/>
  <c r="A169" i="25"/>
  <c r="A65" i="25"/>
  <c r="A272" i="25"/>
  <c r="A208" i="25"/>
  <c r="A144" i="25"/>
  <c r="A80" i="25"/>
  <c r="A34" i="25"/>
  <c r="A151" i="25"/>
  <c r="A87" i="25"/>
  <c r="A241" i="25"/>
  <c r="A262" i="25"/>
  <c r="A182" i="25"/>
  <c r="A118" i="25"/>
  <c r="A313" i="25"/>
  <c r="A309" i="25"/>
  <c r="A229" i="25"/>
  <c r="A141" i="25"/>
  <c r="A53" i="25"/>
  <c r="A294" i="25"/>
  <c r="A252" i="25"/>
  <c r="A164" i="25"/>
  <c r="A84" i="25"/>
  <c r="A303" i="25"/>
  <c r="A203" i="25"/>
  <c r="A123" i="25"/>
  <c r="A174" i="25"/>
  <c r="A102" i="25"/>
  <c r="A249" i="25"/>
  <c r="A301" i="25"/>
  <c r="A213" i="25"/>
  <c r="A133" i="25"/>
  <c r="A45" i="25"/>
  <c r="A254" i="25"/>
  <c r="A244" i="25"/>
  <c r="A156" i="25"/>
  <c r="A68" i="25"/>
  <c r="A239" i="25"/>
  <c r="A195" i="25"/>
  <c r="A107" i="25"/>
  <c r="A137" i="25"/>
  <c r="A293" i="25"/>
  <c r="A205" i="25"/>
  <c r="A117" i="25"/>
  <c r="A37" i="25"/>
  <c r="A316" i="25"/>
  <c r="A228" i="25"/>
  <c r="A148" i="25"/>
  <c r="A60" i="25"/>
  <c r="A299" i="25"/>
  <c r="A187" i="25"/>
  <c r="A99" i="25"/>
  <c r="A287" i="25"/>
  <c r="A306" i="25"/>
  <c r="A242" i="25"/>
  <c r="A178" i="25"/>
  <c r="A114" i="25"/>
  <c r="A50" i="25"/>
  <c r="A105" i="25"/>
  <c r="A312" i="25"/>
  <c r="A248" i="25"/>
  <c r="A184" i="25"/>
  <c r="A120" i="25"/>
  <c r="A56" i="25"/>
  <c r="A191" i="25"/>
  <c r="A127" i="25"/>
  <c r="A63" i="25"/>
  <c r="A279" i="25"/>
  <c r="A222" i="25"/>
  <c r="A158" i="25"/>
  <c r="A86" i="25"/>
  <c r="A295" i="25"/>
  <c r="A277" i="25"/>
  <c r="A197" i="25"/>
  <c r="A109" i="25"/>
  <c r="A217" i="25"/>
  <c r="A308" i="25"/>
  <c r="A220" i="25"/>
  <c r="A132" i="25"/>
  <c r="A52" i="25"/>
  <c r="A283" i="25"/>
  <c r="A171" i="25"/>
  <c r="A83" i="25"/>
  <c r="A247" i="25"/>
  <c r="A214" i="25"/>
  <c r="A150" i="25"/>
  <c r="A70" i="25"/>
  <c r="A255" i="25"/>
  <c r="A269" i="25"/>
  <c r="A181" i="25"/>
  <c r="A101" i="25"/>
  <c r="A153" i="25"/>
  <c r="A292" i="25"/>
  <c r="A212" i="25"/>
  <c r="A124" i="25"/>
  <c r="A36" i="25"/>
  <c r="A267" i="25"/>
  <c r="A163" i="25"/>
  <c r="A215" i="25"/>
  <c r="A276" i="25"/>
  <c r="A188" i="25"/>
  <c r="A100" i="25"/>
  <c r="A233" i="25"/>
  <c r="A227" i="25"/>
  <c r="A139" i="25"/>
  <c r="A180" i="25"/>
  <c r="A92" i="25"/>
  <c r="A145" i="25"/>
  <c r="A219" i="25"/>
  <c r="A131" i="25"/>
  <c r="A110" i="25"/>
  <c r="A46" i="25"/>
  <c r="A199" i="25"/>
  <c r="A285" i="25"/>
  <c r="A221" i="25"/>
  <c r="A157" i="25"/>
  <c r="A93" i="25"/>
  <c r="A265" i="25"/>
  <c r="A270" i="25"/>
  <c r="A268" i="25"/>
  <c r="A204" i="25"/>
  <c r="A140" i="25"/>
  <c r="A76" i="25"/>
  <c r="A185" i="25"/>
  <c r="A251" i="25"/>
  <c r="A179" i="25"/>
  <c r="A115" i="25"/>
  <c r="A78" i="25"/>
  <c r="A201" i="25"/>
  <c r="A317" i="25"/>
  <c r="A253" i="25"/>
  <c r="A189" i="25"/>
  <c r="A125" i="25"/>
  <c r="A61" i="25"/>
  <c r="A263" i="25"/>
  <c r="A300" i="25"/>
  <c r="A236" i="25"/>
  <c r="A172" i="25"/>
  <c r="A108" i="25"/>
  <c r="A44" i="25"/>
  <c r="A315" i="25"/>
  <c r="A211" i="25"/>
  <c r="A147" i="25"/>
  <c r="A43" i="25"/>
  <c r="A75" i="25"/>
  <c r="A67" i="25"/>
  <c r="A59" i="25"/>
  <c r="A51" i="25"/>
  <c r="A35" i="25"/>
  <c r="BE447" i="25"/>
  <c r="BE465" i="25" s="1"/>
  <c r="BE401" i="25"/>
  <c r="BE448" i="25" s="1"/>
  <c r="BE466" i="25" s="1"/>
  <c r="AW422" i="25"/>
  <c r="BE431" i="25" s="1" a="1"/>
  <c r="BE431" i="25" s="1"/>
  <c r="AW423" i="25"/>
  <c r="BE432" i="25" s="1" a="1"/>
  <c r="BE432" i="25" s="1"/>
  <c r="BE430" i="25" a="1"/>
  <c r="BE430" i="25" s="1"/>
  <c r="BF446" i="25"/>
  <c r="BF464" i="25" s="1"/>
  <c r="BF400" i="25"/>
  <c r="AX421" i="25" a="1"/>
  <c r="AX421" i="25" s="1"/>
  <c r="BG399" i="25"/>
  <c r="AY420" i="25" a="1"/>
  <c r="AY420" i="25" s="1"/>
  <c r="BG429" i="25" s="1" a="1"/>
  <c r="BG429" i="25" s="1"/>
  <c r="BH398" i="25"/>
  <c r="BH445" i="25" s="1"/>
  <c r="BH463" i="25" s="1"/>
  <c r="BQ447" i="25"/>
  <c r="BQ465" i="25" s="1"/>
  <c r="BQ401" i="25"/>
  <c r="BQ448" i="25" s="1"/>
  <c r="BQ466" i="25" s="1"/>
  <c r="BI423" i="25"/>
  <c r="BQ432" i="25" s="1" a="1"/>
  <c r="BQ432" i="25" s="1"/>
  <c r="BI422" i="25"/>
  <c r="BQ431" i="25" s="1" a="1"/>
  <c r="BQ431" i="25" s="1"/>
  <c r="BQ430" i="25" a="1"/>
  <c r="BQ430" i="25" s="1"/>
  <c r="BR400" i="25"/>
  <c r="BJ421" i="25" a="1"/>
  <c r="BJ421" i="25" s="1"/>
  <c r="BS445" i="25"/>
  <c r="BS463" i="25" s="1"/>
  <c r="BS399" i="25"/>
  <c r="BS446" i="25" s="1"/>
  <c r="BS464" i="25" s="1"/>
  <c r="BT398" i="25"/>
  <c r="BK420" i="25" a="1"/>
  <c r="BK420" i="25" s="1"/>
  <c r="BS429" i="25" s="1" a="1"/>
  <c r="BS429" i="25" s="1"/>
  <c r="AE444" i="25"/>
  <c r="AE462" i="25" s="1"/>
  <c r="AE428" i="25" a="1"/>
  <c r="AE428" i="25" s="1"/>
  <c r="I89" i="25" s="1" a="1"/>
  <c r="I89" i="25" s="1"/>
  <c r="Y437" i="25"/>
  <c r="B149" i="25" a="1"/>
  <c r="B149" i="25" s="1"/>
  <c r="I149" i="25" a="1"/>
  <c r="I149" i="25" s="1"/>
  <c r="E109" i="23"/>
  <c r="M109" i="23" s="1"/>
  <c r="M257" i="23"/>
  <c r="I13" i="23" s="1"/>
  <c r="E258" i="23"/>
  <c r="E133" i="21"/>
  <c r="F133" i="21"/>
  <c r="I11" i="23"/>
  <c r="J11" i="23" s="1"/>
  <c r="K11" i="23" s="1"/>
  <c r="L11" i="23" s="1"/>
  <c r="M11" i="23" s="1"/>
  <c r="N11" i="23" s="1"/>
  <c r="O11" i="23" s="1"/>
  <c r="I9" i="23"/>
  <c r="AC114" i="23"/>
  <c r="Z400" i="25" l="1"/>
  <c r="R421" i="25" a="1"/>
  <c r="R421" i="25" s="1"/>
  <c r="AA445" i="25"/>
  <c r="AA463" i="25" s="1"/>
  <c r="AB398" i="25"/>
  <c r="AC398" i="25" s="1"/>
  <c r="AC445" i="25" s="1"/>
  <c r="AC463" i="25" s="1"/>
  <c r="S420" i="25" a="1"/>
  <c r="S420" i="25" s="1"/>
  <c r="AA429" i="25" s="1" a="1"/>
  <c r="AA429" i="25" s="1"/>
  <c r="P69" i="25" s="1" a="1"/>
  <c r="P69" i="25" s="1"/>
  <c r="AA399" i="25"/>
  <c r="Y447" i="25"/>
  <c r="Y465" i="25" s="1"/>
  <c r="Y401" i="25"/>
  <c r="Y448" i="25" s="1"/>
  <c r="Y466" i="25" s="1"/>
  <c r="Q423" i="25"/>
  <c r="Y432" i="25" s="1" a="1"/>
  <c r="Y432" i="25" s="1"/>
  <c r="AK59" i="25" s="1" a="1"/>
  <c r="AK59" i="25" s="1"/>
  <c r="Y430" i="25" a="1"/>
  <c r="Y430" i="25" s="1"/>
  <c r="W59" i="25" s="1" a="1"/>
  <c r="W59" i="25" s="1"/>
  <c r="Q422" i="25"/>
  <c r="Y431" i="25" s="1" a="1"/>
  <c r="Y431" i="25" s="1"/>
  <c r="AD59" i="25" s="1" a="1"/>
  <c r="AD59" i="25" s="1"/>
  <c r="AX422" i="25"/>
  <c r="BF431" i="25" s="1" a="1"/>
  <c r="BF431" i="25" s="1"/>
  <c r="AX423" i="25"/>
  <c r="BF432" i="25" s="1" a="1"/>
  <c r="BF432" i="25" s="1"/>
  <c r="BF430" i="25" a="1"/>
  <c r="BF430" i="25" s="1"/>
  <c r="BF447" i="25"/>
  <c r="BF465" i="25" s="1"/>
  <c r="BF401" i="25"/>
  <c r="BF448" i="25" s="1"/>
  <c r="BF466" i="25" s="1"/>
  <c r="AZ420" i="25" a="1"/>
  <c r="AZ420" i="25" s="1"/>
  <c r="BH429" i="25" s="1" a="1"/>
  <c r="BH429" i="25" s="1"/>
  <c r="BH399" i="25"/>
  <c r="BI398" i="25"/>
  <c r="BI445" i="25" s="1"/>
  <c r="BI463" i="25" s="1"/>
  <c r="BG446" i="25"/>
  <c r="BG464" i="25" s="1"/>
  <c r="BG400" i="25"/>
  <c r="AY421" i="25" a="1"/>
  <c r="AY421" i="25" s="1"/>
  <c r="BT445" i="25"/>
  <c r="BT463" i="25" s="1"/>
  <c r="BT399" i="25"/>
  <c r="BT446" i="25" s="1"/>
  <c r="BT464" i="25" s="1"/>
  <c r="BU398" i="25"/>
  <c r="BL420" i="25" a="1"/>
  <c r="BL420" i="25" s="1"/>
  <c r="BT429" i="25" s="1" a="1"/>
  <c r="BT429" i="25" s="1"/>
  <c r="BR430" i="25" a="1"/>
  <c r="BR430" i="25" s="1"/>
  <c r="BJ422" i="25"/>
  <c r="BR431" i="25" s="1" a="1"/>
  <c r="BR431" i="25" s="1"/>
  <c r="BJ423" i="25"/>
  <c r="BR432" i="25" s="1" a="1"/>
  <c r="BR432" i="25" s="1"/>
  <c r="BK421" i="25" a="1"/>
  <c r="BK421" i="25" s="1"/>
  <c r="BS400" i="25"/>
  <c r="BR447" i="25"/>
  <c r="BR465" i="25" s="1"/>
  <c r="BR401" i="25"/>
  <c r="BR448" i="25" s="1"/>
  <c r="BR466" i="25" s="1"/>
  <c r="AD398" i="25"/>
  <c r="Z437" i="25"/>
  <c r="B154" i="25" a="1"/>
  <c r="B154" i="25" s="1"/>
  <c r="I154" i="25" a="1"/>
  <c r="I154" i="25" s="1"/>
  <c r="E110" i="23"/>
  <c r="M110" i="23" s="1"/>
  <c r="E259" i="23"/>
  <c r="M259" i="23" s="1"/>
  <c r="W13" i="23" s="1"/>
  <c r="M258" i="23"/>
  <c r="P13" i="23" s="1"/>
  <c r="F134" i="21"/>
  <c r="E134" i="21"/>
  <c r="P11" i="23"/>
  <c r="Q11" i="23" s="1"/>
  <c r="R11" i="23" s="1"/>
  <c r="S11" i="23" s="1"/>
  <c r="T11" i="23" s="1"/>
  <c r="U11" i="23" s="1"/>
  <c r="V11" i="23" s="1"/>
  <c r="P9" i="23"/>
  <c r="B139" i="23"/>
  <c r="U420" i="25" l="1" a="1"/>
  <c r="U420" i="25" s="1"/>
  <c r="AC429" i="25" s="1" a="1"/>
  <c r="AC429" i="25" s="1"/>
  <c r="P79" i="25" s="1" a="1"/>
  <c r="P79" i="25" s="1"/>
  <c r="AC399" i="25"/>
  <c r="AC446" i="25" s="1"/>
  <c r="AC464" i="25" s="1"/>
  <c r="AA446" i="25"/>
  <c r="AA464" i="25" s="1"/>
  <c r="S421" i="25" a="1"/>
  <c r="S421" i="25" s="1"/>
  <c r="AA400" i="25"/>
  <c r="AB445" i="25"/>
  <c r="AB463" i="25" s="1"/>
  <c r="T420" i="25" a="1"/>
  <c r="T420" i="25" s="1"/>
  <c r="AB429" i="25" s="1" a="1"/>
  <c r="AB429" i="25" s="1"/>
  <c r="P74" i="25" s="1" a="1"/>
  <c r="P74" i="25" s="1"/>
  <c r="AB399" i="25"/>
  <c r="R422" i="25"/>
  <c r="Z431" i="25" s="1" a="1"/>
  <c r="Z431" i="25" s="1"/>
  <c r="AD64" i="25" s="1" a="1"/>
  <c r="AD64" i="25" s="1"/>
  <c r="Z430" i="25" a="1"/>
  <c r="Z430" i="25" s="1"/>
  <c r="W64" i="25" s="1" a="1"/>
  <c r="W64" i="25" s="1"/>
  <c r="R423" i="25"/>
  <c r="Z432" i="25" s="1" a="1"/>
  <c r="Z432" i="25" s="1"/>
  <c r="AK64" i="25" s="1" a="1"/>
  <c r="AK64" i="25" s="1"/>
  <c r="Z447" i="25"/>
  <c r="Z465" i="25" s="1"/>
  <c r="Z401" i="25"/>
  <c r="Z448" i="25" s="1"/>
  <c r="Z466" i="25" s="1"/>
  <c r="BA420" i="25" a="1"/>
  <c r="BA420" i="25" s="1"/>
  <c r="BI429" i="25" s="1" a="1"/>
  <c r="BI429" i="25" s="1"/>
  <c r="BI399" i="25"/>
  <c r="BJ398" i="25"/>
  <c r="BJ445" i="25" s="1"/>
  <c r="BJ463" i="25" s="1"/>
  <c r="BH446" i="25"/>
  <c r="BH464" i="25" s="1"/>
  <c r="BH400" i="25"/>
  <c r="AZ421" i="25" a="1"/>
  <c r="AZ421" i="25" s="1"/>
  <c r="AY422" i="25"/>
  <c r="BG431" i="25" s="1" a="1"/>
  <c r="BG431" i="25" s="1"/>
  <c r="AY423" i="25"/>
  <c r="BG432" i="25" s="1" a="1"/>
  <c r="BG432" i="25" s="1"/>
  <c r="BG430" i="25" a="1"/>
  <c r="BG430" i="25" s="1"/>
  <c r="BG401" i="25"/>
  <c r="BG448" i="25" s="1"/>
  <c r="BG466" i="25" s="1"/>
  <c r="BG447" i="25"/>
  <c r="BG465" i="25" s="1"/>
  <c r="AE398" i="25"/>
  <c r="AE445" i="25" s="1"/>
  <c r="AE463" i="25" s="1"/>
  <c r="AD445" i="25"/>
  <c r="AD463" i="25" s="1"/>
  <c r="BS447" i="25"/>
  <c r="BS465" i="25" s="1"/>
  <c r="BS401" i="25"/>
  <c r="BS448" i="25" s="1"/>
  <c r="BS466" i="25" s="1"/>
  <c r="BK423" i="25"/>
  <c r="BS432" i="25" s="1" a="1"/>
  <c r="BS432" i="25" s="1"/>
  <c r="BS430" i="25" a="1"/>
  <c r="BS430" i="25" s="1"/>
  <c r="BK422" i="25"/>
  <c r="BS431" i="25" s="1" a="1"/>
  <c r="BS431" i="25" s="1"/>
  <c r="BU445" i="25"/>
  <c r="BU463" i="25" s="1"/>
  <c r="BM420" i="25" a="1"/>
  <c r="BM420" i="25" s="1"/>
  <c r="BU429" i="25" s="1" a="1"/>
  <c r="BU429" i="25" s="1"/>
  <c r="BU399" i="25"/>
  <c r="BU446" i="25" s="1"/>
  <c r="BU464" i="25" s="1"/>
  <c r="BV398" i="25"/>
  <c r="BT400" i="25"/>
  <c r="BL421" i="25" a="1"/>
  <c r="BL421" i="25" s="1"/>
  <c r="AD399" i="25"/>
  <c r="AD446" i="25" s="1"/>
  <c r="AD464" i="25" s="1"/>
  <c r="V420" i="25" a="1"/>
  <c r="V420" i="25" s="1"/>
  <c r="AD429" i="25" s="1" a="1"/>
  <c r="AD429" i="25" s="1"/>
  <c r="P84" i="25" s="1" a="1"/>
  <c r="P84" i="25" s="1"/>
  <c r="AA437" i="25"/>
  <c r="B159" i="25" a="1"/>
  <c r="B159" i="25" s="1"/>
  <c r="I159" i="25" a="1"/>
  <c r="I159" i="25" s="1"/>
  <c r="W11" i="23"/>
  <c r="X11" i="23" s="1"/>
  <c r="Y11" i="23" s="1"/>
  <c r="Z11" i="23" s="1"/>
  <c r="AA11" i="23" s="1"/>
  <c r="AB11" i="23" s="1"/>
  <c r="AC11" i="23" s="1"/>
  <c r="W9" i="23"/>
  <c r="E135" i="21"/>
  <c r="F135" i="21"/>
  <c r="C187" i="23"/>
  <c r="D187" i="23" s="1"/>
  <c r="E187" i="23" s="1"/>
  <c r="F187" i="23" s="1"/>
  <c r="G187" i="23" s="1"/>
  <c r="H187" i="23" s="1"/>
  <c r="I187" i="23" s="1"/>
  <c r="J187" i="23" s="1"/>
  <c r="K187" i="23" s="1"/>
  <c r="L187" i="23" s="1"/>
  <c r="M187" i="23" s="1"/>
  <c r="N187" i="23" s="1"/>
  <c r="O187" i="23" s="1"/>
  <c r="P187" i="23" s="1"/>
  <c r="Q187" i="23" s="1"/>
  <c r="R187" i="23" s="1"/>
  <c r="S187" i="23" s="1"/>
  <c r="T187" i="23" s="1"/>
  <c r="U187" i="23" s="1"/>
  <c r="V187" i="23" s="1"/>
  <c r="C186" i="23"/>
  <c r="D186" i="23" s="1"/>
  <c r="E186" i="23" s="1"/>
  <c r="F186" i="23" s="1"/>
  <c r="G186" i="23" s="1"/>
  <c r="H186" i="23" s="1"/>
  <c r="B114" i="23"/>
  <c r="C114" i="23" s="1"/>
  <c r="D114" i="23" s="1"/>
  <c r="E114" i="23" s="1"/>
  <c r="F114" i="23" s="1"/>
  <c r="G114" i="23" s="1"/>
  <c r="H114" i="23" s="1"/>
  <c r="C139" i="23"/>
  <c r="X154" i="23"/>
  <c r="V175" i="23"/>
  <c r="W175" i="23" s="1"/>
  <c r="X175" i="23" s="1"/>
  <c r="Y175" i="23" s="1"/>
  <c r="Z175" i="23" s="1"/>
  <c r="AA175" i="23" s="1"/>
  <c r="AB175" i="23" s="1"/>
  <c r="AC175" i="23" s="1"/>
  <c r="AD175" i="23" s="1"/>
  <c r="AE175" i="23" s="1"/>
  <c r="V238" i="23"/>
  <c r="W238" i="23" s="1"/>
  <c r="X238" i="23" s="1"/>
  <c r="Y238" i="23" s="1"/>
  <c r="Z238" i="23" s="1"/>
  <c r="AA238" i="23" s="1"/>
  <c r="AB238" i="23" s="1"/>
  <c r="AC238" i="23" s="1"/>
  <c r="AD238" i="23" s="1"/>
  <c r="AE238" i="23" s="1"/>
  <c r="V229" i="23"/>
  <c r="W229" i="23" s="1"/>
  <c r="X229" i="23" s="1"/>
  <c r="Y229" i="23" s="1"/>
  <c r="Z229" i="23" s="1"/>
  <c r="AA229" i="23" s="1"/>
  <c r="AB229" i="23" s="1"/>
  <c r="AC229" i="23" s="1"/>
  <c r="AD229" i="23" s="1"/>
  <c r="AE229" i="23" s="1"/>
  <c r="V220" i="23"/>
  <c r="W220" i="23" s="1"/>
  <c r="X220" i="23" s="1"/>
  <c r="Y220" i="23" s="1"/>
  <c r="Z220" i="23" s="1"/>
  <c r="AA220" i="23" s="1"/>
  <c r="AB220" i="23" s="1"/>
  <c r="AC220" i="23" s="1"/>
  <c r="AD220" i="23" s="1"/>
  <c r="AE220" i="23" s="1"/>
  <c r="V209" i="23"/>
  <c r="W209" i="23" s="1"/>
  <c r="X209" i="23" s="1"/>
  <c r="Y209" i="23" s="1"/>
  <c r="Z209" i="23" s="1"/>
  <c r="AA209" i="23" s="1"/>
  <c r="AB209" i="23" s="1"/>
  <c r="AC209" i="23" s="1"/>
  <c r="AD209" i="23" s="1"/>
  <c r="AE209" i="23" s="1"/>
  <c r="V200" i="23"/>
  <c r="W200" i="23" s="1"/>
  <c r="X200" i="23" s="1"/>
  <c r="Y200" i="23" s="1"/>
  <c r="Z200" i="23" s="1"/>
  <c r="AA200" i="23" s="1"/>
  <c r="AB200" i="23" s="1"/>
  <c r="AC200" i="23" s="1"/>
  <c r="AD200" i="23" s="1"/>
  <c r="AE200" i="23" s="1"/>
  <c r="V191" i="23"/>
  <c r="W191" i="23" s="1"/>
  <c r="X191" i="23" s="1"/>
  <c r="Y191" i="23" s="1"/>
  <c r="Z191" i="23" s="1"/>
  <c r="AA191" i="23" s="1"/>
  <c r="AB191" i="23" s="1"/>
  <c r="AC191" i="23" s="1"/>
  <c r="AD191" i="23" s="1"/>
  <c r="AE191" i="23" s="1"/>
  <c r="V144" i="23"/>
  <c r="W144" i="23" s="1"/>
  <c r="X144" i="23" s="1"/>
  <c r="Y144" i="23" s="1"/>
  <c r="Z144" i="23" s="1"/>
  <c r="AA144" i="23" s="1"/>
  <c r="AB144" i="23" s="1"/>
  <c r="AC144" i="23" s="1"/>
  <c r="AD144" i="23" s="1"/>
  <c r="AE144" i="23" s="1"/>
  <c r="V128" i="23"/>
  <c r="W128" i="23" s="1"/>
  <c r="X128" i="23" s="1"/>
  <c r="Y128" i="23" s="1"/>
  <c r="V119" i="23"/>
  <c r="W119" i="23" s="1"/>
  <c r="X119" i="23" s="1"/>
  <c r="Y119" i="23" s="1"/>
  <c r="Z119" i="23" s="1"/>
  <c r="AA119" i="23" s="1"/>
  <c r="AB119" i="23" s="1"/>
  <c r="AC119" i="23" s="1"/>
  <c r="AD119" i="23" s="1"/>
  <c r="AE119" i="23" s="1"/>
  <c r="V103" i="23"/>
  <c r="W103" i="23" s="1"/>
  <c r="X103" i="23" s="1"/>
  <c r="Y103" i="23" s="1"/>
  <c r="Z103" i="23" s="1"/>
  <c r="AA103" i="23" s="1"/>
  <c r="AB103" i="23" s="1"/>
  <c r="AC103" i="23" s="1"/>
  <c r="AD103" i="23" s="1"/>
  <c r="AE103" i="23" s="1"/>
  <c r="U421" i="25" l="1" a="1"/>
  <c r="U421" i="25" s="1"/>
  <c r="U422" i="25" s="1"/>
  <c r="AC431" i="25" s="1" a="1"/>
  <c r="AC431" i="25" s="1"/>
  <c r="AD79" i="25" s="1" a="1"/>
  <c r="AD79" i="25" s="1"/>
  <c r="AC400" i="25"/>
  <c r="AC401" i="25" s="1"/>
  <c r="AC448" i="25" s="1"/>
  <c r="AC466" i="25" s="1"/>
  <c r="AB446" i="25"/>
  <c r="AB464" i="25" s="1"/>
  <c r="AB400" i="25"/>
  <c r="T421" i="25" a="1"/>
  <c r="T421" i="25" s="1"/>
  <c r="AA447" i="25"/>
  <c r="AA465" i="25" s="1"/>
  <c r="AA401" i="25"/>
  <c r="AA448" i="25" s="1"/>
  <c r="AA466" i="25" s="1"/>
  <c r="S422" i="25"/>
  <c r="AA431" i="25" s="1" a="1"/>
  <c r="AA431" i="25" s="1"/>
  <c r="AD69" i="25" s="1" a="1"/>
  <c r="AD69" i="25" s="1"/>
  <c r="S423" i="25"/>
  <c r="AA432" i="25" s="1" a="1"/>
  <c r="AA432" i="25" s="1"/>
  <c r="AK69" i="25" s="1" a="1"/>
  <c r="AK69" i="25" s="1"/>
  <c r="AA430" i="25" a="1"/>
  <c r="AA430" i="25" s="1"/>
  <c r="W69" i="25" s="1" a="1"/>
  <c r="W69" i="25" s="1"/>
  <c r="W420" i="25" a="1"/>
  <c r="W420" i="25" s="1"/>
  <c r="AE429" i="25" s="1" a="1"/>
  <c r="AE429" i="25" s="1"/>
  <c r="P89" i="25" s="1" a="1"/>
  <c r="P89" i="25" s="1"/>
  <c r="AF398" i="25"/>
  <c r="AF399" i="25" s="1"/>
  <c r="AF446" i="25" s="1"/>
  <c r="AF464" i="25" s="1"/>
  <c r="AE399" i="25"/>
  <c r="AE446" i="25" s="1"/>
  <c r="AE464" i="25" s="1"/>
  <c r="BH430" i="25" a="1"/>
  <c r="BH430" i="25" s="1"/>
  <c r="AZ422" i="25"/>
  <c r="BH431" i="25" s="1" a="1"/>
  <c r="BH431" i="25" s="1"/>
  <c r="AZ423" i="25"/>
  <c r="BH432" i="25" s="1" a="1"/>
  <c r="BH432" i="25" s="1"/>
  <c r="BH447" i="25"/>
  <c r="BH465" i="25" s="1"/>
  <c r="BH401" i="25"/>
  <c r="BH448" i="25" s="1"/>
  <c r="BH466" i="25" s="1"/>
  <c r="BB420" i="25" a="1"/>
  <c r="BB420" i="25" s="1"/>
  <c r="BJ429" i="25" s="1" a="1"/>
  <c r="BJ429" i="25" s="1"/>
  <c r="BK398" i="25"/>
  <c r="BK445" i="25" s="1"/>
  <c r="BK463" i="25" s="1"/>
  <c r="BJ399" i="25"/>
  <c r="BI446" i="25"/>
  <c r="BI464" i="25" s="1"/>
  <c r="BI400" i="25"/>
  <c r="BA421" i="25" a="1"/>
  <c r="BA421" i="25" s="1"/>
  <c r="AG398" i="25"/>
  <c r="Y420" i="25" s="1" a="1"/>
  <c r="Y420" i="25" s="1"/>
  <c r="AG429" i="25" s="1" a="1"/>
  <c r="AG429" i="25" s="1"/>
  <c r="P99" i="25" s="1" a="1"/>
  <c r="P99" i="25" s="1"/>
  <c r="BV445" i="25"/>
  <c r="BV463" i="25" s="1"/>
  <c r="BW398" i="25"/>
  <c r="BN420" i="25" a="1"/>
  <c r="BN420" i="25" s="1"/>
  <c r="BV429" i="25" s="1" a="1"/>
  <c r="BV429" i="25" s="1"/>
  <c r="BV399" i="25"/>
  <c r="BV446" i="25" s="1"/>
  <c r="BV464" i="25" s="1"/>
  <c r="BM421" i="25" a="1"/>
  <c r="BM421" i="25" s="1"/>
  <c r="BU400" i="25"/>
  <c r="BL422" i="25"/>
  <c r="BT431" i="25" s="1" a="1"/>
  <c r="BT431" i="25" s="1"/>
  <c r="BT430" i="25" a="1"/>
  <c r="BT430" i="25" s="1"/>
  <c r="BL423" i="25"/>
  <c r="BT432" i="25" s="1" a="1"/>
  <c r="BT432" i="25" s="1"/>
  <c r="BT447" i="25"/>
  <c r="BT465" i="25" s="1"/>
  <c r="BT401" i="25"/>
  <c r="BT448" i="25" s="1"/>
  <c r="BT466" i="25" s="1"/>
  <c r="AD400" i="25"/>
  <c r="V421" i="25" a="1"/>
  <c r="V421" i="25" s="1"/>
  <c r="AB437" i="25"/>
  <c r="B164" i="25" a="1"/>
  <c r="B164" i="25" s="1"/>
  <c r="I164" i="25" a="1"/>
  <c r="I164" i="25" s="1"/>
  <c r="E136" i="21"/>
  <c r="F136" i="21"/>
  <c r="M177" i="23"/>
  <c r="Z128" i="23"/>
  <c r="D139" i="23"/>
  <c r="E168" i="23"/>
  <c r="E177" i="23"/>
  <c r="B34" i="23"/>
  <c r="V203" i="23"/>
  <c r="W203" i="23" s="1"/>
  <c r="X203" i="23" s="1"/>
  <c r="Y203" i="23" s="1"/>
  <c r="Z203" i="23" s="1"/>
  <c r="AA203" i="23" s="1"/>
  <c r="AB203" i="23" s="1"/>
  <c r="AC203" i="23" s="1"/>
  <c r="AD203" i="23" s="1"/>
  <c r="AE203" i="23" s="1"/>
  <c r="U204" i="23" s="1"/>
  <c r="E121" i="23"/>
  <c r="E193" i="23"/>
  <c r="E211" i="23"/>
  <c r="E146" i="23"/>
  <c r="E240" i="23"/>
  <c r="E202" i="23"/>
  <c r="E130" i="23"/>
  <c r="E231" i="23"/>
  <c r="E222" i="23"/>
  <c r="I36" i="14"/>
  <c r="AC447" i="25" l="1"/>
  <c r="AC465" i="25" s="1"/>
  <c r="U423" i="25"/>
  <c r="AC432" i="25" s="1" a="1"/>
  <c r="AC432" i="25" s="1"/>
  <c r="AK79" i="25" s="1" a="1"/>
  <c r="AK79" i="25" s="1"/>
  <c r="AC430" i="25" a="1"/>
  <c r="AC430" i="25" s="1"/>
  <c r="W79" i="25" s="1" a="1"/>
  <c r="W79" i="25" s="1"/>
  <c r="T422" i="25"/>
  <c r="AB431" i="25" s="1" a="1"/>
  <c r="AB431" i="25" s="1"/>
  <c r="AD74" i="25" s="1" a="1"/>
  <c r="AD74" i="25" s="1"/>
  <c r="AB430" i="25" a="1"/>
  <c r="AB430" i="25" s="1"/>
  <c r="W74" i="25" s="1" a="1"/>
  <c r="W74" i="25" s="1"/>
  <c r="T423" i="25"/>
  <c r="AB432" i="25" s="1" a="1"/>
  <c r="AB432" i="25" s="1"/>
  <c r="AK74" i="25" s="1" a="1"/>
  <c r="AK74" i="25" s="1"/>
  <c r="AB447" i="25"/>
  <c r="AB465" i="25" s="1"/>
  <c r="AB401" i="25"/>
  <c r="AB448" i="25" s="1"/>
  <c r="AB466" i="25" s="1"/>
  <c r="AF445" i="25"/>
  <c r="AF463" i="25" s="1"/>
  <c r="AG445" i="25"/>
  <c r="AG463" i="25" s="1"/>
  <c r="X420" i="25" a="1"/>
  <c r="X420" i="25" s="1"/>
  <c r="AF429" i="25" s="1" a="1"/>
  <c r="AF429" i="25" s="1"/>
  <c r="P94" i="25" s="1" a="1"/>
  <c r="P94" i="25" s="1"/>
  <c r="AE400" i="25"/>
  <c r="AE447" i="25" s="1"/>
  <c r="AE465" i="25" s="1"/>
  <c r="W421" i="25" a="1"/>
  <c r="W421" i="25" s="1"/>
  <c r="W422" i="25" s="1"/>
  <c r="AE431" i="25" s="1" a="1"/>
  <c r="AE431" i="25" s="1"/>
  <c r="AD89" i="25" s="1" a="1"/>
  <c r="AD89" i="25" s="1"/>
  <c r="AG399" i="25"/>
  <c r="AG446" i="25" s="1"/>
  <c r="AG464" i="25" s="1"/>
  <c r="AH398" i="25"/>
  <c r="AH445" i="25" s="1"/>
  <c r="AH463" i="25" s="1"/>
  <c r="BJ446" i="25"/>
  <c r="BJ464" i="25" s="1"/>
  <c r="BJ400" i="25"/>
  <c r="BB421" i="25" a="1"/>
  <c r="BB421" i="25" s="1"/>
  <c r="BK399" i="25"/>
  <c r="BL398" i="25"/>
  <c r="BL445" i="25" s="1"/>
  <c r="BL463" i="25" s="1"/>
  <c r="BC420" i="25" a="1"/>
  <c r="BC420" i="25" s="1"/>
  <c r="BK429" i="25" s="1" a="1"/>
  <c r="BK429" i="25" s="1"/>
  <c r="BA423" i="25"/>
  <c r="BI432" i="25" s="1" a="1"/>
  <c r="BI432" i="25" s="1"/>
  <c r="BI430" i="25" a="1"/>
  <c r="BI430" i="25" s="1"/>
  <c r="BA422" i="25"/>
  <c r="BI431" i="25" s="1" a="1"/>
  <c r="BI431" i="25" s="1"/>
  <c r="BI447" i="25"/>
  <c r="BI465" i="25" s="1"/>
  <c r="BI401" i="25"/>
  <c r="BI448" i="25" s="1"/>
  <c r="BI466" i="25" s="1"/>
  <c r="BU447" i="25"/>
  <c r="BU465" i="25" s="1"/>
  <c r="BU401" i="25"/>
  <c r="BU448" i="25" s="1"/>
  <c r="BU466" i="25" s="1"/>
  <c r="BM422" i="25"/>
  <c r="BU431" i="25" s="1" a="1"/>
  <c r="BU431" i="25" s="1"/>
  <c r="BM423" i="25"/>
  <c r="BU432" i="25" s="1" a="1"/>
  <c r="BU432" i="25" s="1"/>
  <c r="BU430" i="25" a="1"/>
  <c r="BU430" i="25" s="1"/>
  <c r="BN421" i="25" a="1"/>
  <c r="BN421" i="25" s="1"/>
  <c r="BV400" i="25"/>
  <c r="BW445" i="25"/>
  <c r="BW463" i="25" s="1"/>
  <c r="BW399" i="25"/>
  <c r="BW446" i="25" s="1"/>
  <c r="BW464" i="25" s="1"/>
  <c r="BO420" i="25" a="1"/>
  <c r="BO420" i="25" s="1"/>
  <c r="BW429" i="25" s="1" a="1"/>
  <c r="BW429" i="25" s="1"/>
  <c r="AF400" i="25"/>
  <c r="X421" i="25" a="1"/>
  <c r="X421" i="25" s="1"/>
  <c r="AD430" i="25" a="1"/>
  <c r="AD430" i="25" s="1"/>
  <c r="W84" i="25" s="1" a="1"/>
  <c r="W84" i="25" s="1"/>
  <c r="V422" i="25"/>
  <c r="AD431" i="25" s="1" a="1"/>
  <c r="AD431" i="25" s="1"/>
  <c r="AD84" i="25" s="1" a="1"/>
  <c r="AD84" i="25" s="1"/>
  <c r="V423" i="25"/>
  <c r="AD432" i="25" s="1" a="1"/>
  <c r="AD432" i="25" s="1"/>
  <c r="AK84" i="25" s="1" a="1"/>
  <c r="AK84" i="25" s="1"/>
  <c r="AD447" i="25"/>
  <c r="AD465" i="25" s="1"/>
  <c r="AD401" i="25"/>
  <c r="AD448" i="25" s="1"/>
  <c r="AD466" i="25" s="1"/>
  <c r="AC193" i="23"/>
  <c r="V193" i="23"/>
  <c r="AD193" i="23"/>
  <c r="AA193" i="23"/>
  <c r="W193" i="23"/>
  <c r="AE193" i="23"/>
  <c r="X193" i="23"/>
  <c r="U193" i="23"/>
  <c r="Y193" i="23"/>
  <c r="Z193" i="23"/>
  <c r="AB193" i="23"/>
  <c r="AC437" i="25"/>
  <c r="B169" i="25" a="1"/>
  <c r="B169" i="25" s="1"/>
  <c r="I169" i="25" a="1"/>
  <c r="I169" i="25" s="1"/>
  <c r="E137" i="21"/>
  <c r="C120" i="21" s="1"/>
  <c r="F137" i="21"/>
  <c r="E169" i="23"/>
  <c r="M169" i="23" s="1" a="1"/>
  <c r="M169" i="23" s="1"/>
  <c r="M178" i="23"/>
  <c r="AA128" i="23"/>
  <c r="E139" i="23"/>
  <c r="M168" i="23"/>
  <c r="E241" i="23"/>
  <c r="E122" i="23"/>
  <c r="E147" i="23"/>
  <c r="E223" i="23"/>
  <c r="I34" i="23"/>
  <c r="E203" i="23"/>
  <c r="E212" i="23"/>
  <c r="E178" i="23"/>
  <c r="E194" i="23"/>
  <c r="E232" i="23"/>
  <c r="E131" i="23"/>
  <c r="V204" i="23"/>
  <c r="W204" i="23" s="1"/>
  <c r="X204" i="23" s="1"/>
  <c r="Y204" i="23" s="1"/>
  <c r="Z204" i="23" s="1"/>
  <c r="AA204" i="23" s="1"/>
  <c r="AB204" i="23" s="1"/>
  <c r="AC204" i="23" s="1"/>
  <c r="AD204" i="23" s="1"/>
  <c r="AE204" i="23" s="1"/>
  <c r="U205" i="23" s="1"/>
  <c r="Q105" i="23"/>
  <c r="Q177" i="23" s="1"/>
  <c r="M231" i="23"/>
  <c r="M130" i="23"/>
  <c r="M202" i="23"/>
  <c r="M240" i="23"/>
  <c r="M146" i="23"/>
  <c r="M211" i="23"/>
  <c r="M121" i="23"/>
  <c r="M222" i="23"/>
  <c r="M193" i="23"/>
  <c r="AI398" i="25" l="1"/>
  <c r="AI399" i="25" s="1"/>
  <c r="AI400" i="25" s="1"/>
  <c r="AI447" i="25" s="1"/>
  <c r="AI465" i="25" s="1"/>
  <c r="AI446" i="25"/>
  <c r="AI464" i="25" s="1"/>
  <c r="AE430" i="25" a="1"/>
  <c r="AE430" i="25" s="1"/>
  <c r="W89" i="25" s="1" a="1"/>
  <c r="W89" i="25" s="1"/>
  <c r="W423" i="25"/>
  <c r="AE432" i="25" s="1" a="1"/>
  <c r="AE432" i="25" s="1"/>
  <c r="AK89" i="25" s="1" a="1"/>
  <c r="AK89" i="25" s="1"/>
  <c r="AE401" i="25"/>
  <c r="AE448" i="25" s="1"/>
  <c r="AE466" i="25" s="1"/>
  <c r="Z420" i="25" a="1"/>
  <c r="Z420" i="25" s="1"/>
  <c r="AH429" i="25" s="1" a="1"/>
  <c r="AH429" i="25" s="1"/>
  <c r="P104" i="25" s="1" a="1"/>
  <c r="P104" i="25" s="1"/>
  <c r="AH399" i="25"/>
  <c r="AH400" i="25" s="1"/>
  <c r="AH447" i="25" s="1"/>
  <c r="AH465" i="25" s="1"/>
  <c r="Y421" i="25" a="1"/>
  <c r="Y421" i="25" s="1"/>
  <c r="AG430" i="25" s="1" a="1"/>
  <c r="AG430" i="25" s="1"/>
  <c r="W99" i="25" s="1" a="1"/>
  <c r="W99" i="25" s="1"/>
  <c r="AG400" i="25"/>
  <c r="AG447" i="25" s="1"/>
  <c r="AG465" i="25" s="1"/>
  <c r="BL399" i="25"/>
  <c r="BD420" i="25" a="1"/>
  <c r="BD420" i="25" s="1"/>
  <c r="BL429" i="25" s="1" a="1"/>
  <c r="BL429" i="25" s="1"/>
  <c r="BK446" i="25"/>
  <c r="BK464" i="25" s="1"/>
  <c r="BK400" i="25"/>
  <c r="BC421" i="25" a="1"/>
  <c r="BC421" i="25" s="1"/>
  <c r="BB422" i="25"/>
  <c r="BJ431" i="25" s="1" a="1"/>
  <c r="BJ431" i="25" s="1"/>
  <c r="BJ430" i="25" a="1"/>
  <c r="BJ430" i="25" s="1"/>
  <c r="BB423" i="25"/>
  <c r="BJ432" i="25" s="1" a="1"/>
  <c r="BJ432" i="25" s="1"/>
  <c r="BJ447" i="25"/>
  <c r="BJ465" i="25" s="1"/>
  <c r="BJ401" i="25"/>
  <c r="BJ448" i="25" s="1"/>
  <c r="BJ466" i="25" s="1"/>
  <c r="AJ398" i="25"/>
  <c r="AJ399" i="25" s="1"/>
  <c r="AJ446" i="25" s="1"/>
  <c r="AJ464" i="25" s="1"/>
  <c r="BW400" i="25"/>
  <c r="BO421" i="25" a="1"/>
  <c r="BO421" i="25" s="1"/>
  <c r="BV447" i="25"/>
  <c r="BV465" i="25" s="1"/>
  <c r="BV401" i="25"/>
  <c r="BV448" i="25" s="1"/>
  <c r="BV466" i="25" s="1"/>
  <c r="BN422" i="25"/>
  <c r="BV431" i="25" s="1" a="1"/>
  <c r="BV431" i="25" s="1"/>
  <c r="BV430" i="25" a="1"/>
  <c r="BV430" i="25" s="1"/>
  <c r="BN423" i="25"/>
  <c r="BV432" i="25" s="1" a="1"/>
  <c r="BV432" i="25" s="1"/>
  <c r="X423" i="25"/>
  <c r="AF432" i="25" s="1" a="1"/>
  <c r="AF432" i="25" s="1"/>
  <c r="AK94" i="25" s="1" a="1"/>
  <c r="AK94" i="25" s="1"/>
  <c r="X422" i="25"/>
  <c r="AF431" i="25" s="1" a="1"/>
  <c r="AF431" i="25" s="1"/>
  <c r="AD94" i="25" s="1" a="1"/>
  <c r="AD94" i="25" s="1"/>
  <c r="AF430" i="25" a="1"/>
  <c r="AF430" i="25" s="1"/>
  <c r="W94" i="25" s="1" a="1"/>
  <c r="W94" i="25" s="1"/>
  <c r="AF447" i="25"/>
  <c r="AF465" i="25" s="1"/>
  <c r="AF401" i="25"/>
  <c r="AF448" i="25" s="1"/>
  <c r="AF466" i="25" s="1"/>
  <c r="AD437" i="25"/>
  <c r="B174" i="25" a="1"/>
  <c r="B174" i="25" s="1"/>
  <c r="I174" i="25" a="1"/>
  <c r="I174" i="25" s="1"/>
  <c r="P169" i="23" a="1"/>
  <c r="P169" i="23" s="1"/>
  <c r="T169" i="23" a="1"/>
  <c r="T169" i="23" s="1"/>
  <c r="W169" i="23" a="1"/>
  <c r="W169" i="23" s="1"/>
  <c r="O169" i="23" a="1"/>
  <c r="O169" i="23" s="1"/>
  <c r="S169" i="23" a="1"/>
  <c r="S169" i="23" s="1"/>
  <c r="N169" i="23" a="1"/>
  <c r="N169" i="23" s="1"/>
  <c r="V169" i="23" a="1"/>
  <c r="V169" i="23" s="1"/>
  <c r="R169" i="23" a="1"/>
  <c r="R169" i="23" s="1"/>
  <c r="Q169" i="23" a="1"/>
  <c r="Q169" i="23" s="1"/>
  <c r="U169" i="23" a="1"/>
  <c r="U169" i="23" s="1"/>
  <c r="V205" i="23"/>
  <c r="W205" i="23" s="1"/>
  <c r="X205" i="23" s="1"/>
  <c r="Y205" i="23" s="1"/>
  <c r="Z205" i="23" s="1"/>
  <c r="AA205" i="23" s="1"/>
  <c r="AB205" i="23" s="1"/>
  <c r="AC205" i="23" s="1"/>
  <c r="AD205" i="23" s="1"/>
  <c r="AE205" i="23" s="1"/>
  <c r="AB128" i="23"/>
  <c r="F139" i="23"/>
  <c r="E170" i="23"/>
  <c r="M131" i="23"/>
  <c r="M122" i="23"/>
  <c r="M147" i="23"/>
  <c r="M223" i="23"/>
  <c r="M203" i="23"/>
  <c r="M232" i="23"/>
  <c r="Q106" i="23"/>
  <c r="Q178" i="23" s="1"/>
  <c r="M194" i="23"/>
  <c r="M241" i="23"/>
  <c r="M212" i="23"/>
  <c r="P34" i="23"/>
  <c r="E179" i="23"/>
  <c r="V235" i="23"/>
  <c r="W235" i="23" s="1"/>
  <c r="X235" i="23" s="1"/>
  <c r="Y235" i="23" s="1"/>
  <c r="Z235" i="23" s="1"/>
  <c r="AA235" i="23" s="1"/>
  <c r="AB235" i="23" s="1"/>
  <c r="AC235" i="23" s="1"/>
  <c r="AD235" i="23" s="1"/>
  <c r="AE235" i="23" s="1"/>
  <c r="U236" i="23" s="1"/>
  <c r="M179" i="23"/>
  <c r="E123" i="23"/>
  <c r="E195" i="23"/>
  <c r="E224" i="23"/>
  <c r="E233" i="23"/>
  <c r="E132" i="23"/>
  <c r="E204" i="23"/>
  <c r="E213" i="23"/>
  <c r="E242" i="23"/>
  <c r="E148" i="23"/>
  <c r="Q202" i="23"/>
  <c r="Q240" i="23"/>
  <c r="Q146" i="23"/>
  <c r="Q211" i="23"/>
  <c r="Q121" i="23"/>
  <c r="Q193" i="23"/>
  <c r="Q231" i="23"/>
  <c r="Q130" i="23"/>
  <c r="Q222" i="23"/>
  <c r="AA420" i="25" l="1" a="1"/>
  <c r="AA420" i="25" s="1"/>
  <c r="AI429" i="25" s="1" a="1"/>
  <c r="AI429" i="25" s="1"/>
  <c r="P109" i="25" s="1" a="1"/>
  <c r="P109" i="25" s="1"/>
  <c r="AI445" i="25"/>
  <c r="AI463" i="25" s="1"/>
  <c r="AI401" i="25"/>
  <c r="AI448" i="25" s="1"/>
  <c r="AI466" i="25" s="1"/>
  <c r="AA421" i="25" a="1"/>
  <c r="AA421" i="25" s="1"/>
  <c r="AA423" i="25" s="1"/>
  <c r="AI432" i="25" s="1" a="1"/>
  <c r="AI432" i="25" s="1"/>
  <c r="AK109" i="25" s="1" a="1"/>
  <c r="AK109" i="25" s="1"/>
  <c r="AJ445" i="25"/>
  <c r="AJ463" i="25" s="1"/>
  <c r="AG401" i="25"/>
  <c r="AG448" i="25" s="1"/>
  <c r="AG466" i="25" s="1"/>
  <c r="Z421" i="25" a="1"/>
  <c r="Z421" i="25" s="1"/>
  <c r="Z423" i="25" s="1"/>
  <c r="AH432" i="25" s="1" a="1"/>
  <c r="AH432" i="25" s="1"/>
  <c r="AK104" i="25" s="1" a="1"/>
  <c r="AK104" i="25" s="1"/>
  <c r="AH446" i="25"/>
  <c r="AH464" i="25" s="1"/>
  <c r="Y423" i="25"/>
  <c r="AG432" i="25" s="1" a="1"/>
  <c r="AG432" i="25" s="1"/>
  <c r="AK99" i="25" s="1" a="1"/>
  <c r="AK99" i="25" s="1"/>
  <c r="Y422" i="25"/>
  <c r="AG431" i="25" s="1" a="1"/>
  <c r="AG431" i="25" s="1"/>
  <c r="AD99" i="25" s="1" a="1"/>
  <c r="AD99" i="25" s="1"/>
  <c r="AB420" i="25" a="1"/>
  <c r="AB420" i="25" s="1"/>
  <c r="AJ429" i="25" s="1" a="1"/>
  <c r="AJ429" i="25" s="1"/>
  <c r="P114" i="25" s="1" a="1"/>
  <c r="P114" i="25" s="1"/>
  <c r="AH401" i="25"/>
  <c r="AH448" i="25" s="1"/>
  <c r="AH466" i="25" s="1"/>
  <c r="AK398" i="25"/>
  <c r="AK399" i="25" s="1"/>
  <c r="AK446" i="25" s="1"/>
  <c r="AK464" i="25" s="1"/>
  <c r="BC423" i="25"/>
  <c r="BK432" i="25" s="1" a="1"/>
  <c r="BK432" i="25" s="1"/>
  <c r="BK430" i="25" a="1"/>
  <c r="BK430" i="25" s="1"/>
  <c r="BC422" i="25"/>
  <c r="BK431" i="25" s="1" a="1"/>
  <c r="BK431" i="25" s="1"/>
  <c r="BK447" i="25"/>
  <c r="BK465" i="25" s="1"/>
  <c r="BK401" i="25"/>
  <c r="BK448" i="25" s="1"/>
  <c r="BK466" i="25" s="1"/>
  <c r="BL446" i="25"/>
  <c r="BL464" i="25" s="1"/>
  <c r="BL400" i="25"/>
  <c r="BD421" i="25" a="1"/>
  <c r="BD421" i="25" s="1"/>
  <c r="BW430" i="25" a="1"/>
  <c r="BW430" i="25" s="1"/>
  <c r="BO422" i="25"/>
  <c r="BW431" i="25" s="1" a="1"/>
  <c r="BW431" i="25" s="1"/>
  <c r="BO423" i="25"/>
  <c r="BW432" i="25" s="1" a="1"/>
  <c r="BW432" i="25" s="1"/>
  <c r="BW447" i="25"/>
  <c r="BW465" i="25" s="1"/>
  <c r="BW401" i="25"/>
  <c r="BW448" i="25" s="1"/>
  <c r="BW466" i="25" s="1"/>
  <c r="AL398" i="25"/>
  <c r="AM398" i="25" s="1"/>
  <c r="AJ400" i="25"/>
  <c r="AB421" i="25" a="1"/>
  <c r="AB421" i="25" s="1"/>
  <c r="AE437" i="25"/>
  <c r="B179" i="25" a="1"/>
  <c r="B179" i="25" s="1"/>
  <c r="I179" i="25" a="1"/>
  <c r="I179" i="25" s="1"/>
  <c r="T170" i="23" a="1"/>
  <c r="T170" i="23" s="1"/>
  <c r="V170" i="23" a="1"/>
  <c r="V170" i="23" s="1"/>
  <c r="M170" i="23" a="1"/>
  <c r="M170" i="23" s="1"/>
  <c r="S170" i="23" a="1"/>
  <c r="S170" i="23" s="1"/>
  <c r="N170" i="23" a="1"/>
  <c r="N170" i="23" s="1"/>
  <c r="P170" i="23" a="1"/>
  <c r="P170" i="23" s="1"/>
  <c r="R170" i="23" a="1"/>
  <c r="R170" i="23" s="1"/>
  <c r="W170" i="23" a="1"/>
  <c r="W170" i="23" s="1"/>
  <c r="O170" i="23" a="1"/>
  <c r="O170" i="23" s="1"/>
  <c r="U170" i="23" a="1"/>
  <c r="U170" i="23" s="1"/>
  <c r="Q170" i="23" a="1"/>
  <c r="Q170" i="23" s="1"/>
  <c r="AB147" i="23"/>
  <c r="AB194" i="23" s="1"/>
  <c r="AC147" i="23"/>
  <c r="AC194" i="23" s="1"/>
  <c r="AD147" i="23"/>
  <c r="AD194" i="23" s="1"/>
  <c r="W147" i="23"/>
  <c r="W194" i="23" s="1"/>
  <c r="AE147" i="23"/>
  <c r="AE194" i="23" s="1"/>
  <c r="X147" i="23"/>
  <c r="X194" i="23" s="1"/>
  <c r="V147" i="23"/>
  <c r="V194" i="23" s="1"/>
  <c r="AA147" i="23"/>
  <c r="AA194" i="23" s="1"/>
  <c r="Y147" i="23"/>
  <c r="Y194" i="23" s="1"/>
  <c r="Z147" i="23"/>
  <c r="Z194" i="23" s="1"/>
  <c r="U206" i="23"/>
  <c r="V206" i="23" s="1"/>
  <c r="W206" i="23" s="1"/>
  <c r="X206" i="23" s="1"/>
  <c r="Y206" i="23" s="1"/>
  <c r="Z206" i="23" s="1"/>
  <c r="AA206" i="23" s="1"/>
  <c r="AB206" i="23" s="1"/>
  <c r="AC206" i="23" s="1"/>
  <c r="AD206" i="23" s="1"/>
  <c r="AE206" i="23" s="1"/>
  <c r="U207" i="23" s="1"/>
  <c r="V207" i="23" s="1"/>
  <c r="W207" i="23" s="1"/>
  <c r="X207" i="23" s="1"/>
  <c r="Y207" i="23" s="1"/>
  <c r="Z207" i="23" s="1"/>
  <c r="AA207" i="23" s="1"/>
  <c r="AB207" i="23" s="1"/>
  <c r="AC207" i="23" s="1"/>
  <c r="AD207" i="23" s="1"/>
  <c r="AE207" i="23" s="1"/>
  <c r="E133" i="23"/>
  <c r="M180" i="23"/>
  <c r="E244" i="23"/>
  <c r="AC128" i="23"/>
  <c r="G139" i="23"/>
  <c r="W34" i="23"/>
  <c r="E196" i="23"/>
  <c r="E124" i="23"/>
  <c r="E234" i="23"/>
  <c r="E214" i="23"/>
  <c r="E243" i="23"/>
  <c r="E205" i="23"/>
  <c r="Q147" i="23"/>
  <c r="Q212" i="23"/>
  <c r="E171" i="23"/>
  <c r="E225" i="23"/>
  <c r="E149" i="23"/>
  <c r="E180" i="23"/>
  <c r="Q223" i="23"/>
  <c r="Q232" i="23"/>
  <c r="Q194" i="23"/>
  <c r="Q203" i="23"/>
  <c r="Q122" i="23"/>
  <c r="Q241" i="23"/>
  <c r="Q131" i="23"/>
  <c r="V236" i="23"/>
  <c r="W236" i="23" s="1"/>
  <c r="X236" i="23" s="1"/>
  <c r="Y236" i="23" s="1"/>
  <c r="Z236" i="23" s="1"/>
  <c r="AA236" i="23" s="1"/>
  <c r="AB236" i="23" s="1"/>
  <c r="AC236" i="23" s="1"/>
  <c r="AD236" i="23" s="1"/>
  <c r="AE236" i="23" s="1"/>
  <c r="M195" i="23"/>
  <c r="M224" i="23"/>
  <c r="M233" i="23"/>
  <c r="M132" i="23"/>
  <c r="M204" i="23"/>
  <c r="M242" i="23"/>
  <c r="M148" i="23"/>
  <c r="M123" i="23"/>
  <c r="M213" i="23"/>
  <c r="Q107" i="23"/>
  <c r="Q179" i="23" s="1"/>
  <c r="AA422" i="25" l="1"/>
  <c r="AI431" i="25" s="1" a="1"/>
  <c r="AI431" i="25" s="1"/>
  <c r="AD109" i="25" s="1" a="1"/>
  <c r="AD109" i="25" s="1"/>
  <c r="AI430" i="25" a="1"/>
  <c r="AI430" i="25" s="1"/>
  <c r="W109" i="25" s="1" a="1"/>
  <c r="W109" i="25" s="1"/>
  <c r="AK445" i="25"/>
  <c r="AK463" i="25" s="1"/>
  <c r="AC420" i="25" a="1"/>
  <c r="AC420" i="25" s="1"/>
  <c r="AK429" i="25" s="1" a="1"/>
  <c r="AK429" i="25" s="1"/>
  <c r="P119" i="25" s="1" a="1"/>
  <c r="P119" i="25" s="1"/>
  <c r="AH430" i="25" a="1"/>
  <c r="AH430" i="25" s="1"/>
  <c r="W104" i="25" s="1" a="1"/>
  <c r="W104" i="25" s="1"/>
  <c r="Z422" i="25"/>
  <c r="AH431" i="25" s="1" a="1"/>
  <c r="AH431" i="25" s="1"/>
  <c r="AD104" i="25" s="1" a="1"/>
  <c r="AD104" i="25" s="1"/>
  <c r="BL430" i="25" a="1"/>
  <c r="BL430" i="25" s="1"/>
  <c r="BD423" i="25"/>
  <c r="BL432" i="25" s="1" a="1"/>
  <c r="BL432" i="25" s="1"/>
  <c r="BD422" i="25"/>
  <c r="BL431" i="25" s="1" a="1"/>
  <c r="BL431" i="25" s="1"/>
  <c r="BL447" i="25"/>
  <c r="BL465" i="25" s="1"/>
  <c r="BL401" i="25"/>
  <c r="BL448" i="25" s="1"/>
  <c r="BL466" i="25" s="1"/>
  <c r="AM445" i="25"/>
  <c r="AM463" i="25" s="1"/>
  <c r="AN398" i="25"/>
  <c r="AM399" i="25"/>
  <c r="AM446" i="25" s="1"/>
  <c r="AM464" i="25" s="1"/>
  <c r="AE420" i="25" a="1"/>
  <c r="AE420" i="25" s="1"/>
  <c r="AM429" i="25" s="1" a="1"/>
  <c r="AM429" i="25" s="1"/>
  <c r="P129" i="25" s="1" a="1"/>
  <c r="P129" i="25" s="1"/>
  <c r="AB422" i="25"/>
  <c r="AJ431" i="25" s="1" a="1"/>
  <c r="AJ431" i="25" s="1"/>
  <c r="AD114" i="25" s="1" a="1"/>
  <c r="AD114" i="25" s="1"/>
  <c r="AB423" i="25"/>
  <c r="AJ432" i="25" s="1" a="1"/>
  <c r="AJ432" i="25" s="1"/>
  <c r="AK114" i="25" s="1" a="1"/>
  <c r="AK114" i="25" s="1"/>
  <c r="AJ430" i="25" a="1"/>
  <c r="AJ430" i="25" s="1"/>
  <c r="W114" i="25" s="1" a="1"/>
  <c r="W114" i="25" s="1"/>
  <c r="AK400" i="25"/>
  <c r="AC421" i="25" a="1"/>
  <c r="AC421" i="25" s="1"/>
  <c r="AJ447" i="25"/>
  <c r="AJ465" i="25" s="1"/>
  <c r="AJ401" i="25"/>
  <c r="AJ448" i="25" s="1"/>
  <c r="AJ466" i="25" s="1"/>
  <c r="AL445" i="25"/>
  <c r="AL463" i="25" s="1"/>
  <c r="AD420" i="25" a="1"/>
  <c r="AD420" i="25" s="1"/>
  <c r="AL429" i="25" s="1" a="1"/>
  <c r="AL429" i="25" s="1"/>
  <c r="P124" i="25" s="1" a="1"/>
  <c r="P124" i="25" s="1"/>
  <c r="AL399" i="25"/>
  <c r="AL446" i="25" s="1"/>
  <c r="AL464" i="25" s="1"/>
  <c r="AF437" i="25"/>
  <c r="B184" i="25" a="1"/>
  <c r="B184" i="25" s="1"/>
  <c r="I184" i="25" a="1"/>
  <c r="I184" i="25" s="1"/>
  <c r="O171" i="23" a="1"/>
  <c r="O171" i="23" s="1"/>
  <c r="W171" i="23" a="1"/>
  <c r="W171" i="23" s="1"/>
  <c r="N171" i="23" a="1"/>
  <c r="N171" i="23" s="1"/>
  <c r="M171" i="23" a="1"/>
  <c r="M171" i="23" s="1"/>
  <c r="S171" i="23" a="1"/>
  <c r="S171" i="23" s="1"/>
  <c r="R171" i="23" a="1"/>
  <c r="R171" i="23" s="1"/>
  <c r="P171" i="23" a="1"/>
  <c r="P171" i="23" s="1"/>
  <c r="T171" i="23" a="1"/>
  <c r="T171" i="23" s="1"/>
  <c r="Q171" i="23" a="1"/>
  <c r="Q171" i="23" s="1"/>
  <c r="U171" i="23" a="1"/>
  <c r="U171" i="23" s="1"/>
  <c r="V171" i="23" a="1"/>
  <c r="V171" i="23" s="1"/>
  <c r="X148" i="23"/>
  <c r="X195" i="23" s="1"/>
  <c r="Y148" i="23"/>
  <c r="Y195" i="23" s="1"/>
  <c r="AE148" i="23"/>
  <c r="AE195" i="23" s="1"/>
  <c r="Z148" i="23"/>
  <c r="Z195" i="23" s="1"/>
  <c r="AA148" i="23"/>
  <c r="AA195" i="23" s="1"/>
  <c r="AB148" i="23"/>
  <c r="AB195" i="23" s="1"/>
  <c r="AC148" i="23"/>
  <c r="AC195" i="23" s="1"/>
  <c r="V148" i="23"/>
  <c r="V195" i="23" s="1"/>
  <c r="AD148" i="23"/>
  <c r="AD195" i="23" s="1"/>
  <c r="W148" i="23"/>
  <c r="W195" i="23" s="1"/>
  <c r="M181" i="23"/>
  <c r="AD128" i="23"/>
  <c r="H139" i="23"/>
  <c r="M205" i="23"/>
  <c r="E125" i="23"/>
  <c r="E215" i="23"/>
  <c r="E150" i="23"/>
  <c r="E134" i="23"/>
  <c r="E235" i="23"/>
  <c r="E181" i="23"/>
  <c r="M225" i="23"/>
  <c r="E226" i="23"/>
  <c r="AD34" i="23"/>
  <c r="M124" i="23"/>
  <c r="E197" i="23"/>
  <c r="M243" i="23"/>
  <c r="E206" i="23"/>
  <c r="M133" i="23"/>
  <c r="M234" i="23"/>
  <c r="M196" i="23"/>
  <c r="Q108" i="23"/>
  <c r="Q180" i="23" s="1"/>
  <c r="E172" i="23"/>
  <c r="M214" i="23"/>
  <c r="M149" i="23"/>
  <c r="Q224" i="23"/>
  <c r="Q233" i="23"/>
  <c r="Q132" i="23"/>
  <c r="Q204" i="23"/>
  <c r="Q242" i="23"/>
  <c r="Q148" i="23"/>
  <c r="Q213" i="23"/>
  <c r="Q195" i="23"/>
  <c r="Q123" i="23"/>
  <c r="AE421" i="25" l="1" a="1"/>
  <c r="AE421" i="25" s="1"/>
  <c r="AM400" i="25"/>
  <c r="AN445" i="25"/>
  <c r="AN463" i="25" s="1"/>
  <c r="AO398" i="25"/>
  <c r="AP398" i="25" s="1"/>
  <c r="AN399" i="25"/>
  <c r="AN446" i="25" s="1"/>
  <c r="AN464" i="25" s="1"/>
  <c r="AF420" i="25" a="1"/>
  <c r="AF420" i="25" s="1"/>
  <c r="AN429" i="25" s="1" a="1"/>
  <c r="AN429" i="25" s="1"/>
  <c r="P134" i="25" s="1" a="1"/>
  <c r="P134" i="25" s="1"/>
  <c r="AC422" i="25"/>
  <c r="AK431" i="25" s="1" a="1"/>
  <c r="AK431" i="25" s="1"/>
  <c r="AD119" i="25" s="1" a="1"/>
  <c r="AD119" i="25" s="1"/>
  <c r="AC423" i="25"/>
  <c r="AK432" i="25" s="1" a="1"/>
  <c r="AK432" i="25" s="1"/>
  <c r="AK119" i="25" s="1" a="1"/>
  <c r="AK119" i="25" s="1"/>
  <c r="AK430" i="25" a="1"/>
  <c r="AK430" i="25" s="1"/>
  <c r="W119" i="25" s="1" a="1"/>
  <c r="W119" i="25" s="1"/>
  <c r="AK447" i="25"/>
  <c r="AK465" i="25" s="1"/>
  <c r="AK401" i="25"/>
  <c r="AK448" i="25" s="1"/>
  <c r="AK466" i="25" s="1"/>
  <c r="AL400" i="25"/>
  <c r="AD421" i="25" a="1"/>
  <c r="AD421" i="25" s="1"/>
  <c r="AG437" i="25"/>
  <c r="B189" i="25" a="1"/>
  <c r="B189" i="25" s="1"/>
  <c r="I189" i="25" a="1"/>
  <c r="I189" i="25" s="1"/>
  <c r="N172" i="23"/>
  <c r="W172" i="23"/>
  <c r="U172" i="23"/>
  <c r="O172" i="23"/>
  <c r="R172" i="23"/>
  <c r="V172" i="23"/>
  <c r="Q172" i="23"/>
  <c r="M172" i="23"/>
  <c r="P172" i="23"/>
  <c r="S172" i="23"/>
  <c r="T172" i="23"/>
  <c r="AC149" i="23"/>
  <c r="AC196" i="23" s="1"/>
  <c r="Z149" i="23"/>
  <c r="Z196" i="23" s="1"/>
  <c r="AE149" i="23"/>
  <c r="AE196" i="23" s="1"/>
  <c r="V149" i="23"/>
  <c r="V196" i="23" s="1"/>
  <c r="W149" i="23"/>
  <c r="W196" i="23" s="1"/>
  <c r="X149" i="23"/>
  <c r="X196" i="23" s="1"/>
  <c r="Y149" i="23"/>
  <c r="Y196" i="23" s="1"/>
  <c r="AA149" i="23"/>
  <c r="AA196" i="23" s="1"/>
  <c r="AB149" i="23"/>
  <c r="AB196" i="23" s="1"/>
  <c r="AD149" i="23"/>
  <c r="AD196" i="23" s="1"/>
  <c r="AE128" i="23"/>
  <c r="Q214" i="23"/>
  <c r="M197" i="23"/>
  <c r="Q124" i="23"/>
  <c r="Q234" i="23"/>
  <c r="M244" i="23"/>
  <c r="Q133" i="23"/>
  <c r="Q243" i="23"/>
  <c r="Q109" i="23"/>
  <c r="Q181" i="23" s="1"/>
  <c r="M134" i="23"/>
  <c r="Q205" i="23"/>
  <c r="M235" i="23"/>
  <c r="Q225" i="23"/>
  <c r="E173" i="23"/>
  <c r="E198" i="23"/>
  <c r="E216" i="23"/>
  <c r="AK34" i="23"/>
  <c r="E135" i="23"/>
  <c r="E245" i="23"/>
  <c r="E151" i="23"/>
  <c r="E182" i="23"/>
  <c r="E207" i="23"/>
  <c r="E126" i="23"/>
  <c r="E227" i="23"/>
  <c r="E236" i="23"/>
  <c r="M206" i="23"/>
  <c r="M226" i="23"/>
  <c r="Q196" i="23"/>
  <c r="M125" i="23"/>
  <c r="M150" i="23"/>
  <c r="M215" i="23"/>
  <c r="Q149" i="23"/>
  <c r="AP445" i="25" l="1"/>
  <c r="AP463" i="25" s="1"/>
  <c r="AP399" i="25"/>
  <c r="AP446" i="25" s="1"/>
  <c r="AP464" i="25" s="1"/>
  <c r="AH420" i="25" a="1"/>
  <c r="AH420" i="25" s="1"/>
  <c r="AP429" i="25" s="1" a="1"/>
  <c r="AP429" i="25" s="1"/>
  <c r="P144" i="25" s="1" a="1"/>
  <c r="P144" i="25" s="1"/>
  <c r="AQ398" i="25"/>
  <c r="AO445" i="25"/>
  <c r="AO463" i="25" s="1"/>
  <c r="AG420" i="25" a="1"/>
  <c r="AG420" i="25" s="1"/>
  <c r="AO429" i="25" s="1" a="1"/>
  <c r="AO429" i="25" s="1"/>
  <c r="P139" i="25" s="1" a="1"/>
  <c r="P139" i="25" s="1"/>
  <c r="AO399" i="25"/>
  <c r="AO446" i="25" s="1"/>
  <c r="AO464" i="25" s="1"/>
  <c r="AN400" i="25"/>
  <c r="AF421" i="25" a="1"/>
  <c r="AF421" i="25" s="1"/>
  <c r="AM447" i="25"/>
  <c r="AM465" i="25" s="1"/>
  <c r="AM401" i="25"/>
  <c r="AM448" i="25" s="1"/>
  <c r="AM466" i="25" s="1"/>
  <c r="AE423" i="25"/>
  <c r="AM432" i="25" s="1" a="1"/>
  <c r="AM432" i="25" s="1"/>
  <c r="AK129" i="25" s="1" a="1"/>
  <c r="AK129" i="25" s="1"/>
  <c r="AE422" i="25"/>
  <c r="AM431" i="25" s="1" a="1"/>
  <c r="AM431" i="25" s="1"/>
  <c r="AD129" i="25" s="1" a="1"/>
  <c r="AD129" i="25" s="1"/>
  <c r="AM430" i="25" a="1"/>
  <c r="AM430" i="25" s="1"/>
  <c r="W129" i="25" s="1" a="1"/>
  <c r="W129" i="25" s="1"/>
  <c r="AD423" i="25"/>
  <c r="AL432" i="25" s="1" a="1"/>
  <c r="AL432" i="25" s="1"/>
  <c r="AK124" i="25" s="1" a="1"/>
  <c r="AK124" i="25" s="1"/>
  <c r="AD422" i="25"/>
  <c r="AL431" i="25" s="1" a="1"/>
  <c r="AL431" i="25" s="1"/>
  <c r="AD124" i="25" s="1" a="1"/>
  <c r="AD124" i="25" s="1"/>
  <c r="AL430" i="25" a="1"/>
  <c r="AL430" i="25" s="1"/>
  <c r="W124" i="25" s="1" a="1"/>
  <c r="W124" i="25" s="1"/>
  <c r="AL447" i="25"/>
  <c r="AL465" i="25" s="1"/>
  <c r="AL401" i="25"/>
  <c r="AL448" i="25" s="1"/>
  <c r="AL466" i="25" s="1"/>
  <c r="AH437" i="25"/>
  <c r="B194" i="25" a="1"/>
  <c r="B194" i="25" s="1"/>
  <c r="I194" i="25" a="1"/>
  <c r="I194" i="25" s="1"/>
  <c r="R173" i="23"/>
  <c r="U173" i="23"/>
  <c r="T173" i="23"/>
  <c r="N173" i="23"/>
  <c r="V173" i="23"/>
  <c r="O173" i="23"/>
  <c r="W173" i="23"/>
  <c r="M173" i="23"/>
  <c r="Q173" i="23"/>
  <c r="S173" i="23"/>
  <c r="P173" i="23"/>
  <c r="AA150" i="23"/>
  <c r="AA197" i="23" s="1"/>
  <c r="X150" i="23"/>
  <c r="X197" i="23" s="1"/>
  <c r="AE150" i="23"/>
  <c r="AE197" i="23" s="1"/>
  <c r="Y150" i="23"/>
  <c r="Y197" i="23" s="1"/>
  <c r="W150" i="23"/>
  <c r="W197" i="23" s="1"/>
  <c r="V150" i="23"/>
  <c r="V197" i="23" s="1"/>
  <c r="AD150" i="23"/>
  <c r="AD197" i="23" s="1"/>
  <c r="Z150" i="23"/>
  <c r="Z197" i="23" s="1"/>
  <c r="AB150" i="23"/>
  <c r="AB197" i="23" s="1"/>
  <c r="AC150" i="23"/>
  <c r="AC197" i="23" s="1"/>
  <c r="Q215" i="23"/>
  <c r="Q206" i="23"/>
  <c r="Q134" i="23"/>
  <c r="Q226" i="23"/>
  <c r="Q197" i="23"/>
  <c r="Q235" i="23"/>
  <c r="Q150" i="23"/>
  <c r="Q125" i="23"/>
  <c r="Q244" i="23"/>
  <c r="M182" i="23"/>
  <c r="M151" i="23"/>
  <c r="M216" i="23"/>
  <c r="M227" i="23"/>
  <c r="M126" i="23"/>
  <c r="Q110" i="23"/>
  <c r="M207" i="23"/>
  <c r="M236" i="23"/>
  <c r="M135" i="23"/>
  <c r="M245" i="23"/>
  <c r="M198" i="23"/>
  <c r="B36" i="14"/>
  <c r="F55" i="14"/>
  <c r="AQ445" i="25" l="1"/>
  <c r="AQ463" i="25" s="1"/>
  <c r="AQ399" i="25"/>
  <c r="AQ446" i="25" s="1"/>
  <c r="AQ464" i="25" s="1"/>
  <c r="AI420" i="25" a="1"/>
  <c r="AI420" i="25" s="1"/>
  <c r="AQ429" i="25" s="1" a="1"/>
  <c r="AQ429" i="25" s="1"/>
  <c r="P149" i="25" s="1" a="1"/>
  <c r="P149" i="25" s="1"/>
  <c r="AR398" i="25"/>
  <c r="AS398" i="25" s="1"/>
  <c r="AS445" i="25" s="1"/>
  <c r="AS463" i="25" s="1"/>
  <c r="AH421" i="25" a="1"/>
  <c r="AH421" i="25" s="1"/>
  <c r="AP400" i="25"/>
  <c r="AN430" i="25" a="1"/>
  <c r="AN430" i="25" s="1"/>
  <c r="W134" i="25" s="1" a="1"/>
  <c r="W134" i="25" s="1"/>
  <c r="AF423" i="25"/>
  <c r="AN432" i="25" s="1" a="1"/>
  <c r="AN432" i="25" s="1"/>
  <c r="AK134" i="25" s="1" a="1"/>
  <c r="AK134" i="25" s="1"/>
  <c r="AF422" i="25"/>
  <c r="AN431" i="25" s="1" a="1"/>
  <c r="AN431" i="25" s="1"/>
  <c r="AD134" i="25" s="1" a="1"/>
  <c r="AD134" i="25" s="1"/>
  <c r="AN447" i="25"/>
  <c r="AN465" i="25" s="1"/>
  <c r="AN401" i="25"/>
  <c r="AN448" i="25" s="1"/>
  <c r="AN466" i="25" s="1"/>
  <c r="AG421" i="25" a="1"/>
  <c r="AG421" i="25" s="1"/>
  <c r="AO400" i="25"/>
  <c r="AI437" i="25"/>
  <c r="B199" i="25" a="1"/>
  <c r="B199" i="25" s="1"/>
  <c r="I199" i="25" a="1"/>
  <c r="I199" i="25" s="1"/>
  <c r="AC151" i="23"/>
  <c r="AC198" i="23" s="1"/>
  <c r="AB151" i="23"/>
  <c r="AB198" i="23" s="1"/>
  <c r="V151" i="23"/>
  <c r="V198" i="23" s="1"/>
  <c r="AD151" i="23"/>
  <c r="AD198" i="23" s="1"/>
  <c r="W151" i="23"/>
  <c r="W198" i="23" s="1"/>
  <c r="AE151" i="23"/>
  <c r="AE198" i="23" s="1"/>
  <c r="X151" i="23"/>
  <c r="X198" i="23" s="1"/>
  <c r="Y151" i="23"/>
  <c r="Y198" i="23" s="1"/>
  <c r="Z151" i="23"/>
  <c r="Z198" i="23" s="1"/>
  <c r="AA151" i="23"/>
  <c r="AA198" i="23" s="1"/>
  <c r="Q182" i="23"/>
  <c r="Q236" i="23"/>
  <c r="Q198" i="23"/>
  <c r="Q135" i="23"/>
  <c r="Q207" i="23"/>
  <c r="Q245" i="23"/>
  <c r="Q151" i="23"/>
  <c r="Q216" i="23"/>
  <c r="Q126" i="23"/>
  <c r="Q227" i="23"/>
  <c r="AS399" i="25" l="1"/>
  <c r="AS446" i="25" s="1"/>
  <c r="AS464" i="25" s="1"/>
  <c r="AT398" i="25"/>
  <c r="AT445" i="25" s="1"/>
  <c r="AT463" i="25" s="1"/>
  <c r="AK420" i="25" a="1"/>
  <c r="AK420" i="25" s="1"/>
  <c r="AS429" i="25" s="1" a="1"/>
  <c r="AS429" i="25" s="1"/>
  <c r="P159" i="25" s="1" a="1"/>
  <c r="P159" i="25" s="1"/>
  <c r="AP447" i="25"/>
  <c r="AP465" i="25" s="1"/>
  <c r="AP401" i="25"/>
  <c r="AP448" i="25" s="1"/>
  <c r="AP466" i="25" s="1"/>
  <c r="AP430" i="25" a="1"/>
  <c r="AP430" i="25" s="1"/>
  <c r="W144" i="25" s="1" a="1"/>
  <c r="W144" i="25" s="1"/>
  <c r="AH422" i="25"/>
  <c r="AP431" i="25" s="1" a="1"/>
  <c r="AP431" i="25" s="1"/>
  <c r="AD144" i="25" s="1" a="1"/>
  <c r="AD144" i="25" s="1"/>
  <c r="AH423" i="25"/>
  <c r="AP432" i="25" s="1" a="1"/>
  <c r="AP432" i="25" s="1"/>
  <c r="AK144" i="25" s="1" a="1"/>
  <c r="AK144" i="25" s="1"/>
  <c r="AR445" i="25"/>
  <c r="AR463" i="25" s="1"/>
  <c r="AJ420" i="25" a="1"/>
  <c r="AJ420" i="25" s="1"/>
  <c r="AR429" i="25" s="1" a="1"/>
  <c r="AR429" i="25" s="1"/>
  <c r="P154" i="25" s="1" a="1"/>
  <c r="P154" i="25" s="1"/>
  <c r="AR399" i="25"/>
  <c r="AR446" i="25" s="1"/>
  <c r="AR464" i="25" s="1"/>
  <c r="AI421" i="25" a="1"/>
  <c r="AI421" i="25" s="1"/>
  <c r="AQ400" i="25"/>
  <c r="AO447" i="25"/>
  <c r="AO465" i="25" s="1"/>
  <c r="AO401" i="25"/>
  <c r="AO448" i="25" s="1"/>
  <c r="AO466" i="25" s="1"/>
  <c r="AO430" i="25" a="1"/>
  <c r="AO430" i="25" s="1"/>
  <c r="W139" i="25" s="1" a="1"/>
  <c r="W139" i="25" s="1"/>
  <c r="AG422" i="25"/>
  <c r="AO431" i="25" s="1" a="1"/>
  <c r="AO431" i="25" s="1"/>
  <c r="AD139" i="25" s="1" a="1"/>
  <c r="AD139" i="25" s="1"/>
  <c r="AG423" i="25"/>
  <c r="AO432" i="25" s="1" a="1"/>
  <c r="AO432" i="25" s="1"/>
  <c r="AK139" i="25" s="1" a="1"/>
  <c r="AK139" i="25" s="1"/>
  <c r="AJ437" i="25"/>
  <c r="B204" i="25" a="1"/>
  <c r="B204" i="25" s="1"/>
  <c r="I204" i="25" a="1"/>
  <c r="I204" i="25" s="1"/>
  <c r="W204" i="25" a="1"/>
  <c r="W204" i="25" s="1"/>
  <c r="P204" i="25" a="1"/>
  <c r="P204" i="25" s="1"/>
  <c r="AD204" i="25" a="1"/>
  <c r="AD204" i="25" s="1"/>
  <c r="AK204" i="25" a="1"/>
  <c r="AK204" i="25" s="1"/>
  <c r="AA109" i="23"/>
  <c r="AA226" i="23" s="1"/>
  <c r="U106" i="23"/>
  <c r="U122" i="23" s="1"/>
  <c r="V108" i="23"/>
  <c r="AA107" i="23"/>
  <c r="AA105" i="23"/>
  <c r="AA121" i="23" s="1"/>
  <c r="Y105" i="23"/>
  <c r="Y121" i="23" s="1"/>
  <c r="AD107" i="23"/>
  <c r="AP130" i="23" a="1"/>
  <c r="AP130" i="23" s="1"/>
  <c r="V109" i="23"/>
  <c r="V226" i="23" s="1"/>
  <c r="V110" i="23"/>
  <c r="V227" i="23" s="1"/>
  <c r="U110" i="23"/>
  <c r="U227" i="23" s="1"/>
  <c r="AD110" i="23"/>
  <c r="AD227" i="23" s="1"/>
  <c r="AD109" i="23"/>
  <c r="AD226" i="23" s="1"/>
  <c r="W106" i="23"/>
  <c r="Z106" i="23"/>
  <c r="Y108" i="23"/>
  <c r="AB108" i="23"/>
  <c r="Y106" i="23"/>
  <c r="W109" i="23"/>
  <c r="W226" i="23" s="1"/>
  <c r="AC108" i="23"/>
  <c r="Z110" i="23"/>
  <c r="Z227" i="23" s="1"/>
  <c r="AA106" i="23"/>
  <c r="V107" i="23"/>
  <c r="AB106" i="23"/>
  <c r="U105" i="23"/>
  <c r="U121" i="23" s="1"/>
  <c r="AB110" i="23"/>
  <c r="AB227" i="23" s="1"/>
  <c r="AB105" i="23"/>
  <c r="AB121" i="23" s="1"/>
  <c r="AE109" i="23"/>
  <c r="AE226" i="23" s="1"/>
  <c r="AB107" i="23"/>
  <c r="X106" i="23"/>
  <c r="Y107" i="23"/>
  <c r="Z108" i="23"/>
  <c r="AC109" i="23"/>
  <c r="AC226" i="23" s="1"/>
  <c r="AB109" i="23"/>
  <c r="AB226" i="23" s="1"/>
  <c r="AE106" i="23"/>
  <c r="V105" i="23"/>
  <c r="Z105" i="23"/>
  <c r="Z121" i="23" s="1"/>
  <c r="W105" i="23"/>
  <c r="W121" i="23" s="1"/>
  <c r="U109" i="23"/>
  <c r="U226" i="23" s="1"/>
  <c r="Y110" i="23"/>
  <c r="Y227" i="23" s="1"/>
  <c r="Z109" i="23"/>
  <c r="Z226" i="23" s="1"/>
  <c r="W110" i="23"/>
  <c r="W227" i="23" s="1"/>
  <c r="Y109" i="23"/>
  <c r="Y226" i="23" s="1"/>
  <c r="W108" i="23"/>
  <c r="AD105" i="23"/>
  <c r="AD121" i="23" s="1"/>
  <c r="W107" i="23"/>
  <c r="X110" i="23"/>
  <c r="X227" i="23" s="1"/>
  <c r="AC106" i="23"/>
  <c r="X108" i="23"/>
  <c r="AE107" i="23"/>
  <c r="AE108" i="23"/>
  <c r="AA110" i="23"/>
  <c r="AA227" i="23" s="1"/>
  <c r="X105" i="23"/>
  <c r="X121" i="23" s="1"/>
  <c r="AC110" i="23"/>
  <c r="AC227" i="23" s="1"/>
  <c r="AE110" i="23"/>
  <c r="AE227" i="23" s="1"/>
  <c r="U107" i="23"/>
  <c r="U123" i="23" s="1"/>
  <c r="AA108" i="23"/>
  <c r="AC107" i="23"/>
  <c r="X107" i="23"/>
  <c r="AD106" i="23"/>
  <c r="U108" i="23"/>
  <c r="AD108" i="23"/>
  <c r="AC105" i="23"/>
  <c r="AC121" i="23" s="1"/>
  <c r="AE105" i="23"/>
  <c r="AE121" i="23" s="1"/>
  <c r="V106" i="23"/>
  <c r="Z107" i="23"/>
  <c r="X109" i="23"/>
  <c r="X226" i="23" s="1"/>
  <c r="AK67" i="23" a="1"/>
  <c r="P92" i="23" a="1"/>
  <c r="W77" i="23" a="1"/>
  <c r="W37" i="23" a="1"/>
  <c r="B57" i="23" a="1"/>
  <c r="AK92" i="23" a="1"/>
  <c r="AK47" i="23" a="1"/>
  <c r="B52" i="23" a="1"/>
  <c r="AD62" i="23" a="1"/>
  <c r="B47" i="23" a="1"/>
  <c r="P62" i="23" a="1"/>
  <c r="B87" i="23" a="1"/>
  <c r="AK77" i="23" a="1"/>
  <c r="B92" i="23" a="1"/>
  <c r="P52" i="23" a="1"/>
  <c r="AD77" i="23" a="1"/>
  <c r="W62" i="23" a="1"/>
  <c r="B67" i="23" a="1"/>
  <c r="I92" i="23" a="1"/>
  <c r="B37" i="23" a="1"/>
  <c r="I62" i="23" a="1"/>
  <c r="AK57" i="23" a="1"/>
  <c r="W87" i="23" a="1"/>
  <c r="W67" i="23" a="1"/>
  <c r="P77" i="23" a="1"/>
  <c r="I52" i="23" a="1"/>
  <c r="AK72" i="23" a="1"/>
  <c r="AD57" i="23" a="1"/>
  <c r="B42" i="23" a="1"/>
  <c r="AK82" i="23" a="1"/>
  <c r="AD47" i="23" a="1"/>
  <c r="W72" i="23" a="1"/>
  <c r="W92" i="23" a="1"/>
  <c r="I72" i="23" a="1"/>
  <c r="I87" i="23" a="1"/>
  <c r="I82" i="23" a="1"/>
  <c r="W52" i="23" a="1"/>
  <c r="AD92" i="23" a="1"/>
  <c r="B77" i="23" a="1"/>
  <c r="P57" i="23" a="1"/>
  <c r="W47" i="23" a="1"/>
  <c r="B82" i="23" a="1"/>
  <c r="W42" i="23" a="1"/>
  <c r="I42" i="23" a="1"/>
  <c r="P87" i="23" a="1"/>
  <c r="P47" i="23" a="1"/>
  <c r="AD82" i="23" a="1"/>
  <c r="AK42" i="23" a="1"/>
  <c r="AD67" i="23" a="1"/>
  <c r="P67" i="23" a="1"/>
  <c r="AD52" i="23" a="1"/>
  <c r="P72" i="23" a="1"/>
  <c r="AD37" i="23" a="1"/>
  <c r="I57" i="23" a="1"/>
  <c r="I47" i="23" a="1"/>
  <c r="I67" i="23" a="1"/>
  <c r="I77" i="23" a="1"/>
  <c r="B62" i="23" a="1"/>
  <c r="AD72" i="23" a="1"/>
  <c r="W82" i="23" a="1"/>
  <c r="AK37" i="23" a="1"/>
  <c r="AK52" i="23" a="1"/>
  <c r="B72" i="23" a="1"/>
  <c r="W57" i="23" a="1"/>
  <c r="AK62" i="23" a="1"/>
  <c r="P42" i="23" a="1"/>
  <c r="AK87" i="23" a="1"/>
  <c r="AD87" i="23" a="1"/>
  <c r="P82" i="23" a="1"/>
  <c r="AD42" i="23" a="1"/>
  <c r="P37" i="23" a="1"/>
  <c r="I37" i="23" a="1"/>
  <c r="AU398" i="25" l="1"/>
  <c r="AU445" i="25" s="1"/>
  <c r="AU463" i="25" s="1"/>
  <c r="AT399" i="25"/>
  <c r="AT446" i="25" s="1"/>
  <c r="AT464" i="25" s="1"/>
  <c r="AL420" i="25" a="1"/>
  <c r="AL420" i="25" s="1"/>
  <c r="AT429" i="25" s="1" a="1"/>
  <c r="AT429" i="25" s="1"/>
  <c r="P164" i="25" s="1" a="1"/>
  <c r="P164" i="25" s="1"/>
  <c r="AK421" i="25" a="1"/>
  <c r="AK421" i="25" s="1"/>
  <c r="AS400" i="25"/>
  <c r="AR400" i="25"/>
  <c r="AJ421" i="25" a="1"/>
  <c r="AJ421" i="25" s="1"/>
  <c r="AQ447" i="25"/>
  <c r="AQ465" i="25" s="1"/>
  <c r="AQ401" i="25"/>
  <c r="AQ448" i="25" s="1"/>
  <c r="AQ466" i="25" s="1"/>
  <c r="AI422" i="25"/>
  <c r="AQ431" i="25" s="1" a="1"/>
  <c r="AQ431" i="25" s="1"/>
  <c r="AD149" i="25" s="1" a="1"/>
  <c r="AD149" i="25" s="1"/>
  <c r="AQ430" i="25" a="1"/>
  <c r="AQ430" i="25" s="1"/>
  <c r="W149" i="25" s="1" a="1"/>
  <c r="W149" i="25" s="1"/>
  <c r="AI423" i="25"/>
  <c r="AQ432" i="25" s="1" a="1"/>
  <c r="AQ432" i="25" s="1"/>
  <c r="AK149" i="25" s="1" a="1"/>
  <c r="AK149" i="25" s="1"/>
  <c r="AK437" i="25"/>
  <c r="B209" i="25" a="1"/>
  <c r="B209" i="25" s="1"/>
  <c r="I209" i="25" a="1"/>
  <c r="I209" i="25" s="1"/>
  <c r="W209" i="25" a="1"/>
  <c r="W209" i="25" s="1"/>
  <c r="P209" i="25" a="1"/>
  <c r="P209" i="25" s="1"/>
  <c r="AD209" i="25" a="1"/>
  <c r="AD209" i="25" s="1"/>
  <c r="AK209" i="25" a="1"/>
  <c r="AK209" i="25" s="1"/>
  <c r="U126" i="23"/>
  <c r="U135" i="23" s="1"/>
  <c r="U125" i="23"/>
  <c r="U134" i="23" s="1"/>
  <c r="V121" i="23"/>
  <c r="AN126" i="23"/>
  <c r="X123" i="23"/>
  <c r="AB123" i="23"/>
  <c r="AN130" i="23" a="1"/>
  <c r="AN130" i="23" s="1"/>
  <c r="W126" i="23"/>
  <c r="V126" i="23"/>
  <c r="AL125" i="23"/>
  <c r="AG126" i="23"/>
  <c r="AO126" i="23"/>
  <c r="AJ126" i="23"/>
  <c r="AM126" i="23"/>
  <c r="Z126" i="23"/>
  <c r="AA126" i="23"/>
  <c r="X126" i="23"/>
  <c r="AP126" i="23"/>
  <c r="AL126" i="23"/>
  <c r="AB126" i="23"/>
  <c r="AE126" i="23"/>
  <c r="AD126" i="23"/>
  <c r="AK126" i="23"/>
  <c r="AH126" i="23"/>
  <c r="AC126" i="23"/>
  <c r="Y126" i="23"/>
  <c r="AI126" i="23"/>
  <c r="AF126" i="23"/>
  <c r="AI125" i="23"/>
  <c r="AO123" i="23"/>
  <c r="AO125" i="23"/>
  <c r="AG125" i="23"/>
  <c r="AJ125" i="23"/>
  <c r="AP123" i="23"/>
  <c r="AM125" i="23"/>
  <c r="AK125" i="23"/>
  <c r="AB125" i="23"/>
  <c r="Y125" i="23"/>
  <c r="AF125" i="23"/>
  <c r="AJ123" i="23"/>
  <c r="AC123" i="23"/>
  <c r="AE123" i="23"/>
  <c r="W123" i="23"/>
  <c r="AD123" i="23"/>
  <c r="AF123" i="23"/>
  <c r="V125" i="23"/>
  <c r="AI123" i="23"/>
  <c r="Z123" i="23"/>
  <c r="AL123" i="23"/>
  <c r="AC125" i="23"/>
  <c r="AD125" i="23"/>
  <c r="AM123" i="23"/>
  <c r="AG123" i="23"/>
  <c r="AE125" i="23"/>
  <c r="AH125" i="23"/>
  <c r="AN125" i="23"/>
  <c r="X125" i="23"/>
  <c r="AN123" i="23"/>
  <c r="Z125" i="23"/>
  <c r="Y123" i="23"/>
  <c r="AP125" i="23"/>
  <c r="W125" i="23"/>
  <c r="AH123" i="23"/>
  <c r="V123" i="23"/>
  <c r="AK123" i="23"/>
  <c r="AA123" i="23"/>
  <c r="AA125" i="23"/>
  <c r="I82" i="23"/>
  <c r="J82" i="23" s="1"/>
  <c r="K82" i="23" s="1"/>
  <c r="L82" i="23" s="1"/>
  <c r="M82" i="23" s="1"/>
  <c r="N82" i="23" s="1"/>
  <c r="O82" i="23" s="1"/>
  <c r="AD57" i="23"/>
  <c r="AE57" i="23" s="1"/>
  <c r="AF57" i="23" s="1"/>
  <c r="AG57" i="23" s="1"/>
  <c r="AH57" i="23" s="1"/>
  <c r="AI57" i="23" s="1"/>
  <c r="AJ57" i="23" s="1"/>
  <c r="AK62" i="23"/>
  <c r="AL62" i="23" s="1"/>
  <c r="AM62" i="23" s="1"/>
  <c r="AN62" i="23" s="1"/>
  <c r="AO62" i="23" s="1"/>
  <c r="AP62" i="23" s="1"/>
  <c r="AQ62" i="23" s="1"/>
  <c r="AD82" i="23"/>
  <c r="AE82" i="23" s="1"/>
  <c r="AF82" i="23" s="1"/>
  <c r="AG82" i="23" s="1"/>
  <c r="AH82" i="23" s="1"/>
  <c r="AI82" i="23" s="1"/>
  <c r="AJ82" i="23" s="1"/>
  <c r="I42" i="23"/>
  <c r="J42" i="23" s="1"/>
  <c r="K42" i="23" s="1"/>
  <c r="L42" i="23" s="1"/>
  <c r="M42" i="23" s="1"/>
  <c r="N42" i="23" s="1"/>
  <c r="O42" i="23" s="1"/>
  <c r="B87" i="23"/>
  <c r="C87" i="23" s="1"/>
  <c r="D87" i="23" s="1"/>
  <c r="E87" i="23" s="1"/>
  <c r="F87" i="23" s="1"/>
  <c r="G87" i="23" s="1"/>
  <c r="H87" i="23" s="1"/>
  <c r="B82" i="23"/>
  <c r="C82" i="23" s="1"/>
  <c r="D82" i="23" s="1"/>
  <c r="E82" i="23" s="1"/>
  <c r="F82" i="23" s="1"/>
  <c r="G82" i="23" s="1"/>
  <c r="H82" i="23" s="1"/>
  <c r="W92" i="23"/>
  <c r="X92" i="23" s="1"/>
  <c r="Y92" i="23" s="1"/>
  <c r="Z92" i="23" s="1"/>
  <c r="AA92" i="23" s="1"/>
  <c r="AB92" i="23" s="1"/>
  <c r="AC92" i="23" s="1"/>
  <c r="AD72" i="23"/>
  <c r="AE72" i="23" s="1"/>
  <c r="AF72" i="23" s="1"/>
  <c r="AG72" i="23" s="1"/>
  <c r="AH72" i="23" s="1"/>
  <c r="AI72" i="23" s="1"/>
  <c r="AJ72" i="23" s="1"/>
  <c r="P42" i="23"/>
  <c r="Q42" i="23" s="1"/>
  <c r="R42" i="23" s="1"/>
  <c r="S42" i="23" s="1"/>
  <c r="T42" i="23" s="1"/>
  <c r="U42" i="23" s="1"/>
  <c r="V42" i="23" s="1"/>
  <c r="I92" i="23"/>
  <c r="J92" i="23" s="1"/>
  <c r="K92" i="23" s="1"/>
  <c r="L92" i="23" s="1"/>
  <c r="M92" i="23" s="1"/>
  <c r="N92" i="23" s="1"/>
  <c r="O92" i="23" s="1"/>
  <c r="W37" i="23"/>
  <c r="X37" i="23" s="1"/>
  <c r="Y37" i="23" s="1"/>
  <c r="Z37" i="23" s="1"/>
  <c r="AA37" i="23" s="1"/>
  <c r="AB37" i="23" s="1"/>
  <c r="AC37" i="23" s="1"/>
  <c r="W67" i="23"/>
  <c r="X67" i="23" s="1"/>
  <c r="Y67" i="23" s="1"/>
  <c r="Z67" i="23" s="1"/>
  <c r="AA67" i="23" s="1"/>
  <c r="AB67" i="23" s="1"/>
  <c r="AC67" i="23" s="1"/>
  <c r="AK77" i="23"/>
  <c r="AL77" i="23" s="1"/>
  <c r="AM77" i="23" s="1"/>
  <c r="AN77" i="23" s="1"/>
  <c r="AO77" i="23" s="1"/>
  <c r="AP77" i="23" s="1"/>
  <c r="AQ77" i="23" s="1"/>
  <c r="W47" i="23"/>
  <c r="X47" i="23" s="1"/>
  <c r="Y47" i="23" s="1"/>
  <c r="Z47" i="23" s="1"/>
  <c r="AA47" i="23" s="1"/>
  <c r="AB47" i="23" s="1"/>
  <c r="AC47" i="23" s="1"/>
  <c r="AK57" i="23"/>
  <c r="AL57" i="23" s="1"/>
  <c r="AM57" i="23" s="1"/>
  <c r="AN57" i="23" s="1"/>
  <c r="AO57" i="23" s="1"/>
  <c r="AP57" i="23" s="1"/>
  <c r="AQ57" i="23" s="1"/>
  <c r="I67" i="23"/>
  <c r="J67" i="23" s="1"/>
  <c r="K67" i="23" s="1"/>
  <c r="L67" i="23" s="1"/>
  <c r="M67" i="23" s="1"/>
  <c r="N67" i="23" s="1"/>
  <c r="O67" i="23" s="1"/>
  <c r="I57" i="23"/>
  <c r="J57" i="23" s="1"/>
  <c r="K57" i="23" s="1"/>
  <c r="L57" i="23" s="1"/>
  <c r="M57" i="23" s="1"/>
  <c r="N57" i="23" s="1"/>
  <c r="O57" i="23" s="1"/>
  <c r="AK92" i="23"/>
  <c r="AL92" i="23" s="1"/>
  <c r="AM92" i="23" s="1"/>
  <c r="AN92" i="23" s="1"/>
  <c r="AO92" i="23" s="1"/>
  <c r="AP92" i="23" s="1"/>
  <c r="AQ92" i="23" s="1"/>
  <c r="P67" i="23"/>
  <c r="Q67" i="23" s="1"/>
  <c r="R67" i="23" s="1"/>
  <c r="S67" i="23" s="1"/>
  <c r="T67" i="23" s="1"/>
  <c r="U67" i="23" s="1"/>
  <c r="V67" i="23" s="1"/>
  <c r="AD67" i="23"/>
  <c r="AE67" i="23" s="1"/>
  <c r="AF67" i="23" s="1"/>
  <c r="AG67" i="23" s="1"/>
  <c r="AH67" i="23" s="1"/>
  <c r="AI67" i="23" s="1"/>
  <c r="AJ67" i="23" s="1"/>
  <c r="P62" i="23"/>
  <c r="Q62" i="23" s="1"/>
  <c r="R62" i="23" s="1"/>
  <c r="S62" i="23" s="1"/>
  <c r="T62" i="23" s="1"/>
  <c r="U62" i="23" s="1"/>
  <c r="V62" i="23" s="1"/>
  <c r="B52" i="23"/>
  <c r="C52" i="23" s="1"/>
  <c r="D52" i="23" s="1"/>
  <c r="E52" i="23" s="1"/>
  <c r="F52" i="23" s="1"/>
  <c r="G52" i="23" s="1"/>
  <c r="H52" i="23" s="1"/>
  <c r="B62" i="23"/>
  <c r="C62" i="23" s="1"/>
  <c r="D62" i="23" s="1"/>
  <c r="E62" i="23" s="1"/>
  <c r="F62" i="23" s="1"/>
  <c r="G62" i="23" s="1"/>
  <c r="H62" i="23" s="1"/>
  <c r="P52" i="23"/>
  <c r="Q52" i="23" s="1"/>
  <c r="R52" i="23" s="1"/>
  <c r="S52" i="23" s="1"/>
  <c r="T52" i="23" s="1"/>
  <c r="U52" i="23" s="1"/>
  <c r="V52" i="23" s="1"/>
  <c r="AK67" i="23"/>
  <c r="AL67" i="23" s="1"/>
  <c r="AM67" i="23" s="1"/>
  <c r="AN67" i="23" s="1"/>
  <c r="AO67" i="23" s="1"/>
  <c r="AP67" i="23" s="1"/>
  <c r="AQ67" i="23" s="1"/>
  <c r="P72" i="23"/>
  <c r="Q72" i="23" s="1"/>
  <c r="R72" i="23" s="1"/>
  <c r="S72" i="23" s="1"/>
  <c r="T72" i="23" s="1"/>
  <c r="U72" i="23" s="1"/>
  <c r="V72" i="23" s="1"/>
  <c r="AK37" i="23"/>
  <c r="AL37" i="23" s="1"/>
  <c r="AM37" i="23" s="1"/>
  <c r="AN37" i="23" s="1"/>
  <c r="AO37" i="23" s="1"/>
  <c r="AP37" i="23" s="1"/>
  <c r="AQ37" i="23" s="1"/>
  <c r="AD92" i="23"/>
  <c r="AE92" i="23" s="1"/>
  <c r="AF92" i="23" s="1"/>
  <c r="AG92" i="23" s="1"/>
  <c r="AH92" i="23" s="1"/>
  <c r="AI92" i="23" s="1"/>
  <c r="AJ92" i="23" s="1"/>
  <c r="P77" i="23"/>
  <c r="Q77" i="23" s="1"/>
  <c r="R77" i="23" s="1"/>
  <c r="S77" i="23" s="1"/>
  <c r="T77" i="23" s="1"/>
  <c r="U77" i="23" s="1"/>
  <c r="V77" i="23" s="1"/>
  <c r="W87" i="23"/>
  <c r="X87" i="23" s="1"/>
  <c r="Y87" i="23" s="1"/>
  <c r="Z87" i="23" s="1"/>
  <c r="AA87" i="23" s="1"/>
  <c r="AB87" i="23" s="1"/>
  <c r="AC87" i="23" s="1"/>
  <c r="P87" i="23"/>
  <c r="Q87" i="23" s="1"/>
  <c r="R87" i="23" s="1"/>
  <c r="S87" i="23" s="1"/>
  <c r="T87" i="23" s="1"/>
  <c r="U87" i="23" s="1"/>
  <c r="V87" i="23" s="1"/>
  <c r="AK47" i="23"/>
  <c r="AL47" i="23" s="1"/>
  <c r="AM47" i="23" s="1"/>
  <c r="AN47" i="23" s="1"/>
  <c r="AO47" i="23" s="1"/>
  <c r="AP47" i="23" s="1"/>
  <c r="AQ47" i="23" s="1"/>
  <c r="W62" i="23"/>
  <c r="X62" i="23" s="1"/>
  <c r="Y62" i="23" s="1"/>
  <c r="Z62" i="23" s="1"/>
  <c r="AA62" i="23" s="1"/>
  <c r="AB62" i="23" s="1"/>
  <c r="AC62" i="23" s="1"/>
  <c r="AD87" i="23"/>
  <c r="AE87" i="23" s="1"/>
  <c r="AF87" i="23" s="1"/>
  <c r="AG87" i="23" s="1"/>
  <c r="AH87" i="23" s="1"/>
  <c r="AI87" i="23" s="1"/>
  <c r="AJ87" i="23" s="1"/>
  <c r="W72" i="23"/>
  <c r="X72" i="23" s="1"/>
  <c r="Y72" i="23" s="1"/>
  <c r="Z72" i="23" s="1"/>
  <c r="AA72" i="23" s="1"/>
  <c r="AB72" i="23" s="1"/>
  <c r="AC72" i="23" s="1"/>
  <c r="AK42" i="23"/>
  <c r="AL42" i="23" s="1"/>
  <c r="AM42" i="23" s="1"/>
  <c r="AN42" i="23" s="1"/>
  <c r="AO42" i="23" s="1"/>
  <c r="AP42" i="23" s="1"/>
  <c r="AQ42" i="23" s="1"/>
  <c r="B57" i="23"/>
  <c r="C57" i="23" s="1"/>
  <c r="D57" i="23" s="1"/>
  <c r="E57" i="23" s="1"/>
  <c r="F57" i="23" s="1"/>
  <c r="G57" i="23" s="1"/>
  <c r="H57" i="23" s="1"/>
  <c r="B77" i="23"/>
  <c r="C77" i="23" s="1"/>
  <c r="D77" i="23" s="1"/>
  <c r="E77" i="23" s="1"/>
  <c r="F77" i="23" s="1"/>
  <c r="G77" i="23" s="1"/>
  <c r="H77" i="23" s="1"/>
  <c r="P37" i="23"/>
  <c r="Q37" i="23" s="1"/>
  <c r="R37" i="23" s="1"/>
  <c r="S37" i="23" s="1"/>
  <c r="T37" i="23" s="1"/>
  <c r="U37" i="23" s="1"/>
  <c r="V37" i="23" s="1"/>
  <c r="B47" i="23"/>
  <c r="C47" i="23" s="1"/>
  <c r="D47" i="23" s="1"/>
  <c r="E47" i="23" s="1"/>
  <c r="F47" i="23" s="1"/>
  <c r="G47" i="23" s="1"/>
  <c r="H47" i="23" s="1"/>
  <c r="W52" i="23"/>
  <c r="X52" i="23" s="1"/>
  <c r="Y52" i="23" s="1"/>
  <c r="Z52" i="23" s="1"/>
  <c r="AA52" i="23" s="1"/>
  <c r="AB52" i="23" s="1"/>
  <c r="AC52" i="23" s="1"/>
  <c r="P47" i="23"/>
  <c r="Q47" i="23" s="1"/>
  <c r="R47" i="23" s="1"/>
  <c r="S47" i="23" s="1"/>
  <c r="T47" i="23" s="1"/>
  <c r="U47" i="23" s="1"/>
  <c r="V47" i="23" s="1"/>
  <c r="B42" i="23"/>
  <c r="C42" i="23" s="1"/>
  <c r="D42" i="23" s="1"/>
  <c r="E42" i="23" s="1"/>
  <c r="F42" i="23" s="1"/>
  <c r="G42" i="23" s="1"/>
  <c r="H42" i="23" s="1"/>
  <c r="AK72" i="23"/>
  <c r="AL72" i="23" s="1"/>
  <c r="AM72" i="23" s="1"/>
  <c r="AN72" i="23" s="1"/>
  <c r="AO72" i="23" s="1"/>
  <c r="AP72" i="23" s="1"/>
  <c r="AQ72" i="23" s="1"/>
  <c r="W77" i="23"/>
  <c r="X77" i="23" s="1"/>
  <c r="Y77" i="23" s="1"/>
  <c r="Z77" i="23" s="1"/>
  <c r="AA77" i="23" s="1"/>
  <c r="AB77" i="23" s="1"/>
  <c r="AC77" i="23" s="1"/>
  <c r="P82" i="23"/>
  <c r="Q82" i="23" s="1"/>
  <c r="R82" i="23" s="1"/>
  <c r="S82" i="23" s="1"/>
  <c r="T82" i="23" s="1"/>
  <c r="U82" i="23" s="1"/>
  <c r="V82" i="23" s="1"/>
  <c r="AD52" i="23"/>
  <c r="AE52" i="23" s="1"/>
  <c r="AF52" i="23" s="1"/>
  <c r="AG52" i="23" s="1"/>
  <c r="AH52" i="23" s="1"/>
  <c r="AI52" i="23" s="1"/>
  <c r="AJ52" i="23" s="1"/>
  <c r="AK87" i="23"/>
  <c r="AL87" i="23" s="1"/>
  <c r="AM87" i="23" s="1"/>
  <c r="AN87" i="23" s="1"/>
  <c r="AO87" i="23" s="1"/>
  <c r="AP87" i="23" s="1"/>
  <c r="AQ87" i="23" s="1"/>
  <c r="I87" i="23"/>
  <c r="J87" i="23" s="1"/>
  <c r="K87" i="23" s="1"/>
  <c r="L87" i="23" s="1"/>
  <c r="M87" i="23" s="1"/>
  <c r="N87" i="23" s="1"/>
  <c r="O87" i="23" s="1"/>
  <c r="AD47" i="23"/>
  <c r="AE47" i="23" s="1"/>
  <c r="AF47" i="23" s="1"/>
  <c r="AG47" i="23" s="1"/>
  <c r="AH47" i="23" s="1"/>
  <c r="AI47" i="23" s="1"/>
  <c r="AJ47" i="23" s="1"/>
  <c r="AK82" i="23"/>
  <c r="AL82" i="23" s="1"/>
  <c r="AM82" i="23" s="1"/>
  <c r="AN82" i="23" s="1"/>
  <c r="AO82" i="23" s="1"/>
  <c r="AP82" i="23" s="1"/>
  <c r="AQ82" i="23" s="1"/>
  <c r="W42" i="23"/>
  <c r="X42" i="23" s="1"/>
  <c r="Y42" i="23" s="1"/>
  <c r="Z42" i="23" s="1"/>
  <c r="AA42" i="23" s="1"/>
  <c r="AB42" i="23" s="1"/>
  <c r="AC42" i="23" s="1"/>
  <c r="AD37" i="23"/>
  <c r="AE37" i="23" s="1"/>
  <c r="AF37" i="23" s="1"/>
  <c r="AG37" i="23" s="1"/>
  <c r="AH37" i="23" s="1"/>
  <c r="AI37" i="23" s="1"/>
  <c r="AJ37" i="23" s="1"/>
  <c r="I77" i="23"/>
  <c r="J77" i="23" s="1"/>
  <c r="K77" i="23" s="1"/>
  <c r="L77" i="23" s="1"/>
  <c r="M77" i="23" s="1"/>
  <c r="N77" i="23" s="1"/>
  <c r="O77" i="23" s="1"/>
  <c r="AD62" i="23"/>
  <c r="AE62" i="23" s="1"/>
  <c r="AF62" i="23" s="1"/>
  <c r="AG62" i="23" s="1"/>
  <c r="AH62" i="23" s="1"/>
  <c r="AI62" i="23" s="1"/>
  <c r="AJ62" i="23" s="1"/>
  <c r="P57" i="23"/>
  <c r="Q57" i="23" s="1"/>
  <c r="R57" i="23" s="1"/>
  <c r="S57" i="23" s="1"/>
  <c r="T57" i="23" s="1"/>
  <c r="U57" i="23" s="1"/>
  <c r="V57" i="23" s="1"/>
  <c r="B37" i="23"/>
  <c r="C37" i="23" s="1"/>
  <c r="D37" i="23" s="1"/>
  <c r="E37" i="23" s="1"/>
  <c r="F37" i="23" s="1"/>
  <c r="G37" i="23" s="1"/>
  <c r="H37" i="23" s="1"/>
  <c r="W57" i="23"/>
  <c r="X57" i="23" s="1"/>
  <c r="Y57" i="23" s="1"/>
  <c r="Z57" i="23" s="1"/>
  <c r="AA57" i="23" s="1"/>
  <c r="AB57" i="23" s="1"/>
  <c r="AC57" i="23" s="1"/>
  <c r="P92" i="23"/>
  <c r="Q92" i="23" s="1"/>
  <c r="R92" i="23" s="1"/>
  <c r="S92" i="23" s="1"/>
  <c r="T92" i="23" s="1"/>
  <c r="U92" i="23" s="1"/>
  <c r="V92" i="23" s="1"/>
  <c r="AK52" i="23"/>
  <c r="AL52" i="23" s="1"/>
  <c r="AM52" i="23" s="1"/>
  <c r="AN52" i="23" s="1"/>
  <c r="AO52" i="23" s="1"/>
  <c r="AP52" i="23" s="1"/>
  <c r="AQ52" i="23" s="1"/>
  <c r="I52" i="23"/>
  <c r="J52" i="23" s="1"/>
  <c r="K52" i="23" s="1"/>
  <c r="L52" i="23" s="1"/>
  <c r="M52" i="23" s="1"/>
  <c r="N52" i="23" s="1"/>
  <c r="O52" i="23" s="1"/>
  <c r="B72" i="23"/>
  <c r="C72" i="23" s="1"/>
  <c r="D72" i="23" s="1"/>
  <c r="E72" i="23" s="1"/>
  <c r="F72" i="23" s="1"/>
  <c r="G72" i="23" s="1"/>
  <c r="H72" i="23" s="1"/>
  <c r="I72" i="23"/>
  <c r="J72" i="23" s="1"/>
  <c r="K72" i="23" s="1"/>
  <c r="L72" i="23" s="1"/>
  <c r="M72" i="23" s="1"/>
  <c r="N72" i="23" s="1"/>
  <c r="O72" i="23" s="1"/>
  <c r="I62" i="23"/>
  <c r="J62" i="23" s="1"/>
  <c r="K62" i="23" s="1"/>
  <c r="L62" i="23" s="1"/>
  <c r="M62" i="23" s="1"/>
  <c r="N62" i="23" s="1"/>
  <c r="O62" i="23" s="1"/>
  <c r="AD42" i="23"/>
  <c r="AE42" i="23" s="1"/>
  <c r="AF42" i="23" s="1"/>
  <c r="AG42" i="23" s="1"/>
  <c r="AH42" i="23" s="1"/>
  <c r="AI42" i="23" s="1"/>
  <c r="AJ42" i="23" s="1"/>
  <c r="I37" i="23"/>
  <c r="J37" i="23" s="1"/>
  <c r="K37" i="23" s="1"/>
  <c r="L37" i="23" s="1"/>
  <c r="M37" i="23" s="1"/>
  <c r="N37" i="23" s="1"/>
  <c r="O37" i="23" s="1"/>
  <c r="AD77" i="23"/>
  <c r="AE77" i="23" s="1"/>
  <c r="AF77" i="23" s="1"/>
  <c r="AG77" i="23" s="1"/>
  <c r="AH77" i="23" s="1"/>
  <c r="AI77" i="23" s="1"/>
  <c r="AJ77" i="23" s="1"/>
  <c r="W82" i="23"/>
  <c r="X82" i="23" s="1"/>
  <c r="Y82" i="23" s="1"/>
  <c r="Z82" i="23" s="1"/>
  <c r="AA82" i="23" s="1"/>
  <c r="AB82" i="23" s="1"/>
  <c r="AC82" i="23" s="1"/>
  <c r="B92" i="23"/>
  <c r="C92" i="23" s="1"/>
  <c r="D92" i="23" s="1"/>
  <c r="E92" i="23" s="1"/>
  <c r="F92" i="23" s="1"/>
  <c r="G92" i="23" s="1"/>
  <c r="H92" i="23" s="1"/>
  <c r="I47" i="23"/>
  <c r="J47" i="23" s="1"/>
  <c r="K47" i="23" s="1"/>
  <c r="L47" i="23" s="1"/>
  <c r="M47" i="23" s="1"/>
  <c r="N47" i="23" s="1"/>
  <c r="O47" i="23" s="1"/>
  <c r="B67" i="23"/>
  <c r="C67" i="23" s="1"/>
  <c r="D67" i="23" s="1"/>
  <c r="E67" i="23" s="1"/>
  <c r="F67" i="23" s="1"/>
  <c r="G67" i="23" s="1"/>
  <c r="H67" i="23" s="1"/>
  <c r="AD122" i="23"/>
  <c r="V122" i="23"/>
  <c r="AF124" i="23"/>
  <c r="AK124" i="23"/>
  <c r="U149" i="23"/>
  <c r="U196" i="23" s="1"/>
  <c r="U124" i="23"/>
  <c r="U133" i="23" s="1"/>
  <c r="AA124" i="23"/>
  <c r="AM124" i="23"/>
  <c r="W124" i="23"/>
  <c r="AJ124" i="23"/>
  <c r="AG124" i="23"/>
  <c r="AA122" i="23"/>
  <c r="Y122" i="23"/>
  <c r="AL124" i="23"/>
  <c r="AI124" i="23"/>
  <c r="U151" i="23"/>
  <c r="U198" i="23" s="1"/>
  <c r="AE124" i="23"/>
  <c r="Z124" i="23"/>
  <c r="AB124" i="23"/>
  <c r="U148" i="23"/>
  <c r="U195" i="23" s="1"/>
  <c r="AL130" i="23" a="1"/>
  <c r="AL130" i="23" s="1"/>
  <c r="AN124" i="23"/>
  <c r="X124" i="23"/>
  <c r="AC124" i="23"/>
  <c r="AO130" i="23" a="1"/>
  <c r="AO130" i="23" s="1"/>
  <c r="AO124" i="23"/>
  <c r="AE122" i="23"/>
  <c r="V124" i="23"/>
  <c r="U150" i="23"/>
  <c r="U197" i="23" s="1"/>
  <c r="AC122" i="23"/>
  <c r="U146" i="23"/>
  <c r="Y124" i="23"/>
  <c r="AH124" i="23"/>
  <c r="X122" i="23"/>
  <c r="AB122" i="23"/>
  <c r="Z122" i="23"/>
  <c r="AP124" i="23"/>
  <c r="U147" i="23"/>
  <c r="U194" i="23" s="1"/>
  <c r="U131" i="23"/>
  <c r="AD124" i="23"/>
  <c r="W122" i="23"/>
  <c r="AM130" i="23" a="1"/>
  <c r="AM130" i="23" s="1"/>
  <c r="U132" i="23"/>
  <c r="U130" i="23"/>
  <c r="B132" i="14"/>
  <c r="B124" i="14"/>
  <c r="B116" i="14"/>
  <c r="B108" i="14"/>
  <c r="B100" i="14"/>
  <c r="B92" i="14"/>
  <c r="B84" i="14"/>
  <c r="B76" i="14"/>
  <c r="AD38" i="23" a="1"/>
  <c r="P38" i="23" a="1"/>
  <c r="B38" i="23" a="1"/>
  <c r="AK38" i="23" a="1"/>
  <c r="I38" i="23" a="1"/>
  <c r="W38" i="23" a="1"/>
  <c r="AS447" i="25" l="1"/>
  <c r="AS465" i="25" s="1"/>
  <c r="AS401" i="25"/>
  <c r="AS448" i="25" s="1"/>
  <c r="AS466" i="25" s="1"/>
  <c r="AK422" i="25"/>
  <c r="AS431" i="25" s="1" a="1"/>
  <c r="AS431" i="25" s="1"/>
  <c r="AD159" i="25" s="1" a="1"/>
  <c r="AD159" i="25" s="1"/>
  <c r="AK423" i="25"/>
  <c r="AS432" i="25" s="1" a="1"/>
  <c r="AS432" i="25" s="1"/>
  <c r="AK159" i="25" s="1" a="1"/>
  <c r="AK159" i="25" s="1"/>
  <c r="AS430" i="25" a="1"/>
  <c r="AS430" i="25" s="1"/>
  <c r="W159" i="25" s="1" a="1"/>
  <c r="W159" i="25" s="1"/>
  <c r="AT400" i="25"/>
  <c r="AL421" i="25" a="1"/>
  <c r="AL421" i="25" s="1"/>
  <c r="AV398" i="25"/>
  <c r="AV445" i="25" s="1"/>
  <c r="AV463" i="25" s="1"/>
  <c r="AM420" i="25" a="1"/>
  <c r="AM420" i="25" s="1"/>
  <c r="AU429" i="25" s="1" a="1"/>
  <c r="AU429" i="25" s="1"/>
  <c r="P169" i="25" s="1" a="1"/>
  <c r="P169" i="25" s="1"/>
  <c r="AU399" i="25"/>
  <c r="AJ422" i="25"/>
  <c r="AR431" i="25" s="1" a="1"/>
  <c r="AR431" i="25" s="1"/>
  <c r="AD154" i="25" s="1" a="1"/>
  <c r="AD154" i="25" s="1"/>
  <c r="AR430" i="25" a="1"/>
  <c r="AR430" i="25" s="1"/>
  <c r="W154" i="25" s="1" a="1"/>
  <c r="W154" i="25" s="1"/>
  <c r="AJ423" i="25"/>
  <c r="AR432" i="25" s="1" a="1"/>
  <c r="AR432" i="25" s="1"/>
  <c r="AK154" i="25" s="1" a="1"/>
  <c r="AK154" i="25" s="1"/>
  <c r="AR447" i="25"/>
  <c r="AR465" i="25" s="1"/>
  <c r="AR401" i="25"/>
  <c r="AR448" i="25" s="1"/>
  <c r="AR466" i="25" s="1"/>
  <c r="AL437" i="25"/>
  <c r="B214" i="25" a="1"/>
  <c r="B214" i="25" s="1"/>
  <c r="I214" i="25" a="1"/>
  <c r="I214" i="25" s="1"/>
  <c r="P214" i="25" a="1"/>
  <c r="P214" i="25" s="1"/>
  <c r="W214" i="25" a="1"/>
  <c r="W214" i="25" s="1"/>
  <c r="AK214" i="25" a="1"/>
  <c r="AK214" i="25" s="1"/>
  <c r="AD214" i="25" a="1"/>
  <c r="AD214" i="25" s="1"/>
  <c r="U212" i="23"/>
  <c r="U244" i="23"/>
  <c r="U214" i="23"/>
  <c r="U215" i="23"/>
  <c r="U213" i="23"/>
  <c r="U216" i="23"/>
  <c r="AA177" i="23" a="1"/>
  <c r="AA177" i="23" s="1"/>
  <c r="B69" i="23" s="1" a="1"/>
  <c r="B69" i="23" s="1"/>
  <c r="AB177" i="23" a="1"/>
  <c r="AB177" i="23" s="1"/>
  <c r="B74" i="23" s="1" a="1"/>
  <c r="B74" i="23" s="1"/>
  <c r="U181" i="23" a="1"/>
  <c r="U181" i="23" s="1"/>
  <c r="AD39" i="23" s="1" a="1"/>
  <c r="AD39" i="23" s="1"/>
  <c r="U178" i="23" a="1"/>
  <c r="U178" i="23" s="1"/>
  <c r="I39" i="23" s="1" a="1"/>
  <c r="I39" i="23" s="1"/>
  <c r="U177" i="23" a="1"/>
  <c r="U177" i="23" s="1"/>
  <c r="B39" i="23" s="1" a="1"/>
  <c r="B39" i="23" s="1"/>
  <c r="Y177" i="23" a="1"/>
  <c r="Y177" i="23" s="1"/>
  <c r="B59" i="23" s="1" a="1"/>
  <c r="B59" i="23" s="1"/>
  <c r="AD177" i="23" a="1"/>
  <c r="AD177" i="23" s="1"/>
  <c r="B84" i="23" s="1" a="1"/>
  <c r="B84" i="23" s="1"/>
  <c r="W177" i="23" a="1"/>
  <c r="W177" i="23" s="1"/>
  <c r="B49" i="23" s="1" a="1"/>
  <c r="B49" i="23" s="1"/>
  <c r="AE177" i="23" a="1"/>
  <c r="AE177" i="23" s="1"/>
  <c r="B89" i="23" s="1" a="1"/>
  <c r="B89" i="23" s="1"/>
  <c r="U179" i="23" a="1"/>
  <c r="U179" i="23" s="1"/>
  <c r="P39" i="23" s="1" a="1"/>
  <c r="P39" i="23" s="1"/>
  <c r="V177" i="23" a="1"/>
  <c r="V177" i="23" s="1"/>
  <c r="B44" i="23" s="1" a="1"/>
  <c r="B44" i="23" s="1"/>
  <c r="AC177" i="23" a="1"/>
  <c r="AC177" i="23" s="1"/>
  <c r="B79" i="23" s="1" a="1"/>
  <c r="B79" i="23" s="1"/>
  <c r="X177" i="23" a="1"/>
  <c r="X177" i="23" s="1"/>
  <c r="B54" i="23" s="1" a="1"/>
  <c r="B54" i="23" s="1"/>
  <c r="B38" i="23"/>
  <c r="P38" i="23"/>
  <c r="I38" i="23"/>
  <c r="AK38" i="23"/>
  <c r="W38" i="23"/>
  <c r="AD38" i="23"/>
  <c r="U245" i="23"/>
  <c r="U182" i="23" a="1"/>
  <c r="U182" i="23" s="1"/>
  <c r="AK39" i="23" s="1" a="1"/>
  <c r="AK39" i="23" s="1"/>
  <c r="Z177" i="23" a="1"/>
  <c r="Z177" i="23" s="1"/>
  <c r="B64" i="23" s="1" a="1"/>
  <c r="B64" i="23" s="1"/>
  <c r="U180" i="23" a="1"/>
  <c r="U180" i="23" s="1"/>
  <c r="W39" i="23" s="1" a="1"/>
  <c r="W39" i="23" s="1"/>
  <c r="AI130" i="23" a="1"/>
  <c r="AI130" i="23" s="1"/>
  <c r="AP131" i="23" a="1"/>
  <c r="AP131" i="23" s="1"/>
  <c r="AK130" i="23" a="1"/>
  <c r="AK130" i="23" s="1"/>
  <c r="AJ130" i="23" a="1"/>
  <c r="AJ130" i="23" s="1"/>
  <c r="AH130" i="23" a="1"/>
  <c r="AH130" i="23" s="1"/>
  <c r="Z130" i="23" a="1"/>
  <c r="Z130" i="23" s="1"/>
  <c r="AP132" i="23" a="1"/>
  <c r="AP132" i="23" s="1"/>
  <c r="AD178" i="23" a="1"/>
  <c r="AD178" i="23" s="1"/>
  <c r="I84" i="23" s="1" a="1"/>
  <c r="I84" i="23" s="1"/>
  <c r="AF130" i="23" a="1"/>
  <c r="AF130" i="23" s="1"/>
  <c r="AE130" i="23" a="1"/>
  <c r="AE130" i="23" s="1"/>
  <c r="AG130" i="23" a="1"/>
  <c r="AG130" i="23" s="1"/>
  <c r="AB178" i="23" a="1"/>
  <c r="AB178" i="23" s="1"/>
  <c r="I74" i="23" s="1" a="1"/>
  <c r="I74" i="23" s="1"/>
  <c r="AD130" i="23" a="1"/>
  <c r="AD130" i="23" s="1"/>
  <c r="AC130" i="23" a="1"/>
  <c r="AC130" i="23" s="1"/>
  <c r="W130" i="23" a="1"/>
  <c r="W130" i="23" s="1"/>
  <c r="X130" i="23" a="1"/>
  <c r="X130" i="23" s="1"/>
  <c r="V130" i="23" a="1"/>
  <c r="V130" i="23" s="1"/>
  <c r="Y130" i="23" a="1"/>
  <c r="Y130" i="23" s="1"/>
  <c r="AA130" i="23" a="1"/>
  <c r="AA130" i="23" s="1"/>
  <c r="AB130" i="23" a="1"/>
  <c r="AB130" i="23" s="1"/>
  <c r="AO132" i="23" a="1"/>
  <c r="AO132" i="23" s="1"/>
  <c r="B68" i="14"/>
  <c r="B88" i="23" a="1"/>
  <c r="B58" i="23" a="1"/>
  <c r="B43" i="23" a="1"/>
  <c r="B53" i="23" a="1"/>
  <c r="B48" i="23" a="1"/>
  <c r="B83" i="23" a="1"/>
  <c r="B73" i="23" a="1"/>
  <c r="B78" i="23" a="1"/>
  <c r="B68" i="23" a="1"/>
  <c r="B63" i="23" a="1"/>
  <c r="AN420" i="25" l="1" a="1"/>
  <c r="AN420" i="25" s="1"/>
  <c r="AV429" i="25" s="1" a="1"/>
  <c r="AV429" i="25" s="1"/>
  <c r="P174" i="25" s="1" a="1"/>
  <c r="P174" i="25" s="1"/>
  <c r="AV399" i="25"/>
  <c r="AW398" i="25"/>
  <c r="AW445" i="25" s="1"/>
  <c r="AW463" i="25" s="1"/>
  <c r="AT430" i="25" a="1"/>
  <c r="AT430" i="25" s="1"/>
  <c r="W164" i="25" s="1" a="1"/>
  <c r="W164" i="25" s="1"/>
  <c r="AL422" i="25"/>
  <c r="AT431" i="25" s="1" a="1"/>
  <c r="AT431" i="25" s="1"/>
  <c r="AD164" i="25" s="1" a="1"/>
  <c r="AD164" i="25" s="1"/>
  <c r="AL423" i="25"/>
  <c r="AT432" i="25" s="1" a="1"/>
  <c r="AT432" i="25" s="1"/>
  <c r="AK164" i="25" s="1" a="1"/>
  <c r="AK164" i="25" s="1"/>
  <c r="AT447" i="25"/>
  <c r="AT465" i="25" s="1"/>
  <c r="AT401" i="25"/>
  <c r="AT448" i="25" s="1"/>
  <c r="AT466" i="25" s="1"/>
  <c r="AU446" i="25"/>
  <c r="AU464" i="25" s="1"/>
  <c r="AU400" i="25"/>
  <c r="AM421" i="25" a="1"/>
  <c r="AM421" i="25" s="1"/>
  <c r="AM437" i="25"/>
  <c r="B219" i="25" a="1"/>
  <c r="B219" i="25" s="1"/>
  <c r="I219" i="25" a="1"/>
  <c r="I219" i="25" s="1"/>
  <c r="W219" i="25" a="1"/>
  <c r="W219" i="25" s="1"/>
  <c r="P219" i="25" a="1"/>
  <c r="P219" i="25" s="1"/>
  <c r="AD219" i="25" a="1"/>
  <c r="AD219" i="25" s="1"/>
  <c r="AK219" i="25" a="1"/>
  <c r="AK219" i="25" s="1"/>
  <c r="B83" i="23"/>
  <c r="B88" i="23"/>
  <c r="B68" i="23"/>
  <c r="B58" i="23"/>
  <c r="B63" i="23"/>
  <c r="B43" i="23"/>
  <c r="B73" i="23"/>
  <c r="B53" i="23"/>
  <c r="B48" i="23"/>
  <c r="B78" i="23"/>
  <c r="AN131" i="23" a="1"/>
  <c r="AN131" i="23" s="1"/>
  <c r="AO131" i="23" a="1"/>
  <c r="AO131" i="23" s="1"/>
  <c r="Y131" i="23" a="1"/>
  <c r="Y131" i="23" s="1"/>
  <c r="AM131" i="23" a="1"/>
  <c r="AM131" i="23" s="1"/>
  <c r="AH131" i="23" a="1"/>
  <c r="AH131" i="23" s="1"/>
  <c r="AM132" i="23" a="1"/>
  <c r="AM132" i="23" s="1"/>
  <c r="AI132" i="23" a="1"/>
  <c r="AI132" i="23" s="1"/>
  <c r="AJ133" i="23" a="1"/>
  <c r="AJ133" i="23" s="1"/>
  <c r="V178" i="23" a="1"/>
  <c r="V178" i="23" s="1"/>
  <c r="I44" i="23" s="1" a="1"/>
  <c r="I44" i="23" s="1"/>
  <c r="AN132" i="23" a="1"/>
  <c r="AN132" i="23" s="1"/>
  <c r="AL132" i="23" a="1"/>
  <c r="AL132" i="23" s="1"/>
  <c r="AG132" i="23" a="1"/>
  <c r="AG132" i="23" s="1"/>
  <c r="AJ132" i="23" a="1"/>
  <c r="AJ132" i="23" s="1"/>
  <c r="AK132" i="23" a="1"/>
  <c r="AK132" i="23" s="1"/>
  <c r="AP133" i="23" a="1"/>
  <c r="AP133" i="23" s="1"/>
  <c r="W131" i="23" a="1"/>
  <c r="W131" i="23" s="1"/>
  <c r="V131" i="23" a="1"/>
  <c r="V131" i="23" s="1"/>
  <c r="AG131" i="23" a="1"/>
  <c r="AG131" i="23" s="1"/>
  <c r="AL131" i="23" a="1"/>
  <c r="AL131" i="23" s="1"/>
  <c r="AD131" i="23" a="1"/>
  <c r="AD131" i="23" s="1"/>
  <c r="AB131" i="23" a="1"/>
  <c r="AB131" i="23" s="1"/>
  <c r="AC131" i="23" a="1"/>
  <c r="AC131" i="23" s="1"/>
  <c r="AK133" i="23" a="1"/>
  <c r="AK133" i="23" s="1"/>
  <c r="AJ131" i="23" a="1"/>
  <c r="AJ131" i="23" s="1"/>
  <c r="AF131" i="23" a="1"/>
  <c r="AF131" i="23" s="1"/>
  <c r="AE131" i="23" a="1"/>
  <c r="AE131" i="23" s="1"/>
  <c r="AM133" i="23" a="1"/>
  <c r="AM133" i="23" s="1"/>
  <c r="AA131" i="23" a="1"/>
  <c r="AA131" i="23" s="1"/>
  <c r="Z131" i="23" a="1"/>
  <c r="Z131" i="23" s="1"/>
  <c r="AI131" i="23" a="1"/>
  <c r="AI131" i="23" s="1"/>
  <c r="AF132" i="23" a="1"/>
  <c r="AF132" i="23" s="1"/>
  <c r="AH132" i="23" a="1"/>
  <c r="AH132" i="23" s="1"/>
  <c r="X131" i="23" a="1"/>
  <c r="X131" i="23" s="1"/>
  <c r="AG133" i="23" a="1"/>
  <c r="AG133" i="23" s="1"/>
  <c r="AK131" i="23" a="1"/>
  <c r="AK131" i="23" s="1"/>
  <c r="AF133" i="23" a="1"/>
  <c r="AF133" i="23" s="1"/>
  <c r="X58" i="14"/>
  <c r="X59" i="14"/>
  <c r="X60" i="14"/>
  <c r="X61" i="14"/>
  <c r="X62" i="14"/>
  <c r="X63" i="14"/>
  <c r="X64" i="14"/>
  <c r="X65" i="14"/>
  <c r="X57" i="14"/>
  <c r="I78" i="23" a="1"/>
  <c r="I68" i="23" a="1"/>
  <c r="I88" i="23" a="1"/>
  <c r="I43" i="23" a="1"/>
  <c r="I53" i="23" a="1"/>
  <c r="I83" i="23" a="1"/>
  <c r="I63" i="23" a="1"/>
  <c r="I58" i="23" a="1"/>
  <c r="I48" i="23" a="1"/>
  <c r="I73" i="23" a="1"/>
  <c r="AM422" i="25" l="1"/>
  <c r="AU431" i="25" s="1" a="1"/>
  <c r="AU431" i="25" s="1"/>
  <c r="AD169" i="25" s="1" a="1"/>
  <c r="AD169" i="25" s="1"/>
  <c r="AM423" i="25"/>
  <c r="AU432" i="25" s="1" a="1"/>
  <c r="AU432" i="25" s="1"/>
  <c r="AK169" i="25" s="1" a="1"/>
  <c r="AK169" i="25" s="1"/>
  <c r="AU430" i="25" a="1"/>
  <c r="AU430" i="25" s="1"/>
  <c r="W169" i="25" s="1" a="1"/>
  <c r="W169" i="25" s="1"/>
  <c r="AX398" i="25"/>
  <c r="AX445" i="25" s="1"/>
  <c r="AX463" i="25" s="1"/>
  <c r="AO420" i="25" a="1"/>
  <c r="AO420" i="25" s="1"/>
  <c r="AW429" i="25" s="1" a="1"/>
  <c r="AW429" i="25" s="1"/>
  <c r="P179" i="25" s="1" a="1"/>
  <c r="P179" i="25" s="1"/>
  <c r="AW399" i="25"/>
  <c r="AU447" i="25"/>
  <c r="AU465" i="25" s="1"/>
  <c r="AU401" i="25"/>
  <c r="AU448" i="25" s="1"/>
  <c r="AU466" i="25" s="1"/>
  <c r="AV446" i="25"/>
  <c r="AV464" i="25" s="1"/>
  <c r="AV400" i="25"/>
  <c r="AN421" i="25" a="1"/>
  <c r="AN421" i="25" s="1"/>
  <c r="AN437" i="25"/>
  <c r="B224" i="25" a="1"/>
  <c r="B224" i="25" s="1"/>
  <c r="I224" i="25" a="1"/>
  <c r="I224" i="25" s="1"/>
  <c r="P224" i="25" a="1"/>
  <c r="P224" i="25" s="1"/>
  <c r="W224" i="25" a="1"/>
  <c r="W224" i="25" s="1"/>
  <c r="AK224" i="25" a="1"/>
  <c r="AK224" i="25" s="1"/>
  <c r="AD224" i="25" a="1"/>
  <c r="AD224" i="25" s="1"/>
  <c r="X178" i="23" a="1"/>
  <c r="X178" i="23" s="1"/>
  <c r="I54" i="23" s="1" a="1"/>
  <c r="I54" i="23" s="1"/>
  <c r="V212" i="23"/>
  <c r="V179" i="23" a="1"/>
  <c r="V179" i="23" s="1"/>
  <c r="P44" i="23" s="1" a="1"/>
  <c r="P44" i="23" s="1"/>
  <c r="I88" i="23"/>
  <c r="I78" i="23"/>
  <c r="I73" i="23"/>
  <c r="I63" i="23"/>
  <c r="I83" i="23"/>
  <c r="I43" i="23"/>
  <c r="I58" i="23"/>
  <c r="I68" i="23"/>
  <c r="I48" i="23"/>
  <c r="I53" i="23"/>
  <c r="AI133" i="23" a="1"/>
  <c r="AI133" i="23" s="1"/>
  <c r="AC133" i="23" a="1"/>
  <c r="AC133" i="23" s="1"/>
  <c r="AD133" i="23" a="1"/>
  <c r="AD133" i="23" s="1"/>
  <c r="AH133" i="23" a="1"/>
  <c r="AH133" i="23" s="1"/>
  <c r="AB133" i="23" a="1"/>
  <c r="AB133" i="23" s="1"/>
  <c r="AO133" i="23" a="1"/>
  <c r="AO133" i="23" s="1"/>
  <c r="AL133" i="23" a="1"/>
  <c r="AL133" i="23" s="1"/>
  <c r="AE133" i="23" a="1"/>
  <c r="AE133" i="23" s="1"/>
  <c r="AN133" i="23" a="1"/>
  <c r="AN133" i="23" s="1"/>
  <c r="W182" i="23" a="1"/>
  <c r="W182" i="23" s="1"/>
  <c r="AK49" i="23" s="1" a="1"/>
  <c r="AK49" i="23" s="1"/>
  <c r="X182" i="23" a="1"/>
  <c r="X182" i="23" s="1"/>
  <c r="AK54" i="23" s="1" a="1"/>
  <c r="AK54" i="23" s="1"/>
  <c r="W132" i="23" a="1"/>
  <c r="W132" i="23" s="1"/>
  <c r="V132" i="23" a="1"/>
  <c r="V132" i="23" s="1"/>
  <c r="W181" i="23" a="1"/>
  <c r="W181" i="23" s="1"/>
  <c r="AD49" i="23" s="1" a="1"/>
  <c r="AD49" i="23" s="1"/>
  <c r="V181" i="23" a="1"/>
  <c r="V181" i="23" s="1"/>
  <c r="AD44" i="23" s="1" a="1"/>
  <c r="AD44" i="23" s="1"/>
  <c r="W178" i="23" a="1"/>
  <c r="W178" i="23" s="1"/>
  <c r="I49" i="23" s="1" a="1"/>
  <c r="I49" i="23" s="1"/>
  <c r="AD132" i="23" a="1"/>
  <c r="AD132" i="23" s="1"/>
  <c r="AE132" i="23" a="1"/>
  <c r="AE132" i="23" s="1"/>
  <c r="X132" i="23" a="1"/>
  <c r="X132" i="23" s="1"/>
  <c r="Y132" i="23" a="1"/>
  <c r="Y132" i="23" s="1"/>
  <c r="AC132" i="23" a="1"/>
  <c r="AC132" i="23" s="1"/>
  <c r="AB132" i="23" a="1"/>
  <c r="AB132" i="23" s="1"/>
  <c r="AP134" i="23" a="1"/>
  <c r="AP134" i="23" s="1"/>
  <c r="AA132" i="23" a="1"/>
  <c r="AA132" i="23" s="1"/>
  <c r="Z132" i="23" a="1"/>
  <c r="Z132" i="23" s="1"/>
  <c r="V215" i="23"/>
  <c r="V182" i="23" a="1"/>
  <c r="V182" i="23" s="1"/>
  <c r="AK44" i="23" s="1" a="1"/>
  <c r="AK44" i="23" s="1"/>
  <c r="U58" i="14"/>
  <c r="U59" i="14"/>
  <c r="U60" i="14"/>
  <c r="U61" i="14"/>
  <c r="U62" i="14"/>
  <c r="U63" i="14"/>
  <c r="U64" i="14"/>
  <c r="U65" i="14"/>
  <c r="U57" i="14"/>
  <c r="P88" i="23" a="1"/>
  <c r="P48" i="23" a="1"/>
  <c r="P43" i="23" a="1"/>
  <c r="P68" i="23" a="1"/>
  <c r="P58" i="23" a="1"/>
  <c r="P63" i="23" a="1"/>
  <c r="P78" i="23" a="1"/>
  <c r="P53" i="23" a="1"/>
  <c r="P83" i="23" a="1"/>
  <c r="P73" i="23" a="1"/>
  <c r="AW446" i="25" l="1"/>
  <c r="AW464" i="25" s="1"/>
  <c r="AW400" i="25"/>
  <c r="AO421" i="25" a="1"/>
  <c r="AO421" i="25" s="1"/>
  <c r="AY398" i="25"/>
  <c r="AY445" i="25" s="1"/>
  <c r="AY463" i="25" s="1"/>
  <c r="AP420" i="25" a="1"/>
  <c r="AP420" i="25" s="1"/>
  <c r="AX429" i="25" s="1" a="1"/>
  <c r="AX429" i="25" s="1"/>
  <c r="P184" i="25" s="1" a="1"/>
  <c r="P184" i="25" s="1"/>
  <c r="AX399" i="25"/>
  <c r="AN422" i="25"/>
  <c r="AV431" i="25" s="1" a="1"/>
  <c r="AV431" i="25" s="1"/>
  <c r="AD174" i="25" s="1" a="1"/>
  <c r="AD174" i="25" s="1"/>
  <c r="AV430" i="25" a="1"/>
  <c r="AV430" i="25" s="1"/>
  <c r="W174" i="25" s="1" a="1"/>
  <c r="W174" i="25" s="1"/>
  <c r="AN423" i="25"/>
  <c r="AV432" i="25" s="1" a="1"/>
  <c r="AV432" i="25" s="1"/>
  <c r="AK174" i="25" s="1" a="1"/>
  <c r="AK174" i="25" s="1"/>
  <c r="AV447" i="25"/>
  <c r="AV465" i="25" s="1"/>
  <c r="AV401" i="25"/>
  <c r="AV448" i="25" s="1"/>
  <c r="AV466" i="25" s="1"/>
  <c r="AO437" i="25"/>
  <c r="B229" i="25" a="1"/>
  <c r="B229" i="25" s="1"/>
  <c r="I229" i="25" a="1"/>
  <c r="I229" i="25" s="1"/>
  <c r="W229" i="25" a="1"/>
  <c r="W229" i="25" s="1"/>
  <c r="P229" i="25" a="1"/>
  <c r="P229" i="25" s="1"/>
  <c r="AK229" i="25" a="1"/>
  <c r="AK229" i="25" s="1"/>
  <c r="AD229" i="25" a="1"/>
  <c r="AD229" i="25" s="1"/>
  <c r="V214" i="23"/>
  <c r="V180" i="23" a="1"/>
  <c r="V180" i="23" s="1"/>
  <c r="W44" i="23" s="1" a="1"/>
  <c r="W44" i="23" s="1"/>
  <c r="V213" i="23"/>
  <c r="W212" i="23"/>
  <c r="W213" i="23"/>
  <c r="Y212" i="23"/>
  <c r="Y178" i="23" a="1"/>
  <c r="Y178" i="23" s="1"/>
  <c r="I59" i="23" s="1" a="1"/>
  <c r="I59" i="23" s="1"/>
  <c r="Z178" i="23" a="1"/>
  <c r="Z178" i="23" s="1"/>
  <c r="I64" i="23" s="1" a="1"/>
  <c r="I64" i="23" s="1"/>
  <c r="X212" i="23"/>
  <c r="X179" i="23" a="1"/>
  <c r="X179" i="23" s="1"/>
  <c r="P54" i="23" s="1" a="1"/>
  <c r="P54" i="23" s="1"/>
  <c r="Z212" i="23"/>
  <c r="X215" i="23"/>
  <c r="P53" i="23"/>
  <c r="P63" i="23"/>
  <c r="P83" i="23"/>
  <c r="P48" i="23"/>
  <c r="P68" i="23"/>
  <c r="P43" i="23"/>
  <c r="P73" i="23"/>
  <c r="P88" i="23"/>
  <c r="P78" i="23"/>
  <c r="P58" i="23"/>
  <c r="W215" i="23"/>
  <c r="AI134" i="23" a="1"/>
  <c r="AI134" i="23" s="1"/>
  <c r="AF134" i="23" a="1"/>
  <c r="AF134" i="23" s="1"/>
  <c r="AN134" i="23" a="1"/>
  <c r="AN134" i="23" s="1"/>
  <c r="Y182" i="23" a="1"/>
  <c r="Y182" i="23" s="1"/>
  <c r="AK59" i="23" s="1" a="1"/>
  <c r="AK59" i="23" s="1"/>
  <c r="AH134" i="23" a="1"/>
  <c r="AH134" i="23" s="1"/>
  <c r="AG134" i="23" a="1"/>
  <c r="AG134" i="23" s="1"/>
  <c r="AM134" i="23" a="1"/>
  <c r="AM134" i="23" s="1"/>
  <c r="AO134" i="23" a="1"/>
  <c r="AO134" i="23" s="1"/>
  <c r="AJ134" i="23" a="1"/>
  <c r="AJ134" i="23" s="1"/>
  <c r="AK134" i="23" a="1"/>
  <c r="AK134" i="23" s="1"/>
  <c r="W179" i="23" a="1"/>
  <c r="W179" i="23" s="1"/>
  <c r="P49" i="23" s="1" a="1"/>
  <c r="P49" i="23" s="1"/>
  <c r="Y181" i="23" a="1"/>
  <c r="Y181" i="23" s="1"/>
  <c r="AD59" i="23" s="1" a="1"/>
  <c r="AD59" i="23" s="1"/>
  <c r="X181" i="23" a="1"/>
  <c r="X181" i="23" s="1"/>
  <c r="AD54" i="23" s="1" a="1"/>
  <c r="AD54" i="23" s="1"/>
  <c r="AL134" i="23" a="1"/>
  <c r="AL134" i="23" s="1"/>
  <c r="Z182" i="23" a="1"/>
  <c r="Z182" i="23" s="1"/>
  <c r="AK64" i="23" s="1" a="1"/>
  <c r="AK64" i="23" s="1"/>
  <c r="AA178" i="23" a="1"/>
  <c r="AA178" i="23" s="1"/>
  <c r="I69" i="23" s="1" a="1"/>
  <c r="I69" i="23" s="1"/>
  <c r="AE134" i="23" a="1"/>
  <c r="AE134" i="23" s="1"/>
  <c r="X133" i="23" a="1"/>
  <c r="X133" i="23" s="1"/>
  <c r="Y133" i="23" a="1"/>
  <c r="Y133" i="23" s="1"/>
  <c r="V133" i="23" a="1"/>
  <c r="V133" i="23" s="1"/>
  <c r="W133" i="23" a="1"/>
  <c r="W133" i="23" s="1"/>
  <c r="AA133" i="23" a="1"/>
  <c r="AA133" i="23" s="1"/>
  <c r="Z133" i="23" a="1"/>
  <c r="Z133" i="23" s="1"/>
  <c r="V245" i="23"/>
  <c r="X245" i="23"/>
  <c r="W245" i="23"/>
  <c r="X244" i="23"/>
  <c r="V244" i="23"/>
  <c r="W244" i="23"/>
  <c r="V216" i="23"/>
  <c r="W216" i="23"/>
  <c r="X216" i="23"/>
  <c r="B158" i="2"/>
  <c r="W58" i="23" a="1"/>
  <c r="W88" i="23" a="1"/>
  <c r="W53" i="23" a="1"/>
  <c r="W83" i="23" a="1"/>
  <c r="W73" i="23" a="1"/>
  <c r="W63" i="23" a="1"/>
  <c r="W48" i="23" a="1"/>
  <c r="W43" i="23" a="1"/>
  <c r="W68" i="23" a="1"/>
  <c r="W78" i="23" a="1"/>
  <c r="AX446" i="25" l="1"/>
  <c r="AX464" i="25" s="1"/>
  <c r="AX400" i="25"/>
  <c r="AP421" i="25" a="1"/>
  <c r="AP421" i="25" s="1"/>
  <c r="AZ398" i="25"/>
  <c r="AZ445" i="25" s="1"/>
  <c r="AZ463" i="25" s="1"/>
  <c r="AQ420" i="25" a="1"/>
  <c r="AQ420" i="25" s="1"/>
  <c r="AY429" i="25" s="1" a="1"/>
  <c r="AY429" i="25" s="1"/>
  <c r="P189" i="25" s="1" a="1"/>
  <c r="P189" i="25" s="1"/>
  <c r="AY399" i="25"/>
  <c r="AO422" i="25"/>
  <c r="AW431" i="25" s="1" a="1"/>
  <c r="AW431" i="25" s="1"/>
  <c r="AD179" i="25" s="1" a="1"/>
  <c r="AD179" i="25" s="1"/>
  <c r="AW430" i="25" a="1"/>
  <c r="AW430" i="25" s="1"/>
  <c r="W179" i="25" s="1" a="1"/>
  <c r="W179" i="25" s="1"/>
  <c r="AO423" i="25"/>
  <c r="AW432" i="25" s="1" a="1"/>
  <c r="AW432" i="25" s="1"/>
  <c r="AK179" i="25" s="1" a="1"/>
  <c r="AK179" i="25" s="1"/>
  <c r="AW447" i="25"/>
  <c r="AW465" i="25" s="1"/>
  <c r="AW401" i="25"/>
  <c r="AW448" i="25" s="1"/>
  <c r="AW466" i="25" s="1"/>
  <c r="AP437" i="25"/>
  <c r="B234" i="25" a="1"/>
  <c r="B234" i="25" s="1"/>
  <c r="I234" i="25" a="1"/>
  <c r="I234" i="25" s="1"/>
  <c r="P234" i="25" a="1"/>
  <c r="P234" i="25" s="1"/>
  <c r="W234" i="25" a="1"/>
  <c r="W234" i="25" s="1"/>
  <c r="AD234" i="25" a="1"/>
  <c r="AD234" i="25" s="1"/>
  <c r="AK234" i="25" a="1"/>
  <c r="AK234" i="25" s="1"/>
  <c r="W214" i="23"/>
  <c r="W180" i="23" a="1"/>
  <c r="W180" i="23" s="1"/>
  <c r="W49" i="23" s="1" a="1"/>
  <c r="W49" i="23" s="1"/>
  <c r="Y179" i="23" a="1"/>
  <c r="Y179" i="23" s="1"/>
  <c r="P59" i="23" s="1" a="1"/>
  <c r="P59" i="23" s="1"/>
  <c r="W83" i="23"/>
  <c r="W88" i="23"/>
  <c r="W78" i="23"/>
  <c r="W73" i="23"/>
  <c r="Z179" i="23" a="1"/>
  <c r="Z179" i="23" s="1"/>
  <c r="P64" i="23" s="1" a="1"/>
  <c r="P64" i="23" s="1"/>
  <c r="AA179" i="23" a="1"/>
  <c r="AA179" i="23" s="1"/>
  <c r="P69" i="23" s="1" a="1"/>
  <c r="P69" i="23" s="1"/>
  <c r="AB212" i="23"/>
  <c r="X214" i="23"/>
  <c r="AC178" i="23" a="1"/>
  <c r="AC178" i="23" s="1"/>
  <c r="I79" i="23" s="1" a="1"/>
  <c r="I79" i="23" s="1"/>
  <c r="X213" i="23"/>
  <c r="X180" i="23" a="1"/>
  <c r="X180" i="23" s="1"/>
  <c r="W54" i="23" s="1" a="1"/>
  <c r="W54" i="23" s="1"/>
  <c r="W43" i="23"/>
  <c r="W53" i="23"/>
  <c r="W63" i="23"/>
  <c r="W58" i="23"/>
  <c r="W68" i="23"/>
  <c r="W48" i="23"/>
  <c r="Y244" i="23"/>
  <c r="Y245" i="23"/>
  <c r="Z245" i="23"/>
  <c r="AD134" i="23" a="1"/>
  <c r="AD134" i="23" s="1"/>
  <c r="AB134" i="23" a="1"/>
  <c r="AB134" i="23" s="1"/>
  <c r="AA134" i="23" a="1"/>
  <c r="AA134" i="23" s="1"/>
  <c r="AC134" i="23" a="1"/>
  <c r="AC134" i="23" s="1"/>
  <c r="Y216" i="23"/>
  <c r="Z181" i="23" a="1"/>
  <c r="Z181" i="23" s="1"/>
  <c r="AD64" i="23" s="1" a="1"/>
  <c r="AD64" i="23" s="1"/>
  <c r="Y215" i="23"/>
  <c r="V134" i="23" a="1"/>
  <c r="V134" i="23" s="1"/>
  <c r="X134" i="23" a="1"/>
  <c r="X134" i="23" s="1"/>
  <c r="Z134" i="23" a="1"/>
  <c r="Z134" i="23" s="1"/>
  <c r="W134" i="23" a="1"/>
  <c r="W134" i="23" s="1"/>
  <c r="Y134" i="23" a="1"/>
  <c r="Y134" i="23" s="1"/>
  <c r="AD182" i="23" a="1"/>
  <c r="AD182" i="23" s="1"/>
  <c r="AK84" i="23" s="1" a="1"/>
  <c r="AK84" i="23" s="1"/>
  <c r="AB182" i="23" a="1"/>
  <c r="AB182" i="23" s="1"/>
  <c r="AK74" i="23" s="1" a="1"/>
  <c r="AK74" i="23" s="1"/>
  <c r="AE182" i="23" a="1"/>
  <c r="AE182" i="23" s="1"/>
  <c r="AK89" i="23" s="1" a="1"/>
  <c r="AK89" i="23" s="1"/>
  <c r="AP135" i="23" a="1"/>
  <c r="AP135" i="23" s="1"/>
  <c r="Z216" i="23"/>
  <c r="Z244" i="23"/>
  <c r="C159" i="2"/>
  <c r="C160" i="2"/>
  <c r="C161" i="2"/>
  <c r="C162" i="2"/>
  <c r="C163" i="2"/>
  <c r="C164" i="2"/>
  <c r="C165" i="2"/>
  <c r="C166" i="2"/>
  <c r="C158" i="2"/>
  <c r="B159" i="2"/>
  <c r="B160" i="2"/>
  <c r="B161" i="2"/>
  <c r="B162" i="2"/>
  <c r="B163" i="2"/>
  <c r="B164" i="2"/>
  <c r="B165" i="2"/>
  <c r="B166" i="2"/>
  <c r="AD58" i="23" a="1"/>
  <c r="AD43" i="23" a="1"/>
  <c r="AD73" i="23" a="1"/>
  <c r="AD53" i="23" a="1"/>
  <c r="AD68" i="23" a="1"/>
  <c r="AD88" i="23" a="1"/>
  <c r="AD83" i="23" a="1"/>
  <c r="AD78" i="23" a="1"/>
  <c r="AD48" i="23" a="1"/>
  <c r="AD63" i="23" a="1"/>
  <c r="AY446" i="25" l="1"/>
  <c r="AY464" i="25" s="1"/>
  <c r="AY400" i="25"/>
  <c r="AQ421" i="25" a="1"/>
  <c r="AQ421" i="25" s="1"/>
  <c r="BA398" i="25"/>
  <c r="AZ399" i="25"/>
  <c r="AR420" i="25" a="1"/>
  <c r="AR420" i="25" s="1"/>
  <c r="AZ429" i="25" s="1" a="1"/>
  <c r="AZ429" i="25" s="1"/>
  <c r="P194" i="25" s="1" a="1"/>
  <c r="P194" i="25" s="1"/>
  <c r="AP422" i="25"/>
  <c r="AX431" i="25" s="1" a="1"/>
  <c r="AX431" i="25" s="1"/>
  <c r="AD184" i="25" s="1" a="1"/>
  <c r="AD184" i="25" s="1"/>
  <c r="AP423" i="25"/>
  <c r="AX432" i="25" s="1" a="1"/>
  <c r="AX432" i="25" s="1"/>
  <c r="AK184" i="25" s="1" a="1"/>
  <c r="AK184" i="25" s="1"/>
  <c r="AX430" i="25" a="1"/>
  <c r="AX430" i="25" s="1"/>
  <c r="W184" i="25" s="1" a="1"/>
  <c r="W184" i="25" s="1"/>
  <c r="AX447" i="25"/>
  <c r="AX465" i="25" s="1"/>
  <c r="AX401" i="25"/>
  <c r="AX448" i="25" s="1"/>
  <c r="AX466" i="25" s="1"/>
  <c r="AQ437" i="25"/>
  <c r="B239" i="25" a="1"/>
  <c r="B239" i="25" s="1"/>
  <c r="I239" i="25" a="1"/>
  <c r="I239" i="25" s="1"/>
  <c r="P239" i="25" a="1"/>
  <c r="P239" i="25" s="1"/>
  <c r="W239" i="25" a="1"/>
  <c r="W239" i="25" s="1"/>
  <c r="AK239" i="25" a="1"/>
  <c r="AK239" i="25" s="1"/>
  <c r="AD239" i="25" a="1"/>
  <c r="AD239" i="25" s="1"/>
  <c r="AD88" i="23"/>
  <c r="AA212" i="23"/>
  <c r="AC212" i="23"/>
  <c r="AD212" i="23"/>
  <c r="Y213" i="23"/>
  <c r="Y214" i="23"/>
  <c r="Y180" i="23" a="1"/>
  <c r="Y180" i="23" s="1"/>
  <c r="W59" i="23" s="1" a="1"/>
  <c r="W59" i="23" s="1"/>
  <c r="AA181" i="23" a="1"/>
  <c r="AA181" i="23" s="1"/>
  <c r="AD69" i="23" s="1" a="1"/>
  <c r="AD69" i="23" s="1"/>
  <c r="AE178" i="23" a="1"/>
  <c r="AE178" i="23" s="1"/>
  <c r="I89" i="23" s="1" a="1"/>
  <c r="I89" i="23" s="1"/>
  <c r="AD58" i="23"/>
  <c r="AD48" i="23"/>
  <c r="AD63" i="23"/>
  <c r="AD78" i="23"/>
  <c r="AD53" i="23"/>
  <c r="AD68" i="23"/>
  <c r="AD43" i="23"/>
  <c r="AD73" i="23"/>
  <c r="AD83" i="23"/>
  <c r="AC182" i="23" a="1"/>
  <c r="AC182" i="23" s="1"/>
  <c r="AK79" i="23" s="1" a="1"/>
  <c r="AK79" i="23" s="1"/>
  <c r="AA182" i="23" a="1"/>
  <c r="AA182" i="23" s="1"/>
  <c r="AK69" i="23" s="1" a="1"/>
  <c r="AK69" i="23" s="1"/>
  <c r="AA244" i="23"/>
  <c r="AA216" i="23"/>
  <c r="AN135" i="23" a="1"/>
  <c r="AN135" i="23" s="1"/>
  <c r="AL135" i="23" a="1"/>
  <c r="AL135" i="23" s="1"/>
  <c r="AJ135" i="23" a="1"/>
  <c r="AJ135" i="23" s="1"/>
  <c r="AO135" i="23" a="1"/>
  <c r="AO135" i="23" s="1"/>
  <c r="AI135" i="23" a="1"/>
  <c r="AI135" i="23" s="1"/>
  <c r="W135" i="23" a="1"/>
  <c r="W135" i="23" s="1"/>
  <c r="AF135" i="23" a="1"/>
  <c r="AF135" i="23" s="1"/>
  <c r="AH135" i="23" a="1"/>
  <c r="AH135" i="23" s="1"/>
  <c r="Y135" i="23" a="1"/>
  <c r="Y135" i="23" s="1"/>
  <c r="AE135" i="23" a="1"/>
  <c r="AE135" i="23" s="1"/>
  <c r="AG135" i="23" a="1"/>
  <c r="AG135" i="23" s="1"/>
  <c r="AB135" i="23" a="1"/>
  <c r="AB135" i="23" s="1"/>
  <c r="V135" i="23" a="1"/>
  <c r="V135" i="23" s="1"/>
  <c r="AD135" i="23" a="1"/>
  <c r="AD135" i="23" s="1"/>
  <c r="Z135" i="23" a="1"/>
  <c r="Z135" i="23" s="1"/>
  <c r="X135" i="23" a="1"/>
  <c r="X135" i="23" s="1"/>
  <c r="AA135" i="23" a="1"/>
  <c r="AA135" i="23" s="1"/>
  <c r="AC135" i="23" a="1"/>
  <c r="AC135" i="23" s="1"/>
  <c r="AM135" i="23" a="1"/>
  <c r="AM135" i="23" s="1"/>
  <c r="AB245" i="23"/>
  <c r="AK135" i="23" a="1"/>
  <c r="AK135" i="23" s="1"/>
  <c r="AB216" i="23"/>
  <c r="Z215" i="23"/>
  <c r="K64" i="14"/>
  <c r="N65" i="14"/>
  <c r="K63" i="14"/>
  <c r="N64" i="14"/>
  <c r="K62" i="14"/>
  <c r="N63" i="14"/>
  <c r="K61" i="14"/>
  <c r="N62" i="14"/>
  <c r="K60" i="14"/>
  <c r="N61" i="14"/>
  <c r="K59" i="14"/>
  <c r="N60" i="14"/>
  <c r="K57" i="14"/>
  <c r="K58" i="14"/>
  <c r="N59" i="14"/>
  <c r="K65" i="14"/>
  <c r="N57" i="14"/>
  <c r="N58" i="14"/>
  <c r="A12" i="9"/>
  <c r="AK83" i="23" a="1"/>
  <c r="AK43" i="23" a="1"/>
  <c r="AK73" i="23" a="1"/>
  <c r="AK78" i="23" a="1"/>
  <c r="AK68" i="23" a="1"/>
  <c r="AK48" i="23" a="1"/>
  <c r="AK88" i="23" a="1"/>
  <c r="AK53" i="23" a="1"/>
  <c r="AK63" i="23" a="1"/>
  <c r="AK58" i="23" a="1"/>
  <c r="AZ446" i="25" l="1"/>
  <c r="AZ464" i="25" s="1"/>
  <c r="AR421" i="25" a="1"/>
  <c r="AR421" i="25" s="1"/>
  <c r="AZ400" i="25"/>
  <c r="BA445" i="25"/>
  <c r="BA463" i="25" s="1"/>
  <c r="BA399" i="25"/>
  <c r="BA446" i="25" s="1"/>
  <c r="BA464" i="25" s="1"/>
  <c r="AS420" i="25" a="1"/>
  <c r="AS420" i="25" s="1"/>
  <c r="BA429" i="25" s="1" a="1"/>
  <c r="BA429" i="25" s="1"/>
  <c r="P199" i="25" s="1" a="1"/>
  <c r="P199" i="25" s="1"/>
  <c r="AQ423" i="25"/>
  <c r="AY432" i="25" s="1" a="1"/>
  <c r="AY432" i="25" s="1"/>
  <c r="AK189" i="25" s="1" a="1"/>
  <c r="AK189" i="25" s="1"/>
  <c r="AQ422" i="25"/>
  <c r="AY431" i="25" s="1" a="1"/>
  <c r="AY431" i="25" s="1"/>
  <c r="AD189" i="25" s="1" a="1"/>
  <c r="AD189" i="25" s="1"/>
  <c r="AY430" i="25" a="1"/>
  <c r="AY430" i="25" s="1"/>
  <c r="W189" i="25" s="1" a="1"/>
  <c r="W189" i="25" s="1"/>
  <c r="AY447" i="25"/>
  <c r="AY465" i="25" s="1"/>
  <c r="AY401" i="25"/>
  <c r="AY448" i="25" s="1"/>
  <c r="AY466" i="25" s="1"/>
  <c r="AR437" i="25"/>
  <c r="B244" i="25" a="1"/>
  <c r="B244" i="25" s="1"/>
  <c r="I244" i="25" a="1"/>
  <c r="I244" i="25" s="1"/>
  <c r="P244" i="25" a="1"/>
  <c r="P244" i="25" s="1"/>
  <c r="W244" i="25" a="1"/>
  <c r="W244" i="25" s="1"/>
  <c r="AD244" i="25" a="1"/>
  <c r="AD244" i="25" s="1"/>
  <c r="AK244" i="25" a="1"/>
  <c r="AK244" i="25" s="1"/>
  <c r="AE212" i="23"/>
  <c r="Z213" i="23"/>
  <c r="Z214" i="23"/>
  <c r="AB244" i="23"/>
  <c r="Z180" i="23" a="1"/>
  <c r="Z180" i="23" s="1"/>
  <c r="W64" i="23" s="1" a="1"/>
  <c r="W64" i="23" s="1"/>
  <c r="AB181" i="23" a="1"/>
  <c r="AB181" i="23" s="1"/>
  <c r="AD74" i="23" s="1" a="1"/>
  <c r="AD74" i="23" s="1"/>
  <c r="AK78" i="23"/>
  <c r="AK88" i="23"/>
  <c r="AK68" i="23"/>
  <c r="AK58" i="23"/>
  <c r="AK53" i="23"/>
  <c r="AK63" i="23"/>
  <c r="AK83" i="23"/>
  <c r="AK48" i="23"/>
  <c r="AK43" i="23"/>
  <c r="AK73" i="23"/>
  <c r="AD245" i="23"/>
  <c r="AA245" i="23"/>
  <c r="AC179" i="23" a="1"/>
  <c r="AC179" i="23" s="1"/>
  <c r="P79" i="23" s="1" a="1"/>
  <c r="P79" i="23" s="1"/>
  <c r="AB179" i="23" a="1"/>
  <c r="AB179" i="23" s="1"/>
  <c r="P74" i="23" s="1" a="1"/>
  <c r="P74" i="23" s="1"/>
  <c r="AE245" i="23"/>
  <c r="AC245" i="23"/>
  <c r="AC216" i="23"/>
  <c r="AA215" i="23"/>
  <c r="AD179" i="23" a="1"/>
  <c r="AD179" i="23" s="1"/>
  <c r="P84" i="23" s="1" a="1"/>
  <c r="P84" i="23" s="1"/>
  <c r="BA400" i="25" l="1"/>
  <c r="AS421" i="25" a="1"/>
  <c r="AS421" i="25" s="1"/>
  <c r="AZ447" i="25"/>
  <c r="AZ465" i="25" s="1"/>
  <c r="AZ401" i="25"/>
  <c r="AZ448" i="25" s="1"/>
  <c r="AZ466" i="25" s="1"/>
  <c r="AZ430" i="25" a="1"/>
  <c r="AZ430" i="25" s="1"/>
  <c r="W194" i="25" s="1" a="1"/>
  <c r="W194" i="25" s="1"/>
  <c r="AR422" i="25"/>
  <c r="AZ431" i="25" s="1" a="1"/>
  <c r="AZ431" i="25" s="1"/>
  <c r="AD194" i="25" s="1" a="1"/>
  <c r="AD194" i="25" s="1"/>
  <c r="AR423" i="25"/>
  <c r="AZ432" i="25" s="1" a="1"/>
  <c r="AZ432" i="25" s="1"/>
  <c r="AK194" i="25" s="1" a="1"/>
  <c r="AK194" i="25" s="1"/>
  <c r="AS437" i="25"/>
  <c r="B249" i="25" a="1"/>
  <c r="B249" i="25" s="1"/>
  <c r="I249" i="25" a="1"/>
  <c r="I249" i="25" s="1"/>
  <c r="P249" i="25" a="1"/>
  <c r="P249" i="25" s="1"/>
  <c r="W249" i="25" a="1"/>
  <c r="W249" i="25" s="1"/>
  <c r="AK249" i="25" a="1"/>
  <c r="AK249" i="25" s="1"/>
  <c r="AD249" i="25" a="1"/>
  <c r="AD249" i="25" s="1"/>
  <c r="AA213" i="23"/>
  <c r="AA214" i="23"/>
  <c r="AB180" i="23" a="1"/>
  <c r="AB180" i="23" s="1"/>
  <c r="W74" i="23" s="1" a="1"/>
  <c r="W74" i="23" s="1"/>
  <c r="AC244" i="23"/>
  <c r="AA180" i="23" a="1"/>
  <c r="AA180" i="23" s="1"/>
  <c r="W69" i="23" s="1" a="1"/>
  <c r="W69" i="23" s="1"/>
  <c r="AC181" i="23" a="1"/>
  <c r="AC181" i="23" s="1"/>
  <c r="AD79" i="23" s="1" a="1"/>
  <c r="AD79" i="23" s="1"/>
  <c r="AD216" i="23"/>
  <c r="AE216" i="23"/>
  <c r="AB215" i="23"/>
  <c r="BA430" i="25" l="1" a="1"/>
  <c r="BA430" i="25" s="1"/>
  <c r="W199" i="25" s="1" a="1"/>
  <c r="W199" i="25" s="1"/>
  <c r="AS422" i="25"/>
  <c r="BA431" i="25" s="1" a="1"/>
  <c r="BA431" i="25" s="1"/>
  <c r="AD199" i="25" s="1" a="1"/>
  <c r="AD199" i="25" s="1"/>
  <c r="AS423" i="25"/>
  <c r="BA432" i="25" s="1" a="1"/>
  <c r="BA432" i="25" s="1"/>
  <c r="AK199" i="25" s="1" a="1"/>
  <c r="AK199" i="25" s="1"/>
  <c r="BA447" i="25"/>
  <c r="BA465" i="25" s="1"/>
  <c r="BA401" i="25"/>
  <c r="BA448" i="25" s="1"/>
  <c r="BA466" i="25" s="1"/>
  <c r="AT437" i="25"/>
  <c r="B254" i="25" a="1"/>
  <c r="B254" i="25" s="1"/>
  <c r="I254" i="25" a="1"/>
  <c r="I254" i="25" s="1"/>
  <c r="W254" i="25" a="1"/>
  <c r="W254" i="25" s="1"/>
  <c r="P254" i="25" a="1"/>
  <c r="P254" i="25" s="1"/>
  <c r="AD254" i="25" a="1"/>
  <c r="AD254" i="25" s="1"/>
  <c r="AK254" i="25" a="1"/>
  <c r="AK254" i="25" s="1"/>
  <c r="AB213" i="23"/>
  <c r="AB214" i="23"/>
  <c r="AD244" i="23"/>
  <c r="AD181" i="23" a="1"/>
  <c r="AD181" i="23" s="1"/>
  <c r="AD84" i="23" s="1" a="1"/>
  <c r="AD84" i="23" s="1"/>
  <c r="AE179" i="23" a="1"/>
  <c r="AE179" i="23" s="1"/>
  <c r="P89" i="23" s="1" a="1"/>
  <c r="P89" i="23" s="1"/>
  <c r="AC215" i="23"/>
  <c r="AU437" i="25" l="1"/>
  <c r="B259" i="25" a="1"/>
  <c r="B259" i="25" s="1"/>
  <c r="I259" i="25" a="1"/>
  <c r="I259" i="25" s="1"/>
  <c r="W259" i="25" a="1"/>
  <c r="W259" i="25" s="1"/>
  <c r="P259" i="25" a="1"/>
  <c r="P259" i="25" s="1"/>
  <c r="AK259" i="25" a="1"/>
  <c r="AK259" i="25" s="1"/>
  <c r="AD259" i="25" a="1"/>
  <c r="AD259" i="25" s="1"/>
  <c r="AC180" i="23" a="1"/>
  <c r="AC180" i="23" s="1"/>
  <c r="W79" i="23" s="1" a="1"/>
  <c r="W79" i="23" s="1"/>
  <c r="AC213" i="23"/>
  <c r="AC214" i="23"/>
  <c r="AE244" i="23"/>
  <c r="AE181" i="23" a="1"/>
  <c r="AE181" i="23" s="1"/>
  <c r="AD89" i="23" s="1" a="1"/>
  <c r="AD89" i="23" s="1"/>
  <c r="AD215" i="23"/>
  <c r="AV437" i="25" l="1"/>
  <c r="B264" i="25" a="1"/>
  <c r="B264" i="25" s="1"/>
  <c r="I264" i="25" a="1"/>
  <c r="I264" i="25" s="1"/>
  <c r="P264" i="25" a="1"/>
  <c r="P264" i="25" s="1"/>
  <c r="W264" i="25" a="1"/>
  <c r="W264" i="25" s="1"/>
  <c r="AD264" i="25" a="1"/>
  <c r="AD264" i="25" s="1"/>
  <c r="AK264" i="25" a="1"/>
  <c r="AK264" i="25" s="1"/>
  <c r="AD180" i="23" a="1"/>
  <c r="AD180" i="23" s="1"/>
  <c r="W84" i="23" s="1" a="1"/>
  <c r="W84" i="23" s="1"/>
  <c r="AD213" i="23"/>
  <c r="AD214" i="23"/>
  <c r="AE215" i="23"/>
  <c r="AW437" i="25" l="1"/>
  <c r="B269" i="25" a="1"/>
  <c r="B269" i="25" s="1"/>
  <c r="I269" i="25" a="1"/>
  <c r="I269" i="25" s="1"/>
  <c r="W269" i="25" a="1"/>
  <c r="W269" i="25" s="1"/>
  <c r="P269" i="25" a="1"/>
  <c r="P269" i="25" s="1"/>
  <c r="AK269" i="25" a="1"/>
  <c r="AK269" i="25" s="1"/>
  <c r="AD269" i="25" a="1"/>
  <c r="AD269" i="25" s="1"/>
  <c r="AE213" i="23"/>
  <c r="AE214" i="23"/>
  <c r="AE180" i="23" a="1"/>
  <c r="AE180" i="23" s="1"/>
  <c r="W89" i="23" s="1" a="1"/>
  <c r="W89" i="23" s="1"/>
  <c r="AX437" i="25" l="1"/>
  <c r="B274" i="25" a="1"/>
  <c r="B274" i="25" s="1"/>
  <c r="I274" i="25" a="1"/>
  <c r="I274" i="25" s="1"/>
  <c r="P274" i="25" a="1"/>
  <c r="P274" i="25" s="1"/>
  <c r="W274" i="25" a="1"/>
  <c r="W274" i="25" s="1"/>
  <c r="AK274" i="25" a="1"/>
  <c r="AK274" i="25" s="1"/>
  <c r="AD274" i="25" a="1"/>
  <c r="AD274" i="25" s="1"/>
  <c r="AY437" i="25" l="1"/>
  <c r="B279" i="25" a="1"/>
  <c r="B279" i="25" s="1"/>
  <c r="I279" i="25" a="1"/>
  <c r="I279" i="25" s="1"/>
  <c r="W279" i="25" a="1"/>
  <c r="W279" i="25" s="1"/>
  <c r="P279" i="25" a="1"/>
  <c r="P279" i="25" s="1"/>
  <c r="AD279" i="25" a="1"/>
  <c r="AD279" i="25" s="1"/>
  <c r="AK279" i="25" a="1"/>
  <c r="AK279" i="25" s="1"/>
  <c r="AZ437" i="25" l="1"/>
  <c r="B284" i="25" a="1"/>
  <c r="B284" i="25" s="1"/>
  <c r="I284" i="25" a="1"/>
  <c r="I284" i="25" s="1"/>
  <c r="P284" i="25" a="1"/>
  <c r="P284" i="25" s="1"/>
  <c r="W284" i="25" a="1"/>
  <c r="W284" i="25" s="1"/>
  <c r="AD284" i="25" a="1"/>
  <c r="AD284" i="25" s="1"/>
  <c r="AK284" i="25" a="1"/>
  <c r="AK284" i="25" s="1"/>
  <c r="BA437" i="25" l="1"/>
  <c r="B289" i="25" a="1"/>
  <c r="B289" i="25" s="1"/>
  <c r="I289" i="25" a="1"/>
  <c r="I289" i="25" s="1"/>
  <c r="W289" i="25" a="1"/>
  <c r="W289" i="25" s="1"/>
  <c r="P289" i="25" a="1"/>
  <c r="P289" i="25" s="1"/>
  <c r="AK289" i="25" a="1"/>
  <c r="AK289" i="25" s="1"/>
  <c r="AD289" i="25" a="1"/>
  <c r="AD289" i="25" s="1"/>
  <c r="BB437" i="25" l="1"/>
  <c r="B294" i="25" a="1"/>
  <c r="B294" i="25" s="1"/>
  <c r="I294" i="25" a="1"/>
  <c r="I294" i="25" s="1"/>
  <c r="P294" i="25" a="1"/>
  <c r="P294" i="25" s="1"/>
  <c r="W294" i="25" a="1"/>
  <c r="W294" i="25" s="1"/>
  <c r="AK294" i="25" a="1"/>
  <c r="AK294" i="25" s="1"/>
  <c r="AD294" i="25" a="1"/>
  <c r="AD294" i="25" s="1"/>
  <c r="BC437" i="25" l="1"/>
  <c r="B299" i="25" a="1"/>
  <c r="B299" i="25" s="1"/>
  <c r="I299" i="25" a="1"/>
  <c r="I299" i="25" s="1"/>
  <c r="W299" i="25" a="1"/>
  <c r="W299" i="25" s="1"/>
  <c r="P299" i="25" a="1"/>
  <c r="P299" i="25" s="1"/>
  <c r="AD299" i="25" a="1"/>
  <c r="AD299" i="25" s="1"/>
  <c r="AK299" i="25" a="1"/>
  <c r="AK299" i="25" s="1"/>
  <c r="BD437" i="25" l="1"/>
  <c r="B304" i="25" a="1"/>
  <c r="B304" i="25" s="1"/>
  <c r="I304" i="25" a="1"/>
  <c r="I304" i="25" s="1"/>
  <c r="P304" i="25" a="1"/>
  <c r="P304" i="25" s="1"/>
  <c r="W304" i="25" a="1"/>
  <c r="W304" i="25" s="1"/>
  <c r="AD304" i="25" a="1"/>
  <c r="AD304" i="25" s="1"/>
  <c r="AK304" i="25" a="1"/>
  <c r="AK304" i="25" s="1"/>
  <c r="B309" i="25" l="1" a="1"/>
  <c r="B309" i="25" s="1"/>
  <c r="I309" i="25" a="1"/>
  <c r="I309" i="25" s="1"/>
  <c r="W309" i="25" a="1"/>
  <c r="W309" i="25" s="1"/>
  <c r="P309" i="25" a="1"/>
  <c r="P309" i="25" s="1"/>
  <c r="AK309" i="25" a="1"/>
  <c r="AK309" i="25" s="1"/>
  <c r="AD309" i="25" a="1"/>
  <c r="AD309" i="2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<sst xmlns="http://schemas.openxmlformats.org/spreadsheetml/2006/main" count="981" uniqueCount="323">
  <si>
    <t>Node 1</t>
  </si>
  <si>
    <t>Node 2</t>
  </si>
  <si>
    <t>Node 3</t>
  </si>
  <si>
    <t>Node 4</t>
  </si>
  <si>
    <t>Node 5</t>
  </si>
  <si>
    <t>Node 6</t>
  </si>
  <si>
    <t>Node 7</t>
  </si>
  <si>
    <t>Node 9</t>
  </si>
  <si>
    <t>The RMC is continuously working to improve the performance of RMC software, and possible bugs should always be reported directly to the RMC at the email address listed below. Ideally, suspected errors should be reported in written form with a description of the problem and the steps that lead to its occurrence. Suggestions for improvement are also welcomed.</t>
  </si>
  <si>
    <t>U.S. Army Corps of Engineers</t>
  </si>
  <si>
    <t>Institute for Water Resources</t>
  </si>
  <si>
    <t>Risk Management Center</t>
  </si>
  <si>
    <t>RMC.software@usace.army.mil</t>
  </si>
  <si>
    <t>RMC Risk Calculations Suite</t>
  </si>
  <si>
    <t>Terms and Conditions</t>
  </si>
  <si>
    <t>Terms and Conditions for Use of IWR Software</t>
  </si>
  <si>
    <t>The United States Government, U.S. Army Corps of Engineers, Institute for Water Resources ("IWR"), and IWR's technical centers including the Risk Management Center ("RMC") and Hydrologic Engineering Center ("HEC") grants to the user the rights to install "IWR Software" (either from a disk copy obtained from IWR and IWR's technical centers, a distributor or another user or by downloading it from a network) and to use, copy and/or distribute copies of the IWR Software to other users, subject to the following Terms and Conditions of Use:</t>
  </si>
  <si>
    <t>All copies of the IWR Software received or reproduced by or for user pursuant to the authority of this Terms and Conditions of Use will be and remain the property of IWR.</t>
  </si>
  <si>
    <t>User may reproduce and distribute the IWR Software provided that the recipient agrees to the Terms and Conditions for Use noted herein.</t>
  </si>
  <si>
    <t xml:space="preserve">IWR and IWR's technical centers are solely responsible for the content of the IWR Software. The IWR Software may not be modified, abridged, decompiled, disassembled, unobfuscated or reverse engineered. The user is solely responsible for the content, interactions, and effects of any and all amendments, if present, whether they be extension modules, language resource bundles, scripts or any other amendment.
</t>
  </si>
  <si>
    <t>The name of the IWR Software must not be used to endorse or promote products derived from the IWR Software. Products derived from the IWR Software may not be called the IWR Software nor may any part of the IWR Software name appear within the name of derived products.</t>
  </si>
  <si>
    <t>No part of this Terms and Conditions for Use may be modified, deleted or obliterated from the IWR Software.</t>
  </si>
  <si>
    <t>No part of the IWR Software may be exported or re-exported in contravention of U.S. export laws or regulations.</t>
  </si>
  <si>
    <t>Waiver of Warranty</t>
  </si>
  <si>
    <t>THE UNITED STATES GOVERNMENT AND ITS AGENCIES, OFFICIALS, REPRESENTATIVES, AND EMPLOYEES, INCLUDING ITS CONTRACTORS AND SUPPLIERS PROVIDE THE IWR SOFTWARE "AS IS," WITHOUT ANY WARRANTY OR CONDITION, EXPRESS, IMPLIED OR STATUTORY, AND SPECIFICALLY DISCLAIM ANY IMPLIED WARRANTIES OF TITLE, MERCHANTABILITY, FITNESS FOR A PARTICULAR PURPOSE AND NON-INFRINGEMENT. Depending on state law, the foregoing disclaimer may not apply to you, and you may also have other legal rights that vary from state to state.</t>
  </si>
  <si>
    <t>Limitation of Liability</t>
  </si>
  <si>
    <t>IN NO EVENT SHALL THE UNITED STATES GOVERNMENT AND ITS AGENCIES, OFFICIALS, REPRESENTATIVES, AND EMPLOYEES, INCLUDING ITS CONTRACTORS AND SUPPLIERS, BE LIABLE FOR LOST PROFITS OR ANY SPECIAL, INCIDENTAL OR CONSEQUENTIAL DAMAGES ARISING OUT OF OR IN CONNECTION WITH USE OF THE IWR SOFTWARE REGARDLESS OF CAUSE, INCLUDING NEGLIGENCE. THE UNITED STATES GOVERNMENT’S LIABILITY, AND THE LIABILITY OF ITS AGENCIES, OFFICIALS, REPRESENTATIVES, AND EMPLOYEES, INCLUDING ITS CONTRACTORS AND SUPPLIERS, TO YOU OR ANY THIRD PARTIES IN ANY CIRCUMSTANCE IS LIMITED TO THE REPLACEMENT OF CERTIFIED COPIES OF THE IWR SOFTWARE WITH IDENTIFIED ERRORS CORRECTED. Depending on state law, the above limitation or exclusion may not apply to you.</t>
  </si>
  <si>
    <t>THE UNITED STATES GOVERNMENT’S LIABILITY, AND THE LIABILITY OF ITS AGENCIES, OFFICIALS, REPRESENTATIVES, AND EMPLOYEES, INCLUDING ITS CONTRACTORS AND SUPPLIERS, TO YOU OR ANY THIRD PARTIES IN ANY CIRCUMSTANCE IS LIMITED TO THE REPLACEMENT OF CERTIFIED COPIES OF THE TOOLBOX WITH IDENTIFIED ERRORS CORRECTED. Depending on state law, the above limitation or exclusion may not apply to you.</t>
  </si>
  <si>
    <t>Indemnity</t>
  </si>
  <si>
    <t xml:space="preserve">As a voluntary user of the IWR Software you agree to indemnify and hold the United States Government, and its agencies, officials, representatives, and employees, including its contractors and suppliers, harmless from any claim or demand, including reasonable attorneys' fees, made by any third party due to or arising out of your use of the IWR Software or breach of this Agreement or your violation of any law or the rights of a third party.
</t>
  </si>
  <si>
    <t>Version History</t>
  </si>
  <si>
    <t>Version</t>
  </si>
  <si>
    <t>Date</t>
  </si>
  <si>
    <t>Revision Notes</t>
  </si>
  <si>
    <t>Modified By</t>
  </si>
  <si>
    <t>Checked By</t>
  </si>
  <si>
    <t>1.0</t>
  </si>
  <si>
    <t>Initial release.</t>
  </si>
  <si>
    <t>References</t>
  </si>
  <si>
    <t>Prepared by:</t>
  </si>
  <si>
    <t>Office:</t>
  </si>
  <si>
    <t>Date:</t>
  </si>
  <si>
    <t>Checked by:</t>
  </si>
  <si>
    <t>Calculation Title:</t>
  </si>
  <si>
    <t>Number of event tree nodes</t>
  </si>
  <si>
    <t>◄ Use drop-down list.</t>
  </si>
  <si>
    <t>Yes</t>
  </si>
  <si>
    <t>No</t>
  </si>
  <si>
    <t>Node</t>
  </si>
  <si>
    <t>Event Tree Input</t>
  </si>
  <si>
    <t>Caution: Do not delete any of the following rows.</t>
  </si>
  <si>
    <t xml:space="preserve">Node 8 </t>
  </si>
  <si>
    <t>Initiating event</t>
  </si>
  <si>
    <t>Shape</t>
  </si>
  <si>
    <t>Branch 1</t>
  </si>
  <si>
    <t>Branch 2</t>
  </si>
  <si>
    <t>Event Tree</t>
  </si>
  <si>
    <t>RMC Event Tree Toolbox</t>
  </si>
  <si>
    <t>Include nodal callouts?</t>
  </si>
  <si>
    <t>Callouts</t>
  </si>
  <si>
    <t>Other</t>
  </si>
  <si>
    <t>Names</t>
  </si>
  <si>
    <t>None</t>
  </si>
  <si>
    <t>Step 2: Define node-specific information</t>
  </si>
  <si>
    <t>Step 1: Characterize the event tree</t>
  </si>
  <si>
    <t>Node 8</t>
  </si>
  <si>
    <t>Event Description</t>
  </si>
  <si>
    <t>Title</t>
  </si>
  <si>
    <t>Node 9 Title</t>
  </si>
  <si>
    <t>Callout</t>
  </si>
  <si>
    <t>Include node titles?</t>
  </si>
  <si>
    <t>Node 1 Callout</t>
  </si>
  <si>
    <t>Node 2 Callout</t>
  </si>
  <si>
    <t>Node 3 Callout</t>
  </si>
  <si>
    <t>Node 4 Callout</t>
  </si>
  <si>
    <t>Node 5 Callout</t>
  </si>
  <si>
    <t>Node 6 Callout</t>
  </si>
  <si>
    <t>Node 7 Callout</t>
  </si>
  <si>
    <t>Node 8 Callout</t>
  </si>
  <si>
    <t>Node 9 Callout</t>
  </si>
  <si>
    <t>◄ When nodal callouts are on, adjust text boxes and arrows as necessary.</t>
  </si>
  <si>
    <t>Description</t>
  </si>
  <si>
    <t>Max Char.</t>
  </si>
  <si>
    <t>Node 8 Title</t>
  </si>
  <si>
    <t>Node 8 Description</t>
  </si>
  <si>
    <t>Node 9 Description</t>
  </si>
  <si>
    <t>◄ See directions for copy and paste in the 'Event Tree Input' worksheet.</t>
  </si>
  <si>
    <t>◄ To change arrow type, right click the arrow and hover over "Connector Types."</t>
  </si>
  <si>
    <t>By using IWR software you voluntarily accept the following terms and conditions. If you do not agree to these terms and conditions, uninstall the IWR software and return any program materials to IWR and its technical centers (if you downloaded the software and do not have disk media, delete all copies, and cease using the software).</t>
  </si>
  <si>
    <t>Seismic Hazard</t>
  </si>
  <si>
    <t>1.1</t>
  </si>
  <si>
    <t>Revised D25:E25 in Event Tree Input to change "Seismic Loading" to "Seismic Hazard" for the initiating event. Revised Event Tree to show Seismic Hazard at the front of the event tree when applicable.</t>
  </si>
  <si>
    <t>A. Gohs</t>
  </si>
  <si>
    <t>D. Amlung</t>
  </si>
  <si>
    <t>Revised A17 in Event Tree Input to reference cell D22 instead of D30.</t>
  </si>
  <si>
    <t>B. Best</t>
  </si>
  <si>
    <t>Project Event Tree</t>
  </si>
  <si>
    <t># Branches</t>
  </si>
  <si>
    <t>Level</t>
  </si>
  <si>
    <t>U</t>
  </si>
  <si>
    <t>AA</t>
  </si>
  <si>
    <t>AB</t>
  </si>
  <si>
    <t>AC</t>
  </si>
  <si>
    <t>AD</t>
  </si>
  <si>
    <t>AE</t>
  </si>
  <si>
    <t>AF</t>
  </si>
  <si>
    <t>AG</t>
  </si>
  <si>
    <t>AH</t>
  </si>
  <si>
    <t>AI</t>
  </si>
  <si>
    <t>AJ</t>
  </si>
  <si>
    <t>AK</t>
  </si>
  <si>
    <t>AL</t>
  </si>
  <si>
    <t>AM</t>
  </si>
  <si>
    <t>AN</t>
  </si>
  <si>
    <t>AO</t>
  </si>
  <si>
    <t>AP</t>
  </si>
  <si>
    <t>Horizontal Lines</t>
  </si>
  <si>
    <t>Vertical Lines</t>
  </si>
  <si>
    <t># End Nodes</t>
  </si>
  <si>
    <t>Table 1 - Feeds into Table 2</t>
  </si>
  <si>
    <t>Table 2 - Based off input from Table 1</t>
  </si>
  <si>
    <t>Vertical Line References</t>
  </si>
  <si>
    <t>Branch Labels</t>
  </si>
  <si>
    <t>-</t>
  </si>
  <si>
    <t>Branch Label References</t>
  </si>
  <si>
    <t>Circle Visibility References</t>
  </si>
  <si>
    <t>Initiation: Geometric Condition</t>
  </si>
  <si>
    <t>Continuous susceptibility to internal erosion exists?</t>
  </si>
  <si>
    <t>Initiation: Hydraulic Condition</t>
  </si>
  <si>
    <t>Hydraulic condition for initiation of erosion exists?</t>
  </si>
  <si>
    <t>Continuation</t>
  </si>
  <si>
    <t>An unfiltered seepage exit exists allowing erosion to continue?</t>
  </si>
  <si>
    <t>Progression: Mechanical Condition</t>
  </si>
  <si>
    <t>Continuous stable roof or sidewalls are maintained along seepage or leakage path?</t>
  </si>
  <si>
    <t>Progression: Hydraulic Condition</t>
  </si>
  <si>
    <t>Sufficient flow exists to continuously transport eroded particles to exit?</t>
  </si>
  <si>
    <t>Unsuccessful Intervention</t>
  </si>
  <si>
    <t>Detection and intervention are unsuccessful?</t>
  </si>
  <si>
    <t>Breach</t>
  </si>
  <si>
    <t>Uncontrolled release of impounded water occurs?</t>
  </si>
  <si>
    <t>Triangle Visibility References</t>
  </si>
  <si>
    <t>Project Event Tree Input</t>
  </si>
  <si>
    <t xml:space="preserve">Removed conditional formatting and notes in Event Tree Input that alerted the user that user-specified text exceeded the recommended limit. Reduced text size and added black outlines to event tree shapes in Event Tree to improve legibility of the event tree. Added Project Event Tree Input and Project Event Tree worksheets to allow the user to create a project event tree that can be pasted into presentations and reports. </t>
  </si>
  <si>
    <t>◄ If using copy/paste, paste values only to preserve conditional formatting.</t>
  </si>
  <si>
    <t>G. Braun</t>
  </si>
  <si>
    <t>This toolbox generates a standard format sub-event tree or project event tree based on user-specified input.</t>
  </si>
  <si>
    <t>Transform</t>
  </si>
  <si>
    <t>Level Category</t>
  </si>
  <si>
    <t>Branches</t>
  </si>
  <si>
    <t>Non-Breach</t>
  </si>
  <si>
    <t>Incremental</t>
  </si>
  <si>
    <t>Non-Breach Project Event Tree</t>
  </si>
  <si>
    <t>Branch Name</t>
  </si>
  <si>
    <t>Version 3.0</t>
  </si>
  <si>
    <t>Hydrologic Hazard</t>
  </si>
  <si>
    <t>Primary Hazard Type</t>
  </si>
  <si>
    <t>Secondary Hazard Type</t>
  </si>
  <si>
    <t>Scenario 1</t>
  </si>
  <si>
    <t>Scenario 2</t>
  </si>
  <si>
    <t>Scenario 3</t>
  </si>
  <si>
    <t>Scenario 4</t>
  </si>
  <si>
    <t>Scenario 5</t>
  </si>
  <si>
    <t>Potential Failure Modes</t>
  </si>
  <si>
    <t>PFM 1</t>
  </si>
  <si>
    <t>PFM 2</t>
  </si>
  <si>
    <t>PFM 3</t>
  </si>
  <si>
    <t>PFM 4</t>
  </si>
  <si>
    <t>PFM 5</t>
  </si>
  <si>
    <t>PFM 6</t>
  </si>
  <si>
    <t>Stage</t>
  </si>
  <si>
    <t>Spillway Outflow</t>
  </si>
  <si>
    <t>PGA</t>
  </si>
  <si>
    <t>Mw</t>
  </si>
  <si>
    <t>Inflow</t>
  </si>
  <si>
    <t>Primary Hazard</t>
  </si>
  <si>
    <t>Secondary Hazard</t>
  </si>
  <si>
    <t>Exposure Scenarios</t>
  </si>
  <si>
    <t>PFM #</t>
  </si>
  <si>
    <t>PFM Name (Short Title)</t>
  </si>
  <si>
    <t>Flow</t>
  </si>
  <si>
    <t>Step 1: Characterize the hazard</t>
  </si>
  <si>
    <t>Dependent Variable</t>
  </si>
  <si>
    <t>Consequence Scenarios</t>
  </si>
  <si>
    <t>Horizontal Line References</t>
  </si>
  <si>
    <t>PFM 7</t>
  </si>
  <si>
    <t>PFM 8</t>
  </si>
  <si>
    <t>PFM 9</t>
  </si>
  <si>
    <t>PFM 10</t>
  </si>
  <si>
    <t>Primary Hazard Name</t>
  </si>
  <si>
    <t>Secondary Hazard Name</t>
  </si>
  <si>
    <t>PFM</t>
  </si>
  <si>
    <t>Non-Fail</t>
  </si>
  <si>
    <t>#</t>
  </si>
  <si>
    <t>Consequence 1</t>
  </si>
  <si>
    <t>Consequence 2</t>
  </si>
  <si>
    <t>Table 4 - Feeds into Table 5</t>
  </si>
  <si>
    <t>Table 3 - Feeds into Table 5</t>
  </si>
  <si>
    <t>Table 5</t>
  </si>
  <si>
    <t>V</t>
  </si>
  <si>
    <t>W</t>
  </si>
  <si>
    <t>X</t>
  </si>
  <si>
    <t>Y</t>
  </si>
  <si>
    <t>Z</t>
  </si>
  <si>
    <t>Continuous Symbol References</t>
  </si>
  <si>
    <t>Cont1</t>
  </si>
  <si>
    <t>Cont2</t>
  </si>
  <si>
    <t>Total Outflow</t>
  </si>
  <si>
    <t>Non-Breach Hazard</t>
  </si>
  <si>
    <t>NB Transform</t>
  </si>
  <si>
    <t>Operational performance concern</t>
  </si>
  <si>
    <t>Gate Inoperability</t>
  </si>
  <si>
    <t>Debris Blockage</t>
  </si>
  <si>
    <t>Day Exposure</t>
  </si>
  <si>
    <t>Night Exposure</t>
  </si>
  <si>
    <t>Life Loss</t>
  </si>
  <si>
    <t>Economic Cost</t>
  </si>
  <si>
    <t>Weight</t>
  </si>
  <si>
    <t>PFMs</t>
  </si>
  <si>
    <t>Row #</t>
  </si>
  <si>
    <t>Column</t>
  </si>
  <si>
    <t>Single Haz.</t>
  </si>
  <si>
    <t>Mult. Haz</t>
  </si>
  <si>
    <t>Instructions</t>
  </si>
  <si>
    <t>Stage-Frequency</t>
  </si>
  <si>
    <t>Non-Breach Consequences Dependent Variable</t>
  </si>
  <si>
    <t>◄ Use drop-down list. For composite hazard only. Specify the variable that non-breach consequences are a function of.</t>
  </si>
  <si>
    <t>◄ Specify day exposure weight.</t>
  </si>
  <si>
    <t>◄ Specify night exposure weight.</t>
  </si>
  <si>
    <t>◄ Specify the name of the flood hazard (i.e. Stage-Frequency).</t>
  </si>
  <si>
    <t>Exposure weights not specified.</t>
  </si>
  <si>
    <t>0 Spillway Gates Inoperable</t>
  </si>
  <si>
    <t>1 Spillway Gate Inoperable</t>
  </si>
  <si>
    <t>2 Spillway Gates Inoperable</t>
  </si>
  <si>
    <t>1)  The ‘Event Tree’ worksheet constructs an event tree that is a single-linear progression to breach 
     without multiple branches.
2)  The intent of the worksheet is to copy and paste the event tree graphic as an image into a report or     
     presentation, not to print an editable event tree.</t>
  </si>
  <si>
    <t>Non-Breach Flood Hazard Name</t>
  </si>
  <si>
    <t>Non-Breach Flood Hazard Type</t>
  </si>
  <si>
    <t>Assumptions and limitations for use</t>
  </si>
  <si>
    <t>Instructions for use</t>
  </si>
  <si>
    <t>◄ The non-breach risk will typically be driven by the hydrologic hazard.</t>
  </si>
  <si>
    <t>Added Instructions worksheet to provide instructions for toolbox use. Changed "Flood Loading" to "Hydrologic Hazard" in Event Tree Input drop-down list in cell D9. Overhauled the Project Event Tree Input worksheet to make the input process more intuitive. Added a non-breach risk project event tree to the Project Event Tree worksheet. Changed the format of the Project Event Tree to mimic the visual appearance of a risk analysis in RMC-TotalRisk; discrete branches for operational performance elements were removed and combined into a single composite hazard branch, with a text box to specify the scenarios included in the composite hazard; combined all transform functions into one level to assign transform variables to their corresponding system response functions; removed exposure function and included exposure scenarios in a composite consequences function for life loss consequences - exposure scenarios included in the composite consequences function are specified in a text box.</t>
  </si>
  <si>
    <t>Backward Erosion Piping</t>
  </si>
  <si>
    <t>Overtopping Depth</t>
  </si>
  <si>
    <t>Comp. Haz.</t>
  </si>
  <si>
    <t>Life Loss (Composite)</t>
  </si>
  <si>
    <t>Initiating Event</t>
  </si>
  <si>
    <t>◄ Specify the name of the primary hazard (i.e., Stage-Frequency, Stage Duration, etc.). Seismic hazard should not be defined as the primary hazard.</t>
  </si>
  <si>
    <t>◄ Specify the name of the primary hazard (i.e.,  Seismic Hazard, etc.).</t>
  </si>
  <si>
    <t>Primary Dependent Variable</t>
  </si>
  <si>
    <t>Secondary Dependent Variable</t>
  </si>
  <si>
    <t>Number of scenarios</t>
  </si>
  <si>
    <t>Operational Performance Scenarios</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</si>
  <si>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</si>
  <si>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</si>
  <si>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</si>
  <si>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</si>
  <si>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</si>
  <si>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</si>
  <si>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</si>
  <si>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</si>
  <si>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</si>
  <si>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</si>
  <si>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</si>
  <si>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</si>
  <si>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</si>
  <si>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</si>
  <si>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</si>
  <si>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</si>
  <si>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</si>
  <si>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</si>
  <si>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</si>
  <si>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</si>
  <si>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</si>
  <si>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</si>
  <si>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</si>
  <si>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</si>
  <si>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</si>
  <si>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</si>
  <si>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</si>
  <si>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</si>
  <si>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</si>
  <si>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</si>
  <si>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</si>
  <si>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</si>
  <si>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</si>
  <si>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Horizontal Lines with Collapsed Node References</t>
  </si>
  <si>
    <t>Use collapsed nodes?</t>
  </si>
  <si>
    <t/>
  </si>
  <si>
    <t>Plus Signs for Collapsed Nodes</t>
  </si>
  <si>
    <t>Hidden Rows for Collapsed Nodes</t>
  </si>
  <si>
    <t>Collapsed node rows</t>
  </si>
  <si>
    <t>Collapsed node rows (no spaces)</t>
  </si>
  <si>
    <t>Hidden rows (top)</t>
  </si>
  <si>
    <t>Hidden rows (bottom)</t>
  </si>
  <si>
    <t>Horizontal Line and Collapsed Node References</t>
  </si>
  <si>
    <t>Cell Reference - Sheet 1</t>
  </si>
  <si>
    <t>Cell Reference - Sheet 2</t>
  </si>
  <si>
    <t>HH - No OP</t>
  </si>
  <si>
    <t>Row</t>
  </si>
  <si>
    <t>HH - OP - Collapse</t>
  </si>
  <si>
    <t>HH - OP - No Collapse</t>
  </si>
  <si>
    <t>Consequences Text Boxes Target Cells</t>
  </si>
  <si>
    <t>Non-breach</t>
  </si>
  <si>
    <t>Sheet 1</t>
  </si>
  <si>
    <t>Sheet 2</t>
  </si>
  <si>
    <t>I16</t>
  </si>
  <si>
    <t>Composite hazard</t>
  </si>
  <si>
    <t>Discrete operational performance branches</t>
  </si>
  <si>
    <t>Step 4: Characterize consequences</t>
  </si>
  <si>
    <t>Step 5: Characterize the Non-Breach Risk</t>
  </si>
  <si>
    <t>If operational performance concerns are present, the project event tree can display them as part of a</t>
  </si>
  <si>
    <t xml:space="preserve">composite hazard or as discrete operational performance branches. </t>
  </si>
  <si>
    <t>Display preference</t>
  </si>
  <si>
    <t>Composite hazard contains the following scenario weights:</t>
  </si>
  <si>
    <t>Step 2: Characterize operational performance</t>
  </si>
  <si>
    <t>Note: Select the option that best reflects how the risk calculations are performed.</t>
  </si>
  <si>
    <t>Step 3: Characterize potential failure modes</t>
  </si>
  <si>
    <t>1)  The toolbox creates two project event trees – one for non-breach risk and one for incremental risk.
        a.  The top branch of the incremental project event tree is assumed to be the “Non-Fail” branch and is
             included so the tree is collectively exhaustive. It does not represent the non-breach risk and is not 
             used in the incremental risk calculation.
        b.  To obtain the residual (total) risk, the non-breach project event tree is combined with the red 
             (breach) end nodes of the incremental risk project event tree.
2)  The format and flow of the incremental project event tree is set up to mimic a risk analysis layout in RMC-
     TotalRisk. 
3)  If operational performance concerns (spillway gate inoperability or debris blockage) are present, the user 
     can utilize a composite hazard or discrete operational performance branches in the project event tree. 
        a.  The composite hazard consists of a single branch and contains the hazard and all operational 
             performance scenarios. If a composite hazard is used, a text box is inserted and populated with the 
             operational performance scenarios and their corresponding weights.
        b.  The discrete operational performance branches option will create a separate level in the project 
             event tree structure for operational performance, with a discrete branch present for each operational 
             performance scenario.
4)  The transform branch is used to transform the primary (and secondary, if applicable) hazard type to the 
     dependent variable for each potential failure mode. It is a dummy branch that has no significance as an 
     event in the event tree, and it is assigned a branch probability value of 1.0 to neutralize its effect on 
     computed probabilities.
5)  Life loss consequences are assumed to be composite with two exposure scenarios – day exposure and 
     night exposure. User-specified exposure weights are included in a text box below the consequence 
     branches of the project event tree.</t>
  </si>
  <si>
    <t>Weights do not sum to 1.0.</t>
  </si>
  <si>
    <t>x</t>
  </si>
  <si>
    <t>y</t>
  </si>
  <si>
    <t>Overtopping</t>
  </si>
  <si>
    <t>1)  Characterize the event tree in Step 1.
        a.  Specify the initiating event (hydrologic hazard, seismic hazard, other), the number of nodes in the 
             event tree, and whether node titles and callouts should be included. If “Other” is selected for the 
             initiating event, specify the event in cell G9.
2)  Define node-specific information in Step 2.
        a.  Specify the event description, title (if applicable), and callout (if applicable) for each node in the 
             event tree. Conditional formatting applies gray shading to cells that are not used.
3)  Select the ‘Event Tree’ worksheet and ensure that all text is displayed correctly within the node titles,              
     node descriptions, and callouts. Adjust the event tree callout arrows and callout boxes (if applicable).
4)  In the ‘Event Tree’ worksheet, select a range of cells that completely encompasses the event tree nodes 
     and text boxes. Right click and select “Copy”.
        a.  To make the background of the figure transparent, click the button that says "Transparent       
             Background" that is located to the right of the event tree. To revert back to a white background, 
             click the button that says "White Background".
5)  In a Word document or PowerPoint presentation, open the ‘Paste Special’ dialogue box (Ctrl + Alt + v) 
     and paste the event tree graphic as an enhanced metafile.</t>
  </si>
  <si>
    <t>1)  Characterize the hazard in Step 1.
        a.  Specify the initiating event (hydrologic hazard, seismic hazard).
        b.  Specify the primary hazard name and primary hazard type. Note: if “Seismic Hazard” is selected as 
             the initiating event, the primary hazard will likely be stage duration.
        c.  If “Seismic Hazard” is the initiating event, specify the secondary hazard type. The secondary hazard 
             name defaults to “Seismic Hazard”.
2)  Characterize operational performance concerns in Step 2.
        a.  Specify if any operational performance concerns (spillway gate inoperability or debris blockage) are 
             present. If none are present, select “None”. Specify the number of operational performance 
             scenarios (up to 5), their descriptions, and their corresponding weights.
        b.  If more than 5 operational performance scenarios are present, it will be necessary to prune 
             scenarios. Ensure that the probabilities of the pruned scenarios are included in the specified 
             weights such that the sum of the weights is 1.0 (collectively exhaustive).
        c.  If operational performance concerns are present, the project event tree can display them as part of a 
             composite hazard or as discrete performance branches. Use the drop-down menu to set the display 
             preference for the project event tree. If “discrete operational performance branches” is selected, use 
             the drop-down menu to specify whether collapsed nodes are used.
        d.  Note: Select the option that best reflects how the risk calculations are performed.
3)  Characterize the potential failure modes in Step 3.
        a.  Use drop-down list to specify the number of potential failure modes for the project.
        b.  Define the PFM number, PFM name (short title), primary dependent variable, and secondary 
             dependent variable (if applicable) for each PFM. The dependent variables represent the variable(s) 
             that the PFM is a function of (i.e., backward erosion piping is generally a function of stage).
4)  Characterize the consequences in Step 4.
        a.  The toolbox assumes two exposure scenarios – day exposure and night exposure. If different 
             exposure categories are used, these scenarios can be manually overridden. 
        b.  Specify weights for day exposure and night exposure. Weights must sum to 1.0.
        c.  The toolbox assumes two consequence scenarios – life loss and economic cost.
5)  Characterize the non-breach risk in Step 5.
        a.  The toolbox assumes the non-breach hazard is hydrologic.
        b.  Specify the non-breach flood hazard name and non-breach flood hazard type. If the primary hazard 
             is hydrologic, the non-breach flood hazard name and type will typically be the same as the primary 
             hazard name and type.
        c.  If the primary hazard is composite, specify the non-breach consequences dependent variable. Since 
             non-breach risk is based on a 100% reliable project operation, the composite hazard type must be 
             transformed to the 100% reliable non-breach consequences dependent variable.
6)  In the ‘Project Event Tree’ worksheet, select a range of cells that completely encompasses the project 
     event tree (Non-Breach or Incremental) of interest, including text boxes for composite hazard and 
     consequences. Right click and select “Copy”.
        a.  To make the background of the figure transparent, click the button that says "Transparent       
             Background" that is located to the right of the event tree. To revert back to a white background, 
             click the button that says "White Background".
7)  In a Word document or PowerPoint presentation, open the ‘Paste Special’ dialogue box (Ctrl + Alt + v) 
     and paste the event tree graphic as an enhanced metafile.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</si>
</sst>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numFmt numFmtId="165" formatCode="0.0"/>
  </numFmts>
  <fonts count="21" x14ac:knownFonts="1">
    <font>
      <sz val="11"/>
      <color theme="1"/>
      <name val="Calibri"/>
      <family val="2"/>
      <scheme val="minor"/>
    </font>
    <font>
      <sz val="10"/>
      <name val="Arial"/>
      <family val="2"/>
    </font>
    <font>
      <b/>
      <sz val="10"/>
      <color indexed="9"/>
      <name val="Arial"/>
      <family val="2"/>
    </font>
    <font>
      <u/>
      <sz val="10"/>
      <color theme="10"/>
      <name val="Arial"/>
      <family val="2"/>
    </font>
    <font>
      <sz val="10"/>
      <color theme="1"/>
      <name val="Arial"/>
      <family val="2"/>
    </font>
    <font>
      <u/>
      <sz val="10"/>
      <name val="Arial"/>
      <family val="2"/>
    </font>
    <font>
      <sz val="10"/>
      <color rgb="FF0070C0"/>
      <name val="Arial"/>
      <family val="2"/>
    </font>
    <font>
      <b/>
      <u/>
      <sz val="10"/>
      <color theme="1"/>
      <name val="Arial"/>
      <family val="2"/>
    </font>
    <font>
      <sz val="11"/>
      <color rgb="FF000000"/>
      <name val="Calibri"/>
      <family val="2"/>
      <scheme val="minor"/>
    </font>
    <font>
      <b/>
      <sz val="10"/>
      <color theme="0"/>
      <name val="Arial"/>
      <family val="2"/>
    </font>
    <font>
      <b/>
      <sz val="72"/>
      <name val="Arial"/>
      <family val="2"/>
    </font>
    <font>
      <sz val="11"/>
      <color theme="0"/>
      <name val="Arial"/>
      <family val="2"/>
    </font>
    <font>
      <sz val="11"/>
      <name val="Arial"/>
      <family val="2"/>
    </font>
    <font>
      <b/>
      <u/>
      <sz val="12"/>
      <name val="Arial"/>
      <family val="2"/>
    </font>
    <font>
      <b/>
      <u/>
      <sz val="10"/>
      <name val="Arial"/>
      <family val="2"/>
    </font>
    <font>
      <sz val="10"/>
      <color theme="0"/>
      <name val="Arial"/>
      <family val="2"/>
    </font>
    <font>
      <sz val="10"/>
      <color theme="8"/>
      <name val="Arial"/>
      <family val="2"/>
    </font>
    <font>
      <u/>
      <sz val="10"/>
      <color theme="1"/>
      <name val="Arial"/>
      <family val="2"/>
    </font>
    <font>
      <sz val="10"/>
      <color rgb="FFFF0000"/>
      <name val="Arial"/>
      <family val="2"/>
    </font>
    <font>
      <b/>
      <sz val="10"/>
      <name val="Arial"/>
      <family val="2"/>
    </font>
    <font>
      <sz val="11"/>
      <color rgb="FF000000"/>
      <name val="Calibri"/>
      <family val="2"/>
    </font>
  </fonts>
  <fills count="7">
    <fill>
      <patternFill patternType="none"/>
    </fill>
    <fill>
      <patternFill patternType="gray125"/>
    </fill>
    <fill>
      <patternFill patternType="solid">
        <fgColor theme="0"/>
        <bgColor indexed="64"/>
      </patternFill>
    </fill>
    <fill>
      <patternFill patternType="solid">
        <fgColor rgb="FFEF3340"/>
        <bgColor indexed="64"/>
      </patternFill>
    </fill>
    <fill>
      <patternFill patternType="solid">
        <fgColor indexed="9"/>
        <bgColor indexed="64"/>
      </patternFill>
    </fill>
    <fill>
      <patternFill patternType="solid">
        <fgColor rgb="FFFFFF99"/>
        <bgColor indexed="64"/>
      </patternFill>
    </fill>
    <fill>
      <patternFill patternType="solid">
        <fgColor theme="0" tint="-0.249977111117893"/>
        <bgColor indexed="64"/>
      </patternFill>
    </fill>
  </fills>
  <borders count="30">
    <border>
      <left/>
      <right/>
      <top/>
      <bottom/>
      <diagonal/>
    </border>
    <border>
      <left style="thin">
        <color indexed="64"/>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bottom style="thin">
        <color indexed="64"/>
      </bottom>
      <diagonal/>
    </border>
    <border>
      <left style="double">
        <color indexed="64"/>
      </left>
      <right/>
      <top style="thin">
        <color indexed="64"/>
      </top>
      <bottom/>
      <diagonal/>
    </border>
    <border>
      <left/>
      <right style="double">
        <color indexed="64"/>
      </right>
      <top style="thin">
        <color indexed="64"/>
      </top>
      <bottom/>
      <diagonal/>
    </border>
    <border>
      <left style="double">
        <color indexed="64"/>
      </left>
      <right/>
      <top/>
      <bottom style="double">
        <color indexed="64"/>
      </bottom>
      <diagonal/>
    </border>
    <border>
      <left/>
      <right style="double">
        <color indexed="64"/>
      </right>
      <top/>
      <bottom style="double">
        <color indexed="64"/>
      </bottom>
      <diagonal/>
    </border>
    <border>
      <left/>
      <right style="thin">
        <color indexed="64"/>
      </right>
      <top/>
      <bottom style="double">
        <color indexed="64"/>
      </bottom>
      <diagonal/>
    </border>
    <border>
      <left/>
      <right/>
      <top/>
      <bottom style="double">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thin">
        <color indexed="64"/>
      </left>
      <right style="thin">
        <color indexed="64"/>
      </right>
      <top/>
      <bottom/>
      <diagonal/>
    </border>
  </borders>
  <cellStyleXfs count="9">
    <xf numFmtId="0" fontId="0" fillId="0" borderId="0"/>
    <xf numFmtId="0" fontId="1" fillId="0" borderId="0"/>
    <xf numFmtId="0" fontId="1" fillId="0" borderId="0"/>
    <xf numFmtId="0" fontId="1" fillId="0" borderId="0"/>
    <xf numFmtId="0" fontId="3" fillId="0" borderId="0" applyNumberFormat="0" applyFill="0" applyBorder="0" applyAlignment="0" applyProtection="0"/>
    <xf numFmtId="0" fontId="4" fillId="0" borderId="0"/>
    <xf numFmtId="0" fontId="1" fillId="0" borderId="0"/>
    <xf numFmtId="0" fontId="4" fillId="0" borderId="0"/>
    <xf numFmtId="0" fontId="4" fillId="0" borderId="0"/>
  </cellStyleXfs>
  <cellXfs count="243">
    <xf numFmtId="0" fontId="0" fillId="0" borderId="0" xfId="0"/>
    <xf numFmtId="0" fontId="1" fillId="2" borderId="0" xfId="1" applyFill="1"/>
    <xf numFmtId="0" fontId="1" fillId="0" borderId="0" xfId="1"/>
    <xf numFmtId="0" fontId="3" fillId="2" borderId="0" xfId="4" applyFill="1"/>
    <xf numFmtId="0" fontId="2" fillId="3" borderId="0" xfId="2" applyFont="1" applyFill="1"/>
    <xf numFmtId="0" fontId="4" fillId="0" borderId="0" xfId="5"/>
    <xf numFmtId="0" fontId="1" fillId="2" borderId="0" xfId="5" applyFont="1" applyFill="1"/>
    <xf numFmtId="0" fontId="1" fillId="2" borderId="0" xfId="6" applyFill="1"/>
    <xf numFmtId="0" fontId="4" fillId="2" borderId="0" xfId="5" applyFill="1"/>
    <xf numFmtId="0" fontId="5" fillId="2" borderId="0" xfId="5" applyFont="1" applyFill="1"/>
    <xf numFmtId="0" fontId="1" fillId="2" borderId="0" xfId="5" applyFont="1" applyFill="1" applyAlignment="1">
      <alignment horizontal="left" vertical="top"/>
    </xf>
    <xf numFmtId="164" fontId="1" fillId="2" borderId="0" xfId="5" applyNumberFormat="1" applyFont="1" applyFill="1" applyAlignment="1">
      <alignment horizontal="left" vertical="top"/>
    </xf>
    <xf numFmtId="0" fontId="1" fillId="2" borderId="0" xfId="5" applyFont="1" applyFill="1" applyAlignment="1">
      <alignment vertical="top"/>
    </xf>
    <xf numFmtId="49" fontId="1" fillId="2" borderId="0" xfId="5" applyNumberFormat="1" applyFont="1" applyFill="1" applyAlignment="1">
      <alignment horizontal="left" vertical="top"/>
    </xf>
    <xf numFmtId="0" fontId="6" fillId="0" borderId="0" xfId="0" applyFont="1"/>
    <xf numFmtId="0" fontId="4" fillId="0" borderId="0" xfId="0" applyFont="1"/>
    <xf numFmtId="0" fontId="4" fillId="2" borderId="0" xfId="0" applyFont="1" applyFill="1"/>
    <xf numFmtId="0" fontId="4" fillId="5" borderId="2" xfId="0" applyFont="1" applyFill="1" applyBorder="1" applyAlignment="1" applyProtection="1">
      <alignment horizontal="left"/>
      <protection locked="0"/>
    </xf>
    <xf numFmtId="0" fontId="4" fillId="2" borderId="0" xfId="0" applyFont="1" applyFill="1" applyAlignment="1">
      <alignment vertical="center"/>
    </xf>
    <xf numFmtId="0" fontId="7" fillId="2" borderId="0" xfId="0" applyFont="1" applyFill="1"/>
    <xf numFmtId="0" fontId="1" fillId="0" borderId="0" xfId="2"/>
    <xf numFmtId="0" fontId="4" fillId="0" borderId="0" xfId="0" applyFont="1" applyAlignment="1">
      <alignment horizontal="center"/>
    </xf>
    <xf numFmtId="0" fontId="1" fillId="2" borderId="0" xfId="2" applyFill="1" applyAlignment="1">
      <alignment wrapText="1"/>
    </xf>
    <xf numFmtId="0" fontId="1" fillId="2" borderId="0" xfId="2" applyFill="1"/>
    <xf numFmtId="0" fontId="4" fillId="2" borderId="0" xfId="8" applyFill="1" applyAlignment="1" applyProtection="1">
      <alignment vertical="top" wrapText="1"/>
      <protection locked="0"/>
    </xf>
    <xf numFmtId="0" fontId="4" fillId="2" borderId="0" xfId="0" applyFont="1" applyFill="1" applyAlignment="1">
      <alignment horizontal="right"/>
    </xf>
    <xf numFmtId="0" fontId="4" fillId="0" borderId="0" xfId="0" applyFont="1" applyAlignment="1">
      <alignment vertical="center"/>
    </xf>
    <xf numFmtId="0" fontId="8" fillId="0" borderId="0" xfId="0" applyFont="1"/>
    <xf numFmtId="0" fontId="4" fillId="0" borderId="0" xfId="0" applyFont="1" applyAlignment="1">
      <alignment vertical="top" wrapText="1"/>
    </xf>
    <xf numFmtId="0" fontId="1" fillId="0" borderId="0" xfId="0" applyFont="1" applyAlignment="1">
      <alignment vertical="top" wrapText="1"/>
    </xf>
    <xf numFmtId="0" fontId="2" fillId="2" borderId="0" xfId="2" applyFont="1" applyFill="1"/>
    <xf numFmtId="14" fontId="4" fillId="2" borderId="0" xfId="5" applyNumberFormat="1" applyFill="1" applyAlignment="1">
      <alignment horizontal="left"/>
    </xf>
    <xf numFmtId="49" fontId="4" fillId="2" borderId="0" xfId="5" applyNumberFormat="1" applyFill="1" applyAlignment="1">
      <alignment horizontal="left"/>
    </xf>
    <xf numFmtId="0" fontId="1" fillId="0" borderId="0" xfId="0" applyFont="1"/>
    <xf numFmtId="0" fontId="1" fillId="2" borderId="0" xfId="0" applyFont="1" applyFill="1"/>
    <xf numFmtId="0" fontId="9" fillId="2" borderId="0" xfId="2" applyFont="1" applyFill="1" applyAlignment="1">
      <alignment horizontal="left"/>
    </xf>
    <xf numFmtId="0" fontId="13" fillId="2" borderId="0" xfId="2" applyFont="1" applyFill="1" applyAlignment="1">
      <alignment vertical="top"/>
    </xf>
    <xf numFmtId="0" fontId="11" fillId="2" borderId="0" xfId="2" applyFont="1" applyFill="1" applyAlignment="1">
      <alignment vertical="top" wrapText="1"/>
    </xf>
    <xf numFmtId="0" fontId="15" fillId="2" borderId="0" xfId="2" applyFont="1" applyFill="1" applyAlignment="1">
      <alignment horizontal="left"/>
    </xf>
    <xf numFmtId="0" fontId="12" fillId="2" borderId="0" xfId="2" applyFont="1" applyFill="1" applyAlignment="1">
      <alignment vertical="top" wrapText="1"/>
    </xf>
    <xf numFmtId="0" fontId="1" fillId="2" borderId="0" xfId="2" applyFill="1" applyAlignment="1">
      <alignment horizontal="left"/>
    </xf>
    <xf numFmtId="0" fontId="11" fillId="2" borderId="0" xfId="0" applyFont="1" applyFill="1"/>
    <xf numFmtId="0" fontId="12" fillId="2" borderId="0" xfId="0" applyFont="1" applyFill="1"/>
    <xf numFmtId="0" fontId="12" fillId="2" borderId="0" xfId="0" applyFont="1" applyFill="1" applyAlignment="1">
      <alignment vertical="center"/>
    </xf>
    <xf numFmtId="0" fontId="11" fillId="2" borderId="0" xfId="0" applyFont="1" applyFill="1" applyAlignment="1">
      <alignment horizontal="center"/>
    </xf>
    <xf numFmtId="0" fontId="11" fillId="2" borderId="0" xfId="0" applyFont="1" applyFill="1" applyAlignment="1">
      <alignment horizontal="left" vertical="center"/>
    </xf>
    <xf numFmtId="0" fontId="11" fillId="2" borderId="0" xfId="0" applyFont="1" applyFill="1" applyAlignment="1">
      <alignment vertical="center" wrapText="1"/>
    </xf>
    <xf numFmtId="0" fontId="9" fillId="3" borderId="0" xfId="2" applyFont="1" applyFill="1" applyAlignment="1">
      <alignment vertical="center"/>
    </xf>
    <xf numFmtId="0" fontId="10" fillId="0" borderId="0" xfId="0" applyFont="1" applyAlignment="1">
      <alignment vertical="center"/>
    </xf>
    <xf numFmtId="0" fontId="1" fillId="0" borderId="0" xfId="0" applyFont="1" applyAlignment="1">
      <alignment horizontal="center" vertical="center"/>
    </xf>
    <xf numFmtId="0" fontId="5" fillId="0" borderId="0" xfId="0" applyFont="1" applyAlignment="1">
      <alignment horizontal="left" vertical="center"/>
    </xf>
    <xf numFmtId="0" fontId="1" fillId="0" borderId="7" xfId="0" applyFont="1" applyBorder="1" applyAlignment="1">
      <alignment horizontal="center" vertical="center"/>
    </xf>
    <xf numFmtId="0" fontId="1" fillId="0" borderId="7" xfId="0" applyFont="1" applyBorder="1" applyAlignment="1">
      <alignment horizontal="center" vertical="center" wrapText="1"/>
    </xf>
    <xf numFmtId="0" fontId="1" fillId="0" borderId="0" xfId="0" applyFont="1" applyAlignment="1">
      <alignment horizontal="center" vertical="center" wrapText="1"/>
    </xf>
    <xf numFmtId="0" fontId="12" fillId="0" borderId="8" xfId="2" applyFont="1" applyBorder="1" applyAlignment="1">
      <alignment horizontal="center" vertical="center" wrapText="1"/>
    </xf>
    <xf numFmtId="0" fontId="1" fillId="2" borderId="7" xfId="0" applyFont="1" applyFill="1" applyBorder="1" applyAlignment="1">
      <alignment horizontal="left" vertical="center"/>
    </xf>
    <xf numFmtId="0" fontId="1" fillId="0" borderId="7" xfId="0" applyFont="1" applyBorder="1" applyAlignment="1">
      <alignment horizontal="left" vertical="center"/>
    </xf>
    <xf numFmtId="0" fontId="1" fillId="2" borderId="7" xfId="0" applyFont="1" applyFill="1" applyBorder="1" applyAlignment="1">
      <alignment vertical="center"/>
    </xf>
    <xf numFmtId="0" fontId="1" fillId="0" borderId="0" xfId="0" applyFont="1" applyAlignment="1">
      <alignment vertical="center"/>
    </xf>
    <xf numFmtId="0" fontId="1" fillId="0" borderId="8" xfId="0" applyFont="1" applyBorder="1" applyAlignment="1">
      <alignment horizontal="center" vertical="center"/>
    </xf>
    <xf numFmtId="11" fontId="4" fillId="0" borderId="0" xfId="0" applyNumberFormat="1" applyFont="1"/>
    <xf numFmtId="0" fontId="14" fillId="2" borderId="0" xfId="0" applyFont="1" applyFill="1"/>
    <xf numFmtId="0" fontId="1" fillId="2" borderId="0" xfId="0" applyFont="1" applyFill="1" applyAlignment="1">
      <alignment horizontal="center"/>
    </xf>
    <xf numFmtId="0" fontId="1" fillId="2" borderId="0" xfId="0" applyFont="1" applyFill="1" applyAlignment="1">
      <alignment horizontal="left"/>
    </xf>
    <xf numFmtId="0" fontId="4" fillId="0" borderId="0" xfId="0" applyFont="1" applyAlignment="1">
      <alignment horizontal="left"/>
    </xf>
    <xf numFmtId="0" fontId="4" fillId="0" borderId="0" xfId="0" applyFont="1" applyAlignment="1">
      <alignment horizontal="left" vertical="center"/>
    </xf>
    <xf numFmtId="0" fontId="1" fillId="5" borderId="2" xfId="2" applyFill="1" applyBorder="1" applyProtection="1">
      <protection locked="0"/>
    </xf>
    <xf numFmtId="0" fontId="4" fillId="0" borderId="7" xfId="0" applyFont="1" applyBorder="1" applyAlignment="1">
      <alignment horizontal="center" vertical="center"/>
    </xf>
    <xf numFmtId="0" fontId="1" fillId="0" borderId="0" xfId="0" applyFont="1" applyAlignment="1">
      <alignment horizontal="left" vertical="center"/>
    </xf>
    <xf numFmtId="0" fontId="1" fillId="0" borderId="0" xfId="0" applyFont="1" applyAlignment="1">
      <alignment horizontal="left"/>
    </xf>
    <xf numFmtId="0" fontId="1" fillId="2" borderId="0" xfId="2" applyFill="1" applyProtection="1">
      <protection locked="0"/>
    </xf>
    <xf numFmtId="0" fontId="12" fillId="2" borderId="0" xfId="0" applyFont="1" applyFill="1" applyAlignment="1">
      <alignment horizontal="center" vertical="top" wrapText="1"/>
    </xf>
    <xf numFmtId="0" fontId="4" fillId="2" borderId="0" xfId="0" applyFont="1" applyFill="1" applyAlignment="1">
      <alignment horizontal="left"/>
    </xf>
    <xf numFmtId="0" fontId="4" fillId="0" borderId="7" xfId="0" applyFont="1" applyBorder="1" applyAlignment="1">
      <alignment horizontal="center"/>
    </xf>
    <xf numFmtId="0" fontId="1" fillId="0" borderId="1" xfId="0" applyFont="1" applyBorder="1" applyAlignment="1">
      <alignment horizontal="center" vertical="center"/>
    </xf>
    <xf numFmtId="0" fontId="1" fillId="0" borderId="1" xfId="0" applyFont="1" applyBorder="1" applyAlignment="1">
      <alignment horizontal="center" vertical="center" wrapText="1"/>
    </xf>
    <xf numFmtId="0" fontId="1" fillId="0" borderId="2" xfId="0" applyFont="1" applyBorder="1"/>
    <xf numFmtId="0" fontId="16" fillId="0" borderId="0" xfId="0" applyFont="1"/>
    <xf numFmtId="0" fontId="1" fillId="4" borderId="0" xfId="8" applyFont="1" applyFill="1" applyAlignment="1">
      <alignment vertical="center"/>
    </xf>
    <xf numFmtId="0" fontId="1" fillId="4" borderId="0" xfId="8" applyFont="1" applyFill="1" applyAlignment="1">
      <alignment horizontal="right" vertical="center"/>
    </xf>
    <xf numFmtId="0" fontId="4" fillId="5" borderId="2" xfId="8" applyFill="1" applyBorder="1" applyAlignment="1" applyProtection="1">
      <alignment horizontal="left" vertical="center"/>
      <protection locked="0"/>
    </xf>
    <xf numFmtId="0" fontId="1" fillId="2" borderId="0" xfId="8" applyFont="1" applyFill="1" applyAlignment="1">
      <alignment horizontal="right" vertical="center"/>
    </xf>
    <xf numFmtId="164" fontId="4" fillId="5" borderId="2" xfId="8" applyNumberFormat="1" applyFill="1" applyBorder="1" applyAlignment="1" applyProtection="1">
      <alignment horizontal="left" vertical="center"/>
      <protection locked="0"/>
    </xf>
    <xf numFmtId="0" fontId="1" fillId="2" borderId="0" xfId="0" applyFont="1" applyFill="1" applyAlignment="1">
      <alignment vertical="center"/>
    </xf>
    <xf numFmtId="0" fontId="2" fillId="3" borderId="0" xfId="2" applyFont="1" applyFill="1" applyAlignment="1">
      <alignment vertical="center"/>
    </xf>
    <xf numFmtId="0" fontId="4" fillId="0" borderId="0" xfId="5" applyAlignment="1">
      <alignment vertical="center"/>
    </xf>
    <xf numFmtId="0" fontId="1" fillId="2" borderId="0" xfId="5" applyFont="1" applyFill="1" applyAlignment="1">
      <alignment vertical="center"/>
    </xf>
    <xf numFmtId="0" fontId="1" fillId="2" borderId="0" xfId="2" applyFill="1" applyAlignment="1">
      <alignment horizontal="left" vertical="center"/>
    </xf>
    <xf numFmtId="0" fontId="2" fillId="2" borderId="0" xfId="2" applyFont="1" applyFill="1" applyAlignment="1">
      <alignment vertical="center"/>
    </xf>
    <xf numFmtId="0" fontId="1" fillId="2" borderId="0" xfId="2" applyFill="1" applyAlignment="1">
      <alignment vertical="center"/>
    </xf>
    <xf numFmtId="0" fontId="1" fillId="2" borderId="0" xfId="5" applyFont="1" applyFill="1" applyAlignment="1">
      <alignment vertical="center" wrapText="1"/>
    </xf>
    <xf numFmtId="0" fontId="1" fillId="0" borderId="0" xfId="2" applyAlignment="1">
      <alignment horizontal="right"/>
    </xf>
    <xf numFmtId="0" fontId="1" fillId="2" borderId="5" xfId="2" applyFill="1" applyBorder="1" applyAlignment="1">
      <alignment horizontal="left" vertical="center"/>
    </xf>
    <xf numFmtId="0" fontId="1" fillId="5" borderId="9" xfId="2" applyFill="1" applyBorder="1" applyProtection="1">
      <protection locked="0"/>
    </xf>
    <xf numFmtId="0" fontId="1" fillId="2" borderId="0" xfId="2" applyFill="1" applyAlignment="1">
      <alignment horizontal="center"/>
    </xf>
    <xf numFmtId="0" fontId="1" fillId="5" borderId="2" xfId="2" applyFill="1" applyBorder="1" applyAlignment="1">
      <alignment vertical="center"/>
    </xf>
    <xf numFmtId="0" fontId="12" fillId="0" borderId="8" xfId="2" applyFont="1" applyBorder="1" applyAlignment="1">
      <alignment horizontal="center" vertical="top" wrapText="1"/>
    </xf>
    <xf numFmtId="0" fontId="19" fillId="2" borderId="0" xfId="2" applyFont="1" applyFill="1" applyAlignment="1">
      <alignment horizontal="left"/>
    </xf>
    <xf numFmtId="0" fontId="15" fillId="2" borderId="0" xfId="2" applyFont="1" applyFill="1" applyAlignment="1">
      <alignment horizontal="center" vertical="center"/>
    </xf>
    <xf numFmtId="0" fontId="1" fillId="0" borderId="0" xfId="2" applyAlignment="1">
      <alignment horizontal="left"/>
    </xf>
    <xf numFmtId="0" fontId="15" fillId="0" borderId="0" xfId="2" applyFont="1" applyAlignment="1">
      <alignment horizontal="left"/>
    </xf>
    <xf numFmtId="0" fontId="12" fillId="0" borderId="0" xfId="2" applyFont="1" applyAlignment="1">
      <alignment horizontal="center" vertical="center" wrapText="1"/>
    </xf>
    <xf numFmtId="0" fontId="1" fillId="0" borderId="0" xfId="2" applyAlignment="1">
      <alignment horizontal="center" vertical="center"/>
    </xf>
    <xf numFmtId="0" fontId="1" fillId="0" borderId="8" xfId="2" applyBorder="1" applyAlignment="1">
      <alignment horizontal="center" vertical="center"/>
    </xf>
    <xf numFmtId="0" fontId="12" fillId="0" borderId="0" xfId="0" applyFont="1"/>
    <xf numFmtId="0" fontId="12" fillId="0" borderId="0" xfId="0" applyFont="1" applyAlignment="1">
      <alignment vertical="center"/>
    </xf>
    <xf numFmtId="0" fontId="1" fillId="0" borderId="0" xfId="0" applyFont="1" applyAlignment="1">
      <alignment vertical="center" wrapText="1"/>
    </xf>
    <xf numFmtId="0" fontId="4" fillId="5" borderId="2" xfId="0" applyFont="1" applyFill="1" applyBorder="1" applyAlignment="1">
      <alignment horizontal="right"/>
    </xf>
    <xf numFmtId="0" fontId="4" fillId="5" borderId="6" xfId="0" applyFont="1" applyFill="1" applyBorder="1" applyAlignment="1">
      <alignment horizontal="right"/>
    </xf>
    <xf numFmtId="0" fontId="1" fillId="5" borderId="6" xfId="2" applyFill="1" applyBorder="1" applyAlignment="1">
      <alignment horizontal="right"/>
    </xf>
    <xf numFmtId="0" fontId="1" fillId="0" borderId="7" xfId="2" applyBorder="1" applyAlignment="1">
      <alignment horizontal="center" vertical="center"/>
    </xf>
    <xf numFmtId="0" fontId="4" fillId="0" borderId="0" xfId="0" applyFont="1" applyAlignment="1">
      <alignment vertical="center" wrapText="1"/>
    </xf>
    <xf numFmtId="0" fontId="4" fillId="0" borderId="0" xfId="0" applyFont="1" applyAlignment="1">
      <alignment horizontal="center" vertical="center"/>
    </xf>
    <xf numFmtId="0" fontId="12" fillId="2" borderId="0" xfId="0" applyFont="1" applyFill="1" applyAlignment="1">
      <alignment horizontal="center"/>
    </xf>
    <xf numFmtId="0" fontId="12" fillId="2" borderId="0" xfId="0" applyFont="1" applyFill="1" applyAlignment="1">
      <alignment horizontal="left" vertical="center"/>
    </xf>
    <xf numFmtId="0" fontId="12" fillId="2" borderId="0" xfId="0" applyFont="1" applyFill="1" applyAlignment="1">
      <alignment vertical="center" wrapText="1"/>
    </xf>
    <xf numFmtId="0" fontId="12" fillId="2" borderId="0" xfId="0" applyFont="1" applyFill="1" applyAlignment="1">
      <alignment vertical="top"/>
    </xf>
    <xf numFmtId="0" fontId="1" fillId="0" borderId="0" xfId="2" applyAlignment="1">
      <alignment vertical="top" wrapText="1"/>
    </xf>
    <xf numFmtId="0" fontId="18" fillId="0" borderId="0" xfId="0" applyFont="1"/>
    <xf numFmtId="0" fontId="15" fillId="2" borderId="0" xfId="2" applyFont="1" applyFill="1" applyAlignment="1">
      <alignment horizontal="center"/>
    </xf>
    <xf numFmtId="0" fontId="1" fillId="2" borderId="0" xfId="1" applyFill="1" applyAlignment="1">
      <alignment vertical="top" wrapText="1"/>
    </xf>
    <xf numFmtId="0" fontId="2" fillId="3" borderId="0" xfId="2" applyFont="1" applyFill="1" applyAlignment="1">
      <alignment horizontal="center"/>
    </xf>
    <xf numFmtId="0" fontId="1" fillId="2" borderId="0" xfId="5" applyFont="1" applyFill="1" applyAlignment="1">
      <alignment vertical="top" wrapText="1"/>
    </xf>
    <xf numFmtId="0" fontId="1" fillId="2" borderId="0" xfId="5" applyFont="1" applyFill="1" applyAlignment="1">
      <alignment horizontal="left" vertical="center" wrapText="1"/>
    </xf>
    <xf numFmtId="0" fontId="4" fillId="2" borderId="0" xfId="5" applyFill="1" applyAlignment="1">
      <alignment horizontal="left" vertical="center"/>
    </xf>
    <xf numFmtId="14" fontId="4" fillId="2" borderId="0" xfId="5" applyNumberFormat="1" applyFill="1" applyAlignment="1">
      <alignment horizontal="left" vertical="center"/>
    </xf>
    <xf numFmtId="165" fontId="4" fillId="2" borderId="0" xfId="5" applyNumberFormat="1" applyFill="1" applyAlignment="1">
      <alignment horizontal="left" vertical="center"/>
    </xf>
    <xf numFmtId="0" fontId="5" fillId="2" borderId="0" xfId="5" applyFont="1" applyFill="1"/>
    <xf numFmtId="0" fontId="1" fillId="2" borderId="0" xfId="5" applyFont="1" applyFill="1" applyAlignment="1">
      <alignment horizontal="left" vertical="top" wrapText="1"/>
    </xf>
    <xf numFmtId="49" fontId="1" fillId="2" borderId="0" xfId="7" applyNumberFormat="1" applyFont="1" applyFill="1" applyAlignment="1">
      <alignment horizontal="left" vertical="top" wrapText="1"/>
    </xf>
    <xf numFmtId="0" fontId="4" fillId="2" borderId="0" xfId="5" applyFill="1" applyAlignment="1">
      <alignment horizontal="left"/>
    </xf>
    <xf numFmtId="49" fontId="1" fillId="2" borderId="0" xfId="5" applyNumberFormat="1" applyFont="1" applyFill="1" applyAlignment="1">
      <alignment horizontal="left" vertical="top"/>
    </xf>
    <xf numFmtId="164" fontId="1" fillId="2" borderId="0" xfId="5" applyNumberFormat="1" applyFont="1" applyFill="1" applyAlignment="1">
      <alignment horizontal="left" vertical="top"/>
    </xf>
    <xf numFmtId="0" fontId="4" fillId="2" borderId="0" xfId="5" applyFill="1" applyAlignment="1">
      <alignment horizontal="left" vertical="top" wrapText="1"/>
    </xf>
    <xf numFmtId="0" fontId="5" fillId="2" borderId="0" xfId="2" applyFont="1" applyFill="1" applyAlignment="1">
      <alignment horizontal="left" vertical="center"/>
    </xf>
    <xf numFmtId="0" fontId="1" fillId="2" borderId="0" xfId="2" applyFill="1" applyAlignment="1">
      <alignment horizontal="left" vertical="center" wrapText="1"/>
    </xf>
    <xf numFmtId="0" fontId="1" fillId="2" borderId="0" xfId="2" applyFill="1" applyAlignment="1">
      <alignment horizontal="left" vertical="center"/>
    </xf>
    <xf numFmtId="0" fontId="1" fillId="2" borderId="0" xfId="2" applyFill="1" applyAlignment="1">
      <alignment horizontal="left" vertical="top" wrapText="1"/>
    </xf>
    <xf numFmtId="0" fontId="4" fillId="5" borderId="0" xfId="8" applyFill="1" applyAlignment="1" applyProtection="1">
      <alignment horizontal="left" vertical="top" wrapText="1"/>
      <protection locked="0"/>
    </xf>
    <xf numFmtId="0" fontId="4" fillId="5" borderId="2" xfId="8" applyFill="1" applyBorder="1" applyAlignment="1" applyProtection="1">
      <alignment horizontal="left" vertical="center"/>
      <protection locked="0"/>
    </xf>
    <xf numFmtId="0" fontId="4" fillId="5" borderId="2" xfId="0" applyFont="1" applyFill="1" applyBorder="1" applyAlignment="1" applyProtection="1">
      <alignment horizontal="left" vertical="center"/>
      <protection locked="0"/>
    </xf>
    <xf numFmtId="0" fontId="4" fillId="5" borderId="2" xfId="0" applyFont="1" applyFill="1" applyBorder="1" applyAlignment="1" applyProtection="1">
      <alignment horizontal="left"/>
      <protection locked="0"/>
    </xf>
    <xf numFmtId="0" fontId="4" fillId="0" borderId="0" xfId="0" applyFont="1" applyAlignment="1">
      <alignment horizontal="center" vertical="center"/>
    </xf>
    <xf numFmtId="0" fontId="4" fillId="0" borderId="0" xfId="0" applyFont="1" applyAlignment="1">
      <alignment horizontal="left" vertical="top" wrapText="1"/>
    </xf>
    <xf numFmtId="0" fontId="2" fillId="3" borderId="0" xfId="2" applyFont="1" applyFill="1" applyAlignment="1">
      <alignment horizontal="left"/>
    </xf>
    <xf numFmtId="0" fontId="2" fillId="3" borderId="0" xfId="2" applyFont="1" applyFill="1" applyAlignment="1">
      <alignment horizontal="left" vertical="center"/>
    </xf>
    <xf numFmtId="0" fontId="4" fillId="0" borderId="0" xfId="0" applyFont="1" applyAlignment="1">
      <alignment horizontal="center"/>
    </xf>
    <xf numFmtId="0" fontId="1" fillId="2" borderId="0" xfId="8" applyFont="1" applyFill="1" applyAlignment="1">
      <alignment horizontal="left" vertical="center"/>
    </xf>
    <xf numFmtId="0" fontId="1" fillId="2" borderId="0" xfId="0" applyFont="1" applyFill="1" applyAlignment="1">
      <alignment horizontal="left" vertical="center"/>
    </xf>
    <xf numFmtId="0" fontId="1" fillId="2" borderId="0" xfId="8" applyFont="1" applyFill="1" applyAlignment="1">
      <alignment horizontal="right" vertical="center"/>
    </xf>
    <xf numFmtId="0" fontId="4" fillId="5" borderId="6" xfId="8" applyFill="1" applyBorder="1" applyAlignment="1" applyProtection="1">
      <alignment horizontal="left" vertical="center"/>
      <protection locked="0"/>
    </xf>
    <xf numFmtId="0" fontId="4" fillId="0" borderId="7" xfId="0" applyFont="1" applyBorder="1" applyAlignment="1">
      <alignment horizontal="center" vertical="center"/>
    </xf>
    <xf numFmtId="0" fontId="4" fillId="0" borderId="7" xfId="0" applyFont="1" applyBorder="1" applyAlignment="1">
      <alignment horizontal="center" vertical="center" wrapText="1"/>
    </xf>
    <xf numFmtId="0" fontId="4" fillId="0" borderId="8" xfId="0" applyFont="1" applyBorder="1" applyAlignment="1">
      <alignment horizontal="center" vertical="center"/>
    </xf>
    <xf numFmtId="0" fontId="4" fillId="0" borderId="29" xfId="0" applyFont="1" applyBorder="1" applyAlignment="1">
      <alignment horizontal="center" vertical="center"/>
    </xf>
    <xf numFmtId="0" fontId="4" fillId="0" borderId="14" xfId="0" applyFont="1" applyBorder="1" applyAlignment="1">
      <alignment horizontal="center" vertical="center"/>
    </xf>
    <xf numFmtId="0" fontId="4" fillId="0" borderId="7" xfId="0" applyFont="1" applyBorder="1" applyAlignment="1">
      <alignment horizontal="center"/>
    </xf>
    <xf numFmtId="0" fontId="1" fillId="5" borderId="10" xfId="2" applyFill="1" applyBorder="1" applyAlignment="1" applyProtection="1">
      <alignment horizontal="left"/>
      <protection locked="0"/>
    </xf>
    <xf numFmtId="0" fontId="1" fillId="5" borderId="7" xfId="2" applyFill="1" applyBorder="1" applyAlignment="1" applyProtection="1">
      <alignment horizontal="left"/>
      <protection locked="0"/>
    </xf>
    <xf numFmtId="0" fontId="1" fillId="2" borderId="24" xfId="2" applyFill="1" applyBorder="1" applyAlignment="1">
      <alignment horizontal="left" vertical="center"/>
    </xf>
    <xf numFmtId="0" fontId="1" fillId="2" borderId="25" xfId="2" applyFill="1" applyBorder="1" applyAlignment="1">
      <alignment horizontal="left" vertical="center"/>
    </xf>
    <xf numFmtId="0" fontId="1" fillId="2" borderId="26" xfId="2" applyFill="1" applyBorder="1" applyAlignment="1">
      <alignment horizontal="left" vertical="center"/>
    </xf>
    <xf numFmtId="0" fontId="1" fillId="2" borderId="18" xfId="2" applyFill="1" applyBorder="1" applyAlignment="1">
      <alignment horizontal="left" vertical="center"/>
    </xf>
    <xf numFmtId="0" fontId="1" fillId="2" borderId="4" xfId="2" applyFill="1" applyBorder="1" applyAlignment="1">
      <alignment horizontal="left" vertical="center"/>
    </xf>
    <xf numFmtId="0" fontId="1" fillId="2" borderId="19" xfId="2" applyFill="1" applyBorder="1" applyAlignment="1">
      <alignment horizontal="left" vertical="center"/>
    </xf>
    <xf numFmtId="0" fontId="1" fillId="2" borderId="20" xfId="2" applyFill="1" applyBorder="1" applyAlignment="1">
      <alignment horizontal="left" vertical="center"/>
    </xf>
    <xf numFmtId="0" fontId="1" fillId="2" borderId="23" xfId="2" applyFill="1" applyBorder="1" applyAlignment="1">
      <alignment horizontal="left" vertical="center"/>
    </xf>
    <xf numFmtId="0" fontId="1" fillId="2" borderId="21" xfId="2" applyFill="1" applyBorder="1" applyAlignment="1">
      <alignment horizontal="left" vertical="center"/>
    </xf>
    <xf numFmtId="0" fontId="1" fillId="5" borderId="27" xfId="2" applyFill="1" applyBorder="1" applyAlignment="1" applyProtection="1">
      <alignment horizontal="left"/>
      <protection locked="0"/>
    </xf>
    <xf numFmtId="0" fontId="1" fillId="5" borderId="6" xfId="2" applyFill="1" applyBorder="1" applyAlignment="1" applyProtection="1">
      <alignment horizontal="left"/>
      <protection locked="0"/>
    </xf>
    <xf numFmtId="0" fontId="1" fillId="5" borderId="28" xfId="2" applyFill="1" applyBorder="1" applyAlignment="1" applyProtection="1">
      <alignment horizontal="left"/>
      <protection locked="0"/>
    </xf>
    <xf numFmtId="0" fontId="1" fillId="2" borderId="18" xfId="2" applyFill="1" applyBorder="1" applyAlignment="1">
      <alignment horizontal="left" vertical="center" wrapText="1"/>
    </xf>
    <xf numFmtId="0" fontId="1" fillId="2" borderId="11" xfId="2" applyFill="1" applyBorder="1" applyAlignment="1">
      <alignment horizontal="left" vertical="center" wrapText="1"/>
    </xf>
    <xf numFmtId="0" fontId="1" fillId="2" borderId="20" xfId="2" applyFill="1" applyBorder="1" applyAlignment="1">
      <alignment horizontal="left" vertical="center" wrapText="1"/>
    </xf>
    <xf numFmtId="0" fontId="1" fillId="2" borderId="22" xfId="2" applyFill="1" applyBorder="1" applyAlignment="1">
      <alignment horizontal="left" vertical="center" wrapText="1"/>
    </xf>
    <xf numFmtId="0" fontId="1" fillId="2" borderId="13" xfId="2" applyFill="1" applyBorder="1" applyAlignment="1" applyProtection="1">
      <alignment horizontal="left"/>
      <protection locked="0"/>
    </xf>
    <xf numFmtId="0" fontId="1" fillId="2" borderId="14" xfId="2" applyFill="1" applyBorder="1" applyAlignment="1" applyProtection="1">
      <alignment horizontal="left"/>
      <protection locked="0"/>
    </xf>
    <xf numFmtId="0" fontId="5" fillId="2" borderId="0" xfId="2" applyFont="1" applyFill="1" applyAlignment="1">
      <alignment horizontal="center" vertical="center"/>
    </xf>
    <xf numFmtId="0" fontId="1" fillId="2" borderId="4" xfId="2" applyFill="1" applyBorder="1" applyAlignment="1">
      <alignment horizontal="left" vertical="center" wrapText="1"/>
    </xf>
    <xf numFmtId="0" fontId="1" fillId="2" borderId="19" xfId="2" applyFill="1" applyBorder="1" applyAlignment="1">
      <alignment horizontal="left" vertical="center" wrapText="1"/>
    </xf>
    <xf numFmtId="0" fontId="1" fillId="2" borderId="23" xfId="2" applyFill="1" applyBorder="1" applyAlignment="1">
      <alignment horizontal="left" vertical="center" wrapText="1"/>
    </xf>
    <xf numFmtId="0" fontId="1" fillId="2" borderId="21" xfId="2" applyFill="1" applyBorder="1" applyAlignment="1">
      <alignment horizontal="left" vertical="center" wrapText="1"/>
    </xf>
    <xf numFmtId="0" fontId="1" fillId="5" borderId="16" xfId="2" applyFill="1" applyBorder="1" applyAlignment="1" applyProtection="1">
      <alignment horizontal="left"/>
      <protection locked="0"/>
    </xf>
    <xf numFmtId="0" fontId="17" fillId="2" borderId="0" xfId="0" applyFont="1" applyFill="1" applyAlignment="1">
      <alignment horizontal="center" vertical="center"/>
    </xf>
    <xf numFmtId="0" fontId="1" fillId="2" borderId="17" xfId="2" applyFill="1" applyBorder="1" applyAlignment="1" applyProtection="1">
      <alignment horizontal="left"/>
      <protection locked="0"/>
    </xf>
    <xf numFmtId="0" fontId="1" fillId="5" borderId="2" xfId="2" applyFill="1" applyBorder="1" applyAlignment="1" applyProtection="1">
      <alignment horizontal="left"/>
      <protection locked="0"/>
    </xf>
    <xf numFmtId="0" fontId="1" fillId="2" borderId="2" xfId="2" applyFill="1" applyBorder="1" applyAlignment="1" applyProtection="1">
      <alignment horizontal="left"/>
      <protection locked="0"/>
    </xf>
    <xf numFmtId="0" fontId="1" fillId="5" borderId="2" xfId="2" applyFill="1" applyBorder="1" applyAlignment="1">
      <alignment horizontal="left"/>
    </xf>
    <xf numFmtId="0" fontId="15" fillId="2" borderId="0" xfId="0" applyFont="1" applyFill="1" applyAlignment="1">
      <alignment horizontal="center" wrapText="1"/>
    </xf>
    <xf numFmtId="0" fontId="1" fillId="2" borderId="2" xfId="2" applyFill="1" applyBorder="1" applyAlignment="1">
      <alignment horizontal="left"/>
    </xf>
    <xf numFmtId="0" fontId="1" fillId="2" borderId="9" xfId="2" applyFill="1" applyBorder="1" applyAlignment="1">
      <alignment horizontal="left" vertical="center"/>
    </xf>
    <xf numFmtId="0" fontId="1" fillId="2" borderId="15" xfId="2" applyFill="1" applyBorder="1" applyAlignment="1">
      <alignment horizontal="left" vertical="center"/>
    </xf>
    <xf numFmtId="0" fontId="1" fillId="5" borderId="2" xfId="2" applyFill="1" applyBorder="1" applyAlignment="1">
      <alignment horizontal="left" wrapText="1"/>
    </xf>
    <xf numFmtId="0" fontId="1" fillId="5" borderId="2" xfId="0" applyFont="1" applyFill="1" applyBorder="1" applyAlignment="1" applyProtection="1">
      <alignment horizontal="left"/>
      <protection locked="0"/>
    </xf>
    <xf numFmtId="0" fontId="1" fillId="2" borderId="2" xfId="0" applyFont="1" applyFill="1" applyBorder="1" applyAlignment="1">
      <alignment horizontal="left"/>
    </xf>
    <xf numFmtId="0" fontId="1" fillId="2" borderId="6" xfId="2" applyFill="1" applyBorder="1" applyAlignment="1" applyProtection="1">
      <alignment horizontal="left"/>
      <protection locked="0"/>
    </xf>
    <xf numFmtId="0" fontId="1" fillId="6" borderId="9"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10" xfId="0" applyFont="1" applyFill="1" applyBorder="1" applyAlignment="1">
      <alignment horizontal="center" vertical="center"/>
    </xf>
    <xf numFmtId="0" fontId="1" fillId="6" borderId="3" xfId="0" applyFont="1" applyFill="1" applyBorder="1" applyAlignment="1">
      <alignment horizontal="center" vertical="center"/>
    </xf>
    <xf numFmtId="0" fontId="1" fillId="6" borderId="4" xfId="0" applyFont="1" applyFill="1" applyBorder="1" applyAlignment="1">
      <alignment horizontal="center" vertical="center"/>
    </xf>
    <xf numFmtId="0" fontId="1" fillId="6" borderId="11" xfId="0" applyFont="1" applyFill="1" applyBorder="1" applyAlignment="1">
      <alignment horizontal="center" vertical="center"/>
    </xf>
    <xf numFmtId="0" fontId="1" fillId="6" borderId="1" xfId="0" applyFont="1" applyFill="1" applyBorder="1" applyAlignment="1">
      <alignment horizontal="center" vertical="center"/>
    </xf>
    <xf numFmtId="0" fontId="1" fillId="6" borderId="0" xfId="0" applyFont="1" applyFill="1" applyAlignment="1">
      <alignment horizontal="center" vertical="center"/>
    </xf>
    <xf numFmtId="0" fontId="1" fillId="6" borderId="12"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2" xfId="0" applyFont="1" applyFill="1" applyBorder="1" applyAlignment="1">
      <alignment horizontal="center" vertical="center"/>
    </xf>
    <xf numFmtId="0" fontId="1" fillId="6" borderId="13" xfId="0" applyFont="1" applyFill="1" applyBorder="1" applyAlignment="1">
      <alignment horizontal="center" vertical="center"/>
    </xf>
    <xf numFmtId="0" fontId="1" fillId="5" borderId="2" xfId="8" applyFont="1" applyFill="1" applyBorder="1" applyAlignment="1" applyProtection="1">
      <alignment horizontal="left" vertical="center"/>
      <protection locked="0"/>
    </xf>
    <xf numFmtId="0" fontId="1" fillId="5" borderId="6" xfId="8" applyFont="1" applyFill="1" applyBorder="1" applyAlignment="1" applyProtection="1">
      <alignment horizontal="left" vertical="center"/>
      <protection locked="0"/>
    </xf>
    <xf numFmtId="0" fontId="1" fillId="5" borderId="2" xfId="0" applyFont="1" applyFill="1" applyBorder="1" applyAlignment="1" applyProtection="1">
      <alignment horizontal="left" vertical="center"/>
      <protection locked="0"/>
    </xf>
    <xf numFmtId="0" fontId="12" fillId="2" borderId="0" xfId="0" applyFont="1" applyFill="1" applyAlignment="1">
      <alignment horizontal="center" vertical="center" wrapText="1"/>
    </xf>
    <xf numFmtId="0" fontId="12" fillId="2" borderId="0" xfId="0" applyFont="1" applyFill="1" applyAlignment="1">
      <alignment horizontal="center" vertical="center"/>
    </xf>
    <xf numFmtId="0" fontId="12" fillId="2" borderId="0" xfId="0" applyFont="1" applyFill="1" applyAlignment="1">
      <alignment horizontal="center" vertical="top" wrapText="1"/>
    </xf>
    <xf numFmtId="0" fontId="1" fillId="0" borderId="7" xfId="0" applyFont="1" applyBorder="1" applyAlignment="1">
      <alignment horizontal="center" vertical="center" wrapText="1"/>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11" xfId="0" applyFont="1" applyBorder="1" applyAlignment="1">
      <alignment horizontal="center" vertical="center"/>
    </xf>
    <xf numFmtId="0" fontId="1" fillId="0" borderId="7" xfId="0" applyFont="1" applyBorder="1" applyAlignment="1">
      <alignment horizontal="center" vertical="center"/>
    </xf>
    <xf numFmtId="0" fontId="1" fillId="0" borderId="7" xfId="0" applyFont="1" applyBorder="1" applyAlignment="1">
      <alignment horizontal="left" vertical="center"/>
    </xf>
    <xf numFmtId="0" fontId="1" fillId="2" borderId="7" xfId="0" applyFont="1" applyFill="1" applyBorder="1" applyAlignment="1">
      <alignment horizontal="center" vertical="center"/>
    </xf>
    <xf numFmtId="0" fontId="1" fillId="0" borderId="9" xfId="0" applyFont="1" applyBorder="1" applyAlignment="1">
      <alignment horizontal="left" vertical="center"/>
    </xf>
    <xf numFmtId="0" fontId="1" fillId="0" borderId="6" xfId="0" applyFont="1" applyBorder="1" applyAlignment="1">
      <alignment horizontal="left" vertical="center"/>
    </xf>
    <xf numFmtId="0" fontId="1" fillId="0" borderId="10" xfId="0" applyFont="1" applyBorder="1" applyAlignment="1">
      <alignment horizontal="left" vertical="center"/>
    </xf>
    <xf numFmtId="0" fontId="9" fillId="3" borderId="0" xfId="2" applyFont="1" applyFill="1" applyAlignment="1">
      <alignment horizontal="left" vertical="center"/>
    </xf>
    <xf numFmtId="0" fontId="4" fillId="0" borderId="0" xfId="0" applyFont="1" applyFill="1"/>
    <xf numFmtId="0" fontId="2" fillId="0" borderId="0" xfId="2" applyFont="1" applyFill="1" applyAlignment="1">
      <alignment horizontal="left"/>
    </xf>
    <xf numFmtId="0" fontId="1" fillId="0" borderId="0" xfId="2" applyFill="1"/>
    <xf numFmtId="0" fontId="1" fillId="0" borderId="0" xfId="2" applyFill="1" applyAlignment="1">
      <alignment wrapText="1"/>
    </xf>
    <xf numFmtId="0" fontId="1" fillId="0" borderId="0" xfId="2" applyFill="1" applyAlignment="1">
      <alignment vertical="center" wrapText="1"/>
    </xf>
    <xf numFmtId="0" fontId="4" fillId="0" borderId="0" xfId="0" applyFont="1" applyFill="1" applyAlignment="1">
      <alignment wrapText="1"/>
    </xf>
    <xf numFmtId="0" fontId="4" fillId="0" borderId="3" xfId="0" applyFont="1" applyFill="1" applyBorder="1"/>
    <xf numFmtId="0" fontId="4" fillId="0" borderId="4" xfId="0" applyFont="1" applyFill="1" applyBorder="1" applyAlignment="1">
      <alignment vertical="center" wrapText="1"/>
    </xf>
    <xf numFmtId="0" fontId="4" fillId="0" borderId="1" xfId="0" applyFont="1" applyFill="1" applyBorder="1"/>
    <xf numFmtId="0" fontId="4" fillId="0" borderId="0" xfId="0" applyFont="1" applyFill="1" applyAlignment="1">
      <alignment vertical="center" wrapText="1"/>
    </xf>
    <xf numFmtId="0" fontId="4" fillId="0" borderId="0" xfId="0" applyFont="1" applyFill="1" applyAlignment="1">
      <alignment vertical="top" wrapText="1"/>
    </xf>
    <xf numFmtId="0" fontId="4" fillId="0" borderId="5" xfId="0" applyFont="1" applyFill="1" applyBorder="1"/>
    <xf numFmtId="0" fontId="4" fillId="0" borderId="2" xfId="0" applyFont="1" applyFill="1" applyBorder="1" applyAlignment="1">
      <alignment vertical="center" wrapText="1"/>
    </xf>
    <xf numFmtId="0" fontId="4" fillId="0" borderId="2" xfId="0" applyFont="1" applyFill="1" applyBorder="1"/>
    <xf numFmtId="0" fontId="4" fillId="0" borderId="0" xfId="0" applyFont="1" applyFill="1" applyAlignment="1">
      <alignment horizontal="center" vertical="center"/>
    </xf>
    <xf numFmtId="0" fontId="4" fillId="0" borderId="0" xfId="0" applyFont="1" applyFill="1" applyAlignment="1">
      <alignment horizontal="center" vertical="center"/>
    </xf>
    <xf numFmtId="0" fontId="4" fillId="0" borderId="4" xfId="0" applyFont="1" applyFill="1" applyBorder="1"/>
    <xf numFmtId="0" fontId="4" fillId="0" borderId="0" xfId="0" applyFont="1" applyFill="1" applyAlignment="1">
      <alignment horizontal="left" vertical="top" wrapText="1"/>
    </xf>
  </cellXfs>
  <cellStyles count="9">
    <cellStyle name="Hyperlink 2" xfId="4" xr:uid="{CECC2427-518E-4A69-BA07-57DF917B3191}"/>
    <cellStyle name="Normal" xfId="0" builtinId="0"/>
    <cellStyle name="Normal 2" xfId="2" xr:uid="{98A43E53-164E-4960-A2BB-317B0FCC08DE}"/>
    <cellStyle name="Normal 4" xfId="8" xr:uid="{B0BBEBA6-8E01-43A5-B311-A787C063FA15}"/>
    <cellStyle name="Normal 4 2" xfId="1" xr:uid="{E863137D-D914-421F-9112-0DB88FB197AA}"/>
    <cellStyle name="Normal 4 2 2" xfId="3" xr:uid="{D0C4138F-867E-49CF-980C-BB3ED14E5459}"/>
    <cellStyle name="Normal 6 2" xfId="6" xr:uid="{E2DCF6FD-4360-4E5F-B09D-F17EE2582376}"/>
    <cellStyle name="Normal 7" xfId="5" xr:uid="{529FF831-DFC4-410A-B18C-A3EB37ECB8E4}"/>
    <cellStyle name="Normal 7 2" xfId="7" xr:uid="{3D0251A6-0FFC-40EA-9794-273AB05A343E}"/>
  </cellStyles>
  <dxfs count="1681">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border>
        <left style="thin">
          <color auto="1"/>
        </left>
        <vertical/>
        <horizontal/>
      </border>
    </dxf>
    <dxf>
      <font>
        <color auto="1"/>
      </font>
    </dxf>
    <dxf>
      <border>
        <left style="thin">
          <color auto="1"/>
        </left>
        <vertical/>
        <horizontal/>
      </border>
    </dxf>
    <dxf>
      <border>
        <left style="thin">
          <color auto="1"/>
        </left>
        <vertical/>
        <horizontal/>
      </border>
    </dxf>
    <dxf>
      <border>
        <left style="thin">
          <color auto="1"/>
        </left>
        <vertical/>
        <horizontal/>
      </border>
    </dxf>
    <dxf>
      <border>
        <top style="thin">
          <color auto="1"/>
        </top>
        <vertical/>
        <horizontal/>
      </border>
    </dxf>
    <dxf>
      <border>
        <bottom style="thin">
          <color auto="1"/>
        </bottom>
        <vertical/>
        <horizontal/>
      </border>
    </dxf>
    <dxf>
      <border>
        <left style="thin">
          <color auto="1"/>
        </left>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bottom style="thin">
          <color auto="1"/>
        </bottom>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bottom style="thin">
          <color auto="1"/>
        </bottom>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bottom style="thin">
          <color auto="1"/>
        </bottom>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bottom style="thin">
          <color auto="1"/>
        </bottom>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bottom style="thin">
          <color auto="1"/>
        </bottom>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bottom style="thin">
          <color auto="1"/>
        </bottom>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bottom style="thin">
          <color auto="1"/>
        </bottom>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bottom style="thin">
          <color auto="1"/>
        </bottom>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bottom style="thin">
          <color auto="1"/>
        </bottom>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left style="thin">
          <color auto="1"/>
        </left>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rgb="FFFF0000"/>
      </font>
    </dxf>
    <dxf>
      <font>
        <color theme="0" tint="-0.24994659260841701"/>
      </font>
    </dxf>
    <dxf>
      <fill>
        <patternFill>
          <bgColor rgb="FFFFC000"/>
        </patternFill>
      </fill>
    </dxf>
    <dxf>
      <fill>
        <patternFill>
          <bgColor theme="0" tint="-0.24994659260841701"/>
        </patternFill>
      </fill>
    </dxf>
    <dxf>
      <font>
        <color rgb="FFFF0000"/>
      </font>
    </dxf>
    <dxf>
      <fill>
        <patternFill>
          <bgColor theme="0" tint="-0.24994659260841701"/>
        </patternFill>
      </fill>
    </dxf>
    <dxf>
      <fill>
        <patternFill>
          <bgColor rgb="FFFFC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C000"/>
        </patternFill>
      </fill>
    </dxf>
    <dxf>
      <fill>
        <patternFill>
          <bgColor theme="0" tint="-0.24994659260841701"/>
        </patternFill>
      </fill>
    </dxf>
    <dxf>
      <fill>
        <patternFill>
          <bgColor theme="0" tint="-0.24994659260841701"/>
        </patternFill>
      </fill>
    </dxf>
    <dxf>
      <border>
        <bottom style="thin">
          <color auto="1"/>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0070C0"/>
      <color rgb="FFFFFF99"/>
      <color rgb="FF00FFFF"/>
      <color rgb="FF00B05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373380</xdr:colOff>
      <xdr:row>0</xdr:row>
      <xdr:rowOff>0</xdr:rowOff>
    </xdr:from>
    <xdr:to>
      <xdr:col>1</xdr:col>
      <xdr:colOff>301354</xdr:colOff>
      <xdr:row>5</xdr:row>
      <xdr:rowOff>76238</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73380" y="0"/>
          <a:ext cx="680449" cy="885863"/>
        </a:xfrm>
        <a:prstGeom prst="rect">
          <a:avLst/>
        </a:prstGeom>
      </xdr:spPr>
    </xdr:pic>
    <xdr:clientData/>
  </xdr:twoCellAnchor>
  <xdr:twoCellAnchor editAs="oneCell">
    <xdr:from>
      <xdr:col>5</xdr:col>
      <xdr:colOff>312420</xdr:colOff>
      <xdr:row>0</xdr:row>
      <xdr:rowOff>0</xdr:rowOff>
    </xdr:from>
    <xdr:to>
      <xdr:col>7</xdr:col>
      <xdr:colOff>375043</xdr:colOff>
      <xdr:row>5</xdr:row>
      <xdr:rowOff>76279</xdr:rowOff>
    </xdr:to>
    <xdr:pic>
      <xdr:nvPicPr>
        <xdr:cNvPr id="3" name="Picture 3">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74795" y="0"/>
          <a:ext cx="1567573" cy="885904"/>
        </a:xfrm>
        <a:prstGeom prst="rect">
          <a:avLst/>
        </a:prstGeom>
      </xdr:spPr>
    </xdr:pic>
    <xdr:clientData/>
  </xdr:twoCellAnchor>
  <xdr:twoCellAnchor editAs="oneCell">
    <xdr:from>
      <xdr:col>2</xdr:col>
      <xdr:colOff>502920</xdr:colOff>
      <xdr:row>0</xdr:row>
      <xdr:rowOff>0</xdr:rowOff>
    </xdr:from>
    <xdr:to>
      <xdr:col>4</xdr:col>
      <xdr:colOff>184002</xdr:colOff>
      <xdr:row>5</xdr:row>
      <xdr:rowOff>76279</xdr:rowOff>
    </xdr:to>
    <xdr:pic>
      <xdr:nvPicPr>
        <xdr:cNvPr id="4" name="Picture 2">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007870" y="0"/>
          <a:ext cx="1186032" cy="8859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15</xdr:col>
      <xdr:colOff>28575</xdr:colOff>
      <xdr:row>31</xdr:row>
      <xdr:rowOff>142874</xdr:rowOff>
    </xdr:from>
    <xdr:to>
      <xdr:col>21</xdr:col>
      <xdr:colOff>161925</xdr:colOff>
      <xdr:row>34</xdr:row>
      <xdr:rowOff>66293</xdr:rowOff>
    </xdr:to>
    <xdr:sp macro="" textlink="'Event Tree Input'!A21">
      <xdr:nvSpPr>
        <xdr:cNvPr id="41" name="N1Title">
          <a:extLst>
            <a:ext uri="{FF2B5EF4-FFF2-40B4-BE49-F238E27FC236}">
              <a16:creationId xmlns:a16="http://schemas.microsoft.com/office/drawing/2014/main" id="{00000000-0008-0000-0600-000029000000}"/>
            </a:ext>
          </a:extLst>
        </xdr:cNvPr>
        <xdr:cNvSpPr txBox="1"/>
      </xdr:nvSpPr>
      <xdr:spPr>
        <a:xfrm>
          <a:off x="3028950" y="5543549"/>
          <a:ext cx="1333500" cy="466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69D4AF6-D54C-4C42-BAA3-52B69276E52F}" type="TxLink">
            <a:rPr lang="en-US" sz="1000" b="0" i="0" u="none" strike="noStrike">
              <a:solidFill>
                <a:srgbClr val="000000"/>
              </a:solidFill>
              <a:latin typeface="Arial"/>
              <a:cs typeface="Arial"/>
            </a:rPr>
            <a:pPr algn="ctr"/>
            <a:t>Initiation: Geometric Condition</a:t>
          </a:fld>
          <a:endParaRPr lang="en-US" sz="1100"/>
        </a:p>
      </xdr:txBody>
    </xdr:sp>
    <xdr:clientData/>
  </xdr:twoCellAnchor>
  <xdr:twoCellAnchor>
    <xdr:from>
      <xdr:col>22</xdr:col>
      <xdr:colOff>28575</xdr:colOff>
      <xdr:row>28</xdr:row>
      <xdr:rowOff>142874</xdr:rowOff>
    </xdr:from>
    <xdr:to>
      <xdr:col>28</xdr:col>
      <xdr:colOff>161925</xdr:colOff>
      <xdr:row>31</xdr:row>
      <xdr:rowOff>66293</xdr:rowOff>
    </xdr:to>
    <xdr:sp macro="" textlink="'Event Tree Input'!A35">
      <xdr:nvSpPr>
        <xdr:cNvPr id="77" name="N2Title">
          <a:extLst>
            <a:ext uri="{FF2B5EF4-FFF2-40B4-BE49-F238E27FC236}">
              <a16:creationId xmlns:a16="http://schemas.microsoft.com/office/drawing/2014/main" id="{00000000-0008-0000-0600-00004D000000}"/>
            </a:ext>
          </a:extLst>
        </xdr:cNvPr>
        <xdr:cNvSpPr txBox="1"/>
      </xdr:nvSpPr>
      <xdr:spPr>
        <a:xfrm>
          <a:off x="4429125" y="5000624"/>
          <a:ext cx="1333500" cy="466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6492B0-02BB-4554-A758-C17D85B9CE1A}" type="TxLink">
            <a:rPr lang="en-US" sz="1000" b="0" i="0" u="none" strike="noStrike">
              <a:solidFill>
                <a:srgbClr val="000000"/>
              </a:solidFill>
              <a:latin typeface="Arial"/>
              <a:cs typeface="Arial"/>
            </a:rPr>
            <a:pPr algn="ctr"/>
            <a:t>Initiation: Hydraulic Condition</a:t>
          </a:fld>
          <a:endParaRPr lang="en-US" sz="1100"/>
        </a:p>
      </xdr:txBody>
    </xdr:sp>
    <xdr:clientData/>
  </xdr:twoCellAnchor>
  <xdr:twoCellAnchor>
    <xdr:from>
      <xdr:col>29</xdr:col>
      <xdr:colOff>38100</xdr:colOff>
      <xdr:row>25</xdr:row>
      <xdr:rowOff>142874</xdr:rowOff>
    </xdr:from>
    <xdr:to>
      <xdr:col>35</xdr:col>
      <xdr:colOff>171450</xdr:colOff>
      <xdr:row>28</xdr:row>
      <xdr:rowOff>66293</xdr:rowOff>
    </xdr:to>
    <xdr:sp macro="" textlink="'Event Tree Input'!A49">
      <xdr:nvSpPr>
        <xdr:cNvPr id="79" name="N3Title">
          <a:extLst>
            <a:ext uri="{FF2B5EF4-FFF2-40B4-BE49-F238E27FC236}">
              <a16:creationId xmlns:a16="http://schemas.microsoft.com/office/drawing/2014/main" id="{00000000-0008-0000-0600-00004F000000}"/>
            </a:ext>
          </a:extLst>
        </xdr:cNvPr>
        <xdr:cNvSpPr txBox="1"/>
      </xdr:nvSpPr>
      <xdr:spPr>
        <a:xfrm>
          <a:off x="5838825" y="4457699"/>
          <a:ext cx="1333500" cy="466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432F4AB-A9CC-44FA-8435-8EB20B29818E}" type="TxLink">
            <a:rPr lang="en-US" sz="1000" b="0" i="0" u="none" strike="noStrike">
              <a:solidFill>
                <a:srgbClr val="000000"/>
              </a:solidFill>
              <a:latin typeface="Arial"/>
              <a:cs typeface="Arial"/>
            </a:rPr>
            <a:pPr algn="ctr"/>
            <a:t>Continuation</a:t>
          </a:fld>
          <a:endParaRPr lang="en-US" sz="1100"/>
        </a:p>
      </xdr:txBody>
    </xdr:sp>
    <xdr:clientData/>
  </xdr:twoCellAnchor>
  <xdr:twoCellAnchor>
    <xdr:from>
      <xdr:col>36</xdr:col>
      <xdr:colOff>9524</xdr:colOff>
      <xdr:row>22</xdr:row>
      <xdr:rowOff>152399</xdr:rowOff>
    </xdr:from>
    <xdr:to>
      <xdr:col>43</xdr:col>
      <xdr:colOff>0</xdr:colOff>
      <xdr:row>26</xdr:row>
      <xdr:rowOff>1</xdr:rowOff>
    </xdr:to>
    <xdr:sp macro="" textlink="'Event Tree Input'!A63">
      <xdr:nvSpPr>
        <xdr:cNvPr id="83" name="N4Title">
          <a:extLst>
            <a:ext uri="{FF2B5EF4-FFF2-40B4-BE49-F238E27FC236}">
              <a16:creationId xmlns:a16="http://schemas.microsoft.com/office/drawing/2014/main" id="{00000000-0008-0000-0600-000053000000}"/>
            </a:ext>
          </a:extLst>
        </xdr:cNvPr>
        <xdr:cNvSpPr txBox="1"/>
      </xdr:nvSpPr>
      <xdr:spPr>
        <a:xfrm>
          <a:off x="7210424" y="4343399"/>
          <a:ext cx="1390651" cy="6096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2242954-56BB-4181-A758-985516CDAE98}" type="TxLink">
            <a:rPr lang="en-US" sz="1000" b="0" i="0" u="none" strike="noStrike">
              <a:solidFill>
                <a:srgbClr val="000000"/>
              </a:solidFill>
              <a:latin typeface="Arial"/>
              <a:cs typeface="Arial"/>
            </a:rPr>
            <a:pPr algn="ctr"/>
            <a:t>Progression: Mechanical Condition</a:t>
          </a:fld>
          <a:endParaRPr lang="en-US" sz="1100"/>
        </a:p>
      </xdr:txBody>
    </xdr:sp>
    <xdr:clientData/>
  </xdr:twoCellAnchor>
  <xdr:twoCellAnchor>
    <xdr:from>
      <xdr:col>43</xdr:col>
      <xdr:colOff>28575</xdr:colOff>
      <xdr:row>19</xdr:row>
      <xdr:rowOff>142874</xdr:rowOff>
    </xdr:from>
    <xdr:to>
      <xdr:col>49</xdr:col>
      <xdr:colOff>161925</xdr:colOff>
      <xdr:row>22</xdr:row>
      <xdr:rowOff>66674</xdr:rowOff>
    </xdr:to>
    <xdr:sp macro="" textlink="'Event Tree Input'!A77">
      <xdr:nvSpPr>
        <xdr:cNvPr id="84" name="N5Title">
          <a:extLst>
            <a:ext uri="{FF2B5EF4-FFF2-40B4-BE49-F238E27FC236}">
              <a16:creationId xmlns:a16="http://schemas.microsoft.com/office/drawing/2014/main" id="{00000000-0008-0000-0600-000054000000}"/>
            </a:ext>
          </a:extLst>
        </xdr:cNvPr>
        <xdr:cNvSpPr txBox="1"/>
      </xdr:nvSpPr>
      <xdr:spPr>
        <a:xfrm>
          <a:off x="8629650" y="3371849"/>
          <a:ext cx="133350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6FD8FC2-940D-4A8B-A1DA-5B0F3683FF9F}" type="TxLink">
            <a:rPr lang="en-US" sz="1000" b="0" i="0" u="none" strike="noStrike">
              <a:solidFill>
                <a:srgbClr val="000000"/>
              </a:solidFill>
              <a:latin typeface="Arial"/>
              <a:cs typeface="Arial"/>
            </a:rPr>
            <a:pPr algn="ctr"/>
            <a:t>Progression: Hydraulic Condition</a:t>
          </a:fld>
          <a:endParaRPr lang="en-US" sz="1100"/>
        </a:p>
      </xdr:txBody>
    </xdr:sp>
    <xdr:clientData/>
  </xdr:twoCellAnchor>
  <xdr:twoCellAnchor>
    <xdr:from>
      <xdr:col>50</xdr:col>
      <xdr:colOff>28575</xdr:colOff>
      <xdr:row>16</xdr:row>
      <xdr:rowOff>142874</xdr:rowOff>
    </xdr:from>
    <xdr:to>
      <xdr:col>56</xdr:col>
      <xdr:colOff>161925</xdr:colOff>
      <xdr:row>19</xdr:row>
      <xdr:rowOff>66674</xdr:rowOff>
    </xdr:to>
    <xdr:sp macro="" textlink="'Event Tree Input'!A91">
      <xdr:nvSpPr>
        <xdr:cNvPr id="85" name="N6Title">
          <a:extLst>
            <a:ext uri="{FF2B5EF4-FFF2-40B4-BE49-F238E27FC236}">
              <a16:creationId xmlns:a16="http://schemas.microsoft.com/office/drawing/2014/main" id="{00000000-0008-0000-0600-000055000000}"/>
            </a:ext>
          </a:extLst>
        </xdr:cNvPr>
        <xdr:cNvSpPr txBox="1"/>
      </xdr:nvSpPr>
      <xdr:spPr>
        <a:xfrm>
          <a:off x="10029825" y="2828924"/>
          <a:ext cx="133350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BD80564-05C4-4A01-8758-FE0FD55DE677}" type="TxLink">
            <a:rPr lang="en-US" sz="1000" b="0" i="0" u="none" strike="noStrike">
              <a:solidFill>
                <a:srgbClr val="000000"/>
              </a:solidFill>
              <a:latin typeface="Arial"/>
              <a:cs typeface="Arial"/>
            </a:rPr>
            <a:pPr algn="ctr"/>
            <a:t>Unsuccessful Intervention</a:t>
          </a:fld>
          <a:endParaRPr lang="en-US" sz="1100"/>
        </a:p>
      </xdr:txBody>
    </xdr:sp>
    <xdr:clientData/>
  </xdr:twoCellAnchor>
  <xdr:twoCellAnchor>
    <xdr:from>
      <xdr:col>57</xdr:col>
      <xdr:colOff>28575</xdr:colOff>
      <xdr:row>13</xdr:row>
      <xdr:rowOff>142874</xdr:rowOff>
    </xdr:from>
    <xdr:to>
      <xdr:col>63</xdr:col>
      <xdr:colOff>161925</xdr:colOff>
      <xdr:row>16</xdr:row>
      <xdr:rowOff>66674</xdr:rowOff>
    </xdr:to>
    <xdr:sp macro="" textlink="'Event Tree Input'!A105">
      <xdr:nvSpPr>
        <xdr:cNvPr id="91" name="N7Title">
          <a:extLst>
            <a:ext uri="{FF2B5EF4-FFF2-40B4-BE49-F238E27FC236}">
              <a16:creationId xmlns:a16="http://schemas.microsoft.com/office/drawing/2014/main" id="{00000000-0008-0000-0600-00005B000000}"/>
            </a:ext>
          </a:extLst>
        </xdr:cNvPr>
        <xdr:cNvSpPr txBox="1"/>
      </xdr:nvSpPr>
      <xdr:spPr>
        <a:xfrm>
          <a:off x="11430000" y="2285999"/>
          <a:ext cx="133350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7451A5-1A1F-4D6F-ADCB-5853D3B37FD4}" type="TxLink">
            <a:rPr lang="en-US" sz="1000" b="0" i="0" u="none" strike="noStrike">
              <a:solidFill>
                <a:srgbClr val="000000"/>
              </a:solidFill>
              <a:latin typeface="Arial"/>
              <a:cs typeface="Arial"/>
            </a:rPr>
            <a:pPr algn="ctr"/>
            <a:t>Breach</a:t>
          </a:fld>
          <a:endParaRPr lang="en-US" sz="1100"/>
        </a:p>
      </xdr:txBody>
    </xdr:sp>
    <xdr:clientData/>
  </xdr:twoCellAnchor>
  <xdr:twoCellAnchor>
    <xdr:from>
      <xdr:col>64</xdr:col>
      <xdr:colOff>28575</xdr:colOff>
      <xdr:row>10</xdr:row>
      <xdr:rowOff>123824</xdr:rowOff>
    </xdr:from>
    <xdr:to>
      <xdr:col>70</xdr:col>
      <xdr:colOff>161925</xdr:colOff>
      <xdr:row>13</xdr:row>
      <xdr:rowOff>66674</xdr:rowOff>
    </xdr:to>
    <xdr:sp macro="" textlink="'Event Tree Input'!A119">
      <xdr:nvSpPr>
        <xdr:cNvPr id="92" name="N8Title" hidden="1">
          <a:extLst>
            <a:ext uri="{FF2B5EF4-FFF2-40B4-BE49-F238E27FC236}">
              <a16:creationId xmlns:a16="http://schemas.microsoft.com/office/drawing/2014/main" id="{00000000-0008-0000-0600-00005C000000}"/>
            </a:ext>
          </a:extLst>
        </xdr:cNvPr>
        <xdr:cNvSpPr txBox="1"/>
      </xdr:nvSpPr>
      <xdr:spPr>
        <a:xfrm>
          <a:off x="12830175" y="1743074"/>
          <a:ext cx="1333500" cy="4667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8142FD-C7A8-49DE-A237-57B36855006F}" type="TxLink">
            <a:rPr lang="en-US" sz="1000" b="0" i="0" u="none" strike="noStrike">
              <a:solidFill>
                <a:srgbClr val="000000"/>
              </a:solidFill>
              <a:latin typeface="Arial"/>
              <a:cs typeface="Arial"/>
            </a:rPr>
            <a:pPr algn="ctr"/>
            <a:t>Node 8 Title</a:t>
          </a:fld>
          <a:endParaRPr lang="en-US" sz="1100"/>
        </a:p>
      </xdr:txBody>
    </xdr:sp>
    <xdr:clientData/>
  </xdr:twoCellAnchor>
  <xdr:twoCellAnchor>
    <xdr:from>
      <xdr:col>71</xdr:col>
      <xdr:colOff>28575</xdr:colOff>
      <xdr:row>7</xdr:row>
      <xdr:rowOff>66674</xdr:rowOff>
    </xdr:from>
    <xdr:to>
      <xdr:col>77</xdr:col>
      <xdr:colOff>161925</xdr:colOff>
      <xdr:row>10</xdr:row>
      <xdr:rowOff>47624</xdr:rowOff>
    </xdr:to>
    <xdr:sp macro="" textlink="'Event Tree Input'!A133">
      <xdr:nvSpPr>
        <xdr:cNvPr id="93" name="N9Title" hidden="1">
          <a:extLst>
            <a:ext uri="{FF2B5EF4-FFF2-40B4-BE49-F238E27FC236}">
              <a16:creationId xmlns:a16="http://schemas.microsoft.com/office/drawing/2014/main" id="{00000000-0008-0000-0600-00005D000000}"/>
            </a:ext>
          </a:extLst>
        </xdr:cNvPr>
        <xdr:cNvSpPr txBox="1"/>
      </xdr:nvSpPr>
      <xdr:spPr>
        <a:xfrm>
          <a:off x="14230350" y="1200149"/>
          <a:ext cx="1333500" cy="4667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C8595F-8254-4EB2-81EB-C3A93AF71F08}" type="TxLink">
            <a:rPr lang="en-US" sz="1000" b="0" i="0" u="none" strike="noStrike">
              <a:solidFill>
                <a:srgbClr val="000000"/>
              </a:solidFill>
              <a:latin typeface="Arial"/>
              <a:cs typeface="Arial"/>
            </a:rPr>
            <a:pPr algn="ctr"/>
            <a:t>Node 9 Title</a:t>
          </a:fld>
          <a:endParaRPr lang="en-US" sz="1100"/>
        </a:p>
      </xdr:txBody>
    </xdr:sp>
    <xdr:clientData/>
  </xdr:twoCellAnchor>
  <xdr:twoCellAnchor>
    <xdr:from>
      <xdr:col>60</xdr:col>
      <xdr:colOff>83343</xdr:colOff>
      <xdr:row>5</xdr:row>
      <xdr:rowOff>166688</xdr:rowOff>
    </xdr:from>
    <xdr:to>
      <xdr:col>66</xdr:col>
      <xdr:colOff>133348</xdr:colOff>
      <xdr:row>7</xdr:row>
      <xdr:rowOff>35720</xdr:rowOff>
    </xdr:to>
    <xdr:sp macro="" textlink="">
      <xdr:nvSpPr>
        <xdr:cNvPr id="90" name="N9Callout" hidden="1">
          <a:extLst>
            <a:ext uri="{FF2B5EF4-FFF2-40B4-BE49-F238E27FC236}">
              <a16:creationId xmlns:a16="http://schemas.microsoft.com/office/drawing/2014/main" id="{00000000-0008-0000-0600-00005A000000}"/>
            </a:ext>
          </a:extLst>
        </xdr:cNvPr>
        <xdr:cNvSpPr txBox="1"/>
      </xdr:nvSpPr>
      <xdr:spPr>
        <a:xfrm>
          <a:off x="12227718" y="1119188"/>
          <a:ext cx="1264443" cy="2500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Arial" panose="020B0604020202020204" pitchFamily="34" charset="0"/>
              <a:cs typeface="Arial" panose="020B0604020202020204" pitchFamily="34" charset="0"/>
            </a:rPr>
            <a:t>Node 9 Callout</a:t>
          </a:r>
        </a:p>
      </xdr:txBody>
    </xdr:sp>
    <xdr:clientData/>
  </xdr:twoCellAnchor>
  <xdr:twoCellAnchor>
    <xdr:from>
      <xdr:col>64</xdr:col>
      <xdr:colOff>95251</xdr:colOff>
      <xdr:row>27</xdr:row>
      <xdr:rowOff>64293</xdr:rowOff>
    </xdr:from>
    <xdr:to>
      <xdr:col>70</xdr:col>
      <xdr:colOff>119063</xdr:colOff>
      <xdr:row>29</xdr:row>
      <xdr:rowOff>59531</xdr:rowOff>
    </xdr:to>
    <xdr:sp macro="" textlink="">
      <xdr:nvSpPr>
        <xdr:cNvPr id="88" name="N8Callout" hidden="1">
          <a:extLst>
            <a:ext uri="{FF2B5EF4-FFF2-40B4-BE49-F238E27FC236}">
              <a16:creationId xmlns:a16="http://schemas.microsoft.com/office/drawing/2014/main" id="{00000000-0008-0000-0600-000058000000}"/>
            </a:ext>
          </a:extLst>
        </xdr:cNvPr>
        <xdr:cNvSpPr txBox="1"/>
      </xdr:nvSpPr>
      <xdr:spPr>
        <a:xfrm>
          <a:off x="13049251" y="5207793"/>
          <a:ext cx="1238250" cy="37623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Arial" panose="020B0604020202020204" pitchFamily="34" charset="0"/>
              <a:cs typeface="Arial" panose="020B0604020202020204" pitchFamily="34" charset="0"/>
            </a:rPr>
            <a:t>Node 8 Callout</a:t>
          </a:r>
        </a:p>
      </xdr:txBody>
    </xdr:sp>
    <xdr:clientData/>
  </xdr:twoCellAnchor>
  <xdr:twoCellAnchor>
    <xdr:from>
      <xdr:col>50</xdr:col>
      <xdr:colOff>59531</xdr:colOff>
      <xdr:row>10</xdr:row>
      <xdr:rowOff>95250</xdr:rowOff>
    </xdr:from>
    <xdr:to>
      <xdr:col>56</xdr:col>
      <xdr:colOff>166688</xdr:colOff>
      <xdr:row>12</xdr:row>
      <xdr:rowOff>23812</xdr:rowOff>
    </xdr:to>
    <xdr:sp macro="" textlink="">
      <xdr:nvSpPr>
        <xdr:cNvPr id="87" name="N7Callout" hidden="1">
          <a:extLst>
            <a:ext uri="{FF2B5EF4-FFF2-40B4-BE49-F238E27FC236}">
              <a16:creationId xmlns:a16="http://schemas.microsoft.com/office/drawing/2014/main" id="{00000000-0008-0000-0600-000057000000}"/>
            </a:ext>
          </a:extLst>
        </xdr:cNvPr>
        <xdr:cNvSpPr txBox="1"/>
      </xdr:nvSpPr>
      <xdr:spPr>
        <a:xfrm>
          <a:off x="10179844" y="2000250"/>
          <a:ext cx="1321594" cy="30956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Arial" panose="020B0604020202020204" pitchFamily="34" charset="0"/>
              <a:cs typeface="Arial" panose="020B0604020202020204" pitchFamily="34" charset="0"/>
            </a:rPr>
            <a:t>Node 7 Callout</a:t>
          </a:r>
        </a:p>
      </xdr:txBody>
    </xdr:sp>
    <xdr:clientData/>
  </xdr:twoCellAnchor>
  <xdr:twoCellAnchor>
    <xdr:from>
      <xdr:col>55</xdr:col>
      <xdr:colOff>142874</xdr:colOff>
      <xdr:row>31</xdr:row>
      <xdr:rowOff>142876</xdr:rowOff>
    </xdr:from>
    <xdr:to>
      <xdr:col>61</xdr:col>
      <xdr:colOff>142875</xdr:colOff>
      <xdr:row>33</xdr:row>
      <xdr:rowOff>47626</xdr:rowOff>
    </xdr:to>
    <xdr:sp macro="" textlink="">
      <xdr:nvSpPr>
        <xdr:cNvPr id="86" name="N6Callout" hidden="1">
          <a:extLst>
            <a:ext uri="{FF2B5EF4-FFF2-40B4-BE49-F238E27FC236}">
              <a16:creationId xmlns:a16="http://schemas.microsoft.com/office/drawing/2014/main" id="{00000000-0008-0000-0600-000056000000}"/>
            </a:ext>
          </a:extLst>
        </xdr:cNvPr>
        <xdr:cNvSpPr txBox="1"/>
      </xdr:nvSpPr>
      <xdr:spPr>
        <a:xfrm>
          <a:off x="11275218" y="6048376"/>
          <a:ext cx="1214438"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Arial" panose="020B0604020202020204" pitchFamily="34" charset="0"/>
              <a:cs typeface="Arial" panose="020B0604020202020204" pitchFamily="34" charset="0"/>
            </a:rPr>
            <a:t>Node 6 Callout</a:t>
          </a:r>
        </a:p>
      </xdr:txBody>
    </xdr:sp>
    <xdr:clientData/>
  </xdr:twoCellAnchor>
  <xdr:twoCellAnchor>
    <xdr:from>
      <xdr:col>35</xdr:col>
      <xdr:colOff>23812</xdr:colOff>
      <xdr:row>15</xdr:row>
      <xdr:rowOff>142876</xdr:rowOff>
    </xdr:from>
    <xdr:to>
      <xdr:col>41</xdr:col>
      <xdr:colOff>83344</xdr:colOff>
      <xdr:row>17</xdr:row>
      <xdr:rowOff>71438</xdr:rowOff>
    </xdr:to>
    <xdr:sp macro="" textlink="">
      <xdr:nvSpPr>
        <xdr:cNvPr id="82" name="N5Callout" hidden="1">
          <a:extLst>
            <a:ext uri="{FF2B5EF4-FFF2-40B4-BE49-F238E27FC236}">
              <a16:creationId xmlns:a16="http://schemas.microsoft.com/office/drawing/2014/main" id="{00000000-0008-0000-0600-000052000000}"/>
            </a:ext>
          </a:extLst>
        </xdr:cNvPr>
        <xdr:cNvSpPr txBox="1"/>
      </xdr:nvSpPr>
      <xdr:spPr>
        <a:xfrm>
          <a:off x="7108031" y="3000376"/>
          <a:ext cx="1273969" cy="30956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Arial" panose="020B0604020202020204" pitchFamily="34" charset="0"/>
              <a:cs typeface="Arial" panose="020B0604020202020204" pitchFamily="34" charset="0"/>
            </a:rPr>
            <a:t>Node 5 Callout</a:t>
          </a:r>
        </a:p>
      </xdr:txBody>
    </xdr:sp>
    <xdr:clientData/>
  </xdr:twoCellAnchor>
  <xdr:twoCellAnchor>
    <xdr:from>
      <xdr:col>40</xdr:col>
      <xdr:colOff>95252</xdr:colOff>
      <xdr:row>37</xdr:row>
      <xdr:rowOff>23812</xdr:rowOff>
    </xdr:from>
    <xdr:to>
      <xdr:col>46</xdr:col>
      <xdr:colOff>142875</xdr:colOff>
      <xdr:row>38</xdr:row>
      <xdr:rowOff>107156</xdr:rowOff>
    </xdr:to>
    <xdr:sp macro="" textlink="">
      <xdr:nvSpPr>
        <xdr:cNvPr id="81" name="N4Callout" hidden="1">
          <a:extLst>
            <a:ext uri="{FF2B5EF4-FFF2-40B4-BE49-F238E27FC236}">
              <a16:creationId xmlns:a16="http://schemas.microsoft.com/office/drawing/2014/main" id="{00000000-0008-0000-0600-000051000000}"/>
            </a:ext>
          </a:extLst>
        </xdr:cNvPr>
        <xdr:cNvSpPr txBox="1"/>
      </xdr:nvSpPr>
      <xdr:spPr>
        <a:xfrm>
          <a:off x="8191502" y="7072312"/>
          <a:ext cx="1262061" cy="2738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Arial" panose="020B0604020202020204" pitchFamily="34" charset="0"/>
              <a:cs typeface="Arial" panose="020B0604020202020204" pitchFamily="34" charset="0"/>
            </a:rPr>
            <a:t>Node 4 Callout</a:t>
          </a:r>
        </a:p>
      </xdr:txBody>
    </xdr:sp>
    <xdr:clientData/>
  </xdr:twoCellAnchor>
  <xdr:twoCellAnchor>
    <xdr:from>
      <xdr:col>22</xdr:col>
      <xdr:colOff>142874</xdr:colOff>
      <xdr:row>21</xdr:row>
      <xdr:rowOff>107155</xdr:rowOff>
    </xdr:from>
    <xdr:to>
      <xdr:col>29</xdr:col>
      <xdr:colOff>0</xdr:colOff>
      <xdr:row>23</xdr:row>
      <xdr:rowOff>47624</xdr:rowOff>
    </xdr:to>
    <xdr:sp macro="" textlink="">
      <xdr:nvSpPr>
        <xdr:cNvPr id="80" name="N3Callout" hidden="1">
          <a:extLst>
            <a:ext uri="{FF2B5EF4-FFF2-40B4-BE49-F238E27FC236}">
              <a16:creationId xmlns:a16="http://schemas.microsoft.com/office/drawing/2014/main" id="{00000000-0008-0000-0600-000050000000}"/>
            </a:ext>
          </a:extLst>
        </xdr:cNvPr>
        <xdr:cNvSpPr txBox="1"/>
      </xdr:nvSpPr>
      <xdr:spPr>
        <a:xfrm>
          <a:off x="4595812" y="4107655"/>
          <a:ext cx="1273969" cy="3214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Arial" panose="020B0604020202020204" pitchFamily="34" charset="0"/>
              <a:cs typeface="Arial" panose="020B0604020202020204" pitchFamily="34" charset="0"/>
            </a:rPr>
            <a:t>Node 3 Callout</a:t>
          </a:r>
        </a:p>
      </xdr:txBody>
    </xdr:sp>
    <xdr:clientData/>
  </xdr:twoCellAnchor>
  <xdr:twoCellAnchor>
    <xdr:from>
      <xdr:col>19</xdr:col>
      <xdr:colOff>190501</xdr:colOff>
      <xdr:row>44</xdr:row>
      <xdr:rowOff>83344</xdr:rowOff>
    </xdr:from>
    <xdr:to>
      <xdr:col>26</xdr:col>
      <xdr:colOff>23813</xdr:colOff>
      <xdr:row>46</xdr:row>
      <xdr:rowOff>0</xdr:rowOff>
    </xdr:to>
    <xdr:sp macro="" textlink="">
      <xdr:nvSpPr>
        <xdr:cNvPr id="31" name="N1Callout" hidden="1">
          <a:extLst>
            <a:ext uri="{FF2B5EF4-FFF2-40B4-BE49-F238E27FC236}">
              <a16:creationId xmlns:a16="http://schemas.microsoft.com/office/drawing/2014/main" id="{00000000-0008-0000-0600-00001F000000}"/>
            </a:ext>
          </a:extLst>
        </xdr:cNvPr>
        <xdr:cNvSpPr txBox="1"/>
      </xdr:nvSpPr>
      <xdr:spPr>
        <a:xfrm>
          <a:off x="4036220" y="8465344"/>
          <a:ext cx="1250156" cy="2976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Arial" panose="020B0604020202020204" pitchFamily="34" charset="0"/>
              <a:cs typeface="Arial" panose="020B0604020202020204" pitchFamily="34" charset="0"/>
            </a:rPr>
            <a:t>Node 1 Callout</a:t>
          </a:r>
        </a:p>
      </xdr:txBody>
    </xdr:sp>
    <xdr:clientData/>
  </xdr:twoCellAnchor>
  <xdr:twoCellAnchor>
    <xdr:from>
      <xdr:col>13</xdr:col>
      <xdr:colOff>71439</xdr:colOff>
      <xdr:row>26</xdr:row>
      <xdr:rowOff>11906</xdr:rowOff>
    </xdr:from>
    <xdr:to>
      <xdr:col>19</xdr:col>
      <xdr:colOff>95251</xdr:colOff>
      <xdr:row>27</xdr:row>
      <xdr:rowOff>83344</xdr:rowOff>
    </xdr:to>
    <xdr:sp macro="" textlink="">
      <xdr:nvSpPr>
        <xdr:cNvPr id="78" name="N2Callout" hidden="1">
          <a:extLst>
            <a:ext uri="{FF2B5EF4-FFF2-40B4-BE49-F238E27FC236}">
              <a16:creationId xmlns:a16="http://schemas.microsoft.com/office/drawing/2014/main" id="{00000000-0008-0000-0600-00004E000000}"/>
            </a:ext>
          </a:extLst>
        </xdr:cNvPr>
        <xdr:cNvSpPr txBox="1"/>
      </xdr:nvSpPr>
      <xdr:spPr>
        <a:xfrm>
          <a:off x="2702720" y="4964906"/>
          <a:ext cx="1238250" cy="26193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Arial" panose="020B0604020202020204" pitchFamily="34" charset="0"/>
              <a:cs typeface="Arial" panose="020B0604020202020204" pitchFamily="34" charset="0"/>
            </a:rPr>
            <a:t>Node 2 Callout</a:t>
          </a:r>
        </a:p>
      </xdr:txBody>
    </xdr:sp>
    <xdr:clientData/>
  </xdr:twoCellAnchor>
  <xdr:twoCellAnchor>
    <xdr:from>
      <xdr:col>9</xdr:col>
      <xdr:colOff>180975</xdr:colOff>
      <xdr:row>37</xdr:row>
      <xdr:rowOff>147490</xdr:rowOff>
    </xdr:from>
    <xdr:to>
      <xdr:col>12</xdr:col>
      <xdr:colOff>27104</xdr:colOff>
      <xdr:row>40</xdr:row>
      <xdr:rowOff>37942</xdr:rowOff>
    </xdr:to>
    <xdr:sp macro="" textlink="">
      <xdr:nvSpPr>
        <xdr:cNvPr id="2" name="Load1">
          <a:extLst>
            <a:ext uri="{FF2B5EF4-FFF2-40B4-BE49-F238E27FC236}">
              <a16:creationId xmlns:a16="http://schemas.microsoft.com/office/drawing/2014/main" id="{00000000-0008-0000-0600-000002000000}"/>
            </a:ext>
          </a:extLst>
        </xdr:cNvPr>
        <xdr:cNvSpPr/>
      </xdr:nvSpPr>
      <xdr:spPr>
        <a:xfrm>
          <a:off x="777515" y="5680828"/>
          <a:ext cx="442669" cy="435439"/>
        </a:xfrm>
        <a:prstGeom prst="pie">
          <a:avLst>
            <a:gd name="adj1" fmla="val 19030585"/>
            <a:gd name="adj2" fmla="val 2260575"/>
          </a:avLst>
        </a:prstGeom>
        <a:solidFill>
          <a:srgbClr val="0070C0"/>
        </a:solidFill>
        <a:ln>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98469" tIns="49235" rIns="98469" bIns="49235"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solidFill>
              <a:schemeClr val="tx1"/>
            </a:solidFill>
            <a:latin typeface="Arial" pitchFamily="34" charset="0"/>
            <a:cs typeface="Arial" pitchFamily="34" charset="0"/>
          </a:endParaRPr>
        </a:p>
      </xdr:txBody>
    </xdr:sp>
    <xdr:clientData/>
  </xdr:twoCellAnchor>
  <xdr:twoCellAnchor>
    <xdr:from>
      <xdr:col>14</xdr:col>
      <xdr:colOff>64220</xdr:colOff>
      <xdr:row>38</xdr:row>
      <xdr:rowOff>52240</xdr:rowOff>
    </xdr:from>
    <xdr:to>
      <xdr:col>15</xdr:col>
      <xdr:colOff>138518</xdr:colOff>
      <xdr:row>39</xdr:row>
      <xdr:rowOff>136062</xdr:rowOff>
    </xdr:to>
    <xdr:sp macro="" textlink="">
      <xdr:nvSpPr>
        <xdr:cNvPr id="3" name="N1Num">
          <a:extLst>
            <a:ext uri="{FF2B5EF4-FFF2-40B4-BE49-F238E27FC236}">
              <a16:creationId xmlns:a16="http://schemas.microsoft.com/office/drawing/2014/main" id="{00000000-0008-0000-0600-000003000000}"/>
            </a:ext>
          </a:extLst>
        </xdr:cNvPr>
        <xdr:cNvSpPr>
          <a:spLocks noChangeAspect="1"/>
        </xdr:cNvSpPr>
      </xdr:nvSpPr>
      <xdr:spPr>
        <a:xfrm>
          <a:off x="1654993" y="5767240"/>
          <a:ext cx="273145" cy="265484"/>
        </a:xfrm>
        <a:prstGeom prst="ellipse">
          <a:avLst/>
        </a:prstGeom>
        <a:solidFill>
          <a:srgbClr val="0070C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8469" tIns="49235" rIns="98469" bIns="49235"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b="1">
              <a:solidFill>
                <a:schemeClr val="bg1"/>
              </a:solidFill>
              <a:latin typeface="Arial" pitchFamily="34" charset="0"/>
              <a:cs typeface="Arial" pitchFamily="34" charset="0"/>
            </a:rPr>
            <a:t>1</a:t>
          </a:r>
        </a:p>
      </xdr:txBody>
    </xdr:sp>
    <xdr:clientData/>
  </xdr:twoCellAnchor>
  <xdr:twoCellAnchor>
    <xdr:from>
      <xdr:col>21</xdr:col>
      <xdr:colOff>64220</xdr:colOff>
      <xdr:row>35</xdr:row>
      <xdr:rowOff>52240</xdr:rowOff>
    </xdr:from>
    <xdr:to>
      <xdr:col>22</xdr:col>
      <xdr:colOff>138518</xdr:colOff>
      <xdr:row>36</xdr:row>
      <xdr:rowOff>136062</xdr:rowOff>
    </xdr:to>
    <xdr:sp macro="" textlink="">
      <xdr:nvSpPr>
        <xdr:cNvPr id="4" name="N2Num">
          <a:extLst>
            <a:ext uri="{FF2B5EF4-FFF2-40B4-BE49-F238E27FC236}">
              <a16:creationId xmlns:a16="http://schemas.microsoft.com/office/drawing/2014/main" id="{00000000-0008-0000-0600-000004000000}"/>
            </a:ext>
          </a:extLst>
        </xdr:cNvPr>
        <xdr:cNvSpPr>
          <a:spLocks noChangeAspect="1"/>
        </xdr:cNvSpPr>
      </xdr:nvSpPr>
      <xdr:spPr>
        <a:xfrm>
          <a:off x="3046920" y="5222253"/>
          <a:ext cx="273144" cy="265484"/>
        </a:xfrm>
        <a:prstGeom prst="ellipse">
          <a:avLst/>
        </a:prstGeom>
        <a:solidFill>
          <a:srgbClr val="0070C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8469" tIns="49235" rIns="98469" bIns="49235"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b="1">
              <a:solidFill>
                <a:schemeClr val="bg1"/>
              </a:solidFill>
              <a:latin typeface="Arial" pitchFamily="34" charset="0"/>
              <a:cs typeface="Arial" pitchFamily="34" charset="0"/>
            </a:rPr>
            <a:t>2</a:t>
          </a:r>
        </a:p>
      </xdr:txBody>
    </xdr:sp>
    <xdr:clientData/>
  </xdr:twoCellAnchor>
  <xdr:twoCellAnchor>
    <xdr:from>
      <xdr:col>21</xdr:col>
      <xdr:colOff>76200</xdr:colOff>
      <xdr:row>41</xdr:row>
      <xdr:rowOff>54695</xdr:rowOff>
    </xdr:from>
    <xdr:to>
      <xdr:col>22</xdr:col>
      <xdr:colOff>96889</xdr:colOff>
      <xdr:row>42</xdr:row>
      <xdr:rowOff>129748</xdr:rowOff>
    </xdr:to>
    <xdr:sp macro="" textlink="">
      <xdr:nvSpPr>
        <xdr:cNvPr id="5" name="N1B2Tri">
          <a:extLst>
            <a:ext uri="{FF2B5EF4-FFF2-40B4-BE49-F238E27FC236}">
              <a16:creationId xmlns:a16="http://schemas.microsoft.com/office/drawing/2014/main" id="{00000000-0008-0000-0600-000005000000}"/>
            </a:ext>
          </a:extLst>
        </xdr:cNvPr>
        <xdr:cNvSpPr/>
      </xdr:nvSpPr>
      <xdr:spPr>
        <a:xfrm rot="16200000">
          <a:off x="4254305" y="7887615"/>
          <a:ext cx="265553" cy="220714"/>
        </a:xfrm>
        <a:prstGeom prst="triangle">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1437" tIns="45719" rIns="91437" bIns="45719"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latin typeface="Arial" pitchFamily="34" charset="0"/>
            <a:cs typeface="Arial" pitchFamily="34" charset="0"/>
          </a:endParaRPr>
        </a:p>
      </xdr:txBody>
    </xdr:sp>
    <xdr:clientData/>
  </xdr:twoCellAnchor>
  <xdr:twoCellAnchor>
    <xdr:from>
      <xdr:col>28</xdr:col>
      <xdr:colOff>64220</xdr:colOff>
      <xdr:row>32</xdr:row>
      <xdr:rowOff>52240</xdr:rowOff>
    </xdr:from>
    <xdr:to>
      <xdr:col>29</xdr:col>
      <xdr:colOff>138518</xdr:colOff>
      <xdr:row>33</xdr:row>
      <xdr:rowOff>136062</xdr:rowOff>
    </xdr:to>
    <xdr:sp macro="" textlink="">
      <xdr:nvSpPr>
        <xdr:cNvPr id="6" name="N3Num">
          <a:extLst>
            <a:ext uri="{FF2B5EF4-FFF2-40B4-BE49-F238E27FC236}">
              <a16:creationId xmlns:a16="http://schemas.microsoft.com/office/drawing/2014/main" id="{00000000-0008-0000-0600-000006000000}"/>
            </a:ext>
          </a:extLst>
        </xdr:cNvPr>
        <xdr:cNvSpPr>
          <a:spLocks noChangeAspect="1"/>
        </xdr:cNvSpPr>
      </xdr:nvSpPr>
      <xdr:spPr>
        <a:xfrm>
          <a:off x="4438846" y="4677266"/>
          <a:ext cx="273145" cy="265484"/>
        </a:xfrm>
        <a:prstGeom prst="ellipse">
          <a:avLst/>
        </a:prstGeom>
        <a:solidFill>
          <a:srgbClr val="0070C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8469" tIns="49235" rIns="98469" bIns="49235"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b="1">
              <a:solidFill>
                <a:schemeClr val="bg1"/>
              </a:solidFill>
              <a:latin typeface="Arial" pitchFamily="34" charset="0"/>
              <a:cs typeface="Arial" pitchFamily="34" charset="0"/>
            </a:rPr>
            <a:t>3</a:t>
          </a:r>
        </a:p>
      </xdr:txBody>
    </xdr:sp>
    <xdr:clientData/>
  </xdr:twoCellAnchor>
  <xdr:twoCellAnchor>
    <xdr:from>
      <xdr:col>28</xdr:col>
      <xdr:colOff>76200</xdr:colOff>
      <xdr:row>38</xdr:row>
      <xdr:rowOff>54695</xdr:rowOff>
    </xdr:from>
    <xdr:to>
      <xdr:col>29</xdr:col>
      <xdr:colOff>96889</xdr:colOff>
      <xdr:row>39</xdr:row>
      <xdr:rowOff>129748</xdr:rowOff>
    </xdr:to>
    <xdr:sp macro="" textlink="">
      <xdr:nvSpPr>
        <xdr:cNvPr id="7" name="N2B2Tri">
          <a:extLst>
            <a:ext uri="{FF2B5EF4-FFF2-40B4-BE49-F238E27FC236}">
              <a16:creationId xmlns:a16="http://schemas.microsoft.com/office/drawing/2014/main" id="{00000000-0008-0000-0600-000007000000}"/>
            </a:ext>
          </a:extLst>
        </xdr:cNvPr>
        <xdr:cNvSpPr/>
      </xdr:nvSpPr>
      <xdr:spPr>
        <a:xfrm rot="16200000">
          <a:off x="4432236" y="5788285"/>
          <a:ext cx="256715" cy="219536"/>
        </a:xfrm>
        <a:prstGeom prst="triangle">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1437" tIns="45719" rIns="91437" bIns="45719"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latin typeface="Arial" pitchFamily="34" charset="0"/>
            <a:cs typeface="Arial" pitchFamily="34" charset="0"/>
          </a:endParaRPr>
        </a:p>
      </xdr:txBody>
    </xdr:sp>
    <xdr:clientData/>
  </xdr:twoCellAnchor>
  <xdr:twoCellAnchor>
    <xdr:from>
      <xdr:col>35</xdr:col>
      <xdr:colOff>64220</xdr:colOff>
      <xdr:row>29</xdr:row>
      <xdr:rowOff>52240</xdr:rowOff>
    </xdr:from>
    <xdr:to>
      <xdr:col>36</xdr:col>
      <xdr:colOff>138518</xdr:colOff>
      <xdr:row>30</xdr:row>
      <xdr:rowOff>136062</xdr:rowOff>
    </xdr:to>
    <xdr:sp macro="" textlink="">
      <xdr:nvSpPr>
        <xdr:cNvPr id="8" name="N4Num">
          <a:extLst>
            <a:ext uri="{FF2B5EF4-FFF2-40B4-BE49-F238E27FC236}">
              <a16:creationId xmlns:a16="http://schemas.microsoft.com/office/drawing/2014/main" id="{00000000-0008-0000-0600-000008000000}"/>
            </a:ext>
          </a:extLst>
        </xdr:cNvPr>
        <xdr:cNvSpPr>
          <a:spLocks noChangeAspect="1"/>
        </xdr:cNvSpPr>
      </xdr:nvSpPr>
      <xdr:spPr>
        <a:xfrm>
          <a:off x="5830773" y="4132279"/>
          <a:ext cx="273144" cy="265484"/>
        </a:xfrm>
        <a:prstGeom prst="ellipse">
          <a:avLst/>
        </a:prstGeom>
        <a:solidFill>
          <a:srgbClr val="0070C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8469" tIns="49235" rIns="98469" bIns="49235"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b="1">
              <a:solidFill>
                <a:schemeClr val="bg1"/>
              </a:solidFill>
              <a:latin typeface="Arial" pitchFamily="34" charset="0"/>
              <a:cs typeface="Arial" pitchFamily="34" charset="0"/>
            </a:rPr>
            <a:t>4</a:t>
          </a:r>
        </a:p>
      </xdr:txBody>
    </xdr:sp>
    <xdr:clientData/>
  </xdr:twoCellAnchor>
  <xdr:twoCellAnchor>
    <xdr:from>
      <xdr:col>42</xdr:col>
      <xdr:colOff>64220</xdr:colOff>
      <xdr:row>26</xdr:row>
      <xdr:rowOff>52240</xdr:rowOff>
    </xdr:from>
    <xdr:to>
      <xdr:col>43</xdr:col>
      <xdr:colOff>138518</xdr:colOff>
      <xdr:row>27</xdr:row>
      <xdr:rowOff>136062</xdr:rowOff>
    </xdr:to>
    <xdr:sp macro="" textlink="">
      <xdr:nvSpPr>
        <xdr:cNvPr id="9" name="N5Num">
          <a:extLst>
            <a:ext uri="{FF2B5EF4-FFF2-40B4-BE49-F238E27FC236}">
              <a16:creationId xmlns:a16="http://schemas.microsoft.com/office/drawing/2014/main" id="{00000000-0008-0000-0600-000009000000}"/>
            </a:ext>
          </a:extLst>
        </xdr:cNvPr>
        <xdr:cNvSpPr>
          <a:spLocks noChangeAspect="1"/>
        </xdr:cNvSpPr>
      </xdr:nvSpPr>
      <xdr:spPr>
        <a:xfrm>
          <a:off x="7222699" y="3587292"/>
          <a:ext cx="273145" cy="265484"/>
        </a:xfrm>
        <a:prstGeom prst="ellipse">
          <a:avLst/>
        </a:prstGeom>
        <a:solidFill>
          <a:srgbClr val="0070C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8469" tIns="49235" rIns="98469" bIns="49235"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b="1">
              <a:solidFill>
                <a:schemeClr val="bg1"/>
              </a:solidFill>
              <a:latin typeface="Arial" pitchFamily="34" charset="0"/>
              <a:cs typeface="Arial" pitchFamily="34" charset="0"/>
            </a:rPr>
            <a:t>5</a:t>
          </a:r>
        </a:p>
      </xdr:txBody>
    </xdr:sp>
    <xdr:clientData/>
  </xdr:twoCellAnchor>
  <xdr:twoCellAnchor>
    <xdr:from>
      <xdr:col>49</xdr:col>
      <xdr:colOff>64220</xdr:colOff>
      <xdr:row>23</xdr:row>
      <xdr:rowOff>52240</xdr:rowOff>
    </xdr:from>
    <xdr:to>
      <xdr:col>50</xdr:col>
      <xdr:colOff>138518</xdr:colOff>
      <xdr:row>24</xdr:row>
      <xdr:rowOff>136062</xdr:rowOff>
    </xdr:to>
    <xdr:sp macro="" textlink="">
      <xdr:nvSpPr>
        <xdr:cNvPr id="10" name="N6Num">
          <a:extLst>
            <a:ext uri="{FF2B5EF4-FFF2-40B4-BE49-F238E27FC236}">
              <a16:creationId xmlns:a16="http://schemas.microsoft.com/office/drawing/2014/main" id="{00000000-0008-0000-0600-00000A000000}"/>
            </a:ext>
          </a:extLst>
        </xdr:cNvPr>
        <xdr:cNvSpPr>
          <a:spLocks noChangeAspect="1"/>
        </xdr:cNvSpPr>
      </xdr:nvSpPr>
      <xdr:spPr>
        <a:xfrm>
          <a:off x="8614626" y="3042304"/>
          <a:ext cx="273145" cy="265485"/>
        </a:xfrm>
        <a:prstGeom prst="ellipse">
          <a:avLst/>
        </a:prstGeom>
        <a:solidFill>
          <a:srgbClr val="0070C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8469" tIns="49235" rIns="98469" bIns="49235"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b="1">
              <a:solidFill>
                <a:schemeClr val="bg1"/>
              </a:solidFill>
              <a:latin typeface="Arial" pitchFamily="34" charset="0"/>
              <a:cs typeface="Arial" pitchFamily="34" charset="0"/>
            </a:rPr>
            <a:t>6</a:t>
          </a:r>
        </a:p>
      </xdr:txBody>
    </xdr:sp>
    <xdr:clientData/>
  </xdr:twoCellAnchor>
  <xdr:twoCellAnchor>
    <xdr:from>
      <xdr:col>56</xdr:col>
      <xdr:colOff>64220</xdr:colOff>
      <xdr:row>20</xdr:row>
      <xdr:rowOff>52240</xdr:rowOff>
    </xdr:from>
    <xdr:to>
      <xdr:col>57</xdr:col>
      <xdr:colOff>138518</xdr:colOff>
      <xdr:row>21</xdr:row>
      <xdr:rowOff>136062</xdr:rowOff>
    </xdr:to>
    <xdr:sp macro="" textlink="">
      <xdr:nvSpPr>
        <xdr:cNvPr id="11" name="N7Num">
          <a:extLst>
            <a:ext uri="{FF2B5EF4-FFF2-40B4-BE49-F238E27FC236}">
              <a16:creationId xmlns:a16="http://schemas.microsoft.com/office/drawing/2014/main" id="{00000000-0008-0000-0600-00000B000000}"/>
            </a:ext>
          </a:extLst>
        </xdr:cNvPr>
        <xdr:cNvSpPr>
          <a:spLocks noChangeAspect="1"/>
        </xdr:cNvSpPr>
      </xdr:nvSpPr>
      <xdr:spPr>
        <a:xfrm>
          <a:off x="10006552" y="2497317"/>
          <a:ext cx="273145" cy="265485"/>
        </a:xfrm>
        <a:prstGeom prst="ellipse">
          <a:avLst/>
        </a:prstGeom>
        <a:solidFill>
          <a:srgbClr val="0070C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8469" tIns="49235" rIns="98469" bIns="49235"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b="1">
              <a:solidFill>
                <a:schemeClr val="bg1"/>
              </a:solidFill>
              <a:latin typeface="Arial" pitchFamily="34" charset="0"/>
              <a:cs typeface="Arial" pitchFamily="34" charset="0"/>
            </a:rPr>
            <a:t>7</a:t>
          </a:r>
        </a:p>
      </xdr:txBody>
    </xdr:sp>
    <xdr:clientData/>
  </xdr:twoCellAnchor>
  <xdr:twoCellAnchor>
    <xdr:from>
      <xdr:col>63</xdr:col>
      <xdr:colOff>64220</xdr:colOff>
      <xdr:row>17</xdr:row>
      <xdr:rowOff>52240</xdr:rowOff>
    </xdr:from>
    <xdr:to>
      <xdr:col>64</xdr:col>
      <xdr:colOff>138518</xdr:colOff>
      <xdr:row>18</xdr:row>
      <xdr:rowOff>136062</xdr:rowOff>
    </xdr:to>
    <xdr:sp macro="" textlink="">
      <xdr:nvSpPr>
        <xdr:cNvPr id="12" name="N8Num" hidden="1">
          <a:extLst>
            <a:ext uri="{FF2B5EF4-FFF2-40B4-BE49-F238E27FC236}">
              <a16:creationId xmlns:a16="http://schemas.microsoft.com/office/drawing/2014/main" id="{00000000-0008-0000-0600-00000C000000}"/>
            </a:ext>
          </a:extLst>
        </xdr:cNvPr>
        <xdr:cNvSpPr>
          <a:spLocks noChangeAspect="1"/>
        </xdr:cNvSpPr>
      </xdr:nvSpPr>
      <xdr:spPr>
        <a:xfrm>
          <a:off x="11398479" y="1952330"/>
          <a:ext cx="273145" cy="265485"/>
        </a:xfrm>
        <a:prstGeom prst="ellipse">
          <a:avLst/>
        </a:prstGeom>
        <a:solidFill>
          <a:srgbClr val="0070C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8469" tIns="49235" rIns="98469" bIns="49235"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b="1">
              <a:solidFill>
                <a:schemeClr val="bg1"/>
              </a:solidFill>
              <a:latin typeface="Arial" pitchFamily="34" charset="0"/>
              <a:cs typeface="Arial" pitchFamily="34" charset="0"/>
            </a:rPr>
            <a:t>8</a:t>
          </a:r>
        </a:p>
      </xdr:txBody>
    </xdr:sp>
    <xdr:clientData/>
  </xdr:twoCellAnchor>
  <xdr:twoCellAnchor>
    <xdr:from>
      <xdr:col>70</xdr:col>
      <xdr:colOff>64220</xdr:colOff>
      <xdr:row>14</xdr:row>
      <xdr:rowOff>52240</xdr:rowOff>
    </xdr:from>
    <xdr:to>
      <xdr:col>71</xdr:col>
      <xdr:colOff>138518</xdr:colOff>
      <xdr:row>15</xdr:row>
      <xdr:rowOff>136062</xdr:rowOff>
    </xdr:to>
    <xdr:sp macro="" textlink="">
      <xdr:nvSpPr>
        <xdr:cNvPr id="13" name="N9Num" hidden="1">
          <a:extLst>
            <a:ext uri="{FF2B5EF4-FFF2-40B4-BE49-F238E27FC236}">
              <a16:creationId xmlns:a16="http://schemas.microsoft.com/office/drawing/2014/main" id="{00000000-0008-0000-0600-00000D000000}"/>
            </a:ext>
          </a:extLst>
        </xdr:cNvPr>
        <xdr:cNvSpPr>
          <a:spLocks noChangeAspect="1"/>
        </xdr:cNvSpPr>
      </xdr:nvSpPr>
      <xdr:spPr>
        <a:xfrm>
          <a:off x="12790406" y="1407343"/>
          <a:ext cx="273144" cy="265484"/>
        </a:xfrm>
        <a:prstGeom prst="ellipse">
          <a:avLst/>
        </a:prstGeom>
        <a:solidFill>
          <a:srgbClr val="0070C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8469" tIns="49235" rIns="98469" bIns="49235"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b="1">
              <a:solidFill>
                <a:schemeClr val="bg1"/>
              </a:solidFill>
              <a:latin typeface="Arial" pitchFamily="34" charset="0"/>
              <a:cs typeface="Arial" pitchFamily="34" charset="0"/>
            </a:rPr>
            <a:t>9</a:t>
          </a:r>
          <a:endParaRPr lang="en-US" sz="1400" b="1">
            <a:solidFill>
              <a:schemeClr val="bg1"/>
            </a:solidFill>
            <a:latin typeface="Arial" pitchFamily="34" charset="0"/>
            <a:cs typeface="Arial" pitchFamily="34" charset="0"/>
          </a:endParaRPr>
        </a:p>
      </xdr:txBody>
    </xdr:sp>
    <xdr:clientData/>
  </xdr:twoCellAnchor>
  <xdr:twoCellAnchor>
    <xdr:from>
      <xdr:col>35</xdr:col>
      <xdr:colOff>76200</xdr:colOff>
      <xdr:row>35</xdr:row>
      <xdr:rowOff>54695</xdr:rowOff>
    </xdr:from>
    <xdr:to>
      <xdr:col>36</xdr:col>
      <xdr:colOff>96889</xdr:colOff>
      <xdr:row>36</xdr:row>
      <xdr:rowOff>129748</xdr:rowOff>
    </xdr:to>
    <xdr:sp macro="" textlink="">
      <xdr:nvSpPr>
        <xdr:cNvPr id="15" name="N3B2Tri">
          <a:extLst>
            <a:ext uri="{FF2B5EF4-FFF2-40B4-BE49-F238E27FC236}">
              <a16:creationId xmlns:a16="http://schemas.microsoft.com/office/drawing/2014/main" id="{00000000-0008-0000-0600-00000F000000}"/>
            </a:ext>
          </a:extLst>
        </xdr:cNvPr>
        <xdr:cNvSpPr/>
      </xdr:nvSpPr>
      <xdr:spPr>
        <a:xfrm rot="16200000">
          <a:off x="5824163" y="5243298"/>
          <a:ext cx="256715" cy="219535"/>
        </a:xfrm>
        <a:prstGeom prst="triangle">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1437" tIns="45719" rIns="91437" bIns="45719"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latin typeface="Arial" pitchFamily="34" charset="0"/>
            <a:cs typeface="Arial" pitchFamily="34" charset="0"/>
          </a:endParaRPr>
        </a:p>
      </xdr:txBody>
    </xdr:sp>
    <xdr:clientData/>
  </xdr:twoCellAnchor>
  <xdr:twoCellAnchor>
    <xdr:from>
      <xdr:col>42</xdr:col>
      <xdr:colOff>76200</xdr:colOff>
      <xdr:row>32</xdr:row>
      <xdr:rowOff>54695</xdr:rowOff>
    </xdr:from>
    <xdr:to>
      <xdr:col>43</xdr:col>
      <xdr:colOff>96889</xdr:colOff>
      <xdr:row>33</xdr:row>
      <xdr:rowOff>129748</xdr:rowOff>
    </xdr:to>
    <xdr:sp macro="" textlink="">
      <xdr:nvSpPr>
        <xdr:cNvPr id="16" name="N4B2Tri">
          <a:extLst>
            <a:ext uri="{FF2B5EF4-FFF2-40B4-BE49-F238E27FC236}">
              <a16:creationId xmlns:a16="http://schemas.microsoft.com/office/drawing/2014/main" id="{00000000-0008-0000-0600-000010000000}"/>
            </a:ext>
          </a:extLst>
        </xdr:cNvPr>
        <xdr:cNvSpPr/>
      </xdr:nvSpPr>
      <xdr:spPr>
        <a:xfrm rot="16200000">
          <a:off x="7216089" y="4698311"/>
          <a:ext cx="256715" cy="219536"/>
        </a:xfrm>
        <a:prstGeom prst="triangle">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1437" tIns="45719" rIns="91437" bIns="45719"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latin typeface="Arial" pitchFamily="34" charset="0"/>
            <a:cs typeface="Arial" pitchFamily="34" charset="0"/>
          </a:endParaRPr>
        </a:p>
      </xdr:txBody>
    </xdr:sp>
    <xdr:clientData/>
  </xdr:twoCellAnchor>
  <xdr:twoCellAnchor>
    <xdr:from>
      <xdr:col>49</xdr:col>
      <xdr:colOff>66675</xdr:colOff>
      <xdr:row>29</xdr:row>
      <xdr:rowOff>54695</xdr:rowOff>
    </xdr:from>
    <xdr:to>
      <xdr:col>50</xdr:col>
      <xdr:colOff>87364</xdr:colOff>
      <xdr:row>30</xdr:row>
      <xdr:rowOff>129748</xdr:rowOff>
    </xdr:to>
    <xdr:sp macro="" textlink="">
      <xdr:nvSpPr>
        <xdr:cNvPr id="17" name="N5B2Tri">
          <a:extLst>
            <a:ext uri="{FF2B5EF4-FFF2-40B4-BE49-F238E27FC236}">
              <a16:creationId xmlns:a16="http://schemas.microsoft.com/office/drawing/2014/main" id="{00000000-0008-0000-0600-000011000000}"/>
            </a:ext>
          </a:extLst>
        </xdr:cNvPr>
        <xdr:cNvSpPr/>
      </xdr:nvSpPr>
      <xdr:spPr>
        <a:xfrm rot="16200000">
          <a:off x="8598491" y="4153324"/>
          <a:ext cx="256715" cy="219536"/>
        </a:xfrm>
        <a:prstGeom prst="triangle">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1437" tIns="45719" rIns="91437" bIns="45719"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latin typeface="Arial" pitchFamily="34" charset="0"/>
            <a:cs typeface="Arial" pitchFamily="34" charset="0"/>
          </a:endParaRPr>
        </a:p>
      </xdr:txBody>
    </xdr:sp>
    <xdr:clientData/>
  </xdr:twoCellAnchor>
  <xdr:twoCellAnchor>
    <xdr:from>
      <xdr:col>56</xdr:col>
      <xdr:colOff>66675</xdr:colOff>
      <xdr:row>26</xdr:row>
      <xdr:rowOff>54695</xdr:rowOff>
    </xdr:from>
    <xdr:to>
      <xdr:col>57</xdr:col>
      <xdr:colOff>87364</xdr:colOff>
      <xdr:row>27</xdr:row>
      <xdr:rowOff>129748</xdr:rowOff>
    </xdr:to>
    <xdr:sp macro="" textlink="">
      <xdr:nvSpPr>
        <xdr:cNvPr id="18" name="N6B2Tri">
          <a:extLst>
            <a:ext uri="{FF2B5EF4-FFF2-40B4-BE49-F238E27FC236}">
              <a16:creationId xmlns:a16="http://schemas.microsoft.com/office/drawing/2014/main" id="{00000000-0008-0000-0600-000012000000}"/>
            </a:ext>
          </a:extLst>
        </xdr:cNvPr>
        <xdr:cNvSpPr/>
      </xdr:nvSpPr>
      <xdr:spPr>
        <a:xfrm rot="16200000">
          <a:off x="9990417" y="3608337"/>
          <a:ext cx="256715" cy="219536"/>
        </a:xfrm>
        <a:prstGeom prst="triangle">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1437" tIns="45719" rIns="91437" bIns="45719"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latin typeface="Arial" pitchFamily="34" charset="0"/>
            <a:cs typeface="Arial" pitchFamily="34" charset="0"/>
          </a:endParaRPr>
        </a:p>
      </xdr:txBody>
    </xdr:sp>
    <xdr:clientData/>
  </xdr:twoCellAnchor>
  <xdr:twoCellAnchor>
    <xdr:from>
      <xdr:col>63</xdr:col>
      <xdr:colOff>66675</xdr:colOff>
      <xdr:row>23</xdr:row>
      <xdr:rowOff>54695</xdr:rowOff>
    </xdr:from>
    <xdr:to>
      <xdr:col>64</xdr:col>
      <xdr:colOff>87364</xdr:colOff>
      <xdr:row>24</xdr:row>
      <xdr:rowOff>129748</xdr:rowOff>
    </xdr:to>
    <xdr:sp macro="" textlink="">
      <xdr:nvSpPr>
        <xdr:cNvPr id="19" name="N7B2Tri">
          <a:extLst>
            <a:ext uri="{FF2B5EF4-FFF2-40B4-BE49-F238E27FC236}">
              <a16:creationId xmlns:a16="http://schemas.microsoft.com/office/drawing/2014/main" id="{00000000-0008-0000-0600-000013000000}"/>
            </a:ext>
          </a:extLst>
        </xdr:cNvPr>
        <xdr:cNvSpPr/>
      </xdr:nvSpPr>
      <xdr:spPr>
        <a:xfrm rot="16200000">
          <a:off x="11382344" y="3063349"/>
          <a:ext cx="256716" cy="219536"/>
        </a:xfrm>
        <a:prstGeom prst="triangle">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1437" tIns="45719" rIns="91437" bIns="45719"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latin typeface="Arial" pitchFamily="34" charset="0"/>
            <a:cs typeface="Arial" pitchFamily="34" charset="0"/>
          </a:endParaRPr>
        </a:p>
      </xdr:txBody>
    </xdr:sp>
    <xdr:clientData/>
  </xdr:twoCellAnchor>
  <xdr:twoCellAnchor>
    <xdr:from>
      <xdr:col>70</xdr:col>
      <xdr:colOff>66675</xdr:colOff>
      <xdr:row>20</xdr:row>
      <xdr:rowOff>54695</xdr:rowOff>
    </xdr:from>
    <xdr:to>
      <xdr:col>71</xdr:col>
      <xdr:colOff>87364</xdr:colOff>
      <xdr:row>21</xdr:row>
      <xdr:rowOff>129748</xdr:rowOff>
    </xdr:to>
    <xdr:sp macro="" textlink="">
      <xdr:nvSpPr>
        <xdr:cNvPr id="20" name="N8B2Tri" hidden="1">
          <a:extLst>
            <a:ext uri="{FF2B5EF4-FFF2-40B4-BE49-F238E27FC236}">
              <a16:creationId xmlns:a16="http://schemas.microsoft.com/office/drawing/2014/main" id="{00000000-0008-0000-0600-000014000000}"/>
            </a:ext>
          </a:extLst>
        </xdr:cNvPr>
        <xdr:cNvSpPr/>
      </xdr:nvSpPr>
      <xdr:spPr>
        <a:xfrm rot="16200000">
          <a:off x="12774271" y="2518362"/>
          <a:ext cx="256716" cy="219535"/>
        </a:xfrm>
        <a:prstGeom prst="triangle">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1437" tIns="45719" rIns="91437" bIns="45719"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latin typeface="Arial" pitchFamily="34" charset="0"/>
            <a:cs typeface="Arial" pitchFamily="34" charset="0"/>
          </a:endParaRPr>
        </a:p>
      </xdr:txBody>
    </xdr:sp>
    <xdr:clientData/>
  </xdr:twoCellAnchor>
  <xdr:twoCellAnchor>
    <xdr:from>
      <xdr:col>77</xdr:col>
      <xdr:colOff>65681</xdr:colOff>
      <xdr:row>11</xdr:row>
      <xdr:rowOff>54695</xdr:rowOff>
    </xdr:from>
    <xdr:to>
      <xdr:col>78</xdr:col>
      <xdr:colOff>86370</xdr:colOff>
      <xdr:row>12</xdr:row>
      <xdr:rowOff>129749</xdr:rowOff>
    </xdr:to>
    <xdr:sp macro="" textlink="">
      <xdr:nvSpPr>
        <xdr:cNvPr id="21" name="N9B1Tri" hidden="1">
          <a:extLst>
            <a:ext uri="{FF2B5EF4-FFF2-40B4-BE49-F238E27FC236}">
              <a16:creationId xmlns:a16="http://schemas.microsoft.com/office/drawing/2014/main" id="{00000000-0008-0000-0600-000015000000}"/>
            </a:ext>
          </a:extLst>
        </xdr:cNvPr>
        <xdr:cNvSpPr/>
      </xdr:nvSpPr>
      <xdr:spPr>
        <a:xfrm rot="16200000">
          <a:off x="14165203" y="883401"/>
          <a:ext cx="256716" cy="219536"/>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1437" tIns="45719" rIns="91437" bIns="45719"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latin typeface="Arial" pitchFamily="34" charset="0"/>
            <a:cs typeface="Arial" pitchFamily="34" charset="0"/>
          </a:endParaRPr>
        </a:p>
      </xdr:txBody>
    </xdr:sp>
    <xdr:clientData/>
  </xdr:twoCellAnchor>
  <xdr:twoCellAnchor>
    <xdr:from>
      <xdr:col>77</xdr:col>
      <xdr:colOff>63534</xdr:colOff>
      <xdr:row>17</xdr:row>
      <xdr:rowOff>55382</xdr:rowOff>
    </xdr:from>
    <xdr:to>
      <xdr:col>78</xdr:col>
      <xdr:colOff>84222</xdr:colOff>
      <xdr:row>18</xdr:row>
      <xdr:rowOff>130435</xdr:rowOff>
    </xdr:to>
    <xdr:sp macro="" textlink="">
      <xdr:nvSpPr>
        <xdr:cNvPr id="22" name="N9B2Tri" hidden="1">
          <a:extLst>
            <a:ext uri="{FF2B5EF4-FFF2-40B4-BE49-F238E27FC236}">
              <a16:creationId xmlns:a16="http://schemas.microsoft.com/office/drawing/2014/main" id="{00000000-0008-0000-0600-000016000000}"/>
            </a:ext>
          </a:extLst>
        </xdr:cNvPr>
        <xdr:cNvSpPr/>
      </xdr:nvSpPr>
      <xdr:spPr>
        <a:xfrm rot="16200000">
          <a:off x="14163056" y="1974062"/>
          <a:ext cx="256716" cy="219535"/>
        </a:xfrm>
        <a:prstGeom prst="triangle">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1437" tIns="45719" rIns="91437" bIns="45719"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latin typeface="Arial" pitchFamily="34" charset="0"/>
            <a:cs typeface="Arial" pitchFamily="34" charset="0"/>
          </a:endParaRPr>
        </a:p>
      </xdr:txBody>
    </xdr:sp>
    <xdr:clientData/>
  </xdr:twoCellAnchor>
  <xdr:twoCellAnchor>
    <xdr:from>
      <xdr:col>21</xdr:col>
      <xdr:colOff>77267</xdr:colOff>
      <xdr:row>35</xdr:row>
      <xdr:rowOff>55169</xdr:rowOff>
    </xdr:from>
    <xdr:to>
      <xdr:col>22</xdr:col>
      <xdr:colOff>97956</xdr:colOff>
      <xdr:row>36</xdr:row>
      <xdr:rowOff>130223</xdr:rowOff>
    </xdr:to>
    <xdr:sp macro="" textlink="">
      <xdr:nvSpPr>
        <xdr:cNvPr id="23" name="N1B1Tri" hidden="1">
          <a:extLst>
            <a:ext uri="{FF2B5EF4-FFF2-40B4-BE49-F238E27FC236}">
              <a16:creationId xmlns:a16="http://schemas.microsoft.com/office/drawing/2014/main" id="{00000000-0008-0000-0600-000017000000}"/>
            </a:ext>
          </a:extLst>
        </xdr:cNvPr>
        <xdr:cNvSpPr/>
      </xdr:nvSpPr>
      <xdr:spPr>
        <a:xfrm rot="16200000">
          <a:off x="3059984" y="5225852"/>
          <a:ext cx="256029" cy="220714"/>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1437" tIns="45719" rIns="91437" bIns="45719"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latin typeface="Arial" pitchFamily="34" charset="0"/>
            <a:cs typeface="Arial" pitchFamily="34" charset="0"/>
          </a:endParaRPr>
        </a:p>
      </xdr:txBody>
    </xdr:sp>
    <xdr:clientData/>
  </xdr:twoCellAnchor>
  <xdr:twoCellAnchor>
    <xdr:from>
      <xdr:col>28</xdr:col>
      <xdr:colOff>77268</xdr:colOff>
      <xdr:row>32</xdr:row>
      <xdr:rowOff>55150</xdr:rowOff>
    </xdr:from>
    <xdr:to>
      <xdr:col>29</xdr:col>
      <xdr:colOff>97957</xdr:colOff>
      <xdr:row>33</xdr:row>
      <xdr:rowOff>130204</xdr:rowOff>
    </xdr:to>
    <xdr:sp macro="" textlink="">
      <xdr:nvSpPr>
        <xdr:cNvPr id="24" name="N2B1Tri" hidden="1">
          <a:extLst>
            <a:ext uri="{FF2B5EF4-FFF2-40B4-BE49-F238E27FC236}">
              <a16:creationId xmlns:a16="http://schemas.microsoft.com/office/drawing/2014/main" id="{00000000-0008-0000-0600-000018000000}"/>
            </a:ext>
          </a:extLst>
        </xdr:cNvPr>
        <xdr:cNvSpPr/>
      </xdr:nvSpPr>
      <xdr:spPr>
        <a:xfrm rot="16200000">
          <a:off x="4460160" y="4682908"/>
          <a:ext cx="256029" cy="220714"/>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1437" tIns="45719" rIns="91437" bIns="45719"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latin typeface="Arial" pitchFamily="34" charset="0"/>
            <a:cs typeface="Arial" pitchFamily="34" charset="0"/>
          </a:endParaRPr>
        </a:p>
      </xdr:txBody>
    </xdr:sp>
    <xdr:clientData/>
  </xdr:twoCellAnchor>
  <xdr:twoCellAnchor>
    <xdr:from>
      <xdr:col>35</xdr:col>
      <xdr:colOff>77269</xdr:colOff>
      <xdr:row>29</xdr:row>
      <xdr:rowOff>55140</xdr:rowOff>
    </xdr:from>
    <xdr:to>
      <xdr:col>36</xdr:col>
      <xdr:colOff>97958</xdr:colOff>
      <xdr:row>30</xdr:row>
      <xdr:rowOff>130194</xdr:rowOff>
    </xdr:to>
    <xdr:sp macro="" textlink="">
      <xdr:nvSpPr>
        <xdr:cNvPr id="25" name="N3B1Tri" hidden="1">
          <a:extLst>
            <a:ext uri="{FF2B5EF4-FFF2-40B4-BE49-F238E27FC236}">
              <a16:creationId xmlns:a16="http://schemas.microsoft.com/office/drawing/2014/main" id="{00000000-0008-0000-0600-000019000000}"/>
            </a:ext>
          </a:extLst>
        </xdr:cNvPr>
        <xdr:cNvSpPr/>
      </xdr:nvSpPr>
      <xdr:spPr>
        <a:xfrm rot="16200000">
          <a:off x="5860336" y="4139973"/>
          <a:ext cx="256029" cy="220714"/>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1437" tIns="45719" rIns="91437" bIns="45719"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latin typeface="Arial" pitchFamily="34" charset="0"/>
            <a:cs typeface="Arial" pitchFamily="34" charset="0"/>
          </a:endParaRPr>
        </a:p>
      </xdr:txBody>
    </xdr:sp>
    <xdr:clientData/>
  </xdr:twoCellAnchor>
  <xdr:twoCellAnchor>
    <xdr:from>
      <xdr:col>42</xdr:col>
      <xdr:colOff>77270</xdr:colOff>
      <xdr:row>26</xdr:row>
      <xdr:rowOff>55130</xdr:rowOff>
    </xdr:from>
    <xdr:to>
      <xdr:col>43</xdr:col>
      <xdr:colOff>97959</xdr:colOff>
      <xdr:row>27</xdr:row>
      <xdr:rowOff>130184</xdr:rowOff>
    </xdr:to>
    <xdr:sp macro="" textlink="">
      <xdr:nvSpPr>
        <xdr:cNvPr id="26" name="N4B1Tri" hidden="1">
          <a:extLst>
            <a:ext uri="{FF2B5EF4-FFF2-40B4-BE49-F238E27FC236}">
              <a16:creationId xmlns:a16="http://schemas.microsoft.com/office/drawing/2014/main" id="{00000000-0008-0000-0600-00001A000000}"/>
            </a:ext>
          </a:extLst>
        </xdr:cNvPr>
        <xdr:cNvSpPr/>
      </xdr:nvSpPr>
      <xdr:spPr>
        <a:xfrm rot="16200000">
          <a:off x="7260512" y="3597038"/>
          <a:ext cx="256029" cy="220714"/>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1437" tIns="45719" rIns="91437" bIns="45719"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latin typeface="Arial" pitchFamily="34" charset="0"/>
            <a:cs typeface="Arial" pitchFamily="34" charset="0"/>
          </a:endParaRPr>
        </a:p>
      </xdr:txBody>
    </xdr:sp>
    <xdr:clientData/>
  </xdr:twoCellAnchor>
  <xdr:twoCellAnchor>
    <xdr:from>
      <xdr:col>49</xdr:col>
      <xdr:colOff>67746</xdr:colOff>
      <xdr:row>23</xdr:row>
      <xdr:rowOff>55117</xdr:rowOff>
    </xdr:from>
    <xdr:to>
      <xdr:col>50</xdr:col>
      <xdr:colOff>88435</xdr:colOff>
      <xdr:row>24</xdr:row>
      <xdr:rowOff>130171</xdr:rowOff>
    </xdr:to>
    <xdr:sp macro="" textlink="">
      <xdr:nvSpPr>
        <xdr:cNvPr id="27" name="N5B1Tri" hidden="1">
          <a:extLst>
            <a:ext uri="{FF2B5EF4-FFF2-40B4-BE49-F238E27FC236}">
              <a16:creationId xmlns:a16="http://schemas.microsoft.com/office/drawing/2014/main" id="{00000000-0008-0000-0600-00001B000000}"/>
            </a:ext>
          </a:extLst>
        </xdr:cNvPr>
        <xdr:cNvSpPr/>
      </xdr:nvSpPr>
      <xdr:spPr>
        <a:xfrm rot="16200000">
          <a:off x="8651163" y="3054100"/>
          <a:ext cx="256029" cy="220714"/>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1437" tIns="45719" rIns="91437" bIns="45719"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latin typeface="Arial" pitchFamily="34" charset="0"/>
            <a:cs typeface="Arial" pitchFamily="34" charset="0"/>
          </a:endParaRPr>
        </a:p>
      </xdr:txBody>
    </xdr:sp>
    <xdr:clientData/>
  </xdr:twoCellAnchor>
  <xdr:twoCellAnchor>
    <xdr:from>
      <xdr:col>56</xdr:col>
      <xdr:colOff>67747</xdr:colOff>
      <xdr:row>20</xdr:row>
      <xdr:rowOff>55101</xdr:rowOff>
    </xdr:from>
    <xdr:to>
      <xdr:col>57</xdr:col>
      <xdr:colOff>88436</xdr:colOff>
      <xdr:row>21</xdr:row>
      <xdr:rowOff>130155</xdr:rowOff>
    </xdr:to>
    <xdr:sp macro="" textlink="">
      <xdr:nvSpPr>
        <xdr:cNvPr id="28" name="N6B1Tri" hidden="1">
          <a:extLst>
            <a:ext uri="{FF2B5EF4-FFF2-40B4-BE49-F238E27FC236}">
              <a16:creationId xmlns:a16="http://schemas.microsoft.com/office/drawing/2014/main" id="{00000000-0008-0000-0600-00001C000000}"/>
            </a:ext>
          </a:extLst>
        </xdr:cNvPr>
        <xdr:cNvSpPr/>
      </xdr:nvSpPr>
      <xdr:spPr>
        <a:xfrm rot="16200000">
          <a:off x="10051339" y="2511159"/>
          <a:ext cx="256029" cy="220714"/>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1437" tIns="45719" rIns="91437" bIns="45719"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latin typeface="Arial" pitchFamily="34" charset="0"/>
            <a:cs typeface="Arial" pitchFamily="34" charset="0"/>
          </a:endParaRPr>
        </a:p>
      </xdr:txBody>
    </xdr:sp>
    <xdr:clientData/>
  </xdr:twoCellAnchor>
  <xdr:twoCellAnchor>
    <xdr:from>
      <xdr:col>63</xdr:col>
      <xdr:colOff>67748</xdr:colOff>
      <xdr:row>17</xdr:row>
      <xdr:rowOff>55085</xdr:rowOff>
    </xdr:from>
    <xdr:to>
      <xdr:col>64</xdr:col>
      <xdr:colOff>88437</xdr:colOff>
      <xdr:row>18</xdr:row>
      <xdr:rowOff>130139</xdr:rowOff>
    </xdr:to>
    <xdr:sp macro="" textlink="">
      <xdr:nvSpPr>
        <xdr:cNvPr id="29" name="N7B1Tri">
          <a:extLst>
            <a:ext uri="{FF2B5EF4-FFF2-40B4-BE49-F238E27FC236}">
              <a16:creationId xmlns:a16="http://schemas.microsoft.com/office/drawing/2014/main" id="{00000000-0008-0000-0600-00001D000000}"/>
            </a:ext>
          </a:extLst>
        </xdr:cNvPr>
        <xdr:cNvSpPr/>
      </xdr:nvSpPr>
      <xdr:spPr>
        <a:xfrm rot="16200000">
          <a:off x="11451515" y="1968218"/>
          <a:ext cx="256029" cy="220714"/>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1437" tIns="45719" rIns="91437" bIns="45719"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latin typeface="Arial" pitchFamily="34" charset="0"/>
            <a:cs typeface="Arial" pitchFamily="34" charset="0"/>
          </a:endParaRPr>
        </a:p>
      </xdr:txBody>
    </xdr:sp>
    <xdr:clientData/>
  </xdr:twoCellAnchor>
  <xdr:twoCellAnchor>
    <xdr:from>
      <xdr:col>70</xdr:col>
      <xdr:colOff>67749</xdr:colOff>
      <xdr:row>14</xdr:row>
      <xdr:rowOff>55070</xdr:rowOff>
    </xdr:from>
    <xdr:to>
      <xdr:col>71</xdr:col>
      <xdr:colOff>88438</xdr:colOff>
      <xdr:row>15</xdr:row>
      <xdr:rowOff>130124</xdr:rowOff>
    </xdr:to>
    <xdr:sp macro="" textlink="">
      <xdr:nvSpPr>
        <xdr:cNvPr id="30" name="N8B1Tri" hidden="1">
          <a:extLst>
            <a:ext uri="{FF2B5EF4-FFF2-40B4-BE49-F238E27FC236}">
              <a16:creationId xmlns:a16="http://schemas.microsoft.com/office/drawing/2014/main" id="{00000000-0008-0000-0600-00001E000000}"/>
            </a:ext>
          </a:extLst>
        </xdr:cNvPr>
        <xdr:cNvSpPr/>
      </xdr:nvSpPr>
      <xdr:spPr>
        <a:xfrm rot="16200000">
          <a:off x="12851691" y="1425278"/>
          <a:ext cx="256029" cy="220714"/>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91437" tIns="45719" rIns="91437" bIns="45719"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latin typeface="Arial" pitchFamily="34" charset="0"/>
            <a:cs typeface="Arial" pitchFamily="34" charset="0"/>
          </a:endParaRPr>
        </a:p>
      </xdr:txBody>
    </xdr:sp>
    <xdr:clientData/>
  </xdr:twoCellAnchor>
  <xdr:twoCellAnchor>
    <xdr:from>
      <xdr:col>67</xdr:col>
      <xdr:colOff>47625</xdr:colOff>
      <xdr:row>21</xdr:row>
      <xdr:rowOff>59531</xdr:rowOff>
    </xdr:from>
    <xdr:to>
      <xdr:col>67</xdr:col>
      <xdr:colOff>47626</xdr:colOff>
      <xdr:row>27</xdr:row>
      <xdr:rowOff>11905</xdr:rowOff>
    </xdr:to>
    <xdr:cxnSp macro="">
      <xdr:nvCxnSpPr>
        <xdr:cNvPr id="130" name="N8Arrow" hidden="1">
          <a:extLst>
            <a:ext uri="{FF2B5EF4-FFF2-40B4-BE49-F238E27FC236}">
              <a16:creationId xmlns:a16="http://schemas.microsoft.com/office/drawing/2014/main" id="{00000000-0008-0000-0600-000082000000}"/>
            </a:ext>
          </a:extLst>
        </xdr:cNvPr>
        <xdr:cNvCxnSpPr/>
      </xdr:nvCxnSpPr>
      <xdr:spPr>
        <a:xfrm>
          <a:off x="13608844" y="4060031"/>
          <a:ext cx="1" cy="1095374"/>
        </a:xfrm>
        <a:prstGeom prst="straightConnector1">
          <a:avLst/>
        </a:prstGeom>
        <a:ln>
          <a:solidFill>
            <a:schemeClr val="bg1">
              <a:lumMod val="65000"/>
            </a:schemeClr>
          </a:solidFill>
          <a:prstDash val="lgDash"/>
          <a:headEnd type="ova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177629</xdr:colOff>
      <xdr:row>36</xdr:row>
      <xdr:rowOff>38100</xdr:rowOff>
    </xdr:from>
    <xdr:to>
      <xdr:col>21</xdr:col>
      <xdr:colOff>105548</xdr:colOff>
      <xdr:row>41</xdr:row>
      <xdr:rowOff>152400</xdr:rowOff>
    </xdr:to>
    <xdr:sp macro="" textlink="'Event Tree Input'!A24">
      <xdr:nvSpPr>
        <xdr:cNvPr id="14" name="N1Descr">
          <a:extLst>
            <a:ext uri="{FF2B5EF4-FFF2-40B4-BE49-F238E27FC236}">
              <a16:creationId xmlns:a16="http://schemas.microsoft.com/office/drawing/2014/main" id="{00000000-0008-0000-0600-00000E000000}"/>
            </a:ext>
          </a:extLst>
        </xdr:cNvPr>
        <xdr:cNvSpPr txBox="1"/>
      </xdr:nvSpPr>
      <xdr:spPr>
        <a:xfrm>
          <a:off x="3189588" y="6896100"/>
          <a:ext cx="1132703" cy="1066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576" tIns="0" rIns="0" bIns="0" rtlCol="0" anchor="ctr" anchorCtr="0"/>
        <a:lstStyle/>
        <a:p>
          <a:fld id="{D4C25913-1A64-40AE-A557-7F2DF157F632}" type="TxLink">
            <a:rPr lang="en-US" sz="1000" b="0" i="0" u="none" strike="noStrike">
              <a:solidFill>
                <a:srgbClr val="000000"/>
              </a:solidFill>
              <a:latin typeface="Arial"/>
              <a:cs typeface="Arial"/>
            </a:rPr>
            <a:pPr/>
            <a:t>Continuous susceptibility to internal erosion exists?</a:t>
          </a:fld>
          <a:endParaRPr lang="en-US" sz="1100"/>
        </a:p>
      </xdr:txBody>
    </xdr:sp>
    <xdr:clientData/>
  </xdr:twoCellAnchor>
  <xdr:twoCellAnchor>
    <xdr:from>
      <xdr:col>22</xdr:col>
      <xdr:colOff>178593</xdr:colOff>
      <xdr:row>33</xdr:row>
      <xdr:rowOff>38100</xdr:rowOff>
    </xdr:from>
    <xdr:to>
      <xdr:col>28</xdr:col>
      <xdr:colOff>103155</xdr:colOff>
      <xdr:row>38</xdr:row>
      <xdr:rowOff>152400</xdr:rowOff>
    </xdr:to>
    <xdr:sp macro="" textlink="'Event Tree Input'!A38">
      <xdr:nvSpPr>
        <xdr:cNvPr id="58" name="N2Descr">
          <a:extLst>
            <a:ext uri="{FF2B5EF4-FFF2-40B4-BE49-F238E27FC236}">
              <a16:creationId xmlns:a16="http://schemas.microsoft.com/office/drawing/2014/main" id="{00000000-0008-0000-0600-00003A000000}"/>
            </a:ext>
          </a:extLst>
        </xdr:cNvPr>
        <xdr:cNvSpPr txBox="1"/>
      </xdr:nvSpPr>
      <xdr:spPr>
        <a:xfrm>
          <a:off x="4579143" y="6324600"/>
          <a:ext cx="1124712" cy="1066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576" tIns="0" rIns="0" bIns="0" rtlCol="0" anchor="ctr" anchorCtr="0"/>
        <a:lstStyle/>
        <a:p>
          <a:fld id="{23217786-DCF7-4408-9E32-BF2377362C68}" type="TxLink">
            <a:rPr lang="en-US" sz="1000" b="0" i="0" u="none" strike="noStrike">
              <a:solidFill>
                <a:srgbClr val="000000"/>
              </a:solidFill>
              <a:latin typeface="Arial"/>
              <a:cs typeface="Arial"/>
            </a:rPr>
            <a:pPr/>
            <a:t>Hydraulic condition for initiation of erosion exists?</a:t>
          </a:fld>
          <a:endParaRPr lang="en-US" sz="1100"/>
        </a:p>
      </xdr:txBody>
    </xdr:sp>
    <xdr:clientData/>
  </xdr:twoCellAnchor>
  <xdr:twoCellAnchor>
    <xdr:from>
      <xdr:col>29</xdr:col>
      <xdr:colOff>176213</xdr:colOff>
      <xdr:row>30</xdr:row>
      <xdr:rowOff>38100</xdr:rowOff>
    </xdr:from>
    <xdr:to>
      <xdr:col>35</xdr:col>
      <xdr:colOff>100775</xdr:colOff>
      <xdr:row>35</xdr:row>
      <xdr:rowOff>152400</xdr:rowOff>
    </xdr:to>
    <xdr:sp macro="" textlink="'Event Tree Input'!A52">
      <xdr:nvSpPr>
        <xdr:cNvPr id="59" name="N3Descr">
          <a:extLst>
            <a:ext uri="{FF2B5EF4-FFF2-40B4-BE49-F238E27FC236}">
              <a16:creationId xmlns:a16="http://schemas.microsoft.com/office/drawing/2014/main" id="{00000000-0008-0000-0600-00003B000000}"/>
            </a:ext>
          </a:extLst>
        </xdr:cNvPr>
        <xdr:cNvSpPr txBox="1"/>
      </xdr:nvSpPr>
      <xdr:spPr>
        <a:xfrm>
          <a:off x="5976938" y="5753100"/>
          <a:ext cx="1124712" cy="1066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576" tIns="0" rIns="0" bIns="0" rtlCol="0" anchor="ctr" anchorCtr="0"/>
        <a:lstStyle/>
        <a:p>
          <a:fld id="{0AC39B62-B40E-4B48-97D1-0D61F48215D4}" type="TxLink">
            <a:rPr lang="en-US" sz="1000" b="0" i="0" u="none" strike="noStrike">
              <a:solidFill>
                <a:srgbClr val="000000"/>
              </a:solidFill>
              <a:latin typeface="Arial"/>
              <a:cs typeface="Arial"/>
            </a:rPr>
            <a:pPr/>
            <a:t>An unfiltered seepage exit exists allowing erosion to continue?</a:t>
          </a:fld>
          <a:endParaRPr lang="en-US" sz="1100"/>
        </a:p>
      </xdr:txBody>
    </xdr:sp>
    <xdr:clientData/>
  </xdr:twoCellAnchor>
  <xdr:twoCellAnchor>
    <xdr:from>
      <xdr:col>36</xdr:col>
      <xdr:colOff>176212</xdr:colOff>
      <xdr:row>27</xdr:row>
      <xdr:rowOff>38100</xdr:rowOff>
    </xdr:from>
    <xdr:to>
      <xdr:col>42</xdr:col>
      <xdr:colOff>100774</xdr:colOff>
      <xdr:row>32</xdr:row>
      <xdr:rowOff>152400</xdr:rowOff>
    </xdr:to>
    <xdr:sp macro="" textlink="'Event Tree Input'!A66">
      <xdr:nvSpPr>
        <xdr:cNvPr id="60" name="N4Descr">
          <a:extLst>
            <a:ext uri="{FF2B5EF4-FFF2-40B4-BE49-F238E27FC236}">
              <a16:creationId xmlns:a16="http://schemas.microsoft.com/office/drawing/2014/main" id="{00000000-0008-0000-0600-00003C000000}"/>
            </a:ext>
          </a:extLst>
        </xdr:cNvPr>
        <xdr:cNvSpPr txBox="1"/>
      </xdr:nvSpPr>
      <xdr:spPr>
        <a:xfrm>
          <a:off x="7377112" y="5181600"/>
          <a:ext cx="1124712" cy="1066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576" tIns="0" rIns="0" bIns="0" rtlCol="0" anchor="ctr" anchorCtr="0"/>
        <a:lstStyle/>
        <a:p>
          <a:fld id="{0B6FBC72-25DC-4325-B26C-0F16790D404E}" type="TxLink">
            <a:rPr lang="en-US" sz="1000" b="0" i="0" u="none" strike="noStrike">
              <a:solidFill>
                <a:srgbClr val="000000"/>
              </a:solidFill>
              <a:latin typeface="Arial"/>
              <a:cs typeface="Arial"/>
            </a:rPr>
            <a:pPr/>
            <a:t>Continuous stable roof or sidewalls are maintained along seepage or leakage path?</a:t>
          </a:fld>
          <a:endParaRPr lang="en-US" sz="1100"/>
        </a:p>
      </xdr:txBody>
    </xdr:sp>
    <xdr:clientData/>
  </xdr:twoCellAnchor>
  <xdr:twoCellAnchor>
    <xdr:from>
      <xdr:col>43</xdr:col>
      <xdr:colOff>178594</xdr:colOff>
      <xdr:row>24</xdr:row>
      <xdr:rowOff>38100</xdr:rowOff>
    </xdr:from>
    <xdr:to>
      <xdr:col>49</xdr:col>
      <xdr:colOff>103156</xdr:colOff>
      <xdr:row>29</xdr:row>
      <xdr:rowOff>152400</xdr:rowOff>
    </xdr:to>
    <xdr:sp macro="" textlink="'Event Tree Input'!A80">
      <xdr:nvSpPr>
        <xdr:cNvPr id="61" name="N5Descr">
          <a:extLst>
            <a:ext uri="{FF2B5EF4-FFF2-40B4-BE49-F238E27FC236}">
              <a16:creationId xmlns:a16="http://schemas.microsoft.com/office/drawing/2014/main" id="{00000000-0008-0000-0600-00003D000000}"/>
            </a:ext>
          </a:extLst>
        </xdr:cNvPr>
        <xdr:cNvSpPr txBox="1"/>
      </xdr:nvSpPr>
      <xdr:spPr>
        <a:xfrm>
          <a:off x="8779669" y="4610100"/>
          <a:ext cx="1124712" cy="1066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576" tIns="0" rIns="0" bIns="0" rtlCol="0" anchor="ctr" anchorCtr="0"/>
        <a:lstStyle/>
        <a:p>
          <a:fld id="{D942999E-238E-4EAF-951D-A724AA793D3F}" type="TxLink">
            <a:rPr lang="en-US" sz="1000" b="0" i="0" u="none" strike="noStrike">
              <a:solidFill>
                <a:srgbClr val="000000"/>
              </a:solidFill>
              <a:latin typeface="Arial"/>
              <a:cs typeface="Arial"/>
            </a:rPr>
            <a:pPr/>
            <a:t>Sufficient flow exists to continuously transport eroded particles to exit?</a:t>
          </a:fld>
          <a:endParaRPr lang="en-US" sz="1100"/>
        </a:p>
      </xdr:txBody>
    </xdr:sp>
    <xdr:clientData/>
  </xdr:twoCellAnchor>
  <xdr:twoCellAnchor>
    <xdr:from>
      <xdr:col>50</xdr:col>
      <xdr:colOff>176212</xdr:colOff>
      <xdr:row>21</xdr:row>
      <xdr:rowOff>38100</xdr:rowOff>
    </xdr:from>
    <xdr:to>
      <xdr:col>56</xdr:col>
      <xdr:colOff>100774</xdr:colOff>
      <xdr:row>26</xdr:row>
      <xdr:rowOff>152400</xdr:rowOff>
    </xdr:to>
    <xdr:sp macro="" textlink="'Event Tree Input'!A94">
      <xdr:nvSpPr>
        <xdr:cNvPr id="62" name="N6Descr">
          <a:extLst>
            <a:ext uri="{FF2B5EF4-FFF2-40B4-BE49-F238E27FC236}">
              <a16:creationId xmlns:a16="http://schemas.microsoft.com/office/drawing/2014/main" id="{00000000-0008-0000-0600-00003E000000}"/>
            </a:ext>
          </a:extLst>
        </xdr:cNvPr>
        <xdr:cNvSpPr txBox="1"/>
      </xdr:nvSpPr>
      <xdr:spPr>
        <a:xfrm>
          <a:off x="10177462" y="4038600"/>
          <a:ext cx="1124712" cy="1066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576" tIns="0" rIns="0" bIns="0" rtlCol="0" anchor="ctr" anchorCtr="0"/>
        <a:lstStyle/>
        <a:p>
          <a:fld id="{0BC75C90-A5D8-4AFE-BB3A-85153218BCE7}" type="TxLink">
            <a:rPr lang="en-US" sz="1000" b="0" i="0" u="none" strike="noStrike">
              <a:solidFill>
                <a:srgbClr val="000000"/>
              </a:solidFill>
              <a:latin typeface="Arial"/>
              <a:cs typeface="Arial"/>
            </a:rPr>
            <a:pPr/>
            <a:t>Detection and intervention are unsuccessful?</a:t>
          </a:fld>
          <a:endParaRPr lang="en-US" sz="1100"/>
        </a:p>
      </xdr:txBody>
    </xdr:sp>
    <xdr:clientData/>
  </xdr:twoCellAnchor>
  <xdr:twoCellAnchor>
    <xdr:from>
      <xdr:col>57</xdr:col>
      <xdr:colOff>178594</xdr:colOff>
      <xdr:row>18</xdr:row>
      <xdr:rowOff>38100</xdr:rowOff>
    </xdr:from>
    <xdr:to>
      <xdr:col>63</xdr:col>
      <xdr:colOff>103156</xdr:colOff>
      <xdr:row>23</xdr:row>
      <xdr:rowOff>152400</xdr:rowOff>
    </xdr:to>
    <xdr:sp macro="" textlink="'Event Tree Input'!A108">
      <xdr:nvSpPr>
        <xdr:cNvPr id="64" name="N7Descr">
          <a:extLst>
            <a:ext uri="{FF2B5EF4-FFF2-40B4-BE49-F238E27FC236}">
              <a16:creationId xmlns:a16="http://schemas.microsoft.com/office/drawing/2014/main" id="{00000000-0008-0000-0600-000040000000}"/>
            </a:ext>
          </a:extLst>
        </xdr:cNvPr>
        <xdr:cNvSpPr txBox="1"/>
      </xdr:nvSpPr>
      <xdr:spPr>
        <a:xfrm>
          <a:off x="11580019" y="3467100"/>
          <a:ext cx="1124712" cy="1066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576" tIns="0" rIns="0" bIns="0" rtlCol="0" anchor="ctr" anchorCtr="0"/>
        <a:lstStyle/>
        <a:p>
          <a:fld id="{43BC8269-56F4-4CFD-87BE-074666FD6D41}" type="TxLink">
            <a:rPr lang="en-US" sz="1000" b="0" i="0" u="none" strike="noStrike">
              <a:solidFill>
                <a:srgbClr val="000000"/>
              </a:solidFill>
              <a:latin typeface="Arial"/>
              <a:cs typeface="Arial"/>
            </a:rPr>
            <a:pPr/>
            <a:t>Uncontrolled release of impounded water occurs?</a:t>
          </a:fld>
          <a:endParaRPr lang="en-US" sz="1100"/>
        </a:p>
      </xdr:txBody>
    </xdr:sp>
    <xdr:clientData/>
  </xdr:twoCellAnchor>
  <xdr:twoCellAnchor>
    <xdr:from>
      <xdr:col>64</xdr:col>
      <xdr:colOff>176212</xdr:colOff>
      <xdr:row>15</xdr:row>
      <xdr:rowOff>38100</xdr:rowOff>
    </xdr:from>
    <xdr:to>
      <xdr:col>70</xdr:col>
      <xdr:colOff>100774</xdr:colOff>
      <xdr:row>20</xdr:row>
      <xdr:rowOff>152400</xdr:rowOff>
    </xdr:to>
    <xdr:sp macro="" textlink="'Event Tree Input'!A122">
      <xdr:nvSpPr>
        <xdr:cNvPr id="65" name="N8Descr" hidden="1">
          <a:extLst>
            <a:ext uri="{FF2B5EF4-FFF2-40B4-BE49-F238E27FC236}">
              <a16:creationId xmlns:a16="http://schemas.microsoft.com/office/drawing/2014/main" id="{00000000-0008-0000-0600-000041000000}"/>
            </a:ext>
          </a:extLst>
        </xdr:cNvPr>
        <xdr:cNvSpPr txBox="1"/>
      </xdr:nvSpPr>
      <xdr:spPr>
        <a:xfrm>
          <a:off x="12977812" y="2895600"/>
          <a:ext cx="1124712" cy="1066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576" tIns="0" rIns="0" bIns="0" rtlCol="0" anchor="ctr" anchorCtr="0"/>
        <a:lstStyle/>
        <a:p>
          <a:fld id="{745D4977-564C-42ED-901E-8C7F45B31194}" type="TxLink">
            <a:rPr lang="en-US" sz="1000" b="0" i="0" u="none" strike="noStrike">
              <a:solidFill>
                <a:srgbClr val="000000"/>
              </a:solidFill>
              <a:latin typeface="Arial"/>
              <a:cs typeface="Arial"/>
            </a:rPr>
            <a:pPr/>
            <a:t>Node 8 Description</a:t>
          </a:fld>
          <a:endParaRPr lang="en-US" sz="1100"/>
        </a:p>
      </xdr:txBody>
    </xdr:sp>
    <xdr:clientData/>
  </xdr:twoCellAnchor>
  <xdr:twoCellAnchor>
    <xdr:from>
      <xdr:col>71</xdr:col>
      <xdr:colOff>176212</xdr:colOff>
      <xdr:row>12</xdr:row>
      <xdr:rowOff>38100</xdr:rowOff>
    </xdr:from>
    <xdr:to>
      <xdr:col>77</xdr:col>
      <xdr:colOff>100774</xdr:colOff>
      <xdr:row>17</xdr:row>
      <xdr:rowOff>152400</xdr:rowOff>
    </xdr:to>
    <xdr:sp macro="" textlink="'Event Tree Input'!A136">
      <xdr:nvSpPr>
        <xdr:cNvPr id="66" name="N9Descr" hidden="1">
          <a:extLst>
            <a:ext uri="{FF2B5EF4-FFF2-40B4-BE49-F238E27FC236}">
              <a16:creationId xmlns:a16="http://schemas.microsoft.com/office/drawing/2014/main" id="{00000000-0008-0000-0600-000042000000}"/>
            </a:ext>
          </a:extLst>
        </xdr:cNvPr>
        <xdr:cNvSpPr txBox="1"/>
      </xdr:nvSpPr>
      <xdr:spPr>
        <a:xfrm>
          <a:off x="14377987" y="2324100"/>
          <a:ext cx="1124712" cy="1066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576" tIns="0" rIns="0" bIns="0" rtlCol="0" anchor="ctr" anchorCtr="0"/>
        <a:lstStyle/>
        <a:p>
          <a:fld id="{C15BE28D-35A2-42B9-8859-0145931983F7}" type="TxLink">
            <a:rPr lang="en-US" sz="1000" b="0" i="0" u="none" strike="noStrike">
              <a:solidFill>
                <a:srgbClr val="000000"/>
              </a:solidFill>
              <a:latin typeface="Arial"/>
              <a:cs typeface="Arial"/>
            </a:rPr>
            <a:pPr/>
            <a:t>Node 9 Description</a:t>
          </a:fld>
          <a:endParaRPr lang="en-US" sz="1100"/>
        </a:p>
      </xdr:txBody>
    </xdr:sp>
    <xdr:clientData/>
  </xdr:twoCellAnchor>
  <xdr:twoCellAnchor>
    <xdr:from>
      <xdr:col>2</xdr:col>
      <xdr:colOff>151246</xdr:colOff>
      <xdr:row>37</xdr:row>
      <xdr:rowOff>146803</xdr:rowOff>
    </xdr:from>
    <xdr:to>
      <xdr:col>4</xdr:col>
      <xdr:colOff>197400</xdr:colOff>
      <xdr:row>40</xdr:row>
      <xdr:rowOff>37255</xdr:rowOff>
    </xdr:to>
    <xdr:sp macro="" textlink="">
      <xdr:nvSpPr>
        <xdr:cNvPr id="67" name="Load2" hidden="1">
          <a:extLst>
            <a:ext uri="{FF2B5EF4-FFF2-40B4-BE49-F238E27FC236}">
              <a16:creationId xmlns:a16="http://schemas.microsoft.com/office/drawing/2014/main" id="{00000000-0008-0000-0600-000043000000}"/>
            </a:ext>
          </a:extLst>
        </xdr:cNvPr>
        <xdr:cNvSpPr/>
      </xdr:nvSpPr>
      <xdr:spPr>
        <a:xfrm>
          <a:off x="551296" y="6633328"/>
          <a:ext cx="446204" cy="433377"/>
        </a:xfrm>
        <a:prstGeom prst="pie">
          <a:avLst>
            <a:gd name="adj1" fmla="val 19030585"/>
            <a:gd name="adj2" fmla="val 2260575"/>
          </a:avLst>
        </a:prstGeom>
        <a:solidFill>
          <a:srgbClr val="0070C0"/>
        </a:solidFill>
        <a:ln>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98469" tIns="49235" rIns="98469" bIns="49235"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solidFill>
              <a:schemeClr val="tx1"/>
            </a:solidFill>
            <a:latin typeface="Arial" pitchFamily="34" charset="0"/>
            <a:cs typeface="Arial" pitchFamily="34" charset="0"/>
          </a:endParaRPr>
        </a:p>
      </xdr:txBody>
    </xdr:sp>
    <xdr:clientData/>
  </xdr:twoCellAnchor>
  <xdr:twoCellAnchor>
    <xdr:from>
      <xdr:col>17</xdr:col>
      <xdr:colOff>95250</xdr:colOff>
      <xdr:row>41</xdr:row>
      <xdr:rowOff>11906</xdr:rowOff>
    </xdr:from>
    <xdr:to>
      <xdr:col>19</xdr:col>
      <xdr:colOff>190501</xdr:colOff>
      <xdr:row>45</xdr:row>
      <xdr:rowOff>41672</xdr:rowOff>
    </xdr:to>
    <xdr:cxnSp macro="">
      <xdr:nvCxnSpPr>
        <xdr:cNvPr id="150" name="N1Arrow" hidden="1">
          <a:extLst>
            <a:ext uri="{FF2B5EF4-FFF2-40B4-BE49-F238E27FC236}">
              <a16:creationId xmlns:a16="http://schemas.microsoft.com/office/drawing/2014/main" id="{00000000-0008-0000-0600-000096000000}"/>
            </a:ext>
          </a:extLst>
        </xdr:cNvPr>
        <xdr:cNvCxnSpPr>
          <a:endCxn id="31" idx="1"/>
        </xdr:cNvCxnSpPr>
      </xdr:nvCxnSpPr>
      <xdr:spPr>
        <a:xfrm rot="16200000" flipH="1">
          <a:off x="3390305" y="7968257"/>
          <a:ext cx="791766" cy="500064"/>
        </a:xfrm>
        <a:prstGeom prst="bentConnector2">
          <a:avLst/>
        </a:prstGeom>
        <a:ln>
          <a:solidFill>
            <a:schemeClr val="bg1">
              <a:lumMod val="65000"/>
            </a:schemeClr>
          </a:solidFill>
          <a:prstDash val="lgDash"/>
          <a:miter lim="800000"/>
          <a:headEnd type="ova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83345</xdr:colOff>
      <xdr:row>16</xdr:row>
      <xdr:rowOff>107157</xdr:rowOff>
    </xdr:from>
    <xdr:to>
      <xdr:col>46</xdr:col>
      <xdr:colOff>95251</xdr:colOff>
      <xdr:row>19</xdr:row>
      <xdr:rowOff>142874</xdr:rowOff>
    </xdr:to>
    <xdr:cxnSp macro="">
      <xdr:nvCxnSpPr>
        <xdr:cNvPr id="89" name="N5Arrow" hidden="1">
          <a:extLst>
            <a:ext uri="{FF2B5EF4-FFF2-40B4-BE49-F238E27FC236}">
              <a16:creationId xmlns:a16="http://schemas.microsoft.com/office/drawing/2014/main" id="{00000000-0008-0000-0600-000059000000}"/>
            </a:ext>
          </a:extLst>
        </xdr:cNvPr>
        <xdr:cNvCxnSpPr>
          <a:stCxn id="84" idx="0"/>
          <a:endCxn id="82" idx="3"/>
        </xdr:cNvCxnSpPr>
      </xdr:nvCxnSpPr>
      <xdr:spPr>
        <a:xfrm rot="16200000" flipV="1">
          <a:off x="8590361" y="2946797"/>
          <a:ext cx="607217" cy="1023938"/>
        </a:xfrm>
        <a:prstGeom prst="bentConnector2">
          <a:avLst/>
        </a:prstGeom>
        <a:ln>
          <a:solidFill>
            <a:schemeClr val="bg1">
              <a:lumMod val="65000"/>
            </a:schemeClr>
          </a:solidFill>
          <a:prstDash val="lgDash"/>
          <a:headEnd type="ova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0</xdr:colOff>
      <xdr:row>22</xdr:row>
      <xdr:rowOff>77390</xdr:rowOff>
    </xdr:from>
    <xdr:to>
      <xdr:col>32</xdr:col>
      <xdr:colOff>104775</xdr:colOff>
      <xdr:row>25</xdr:row>
      <xdr:rowOff>142874</xdr:rowOff>
    </xdr:to>
    <xdr:cxnSp macro="">
      <xdr:nvCxnSpPr>
        <xdr:cNvPr id="43" name="N3Arrow" hidden="1">
          <a:extLst>
            <a:ext uri="{FF2B5EF4-FFF2-40B4-BE49-F238E27FC236}">
              <a16:creationId xmlns:a16="http://schemas.microsoft.com/office/drawing/2014/main" id="{00000000-0008-0000-0600-00002B000000}"/>
            </a:ext>
          </a:extLst>
        </xdr:cNvPr>
        <xdr:cNvCxnSpPr>
          <a:stCxn id="79" idx="0"/>
          <a:endCxn id="80" idx="3"/>
        </xdr:cNvCxnSpPr>
      </xdr:nvCxnSpPr>
      <xdr:spPr>
        <a:xfrm rot="16200000" flipV="1">
          <a:off x="5907286" y="4230885"/>
          <a:ext cx="636984" cy="711994"/>
        </a:xfrm>
        <a:prstGeom prst="bentConnector2">
          <a:avLst/>
        </a:prstGeom>
        <a:ln>
          <a:solidFill>
            <a:schemeClr val="bg1">
              <a:lumMod val="65000"/>
            </a:schemeClr>
          </a:solidFill>
          <a:prstDash val="lgDash"/>
          <a:headEnd type="ova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83342</xdr:colOff>
      <xdr:row>32</xdr:row>
      <xdr:rowOff>11906</xdr:rowOff>
    </xdr:from>
    <xdr:to>
      <xdr:col>40</xdr:col>
      <xdr:colOff>95251</xdr:colOff>
      <xdr:row>37</xdr:row>
      <xdr:rowOff>160734</xdr:rowOff>
    </xdr:to>
    <xdr:cxnSp macro="">
      <xdr:nvCxnSpPr>
        <xdr:cNvPr id="63" name="N4Arrow" hidden="1">
          <a:extLst>
            <a:ext uri="{FF2B5EF4-FFF2-40B4-BE49-F238E27FC236}">
              <a16:creationId xmlns:a16="http://schemas.microsoft.com/office/drawing/2014/main" id="{00000000-0008-0000-0600-00003F000000}"/>
            </a:ext>
          </a:extLst>
        </xdr:cNvPr>
        <xdr:cNvCxnSpPr>
          <a:endCxn id="81" idx="1"/>
        </xdr:cNvCxnSpPr>
      </xdr:nvCxnSpPr>
      <xdr:spPr>
        <a:xfrm rot="16200000" flipH="1">
          <a:off x="7432477" y="6450209"/>
          <a:ext cx="1101328" cy="416721"/>
        </a:xfrm>
        <a:prstGeom prst="bentConnector2">
          <a:avLst/>
        </a:prstGeom>
        <a:ln>
          <a:solidFill>
            <a:schemeClr val="bg1">
              <a:lumMod val="65000"/>
            </a:schemeClr>
          </a:solidFill>
          <a:prstDash val="lgDash"/>
          <a:headEnd type="ova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52</xdr:col>
      <xdr:colOff>173039</xdr:colOff>
      <xdr:row>26</xdr:row>
      <xdr:rowOff>30161</xdr:rowOff>
    </xdr:from>
    <xdr:to>
      <xdr:col>55</xdr:col>
      <xdr:colOff>142873</xdr:colOff>
      <xdr:row>32</xdr:row>
      <xdr:rowOff>95251</xdr:rowOff>
    </xdr:to>
    <xdr:cxnSp macro="">
      <xdr:nvCxnSpPr>
        <xdr:cNvPr id="144" name="N6Arrow" hidden="1">
          <a:extLst>
            <a:ext uri="{FF2B5EF4-FFF2-40B4-BE49-F238E27FC236}">
              <a16:creationId xmlns:a16="http://schemas.microsoft.com/office/drawing/2014/main" id="{00000000-0008-0000-0600-000090000000}"/>
            </a:ext>
          </a:extLst>
        </xdr:cNvPr>
        <xdr:cNvCxnSpPr>
          <a:endCxn id="86" idx="1"/>
        </xdr:cNvCxnSpPr>
      </xdr:nvCxnSpPr>
      <xdr:spPr>
        <a:xfrm rot="16200000" flipH="1">
          <a:off x="10382646" y="5298679"/>
          <a:ext cx="1208090" cy="577053"/>
        </a:xfrm>
        <a:prstGeom prst="bentConnector2">
          <a:avLst/>
        </a:prstGeom>
        <a:ln>
          <a:solidFill>
            <a:schemeClr val="bg1">
              <a:lumMod val="65000"/>
            </a:schemeClr>
          </a:solidFill>
          <a:prstDash val="lgDash"/>
          <a:headEnd type="ova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66</xdr:col>
      <xdr:colOff>133348</xdr:colOff>
      <xdr:row>6</xdr:row>
      <xdr:rowOff>101204</xdr:rowOff>
    </xdr:from>
    <xdr:to>
      <xdr:col>74</xdr:col>
      <xdr:colOff>95250</xdr:colOff>
      <xdr:row>7</xdr:row>
      <xdr:rowOff>66674</xdr:rowOff>
    </xdr:to>
    <xdr:cxnSp macro="">
      <xdr:nvCxnSpPr>
        <xdr:cNvPr id="112" name="N9Arrow" hidden="1">
          <a:extLst>
            <a:ext uri="{FF2B5EF4-FFF2-40B4-BE49-F238E27FC236}">
              <a16:creationId xmlns:a16="http://schemas.microsoft.com/office/drawing/2014/main" id="{00000000-0008-0000-0600-000070000000}"/>
            </a:ext>
          </a:extLst>
        </xdr:cNvPr>
        <xdr:cNvCxnSpPr>
          <a:stCxn id="93" idx="0"/>
          <a:endCxn id="90" idx="3"/>
        </xdr:cNvCxnSpPr>
      </xdr:nvCxnSpPr>
      <xdr:spPr>
        <a:xfrm rot="16200000" flipV="1">
          <a:off x="14204752" y="531613"/>
          <a:ext cx="155970" cy="1581152"/>
        </a:xfrm>
        <a:prstGeom prst="bentConnector2">
          <a:avLst/>
        </a:prstGeom>
        <a:ln>
          <a:solidFill>
            <a:schemeClr val="bg1">
              <a:lumMod val="65000"/>
            </a:schemeClr>
          </a:solidFill>
          <a:prstDash val="lgDash"/>
          <a:headEnd type="ova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95252</xdr:colOff>
      <xdr:row>26</xdr:row>
      <xdr:rowOff>142875</xdr:rowOff>
    </xdr:from>
    <xdr:to>
      <xdr:col>25</xdr:col>
      <xdr:colOff>95252</xdr:colOff>
      <xdr:row>28</xdr:row>
      <xdr:rowOff>142874</xdr:rowOff>
    </xdr:to>
    <xdr:cxnSp macro="">
      <xdr:nvCxnSpPr>
        <xdr:cNvPr id="106" name="N2Arrow" hidden="1">
          <a:extLst>
            <a:ext uri="{FF2B5EF4-FFF2-40B4-BE49-F238E27FC236}">
              <a16:creationId xmlns:a16="http://schemas.microsoft.com/office/drawing/2014/main" id="{00000000-0008-0000-0600-00006A000000}"/>
            </a:ext>
          </a:extLst>
        </xdr:cNvPr>
        <xdr:cNvCxnSpPr>
          <a:stCxn id="77" idx="0"/>
          <a:endCxn id="78" idx="3"/>
        </xdr:cNvCxnSpPr>
      </xdr:nvCxnSpPr>
      <xdr:spPr>
        <a:xfrm rot="16200000" flipV="1">
          <a:off x="4357690" y="4679156"/>
          <a:ext cx="380999" cy="1214437"/>
        </a:xfrm>
        <a:prstGeom prst="bentConnector2">
          <a:avLst/>
        </a:prstGeom>
        <a:ln>
          <a:solidFill>
            <a:schemeClr val="bg1">
              <a:lumMod val="65000"/>
            </a:schemeClr>
          </a:solidFill>
          <a:prstDash val="lgDash"/>
          <a:headEnd type="ova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56</xdr:col>
      <xdr:colOff>166689</xdr:colOff>
      <xdr:row>11</xdr:row>
      <xdr:rowOff>59531</xdr:rowOff>
    </xdr:from>
    <xdr:to>
      <xdr:col>60</xdr:col>
      <xdr:colOff>95251</xdr:colOff>
      <xdr:row>13</xdr:row>
      <xdr:rowOff>142874</xdr:rowOff>
    </xdr:to>
    <xdr:cxnSp macro="">
      <xdr:nvCxnSpPr>
        <xdr:cNvPr id="107" name="N7Arrow" hidden="1">
          <a:extLst>
            <a:ext uri="{FF2B5EF4-FFF2-40B4-BE49-F238E27FC236}">
              <a16:creationId xmlns:a16="http://schemas.microsoft.com/office/drawing/2014/main" id="{00000000-0008-0000-0600-00006B000000}"/>
            </a:ext>
          </a:extLst>
        </xdr:cNvPr>
        <xdr:cNvCxnSpPr>
          <a:stCxn id="91" idx="0"/>
          <a:endCxn id="87" idx="3"/>
        </xdr:cNvCxnSpPr>
      </xdr:nvCxnSpPr>
      <xdr:spPr>
        <a:xfrm rot="16200000" flipV="1">
          <a:off x="11638361" y="2018109"/>
          <a:ext cx="464343" cy="738187"/>
        </a:xfrm>
        <a:prstGeom prst="bentConnector2">
          <a:avLst/>
        </a:prstGeom>
        <a:ln>
          <a:solidFill>
            <a:schemeClr val="bg1">
              <a:lumMod val="65000"/>
            </a:schemeClr>
          </a:solidFill>
          <a:prstDash val="lgDash"/>
          <a:headEnd type="oval"/>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79</xdr:col>
          <xdr:colOff>38100</xdr:colOff>
          <xdr:row>11</xdr:row>
          <xdr:rowOff>180975</xdr:rowOff>
        </xdr:from>
        <xdr:to>
          <xdr:col>80</xdr:col>
          <xdr:colOff>619125</xdr:colOff>
          <xdr:row>14</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Transparent Background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38100</xdr:colOff>
          <xdr:row>15</xdr:row>
          <xdr:rowOff>9525</xdr:rowOff>
        </xdr:from>
        <xdr:to>
          <xdr:col>80</xdr:col>
          <xdr:colOff>619125</xdr:colOff>
          <xdr:row>17</xdr:row>
          <xdr:rowOff>133350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White</a:t>
              </a:r>
            </a:p>
            <a:p>
              <a:pPr algn="ctr" rtl="0">
                <a:defRPr sz="1000"/>
              </a:pPr>
              <a:r>
                <a:rPr lang="en-US" sz="1100" b="0" i="0" u="none" strike="noStrike" baseline="0">
                  <a:solidFill>
                    <a:srgbClr val="000000"/>
                  </a:solidFill>
                  <a:latin typeface="Calibri"/>
                  <a:ea typeface="Calibri"/>
                  <a:cs typeface="Calibri"/>
                </a:rPr>
                <a:t>Background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38100</xdr:colOff>
          <xdr:row>20</xdr:row>
          <xdr:rowOff>9525</xdr:rowOff>
        </xdr:from>
        <xdr:to>
          <xdr:col>80</xdr:col>
          <xdr:colOff>619125</xdr:colOff>
          <xdr:row>22</xdr:row>
          <xdr:rowOff>133350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7D092239-E4DF-B97D-BF74-57DE3C30585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Image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304799</xdr:colOff>
      <xdr:row>40</xdr:row>
      <xdr:rowOff>133349</xdr:rowOff>
    </xdr:from>
    <xdr:ext cx="2143126" cy="387286"/>
    <xdr:sp macro="" textlink="'Project Event Tree Input'!A108">
      <xdr:nvSpPr>
        <xdr:cNvPr id="58" name="CompTextBox1">
          <a:extLst>
            <a:ext uri="{FF2B5EF4-FFF2-40B4-BE49-F238E27FC236}">
              <a16:creationId xmlns:a16="http://schemas.microsoft.com/office/drawing/2014/main" id="{00000000-0008-0000-0800-00003A000000}"/>
            </a:ext>
          </a:extLst>
        </xdr:cNvPr>
        <xdr:cNvSpPr txBox="1"/>
      </xdr:nvSpPr>
      <xdr:spPr>
        <a:xfrm>
          <a:off x="304799" y="7753349"/>
          <a:ext cx="2143126" cy="387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91440" rIns="91440" rtlCol="0" anchor="t">
          <a:spAutoFit/>
        </a:bodyPr>
        <a:lstStyle/>
        <a:p>
          <a:pPr marL="0" indent="0">
            <a:spcAft>
              <a:spcPts val="300"/>
            </a:spcAft>
            <a:buFont typeface="Arial" panose="020B0604020202020204" pitchFamily="34" charset="0"/>
            <a:buNone/>
          </a:pPr>
          <a:fld id="{14BCCDDA-CBF6-4BB1-87E4-F89C27F83EEC}" type="TxLink">
            <a:rPr lang="en-US" sz="1000" b="0" i="0" u="none" strike="noStrike" baseline="0">
              <a:ln>
                <a:noFill/>
              </a:ln>
              <a:solidFill>
                <a:srgbClr val="0070C0"/>
              </a:solidFill>
              <a:latin typeface="Arial"/>
              <a:cs typeface="Arial"/>
            </a:rPr>
            <a:pPr marL="0" indent="0">
              <a:spcAft>
                <a:spcPts val="300"/>
              </a:spcAft>
              <a:buFont typeface="Arial" panose="020B0604020202020204" pitchFamily="34" charset="0"/>
              <a:buNone/>
            </a:pPr>
            <a:t>Composite hazard contains the following scenario weights:</a:t>
          </a:fld>
          <a:endParaRPr lang="en-US" baseline="0">
            <a:ln>
              <a:noFill/>
            </a:ln>
            <a:solidFill>
              <a:srgbClr val="0070C0"/>
            </a:solidFill>
            <a:latin typeface="Arial" panose="020B0604020202020204" pitchFamily="34" charset="0"/>
            <a:cs typeface="Arial" panose="020B0604020202020204" pitchFamily="34" charset="0"/>
          </a:endParaRPr>
        </a:p>
      </xdr:txBody>
    </xdr:sp>
    <xdr:clientData/>
  </xdr:oneCellAnchor>
  <xdr:twoCellAnchor editAs="oneCell">
    <xdr:from>
      <xdr:col>36</xdr:col>
      <xdr:colOff>2384</xdr:colOff>
      <xdr:row>36</xdr:row>
      <xdr:rowOff>59530</xdr:rowOff>
    </xdr:from>
    <xdr:to>
      <xdr:col>36</xdr:col>
      <xdr:colOff>222959</xdr:colOff>
      <xdr:row>37</xdr:row>
      <xdr:rowOff>134206</xdr:rowOff>
    </xdr:to>
    <xdr:sp macro="" textlink="">
      <xdr:nvSpPr>
        <xdr:cNvPr id="1324" name="Isosceles Triangle 1323">
          <a:extLst>
            <a:ext uri="{FF2B5EF4-FFF2-40B4-BE49-F238E27FC236}">
              <a16:creationId xmlns:a16="http://schemas.microsoft.com/office/drawing/2014/main" id="{00000000-0008-0000-0800-00002C050000}"/>
            </a:ext>
          </a:extLst>
        </xdr:cNvPr>
        <xdr:cNvSpPr/>
      </xdr:nvSpPr>
      <xdr:spPr>
        <a:xfrm rot="16200000">
          <a:off x="9238384" y="4082330"/>
          <a:ext cx="265176" cy="220575"/>
        </a:xfrm>
        <a:prstGeom prst="triangle">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2384</xdr:colOff>
      <xdr:row>41</xdr:row>
      <xdr:rowOff>59529</xdr:rowOff>
    </xdr:from>
    <xdr:to>
      <xdr:col>36</xdr:col>
      <xdr:colOff>222959</xdr:colOff>
      <xdr:row>42</xdr:row>
      <xdr:rowOff>134205</xdr:rowOff>
    </xdr:to>
    <xdr:sp macro="" textlink="">
      <xdr:nvSpPr>
        <xdr:cNvPr id="1325" name="Isosceles Triangle 1324">
          <a:extLst>
            <a:ext uri="{FF2B5EF4-FFF2-40B4-BE49-F238E27FC236}">
              <a16:creationId xmlns:a16="http://schemas.microsoft.com/office/drawing/2014/main" id="{00000000-0008-0000-0800-00002D050000}"/>
            </a:ext>
          </a:extLst>
        </xdr:cNvPr>
        <xdr:cNvSpPr/>
      </xdr:nvSpPr>
      <xdr:spPr>
        <a:xfrm rot="16200000">
          <a:off x="9238384" y="5034829"/>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2386</xdr:colOff>
      <xdr:row>46</xdr:row>
      <xdr:rowOff>59528</xdr:rowOff>
    </xdr:from>
    <xdr:to>
      <xdr:col>36</xdr:col>
      <xdr:colOff>222961</xdr:colOff>
      <xdr:row>47</xdr:row>
      <xdr:rowOff>134204</xdr:rowOff>
    </xdr:to>
    <xdr:sp macro="" textlink="">
      <xdr:nvSpPr>
        <xdr:cNvPr id="1326" name="Isosceles Triangle 1325">
          <a:extLst>
            <a:ext uri="{FF2B5EF4-FFF2-40B4-BE49-F238E27FC236}">
              <a16:creationId xmlns:a16="http://schemas.microsoft.com/office/drawing/2014/main" id="{00000000-0008-0000-0800-00002E050000}"/>
            </a:ext>
          </a:extLst>
        </xdr:cNvPr>
        <xdr:cNvSpPr/>
      </xdr:nvSpPr>
      <xdr:spPr>
        <a:xfrm rot="16200000">
          <a:off x="9238386" y="5987328"/>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2388</xdr:colOff>
      <xdr:row>51</xdr:row>
      <xdr:rowOff>59528</xdr:rowOff>
    </xdr:from>
    <xdr:to>
      <xdr:col>36</xdr:col>
      <xdr:colOff>222963</xdr:colOff>
      <xdr:row>52</xdr:row>
      <xdr:rowOff>134204</xdr:rowOff>
    </xdr:to>
    <xdr:sp macro="" textlink="">
      <xdr:nvSpPr>
        <xdr:cNvPr id="1327" name="Isosceles Triangle 1326" hidden="1">
          <a:extLst>
            <a:ext uri="{FF2B5EF4-FFF2-40B4-BE49-F238E27FC236}">
              <a16:creationId xmlns:a16="http://schemas.microsoft.com/office/drawing/2014/main" id="{00000000-0008-0000-0800-00002F050000}"/>
            </a:ext>
          </a:extLst>
        </xdr:cNvPr>
        <xdr:cNvSpPr/>
      </xdr:nvSpPr>
      <xdr:spPr>
        <a:xfrm rot="16200000">
          <a:off x="9238388" y="6939828"/>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2389</xdr:colOff>
      <xdr:row>56</xdr:row>
      <xdr:rowOff>59529</xdr:rowOff>
    </xdr:from>
    <xdr:to>
      <xdr:col>36</xdr:col>
      <xdr:colOff>222964</xdr:colOff>
      <xdr:row>57</xdr:row>
      <xdr:rowOff>134205</xdr:rowOff>
    </xdr:to>
    <xdr:sp macro="" textlink="">
      <xdr:nvSpPr>
        <xdr:cNvPr id="1328" name="Isosceles Triangle 1327" hidden="1">
          <a:extLst>
            <a:ext uri="{FF2B5EF4-FFF2-40B4-BE49-F238E27FC236}">
              <a16:creationId xmlns:a16="http://schemas.microsoft.com/office/drawing/2014/main" id="{00000000-0008-0000-0800-000030050000}"/>
            </a:ext>
          </a:extLst>
        </xdr:cNvPr>
        <xdr:cNvSpPr/>
      </xdr:nvSpPr>
      <xdr:spPr>
        <a:xfrm rot="16200000">
          <a:off x="9238389" y="7892329"/>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2391</xdr:colOff>
      <xdr:row>61</xdr:row>
      <xdr:rowOff>59529</xdr:rowOff>
    </xdr:from>
    <xdr:to>
      <xdr:col>36</xdr:col>
      <xdr:colOff>222966</xdr:colOff>
      <xdr:row>62</xdr:row>
      <xdr:rowOff>134205</xdr:rowOff>
    </xdr:to>
    <xdr:sp macro="" textlink="">
      <xdr:nvSpPr>
        <xdr:cNvPr id="1329" name="Isosceles Triangle 1328" hidden="1">
          <a:extLst>
            <a:ext uri="{FF2B5EF4-FFF2-40B4-BE49-F238E27FC236}">
              <a16:creationId xmlns:a16="http://schemas.microsoft.com/office/drawing/2014/main" id="{00000000-0008-0000-0800-000031050000}"/>
            </a:ext>
          </a:extLst>
        </xdr:cNvPr>
        <xdr:cNvSpPr/>
      </xdr:nvSpPr>
      <xdr:spPr>
        <a:xfrm rot="16200000">
          <a:off x="9238391" y="8844829"/>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2393</xdr:colOff>
      <xdr:row>66</xdr:row>
      <xdr:rowOff>59529</xdr:rowOff>
    </xdr:from>
    <xdr:to>
      <xdr:col>36</xdr:col>
      <xdr:colOff>222968</xdr:colOff>
      <xdr:row>67</xdr:row>
      <xdr:rowOff>134205</xdr:rowOff>
    </xdr:to>
    <xdr:sp macro="" textlink="">
      <xdr:nvSpPr>
        <xdr:cNvPr id="1330" name="Isosceles Triangle 1329" hidden="1">
          <a:extLst>
            <a:ext uri="{FF2B5EF4-FFF2-40B4-BE49-F238E27FC236}">
              <a16:creationId xmlns:a16="http://schemas.microsoft.com/office/drawing/2014/main" id="{00000000-0008-0000-0800-000032050000}"/>
            </a:ext>
          </a:extLst>
        </xdr:cNvPr>
        <xdr:cNvSpPr/>
      </xdr:nvSpPr>
      <xdr:spPr>
        <a:xfrm rot="16200000">
          <a:off x="9238393" y="9797329"/>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2395</xdr:colOff>
      <xdr:row>71</xdr:row>
      <xdr:rowOff>59529</xdr:rowOff>
    </xdr:from>
    <xdr:to>
      <xdr:col>36</xdr:col>
      <xdr:colOff>222970</xdr:colOff>
      <xdr:row>72</xdr:row>
      <xdr:rowOff>134205</xdr:rowOff>
    </xdr:to>
    <xdr:sp macro="" textlink="">
      <xdr:nvSpPr>
        <xdr:cNvPr id="1331" name="Isosceles Triangle 1330" hidden="1">
          <a:extLst>
            <a:ext uri="{FF2B5EF4-FFF2-40B4-BE49-F238E27FC236}">
              <a16:creationId xmlns:a16="http://schemas.microsoft.com/office/drawing/2014/main" id="{00000000-0008-0000-0800-000033050000}"/>
            </a:ext>
          </a:extLst>
        </xdr:cNvPr>
        <xdr:cNvSpPr/>
      </xdr:nvSpPr>
      <xdr:spPr>
        <a:xfrm rot="16200000">
          <a:off x="9238395" y="10749829"/>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2397</xdr:colOff>
      <xdr:row>76</xdr:row>
      <xdr:rowOff>59529</xdr:rowOff>
    </xdr:from>
    <xdr:to>
      <xdr:col>36</xdr:col>
      <xdr:colOff>222972</xdr:colOff>
      <xdr:row>77</xdr:row>
      <xdr:rowOff>134205</xdr:rowOff>
    </xdr:to>
    <xdr:sp macro="" textlink="">
      <xdr:nvSpPr>
        <xdr:cNvPr id="1332" name="Isosceles Triangle 1331" hidden="1">
          <a:extLst>
            <a:ext uri="{FF2B5EF4-FFF2-40B4-BE49-F238E27FC236}">
              <a16:creationId xmlns:a16="http://schemas.microsoft.com/office/drawing/2014/main" id="{00000000-0008-0000-0800-000034050000}"/>
            </a:ext>
          </a:extLst>
        </xdr:cNvPr>
        <xdr:cNvSpPr/>
      </xdr:nvSpPr>
      <xdr:spPr>
        <a:xfrm rot="16200000">
          <a:off x="9238397" y="11702329"/>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2398</xdr:colOff>
      <xdr:row>81</xdr:row>
      <xdr:rowOff>59528</xdr:rowOff>
    </xdr:from>
    <xdr:to>
      <xdr:col>36</xdr:col>
      <xdr:colOff>222973</xdr:colOff>
      <xdr:row>82</xdr:row>
      <xdr:rowOff>134204</xdr:rowOff>
    </xdr:to>
    <xdr:sp macro="" textlink="">
      <xdr:nvSpPr>
        <xdr:cNvPr id="1333" name="Isosceles Triangle 1332" hidden="1">
          <a:extLst>
            <a:ext uri="{FF2B5EF4-FFF2-40B4-BE49-F238E27FC236}">
              <a16:creationId xmlns:a16="http://schemas.microsoft.com/office/drawing/2014/main" id="{00000000-0008-0000-0800-000035050000}"/>
            </a:ext>
          </a:extLst>
        </xdr:cNvPr>
        <xdr:cNvSpPr/>
      </xdr:nvSpPr>
      <xdr:spPr>
        <a:xfrm rot="16200000">
          <a:off x="9238398" y="12654828"/>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2399</xdr:colOff>
      <xdr:row>86</xdr:row>
      <xdr:rowOff>59528</xdr:rowOff>
    </xdr:from>
    <xdr:to>
      <xdr:col>36</xdr:col>
      <xdr:colOff>222974</xdr:colOff>
      <xdr:row>87</xdr:row>
      <xdr:rowOff>134204</xdr:rowOff>
    </xdr:to>
    <xdr:sp macro="" textlink="">
      <xdr:nvSpPr>
        <xdr:cNvPr id="1334" name="Isosceles Triangle 1333" hidden="1">
          <a:extLst>
            <a:ext uri="{FF2B5EF4-FFF2-40B4-BE49-F238E27FC236}">
              <a16:creationId xmlns:a16="http://schemas.microsoft.com/office/drawing/2014/main" id="{00000000-0008-0000-0800-000036050000}"/>
            </a:ext>
          </a:extLst>
        </xdr:cNvPr>
        <xdr:cNvSpPr/>
      </xdr:nvSpPr>
      <xdr:spPr>
        <a:xfrm rot="16200000">
          <a:off x="9238399" y="13607328"/>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2385</xdr:colOff>
      <xdr:row>36</xdr:row>
      <xdr:rowOff>59530</xdr:rowOff>
    </xdr:from>
    <xdr:to>
      <xdr:col>43</xdr:col>
      <xdr:colOff>222960</xdr:colOff>
      <xdr:row>37</xdr:row>
      <xdr:rowOff>134206</xdr:rowOff>
    </xdr:to>
    <xdr:sp macro="" textlink="">
      <xdr:nvSpPr>
        <xdr:cNvPr id="1346" name="Isosceles Triangle 1334" hidden="1">
          <a:extLst>
            <a:ext uri="{FF2B5EF4-FFF2-40B4-BE49-F238E27FC236}">
              <a16:creationId xmlns:a16="http://schemas.microsoft.com/office/drawing/2014/main" id="{00000000-0008-0000-0800-000042050000}"/>
            </a:ext>
          </a:extLst>
        </xdr:cNvPr>
        <xdr:cNvSpPr/>
      </xdr:nvSpPr>
      <xdr:spPr>
        <a:xfrm rot="16200000">
          <a:off x="11038610" y="4082330"/>
          <a:ext cx="265176" cy="220575"/>
        </a:xfrm>
        <a:prstGeom prst="triangle">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2385</xdr:colOff>
      <xdr:row>41</xdr:row>
      <xdr:rowOff>59529</xdr:rowOff>
    </xdr:from>
    <xdr:to>
      <xdr:col>43</xdr:col>
      <xdr:colOff>222960</xdr:colOff>
      <xdr:row>42</xdr:row>
      <xdr:rowOff>134205</xdr:rowOff>
    </xdr:to>
    <xdr:sp macro="" textlink="">
      <xdr:nvSpPr>
        <xdr:cNvPr id="1347" name="Isosceles Triangle 1335" hidden="1">
          <a:extLst>
            <a:ext uri="{FF2B5EF4-FFF2-40B4-BE49-F238E27FC236}">
              <a16:creationId xmlns:a16="http://schemas.microsoft.com/office/drawing/2014/main" id="{00000000-0008-0000-0800-000043050000}"/>
            </a:ext>
          </a:extLst>
        </xdr:cNvPr>
        <xdr:cNvSpPr/>
      </xdr:nvSpPr>
      <xdr:spPr>
        <a:xfrm rot="16200000">
          <a:off x="11038610" y="5034829"/>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2387</xdr:colOff>
      <xdr:row>46</xdr:row>
      <xdr:rowOff>59528</xdr:rowOff>
    </xdr:from>
    <xdr:to>
      <xdr:col>43</xdr:col>
      <xdr:colOff>222962</xdr:colOff>
      <xdr:row>47</xdr:row>
      <xdr:rowOff>134204</xdr:rowOff>
    </xdr:to>
    <xdr:sp macro="" textlink="">
      <xdr:nvSpPr>
        <xdr:cNvPr id="1348" name="Isosceles Triangle 1336" hidden="1">
          <a:extLst>
            <a:ext uri="{FF2B5EF4-FFF2-40B4-BE49-F238E27FC236}">
              <a16:creationId xmlns:a16="http://schemas.microsoft.com/office/drawing/2014/main" id="{00000000-0008-0000-0800-000044050000}"/>
            </a:ext>
          </a:extLst>
        </xdr:cNvPr>
        <xdr:cNvSpPr/>
      </xdr:nvSpPr>
      <xdr:spPr>
        <a:xfrm rot="16200000">
          <a:off x="11038612" y="5987328"/>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2389</xdr:colOff>
      <xdr:row>51</xdr:row>
      <xdr:rowOff>59528</xdr:rowOff>
    </xdr:from>
    <xdr:to>
      <xdr:col>43</xdr:col>
      <xdr:colOff>222964</xdr:colOff>
      <xdr:row>52</xdr:row>
      <xdr:rowOff>134204</xdr:rowOff>
    </xdr:to>
    <xdr:sp macro="" textlink="">
      <xdr:nvSpPr>
        <xdr:cNvPr id="1349" name="Isosceles Triangle 1337" hidden="1">
          <a:extLst>
            <a:ext uri="{FF2B5EF4-FFF2-40B4-BE49-F238E27FC236}">
              <a16:creationId xmlns:a16="http://schemas.microsoft.com/office/drawing/2014/main" id="{00000000-0008-0000-0800-000045050000}"/>
            </a:ext>
          </a:extLst>
        </xdr:cNvPr>
        <xdr:cNvSpPr/>
      </xdr:nvSpPr>
      <xdr:spPr>
        <a:xfrm rot="16200000">
          <a:off x="11038614" y="6939828"/>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2390</xdr:colOff>
      <xdr:row>56</xdr:row>
      <xdr:rowOff>59529</xdr:rowOff>
    </xdr:from>
    <xdr:to>
      <xdr:col>43</xdr:col>
      <xdr:colOff>222965</xdr:colOff>
      <xdr:row>57</xdr:row>
      <xdr:rowOff>134205</xdr:rowOff>
    </xdr:to>
    <xdr:sp macro="" textlink="">
      <xdr:nvSpPr>
        <xdr:cNvPr id="1350" name="Isosceles Triangle 1338" hidden="1">
          <a:extLst>
            <a:ext uri="{FF2B5EF4-FFF2-40B4-BE49-F238E27FC236}">
              <a16:creationId xmlns:a16="http://schemas.microsoft.com/office/drawing/2014/main" id="{00000000-0008-0000-0800-000046050000}"/>
            </a:ext>
          </a:extLst>
        </xdr:cNvPr>
        <xdr:cNvSpPr/>
      </xdr:nvSpPr>
      <xdr:spPr>
        <a:xfrm rot="16200000">
          <a:off x="11038615" y="7892329"/>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2392</xdr:colOff>
      <xdr:row>61</xdr:row>
      <xdr:rowOff>59529</xdr:rowOff>
    </xdr:from>
    <xdr:to>
      <xdr:col>43</xdr:col>
      <xdr:colOff>222967</xdr:colOff>
      <xdr:row>62</xdr:row>
      <xdr:rowOff>134205</xdr:rowOff>
    </xdr:to>
    <xdr:sp macro="" textlink="">
      <xdr:nvSpPr>
        <xdr:cNvPr id="1351" name="Isosceles Triangle 1339" hidden="1">
          <a:extLst>
            <a:ext uri="{FF2B5EF4-FFF2-40B4-BE49-F238E27FC236}">
              <a16:creationId xmlns:a16="http://schemas.microsoft.com/office/drawing/2014/main" id="{00000000-0008-0000-0800-000047050000}"/>
            </a:ext>
          </a:extLst>
        </xdr:cNvPr>
        <xdr:cNvSpPr/>
      </xdr:nvSpPr>
      <xdr:spPr>
        <a:xfrm rot="16200000">
          <a:off x="11038617" y="8844829"/>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2394</xdr:colOff>
      <xdr:row>66</xdr:row>
      <xdr:rowOff>59529</xdr:rowOff>
    </xdr:from>
    <xdr:to>
      <xdr:col>43</xdr:col>
      <xdr:colOff>222969</xdr:colOff>
      <xdr:row>67</xdr:row>
      <xdr:rowOff>134205</xdr:rowOff>
    </xdr:to>
    <xdr:sp macro="" textlink="">
      <xdr:nvSpPr>
        <xdr:cNvPr id="1352" name="Isosceles Triangle 1340" hidden="1">
          <a:extLst>
            <a:ext uri="{FF2B5EF4-FFF2-40B4-BE49-F238E27FC236}">
              <a16:creationId xmlns:a16="http://schemas.microsoft.com/office/drawing/2014/main" id="{00000000-0008-0000-0800-000048050000}"/>
            </a:ext>
          </a:extLst>
        </xdr:cNvPr>
        <xdr:cNvSpPr/>
      </xdr:nvSpPr>
      <xdr:spPr>
        <a:xfrm rot="16200000">
          <a:off x="11038619" y="9797329"/>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2396</xdr:colOff>
      <xdr:row>71</xdr:row>
      <xdr:rowOff>59529</xdr:rowOff>
    </xdr:from>
    <xdr:to>
      <xdr:col>43</xdr:col>
      <xdr:colOff>222971</xdr:colOff>
      <xdr:row>72</xdr:row>
      <xdr:rowOff>134205</xdr:rowOff>
    </xdr:to>
    <xdr:sp macro="" textlink="">
      <xdr:nvSpPr>
        <xdr:cNvPr id="1353" name="Isosceles Triangle 1341" hidden="1">
          <a:extLst>
            <a:ext uri="{FF2B5EF4-FFF2-40B4-BE49-F238E27FC236}">
              <a16:creationId xmlns:a16="http://schemas.microsoft.com/office/drawing/2014/main" id="{00000000-0008-0000-0800-000049050000}"/>
            </a:ext>
          </a:extLst>
        </xdr:cNvPr>
        <xdr:cNvSpPr/>
      </xdr:nvSpPr>
      <xdr:spPr>
        <a:xfrm rot="16200000">
          <a:off x="11038621" y="10749829"/>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2398</xdr:colOff>
      <xdr:row>76</xdr:row>
      <xdr:rowOff>59529</xdr:rowOff>
    </xdr:from>
    <xdr:to>
      <xdr:col>43</xdr:col>
      <xdr:colOff>222973</xdr:colOff>
      <xdr:row>77</xdr:row>
      <xdr:rowOff>134205</xdr:rowOff>
    </xdr:to>
    <xdr:sp macro="" textlink="">
      <xdr:nvSpPr>
        <xdr:cNvPr id="1354" name="Isosceles Triangle 1342" hidden="1">
          <a:extLst>
            <a:ext uri="{FF2B5EF4-FFF2-40B4-BE49-F238E27FC236}">
              <a16:creationId xmlns:a16="http://schemas.microsoft.com/office/drawing/2014/main" id="{00000000-0008-0000-0800-00004A050000}"/>
            </a:ext>
          </a:extLst>
        </xdr:cNvPr>
        <xdr:cNvSpPr/>
      </xdr:nvSpPr>
      <xdr:spPr>
        <a:xfrm rot="16200000">
          <a:off x="11038623" y="11702329"/>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2399</xdr:colOff>
      <xdr:row>81</xdr:row>
      <xdr:rowOff>59528</xdr:rowOff>
    </xdr:from>
    <xdr:to>
      <xdr:col>43</xdr:col>
      <xdr:colOff>222974</xdr:colOff>
      <xdr:row>82</xdr:row>
      <xdr:rowOff>134204</xdr:rowOff>
    </xdr:to>
    <xdr:sp macro="" textlink="">
      <xdr:nvSpPr>
        <xdr:cNvPr id="1355" name="Isosceles Triangle 1343" hidden="1">
          <a:extLst>
            <a:ext uri="{FF2B5EF4-FFF2-40B4-BE49-F238E27FC236}">
              <a16:creationId xmlns:a16="http://schemas.microsoft.com/office/drawing/2014/main" id="{00000000-0008-0000-0800-00004B050000}"/>
            </a:ext>
          </a:extLst>
        </xdr:cNvPr>
        <xdr:cNvSpPr/>
      </xdr:nvSpPr>
      <xdr:spPr>
        <a:xfrm rot="16200000">
          <a:off x="11038624" y="12654828"/>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2400</xdr:colOff>
      <xdr:row>86</xdr:row>
      <xdr:rowOff>59528</xdr:rowOff>
    </xdr:from>
    <xdr:to>
      <xdr:col>43</xdr:col>
      <xdr:colOff>222975</xdr:colOff>
      <xdr:row>87</xdr:row>
      <xdr:rowOff>134204</xdr:rowOff>
    </xdr:to>
    <xdr:sp macro="" textlink="">
      <xdr:nvSpPr>
        <xdr:cNvPr id="1356" name="Isosceles Triangle 1344" hidden="1">
          <a:extLst>
            <a:ext uri="{FF2B5EF4-FFF2-40B4-BE49-F238E27FC236}">
              <a16:creationId xmlns:a16="http://schemas.microsoft.com/office/drawing/2014/main" id="{00000000-0008-0000-0800-00004C050000}"/>
            </a:ext>
          </a:extLst>
        </xdr:cNvPr>
        <xdr:cNvSpPr/>
      </xdr:nvSpPr>
      <xdr:spPr>
        <a:xfrm rot="16200000">
          <a:off x="11038625" y="13607328"/>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10</xdr:col>
      <xdr:colOff>47626</xdr:colOff>
      <xdr:row>35</xdr:row>
      <xdr:rowOff>150020</xdr:rowOff>
    </xdr:from>
    <xdr:to>
      <xdr:col>11</xdr:col>
      <xdr:colOff>241509</xdr:colOff>
      <xdr:row>38</xdr:row>
      <xdr:rowOff>40472</xdr:rowOff>
    </xdr:to>
    <xdr:sp macro="" textlink="">
      <xdr:nvSpPr>
        <xdr:cNvPr id="1323" name="Cont2" hidden="1">
          <a:extLst>
            <a:ext uri="{FF2B5EF4-FFF2-40B4-BE49-F238E27FC236}">
              <a16:creationId xmlns:a16="http://schemas.microsoft.com/office/drawing/2014/main" id="{00000000-0008-0000-0800-00002B050000}"/>
            </a:ext>
          </a:extLst>
        </xdr:cNvPr>
        <xdr:cNvSpPr/>
      </xdr:nvSpPr>
      <xdr:spPr>
        <a:xfrm>
          <a:off x="2619376" y="3960020"/>
          <a:ext cx="451058" cy="461952"/>
        </a:xfrm>
        <a:prstGeom prst="pie">
          <a:avLst>
            <a:gd name="adj1" fmla="val 19030585"/>
            <a:gd name="adj2" fmla="val 2260575"/>
          </a:avLst>
        </a:prstGeom>
        <a:solidFill>
          <a:srgbClr val="0070C0"/>
        </a:solidFill>
        <a:ln>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98469" tIns="49235" rIns="98469" bIns="49235"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solidFill>
              <a:schemeClr val="tx1"/>
            </a:solidFill>
            <a:latin typeface="Arial" pitchFamily="34" charset="0"/>
            <a:cs typeface="Arial" pitchFamily="34" charset="0"/>
          </a:endParaRPr>
        </a:p>
      </xdr:txBody>
    </xdr:sp>
    <xdr:clientData/>
  </xdr:twoCellAnchor>
  <xdr:twoCellAnchor editAs="oneCell">
    <xdr:from>
      <xdr:col>3</xdr:col>
      <xdr:colOff>133350</xdr:colOff>
      <xdr:row>35</xdr:row>
      <xdr:rowOff>152401</xdr:rowOff>
    </xdr:from>
    <xdr:to>
      <xdr:col>4</xdr:col>
      <xdr:colOff>270083</xdr:colOff>
      <xdr:row>38</xdr:row>
      <xdr:rowOff>42853</xdr:rowOff>
    </xdr:to>
    <xdr:sp macro="" textlink="">
      <xdr:nvSpPr>
        <xdr:cNvPr id="1322" name="Cont1">
          <a:extLst>
            <a:ext uri="{FF2B5EF4-FFF2-40B4-BE49-F238E27FC236}">
              <a16:creationId xmlns:a16="http://schemas.microsoft.com/office/drawing/2014/main" id="{00000000-0008-0000-0800-00002A050000}"/>
            </a:ext>
          </a:extLst>
        </xdr:cNvPr>
        <xdr:cNvSpPr/>
      </xdr:nvSpPr>
      <xdr:spPr>
        <a:xfrm>
          <a:off x="1076325" y="3962401"/>
          <a:ext cx="451058" cy="461952"/>
        </a:xfrm>
        <a:prstGeom prst="pie">
          <a:avLst>
            <a:gd name="adj1" fmla="val 19030585"/>
            <a:gd name="adj2" fmla="val 2260575"/>
          </a:avLst>
        </a:prstGeom>
        <a:solidFill>
          <a:srgbClr val="0070C0"/>
        </a:solidFill>
        <a:ln>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98469" tIns="49235" rIns="98469" bIns="49235"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solidFill>
              <a:schemeClr val="tx1"/>
            </a:solidFill>
            <a:latin typeface="Arial" pitchFamily="34" charset="0"/>
            <a:cs typeface="Arial" pitchFamily="34" charset="0"/>
          </a:endParaRPr>
        </a:p>
      </xdr:txBody>
    </xdr:sp>
    <xdr:clientData/>
  </xdr:twoCellAnchor>
  <xdr:oneCellAnchor>
    <xdr:from>
      <xdr:col>1</xdr:col>
      <xdr:colOff>9525</xdr:colOff>
      <xdr:row>16</xdr:row>
      <xdr:rowOff>0</xdr:rowOff>
    </xdr:from>
    <xdr:ext cx="2143126" cy="2628900"/>
    <xdr:sp macro="" textlink="'Project Event Tree Input'!A109">
      <xdr:nvSpPr>
        <xdr:cNvPr id="57" name="CompNBTextBox2">
          <a:extLst>
            <a:ext uri="{FF2B5EF4-FFF2-40B4-BE49-F238E27FC236}">
              <a16:creationId xmlns:a16="http://schemas.microsoft.com/office/drawing/2014/main" id="{00000000-0008-0000-0800-000039000000}"/>
            </a:ext>
          </a:extLst>
        </xdr:cNvPr>
        <xdr:cNvSpPr txBox="1"/>
      </xdr:nvSpPr>
      <xdr:spPr>
        <a:xfrm>
          <a:off x="323850" y="3048000"/>
          <a:ext cx="2143126" cy="2628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spcAft>
              <a:spcPts val="300"/>
            </a:spcAft>
            <a:buFont typeface="Arial" panose="020B0604020202020204" pitchFamily="34" charset="0"/>
            <a:buNone/>
          </a:pPr>
          <a:fld id="{E57E221F-0ECF-4C58-AD11-2E106A780DD8}" type="TxLink">
            <a:rPr lang="en-US" sz="1000" b="0" i="0" u="none" strike="noStrike" baseline="0">
              <a:ln>
                <a:noFill/>
              </a:ln>
              <a:solidFill>
                <a:srgbClr val="0070C0"/>
              </a:solidFill>
              <a:latin typeface="Arial"/>
              <a:cs typeface="Arial"/>
            </a:rPr>
            <a:pPr marL="0" indent="0">
              <a:spcAft>
                <a:spcPts val="300"/>
              </a:spcAft>
              <a:buFont typeface="Arial" panose="020B0604020202020204" pitchFamily="34" charset="0"/>
              <a:buNone/>
            </a:pPr>
            <a:t>
•  0 Spillway Gates Inoperable:
   0.1225
•  1 Spillway Gate Inoperable:
   0.455
•  2 Spillway Gates Inoperable:
   0.4225</a:t>
          </a:fld>
          <a:endParaRPr lang="en-US" sz="1100" baseline="0">
            <a:ln>
              <a:noFill/>
            </a:ln>
            <a:solidFill>
              <a:srgbClr val="0070C0"/>
            </a:solidFill>
            <a:latin typeface="Arial" panose="020B0604020202020204" pitchFamily="34" charset="0"/>
            <a:cs typeface="Arial" panose="020B0604020202020204" pitchFamily="34" charset="0"/>
          </a:endParaRPr>
        </a:p>
      </xdr:txBody>
    </xdr:sp>
    <xdr:clientData/>
  </xdr:oneCellAnchor>
  <xdr:oneCellAnchor>
    <xdr:from>
      <xdr:col>1</xdr:col>
      <xdr:colOff>9524</xdr:colOff>
      <xdr:row>41</xdr:row>
      <xdr:rowOff>123824</xdr:rowOff>
    </xdr:from>
    <xdr:ext cx="2143126" cy="2638426"/>
    <xdr:sp macro="" textlink="'Project Event Tree Input'!A109">
      <xdr:nvSpPr>
        <xdr:cNvPr id="1390" name="CompTextBox2">
          <a:extLst>
            <a:ext uri="{FF2B5EF4-FFF2-40B4-BE49-F238E27FC236}">
              <a16:creationId xmlns:a16="http://schemas.microsoft.com/office/drawing/2014/main" id="{00000000-0008-0000-0800-00006E050000}"/>
            </a:ext>
          </a:extLst>
        </xdr:cNvPr>
        <xdr:cNvSpPr txBox="1"/>
      </xdr:nvSpPr>
      <xdr:spPr>
        <a:xfrm>
          <a:off x="323849" y="7934324"/>
          <a:ext cx="2143126" cy="2638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91440" rIns="91440" rtlCol="0" anchor="t">
          <a:noAutofit/>
        </a:bodyPr>
        <a:lstStyle/>
        <a:p>
          <a:pPr marL="0" indent="0">
            <a:spcAft>
              <a:spcPts val="300"/>
            </a:spcAft>
            <a:buFont typeface="Arial" panose="020B0604020202020204" pitchFamily="34" charset="0"/>
            <a:buNone/>
          </a:pPr>
          <a:fld id="{3D0196E0-350C-4AE0-AC16-5B3AFBE5C99F}" type="TxLink">
            <a:rPr lang="en-US" sz="1000" b="0" i="0" u="none" strike="noStrike" baseline="0">
              <a:ln>
                <a:noFill/>
              </a:ln>
              <a:solidFill>
                <a:srgbClr val="0070C0"/>
              </a:solidFill>
              <a:latin typeface="Arial"/>
              <a:cs typeface="Arial"/>
            </a:rPr>
            <a:pPr marL="0" indent="0">
              <a:spcAft>
                <a:spcPts val="300"/>
              </a:spcAft>
              <a:buFont typeface="Arial" panose="020B0604020202020204" pitchFamily="34" charset="0"/>
              <a:buNone/>
            </a:pPr>
            <a:t>
•  0 Spillway Gates Inoperable:
   0.1225
•  1 Spillway Gate Inoperable:
   0.455
•  2 Spillway Gates Inoperable:
   0.4225</a:t>
          </a:fld>
          <a:endParaRPr lang="en-US" baseline="0">
            <a:ln>
              <a:noFill/>
            </a:ln>
            <a:solidFill>
              <a:srgbClr val="0070C0"/>
            </a:solidFill>
            <a:latin typeface="Arial" panose="020B0604020202020204" pitchFamily="34" charset="0"/>
            <a:cs typeface="Arial" panose="020B0604020202020204" pitchFamily="34" charset="0"/>
          </a:endParaRPr>
        </a:p>
      </xdr:txBody>
    </xdr:sp>
    <xdr:clientData/>
  </xdr:oneCellAnchor>
  <xdr:twoCellAnchor editAs="oneCell">
    <xdr:from>
      <xdr:col>3</xdr:col>
      <xdr:colOff>133349</xdr:colOff>
      <xdr:row>9</xdr:row>
      <xdr:rowOff>152366</xdr:rowOff>
    </xdr:from>
    <xdr:to>
      <xdr:col>4</xdr:col>
      <xdr:colOff>270082</xdr:colOff>
      <xdr:row>12</xdr:row>
      <xdr:rowOff>42818</xdr:rowOff>
    </xdr:to>
    <xdr:sp macro="" textlink="">
      <xdr:nvSpPr>
        <xdr:cNvPr id="1391" name="NBCont">
          <a:extLst>
            <a:ext uri="{FF2B5EF4-FFF2-40B4-BE49-F238E27FC236}">
              <a16:creationId xmlns:a16="http://schemas.microsoft.com/office/drawing/2014/main" id="{00000000-0008-0000-0800-00006F050000}"/>
            </a:ext>
          </a:extLst>
        </xdr:cNvPr>
        <xdr:cNvSpPr/>
      </xdr:nvSpPr>
      <xdr:spPr>
        <a:xfrm>
          <a:off x="1076324" y="1866866"/>
          <a:ext cx="451058" cy="461952"/>
        </a:xfrm>
        <a:prstGeom prst="pie">
          <a:avLst>
            <a:gd name="adj1" fmla="val 19030585"/>
            <a:gd name="adj2" fmla="val 2260575"/>
          </a:avLst>
        </a:prstGeom>
        <a:solidFill>
          <a:srgbClr val="0070C0"/>
        </a:solidFill>
        <a:ln>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98469" tIns="49235" rIns="98469" bIns="49235"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solidFill>
              <a:schemeClr val="tx1"/>
            </a:solidFill>
            <a:latin typeface="Arial" pitchFamily="34" charset="0"/>
            <a:cs typeface="Arial" pitchFamily="34" charset="0"/>
          </a:endParaRPr>
        </a:p>
      </xdr:txBody>
    </xdr:sp>
    <xdr:clientData/>
  </xdr:twoCellAnchor>
  <xdr:twoCellAnchor editAs="oneCell">
    <xdr:from>
      <xdr:col>7</xdr:col>
      <xdr:colOff>266701</xdr:colOff>
      <xdr:row>10</xdr:row>
      <xdr:rowOff>140493</xdr:rowOff>
    </xdr:from>
    <xdr:to>
      <xdr:col>8</xdr:col>
      <xdr:colOff>50436</xdr:colOff>
      <xdr:row>11</xdr:row>
      <xdr:rowOff>46335</xdr:rowOff>
    </xdr:to>
    <xdr:sp macro="" textlink="">
      <xdr:nvSpPr>
        <xdr:cNvPr id="1392" name="NBOval1">
          <a:extLst>
            <a:ext uri="{FF2B5EF4-FFF2-40B4-BE49-F238E27FC236}">
              <a16:creationId xmlns:a16="http://schemas.microsoft.com/office/drawing/2014/main" id="{00000000-0008-0000-0800-000070050000}"/>
            </a:ext>
          </a:extLst>
        </xdr:cNvPr>
        <xdr:cNvSpPr/>
      </xdr:nvSpPr>
      <xdr:spPr>
        <a:xfrm>
          <a:off x="2466976" y="2045493"/>
          <a:ext cx="98060" cy="9634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209551</xdr:colOff>
      <xdr:row>10</xdr:row>
      <xdr:rowOff>142876</xdr:rowOff>
    </xdr:from>
    <xdr:to>
      <xdr:col>15</xdr:col>
      <xdr:colOff>50436</xdr:colOff>
      <xdr:row>11</xdr:row>
      <xdr:rowOff>48718</xdr:rowOff>
    </xdr:to>
    <xdr:sp macro="" textlink="">
      <xdr:nvSpPr>
        <xdr:cNvPr id="1393" name="NBOval2">
          <a:extLst>
            <a:ext uri="{FF2B5EF4-FFF2-40B4-BE49-F238E27FC236}">
              <a16:creationId xmlns:a16="http://schemas.microsoft.com/office/drawing/2014/main" id="{00000000-0008-0000-0800-000071050000}"/>
            </a:ext>
          </a:extLst>
        </xdr:cNvPr>
        <xdr:cNvSpPr/>
      </xdr:nvSpPr>
      <xdr:spPr>
        <a:xfrm>
          <a:off x="4267201" y="2047876"/>
          <a:ext cx="98060" cy="9634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209552</xdr:colOff>
      <xdr:row>10</xdr:row>
      <xdr:rowOff>142877</xdr:rowOff>
    </xdr:from>
    <xdr:to>
      <xdr:col>22</xdr:col>
      <xdr:colOff>50437</xdr:colOff>
      <xdr:row>11</xdr:row>
      <xdr:rowOff>48719</xdr:rowOff>
    </xdr:to>
    <xdr:sp macro="" textlink="">
      <xdr:nvSpPr>
        <xdr:cNvPr id="1394" name="NBOval3">
          <a:extLst>
            <a:ext uri="{FF2B5EF4-FFF2-40B4-BE49-F238E27FC236}">
              <a16:creationId xmlns:a16="http://schemas.microsoft.com/office/drawing/2014/main" id="{00000000-0008-0000-0800-000072050000}"/>
            </a:ext>
          </a:extLst>
        </xdr:cNvPr>
        <xdr:cNvSpPr/>
      </xdr:nvSpPr>
      <xdr:spPr>
        <a:xfrm>
          <a:off x="6067427" y="2047877"/>
          <a:ext cx="98060" cy="9634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22</xdr:col>
      <xdr:colOff>2382</xdr:colOff>
      <xdr:row>10</xdr:row>
      <xdr:rowOff>59531</xdr:rowOff>
    </xdr:from>
    <xdr:to>
      <xdr:col>22</xdr:col>
      <xdr:colOff>222957</xdr:colOff>
      <xdr:row>11</xdr:row>
      <xdr:rowOff>134207</xdr:rowOff>
    </xdr:to>
    <xdr:sp macro="" textlink="">
      <xdr:nvSpPr>
        <xdr:cNvPr id="1395" name="NBTri1" hidden="1">
          <a:extLst>
            <a:ext uri="{FF2B5EF4-FFF2-40B4-BE49-F238E27FC236}">
              <a16:creationId xmlns:a16="http://schemas.microsoft.com/office/drawing/2014/main" id="{00000000-0008-0000-0800-000073050000}"/>
            </a:ext>
          </a:extLst>
        </xdr:cNvPr>
        <xdr:cNvSpPr/>
      </xdr:nvSpPr>
      <xdr:spPr>
        <a:xfrm rot="16200000">
          <a:off x="6095132" y="1986831"/>
          <a:ext cx="265176" cy="220575"/>
        </a:xfrm>
        <a:prstGeom prst="triangle">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29</xdr:col>
      <xdr:colOff>2384</xdr:colOff>
      <xdr:row>10</xdr:row>
      <xdr:rowOff>59530</xdr:rowOff>
    </xdr:from>
    <xdr:to>
      <xdr:col>29</xdr:col>
      <xdr:colOff>222959</xdr:colOff>
      <xdr:row>11</xdr:row>
      <xdr:rowOff>134206</xdr:rowOff>
    </xdr:to>
    <xdr:sp macro="" textlink="">
      <xdr:nvSpPr>
        <xdr:cNvPr id="1396" name="NBTri2">
          <a:extLst>
            <a:ext uri="{FF2B5EF4-FFF2-40B4-BE49-F238E27FC236}">
              <a16:creationId xmlns:a16="http://schemas.microsoft.com/office/drawing/2014/main" id="{00000000-0008-0000-0800-000074050000}"/>
            </a:ext>
          </a:extLst>
        </xdr:cNvPr>
        <xdr:cNvSpPr/>
      </xdr:nvSpPr>
      <xdr:spPr>
        <a:xfrm rot="16200000">
          <a:off x="7895359" y="1986830"/>
          <a:ext cx="265176" cy="220575"/>
        </a:xfrm>
        <a:prstGeom prst="triangle">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264319</xdr:colOff>
      <xdr:row>36</xdr:row>
      <xdr:rowOff>143670</xdr:rowOff>
    </xdr:from>
    <xdr:to>
      <xdr:col>8</xdr:col>
      <xdr:colOff>51229</xdr:colOff>
      <xdr:row>37</xdr:row>
      <xdr:rowOff>49512</xdr:rowOff>
    </xdr:to>
    <xdr:sp macro="" textlink="">
      <xdr:nvSpPr>
        <xdr:cNvPr id="2" name="Oval 1">
          <a:extLst>
            <a:ext uri="{FF2B5EF4-FFF2-40B4-BE49-F238E27FC236}">
              <a16:creationId xmlns:a16="http://schemas.microsoft.com/office/drawing/2014/main" id="{00000000-0008-0000-0800-000002000000}"/>
            </a:ext>
          </a:extLst>
        </xdr:cNvPr>
        <xdr:cNvSpPr/>
      </xdr:nvSpPr>
      <xdr:spPr>
        <a:xfrm>
          <a:off x="2464594" y="4144170"/>
          <a:ext cx="101235" cy="9634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264319</xdr:colOff>
      <xdr:row>41</xdr:row>
      <xdr:rowOff>142876</xdr:rowOff>
    </xdr:from>
    <xdr:to>
      <xdr:col>8</xdr:col>
      <xdr:colOff>51229</xdr:colOff>
      <xdr:row>42</xdr:row>
      <xdr:rowOff>48718</xdr:rowOff>
    </xdr:to>
    <xdr:sp macro="" textlink="">
      <xdr:nvSpPr>
        <xdr:cNvPr id="3" name="Oval 2" hidden="1">
          <a:extLst>
            <a:ext uri="{FF2B5EF4-FFF2-40B4-BE49-F238E27FC236}">
              <a16:creationId xmlns:a16="http://schemas.microsoft.com/office/drawing/2014/main" id="{00000000-0008-0000-0800-000003000000}"/>
            </a:ext>
          </a:extLst>
        </xdr:cNvPr>
        <xdr:cNvSpPr/>
      </xdr:nvSpPr>
      <xdr:spPr>
        <a:xfrm>
          <a:off x="2464594" y="5095876"/>
          <a:ext cx="101235" cy="9634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264319</xdr:colOff>
      <xdr:row>46</xdr:row>
      <xdr:rowOff>142875</xdr:rowOff>
    </xdr:from>
    <xdr:to>
      <xdr:col>8</xdr:col>
      <xdr:colOff>51229</xdr:colOff>
      <xdr:row>47</xdr:row>
      <xdr:rowOff>48717</xdr:rowOff>
    </xdr:to>
    <xdr:sp macro="" textlink="">
      <xdr:nvSpPr>
        <xdr:cNvPr id="4" name="Oval 3" hidden="1">
          <a:extLst>
            <a:ext uri="{FF2B5EF4-FFF2-40B4-BE49-F238E27FC236}">
              <a16:creationId xmlns:a16="http://schemas.microsoft.com/office/drawing/2014/main" id="{00000000-0008-0000-0800-000004000000}"/>
            </a:ext>
          </a:extLst>
        </xdr:cNvPr>
        <xdr:cNvSpPr/>
      </xdr:nvSpPr>
      <xdr:spPr>
        <a:xfrm>
          <a:off x="2464594" y="6048375"/>
          <a:ext cx="101235" cy="9634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264319</xdr:colOff>
      <xdr:row>51</xdr:row>
      <xdr:rowOff>142874</xdr:rowOff>
    </xdr:from>
    <xdr:to>
      <xdr:col>8</xdr:col>
      <xdr:colOff>51229</xdr:colOff>
      <xdr:row>52</xdr:row>
      <xdr:rowOff>48716</xdr:rowOff>
    </xdr:to>
    <xdr:sp macro="" textlink="">
      <xdr:nvSpPr>
        <xdr:cNvPr id="5" name="Oval 4" hidden="1">
          <a:extLst>
            <a:ext uri="{FF2B5EF4-FFF2-40B4-BE49-F238E27FC236}">
              <a16:creationId xmlns:a16="http://schemas.microsoft.com/office/drawing/2014/main" id="{00000000-0008-0000-0800-000005000000}"/>
            </a:ext>
          </a:extLst>
        </xdr:cNvPr>
        <xdr:cNvSpPr/>
      </xdr:nvSpPr>
      <xdr:spPr>
        <a:xfrm>
          <a:off x="2464594" y="7000874"/>
          <a:ext cx="101235" cy="9634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264318</xdr:colOff>
      <xdr:row>56</xdr:row>
      <xdr:rowOff>142874</xdr:rowOff>
    </xdr:from>
    <xdr:to>
      <xdr:col>8</xdr:col>
      <xdr:colOff>51228</xdr:colOff>
      <xdr:row>57</xdr:row>
      <xdr:rowOff>48716</xdr:rowOff>
    </xdr:to>
    <xdr:sp macro="" textlink="">
      <xdr:nvSpPr>
        <xdr:cNvPr id="6" name="Oval 5" hidden="1">
          <a:extLst>
            <a:ext uri="{FF2B5EF4-FFF2-40B4-BE49-F238E27FC236}">
              <a16:creationId xmlns:a16="http://schemas.microsoft.com/office/drawing/2014/main" id="{00000000-0008-0000-0800-000006000000}"/>
            </a:ext>
          </a:extLst>
        </xdr:cNvPr>
        <xdr:cNvSpPr/>
      </xdr:nvSpPr>
      <xdr:spPr>
        <a:xfrm>
          <a:off x="2464593" y="7953374"/>
          <a:ext cx="101235" cy="9634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264318</xdr:colOff>
      <xdr:row>61</xdr:row>
      <xdr:rowOff>142874</xdr:rowOff>
    </xdr:from>
    <xdr:to>
      <xdr:col>8</xdr:col>
      <xdr:colOff>51228</xdr:colOff>
      <xdr:row>62</xdr:row>
      <xdr:rowOff>48716</xdr:rowOff>
    </xdr:to>
    <xdr:sp macro="" textlink="">
      <xdr:nvSpPr>
        <xdr:cNvPr id="7" name="Oval 6" hidden="1">
          <a:extLst>
            <a:ext uri="{FF2B5EF4-FFF2-40B4-BE49-F238E27FC236}">
              <a16:creationId xmlns:a16="http://schemas.microsoft.com/office/drawing/2014/main" id="{00000000-0008-0000-0800-000007000000}"/>
            </a:ext>
          </a:extLst>
        </xdr:cNvPr>
        <xdr:cNvSpPr/>
      </xdr:nvSpPr>
      <xdr:spPr>
        <a:xfrm>
          <a:off x="2464593" y="8905874"/>
          <a:ext cx="101235" cy="9634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264318</xdr:colOff>
      <xdr:row>66</xdr:row>
      <xdr:rowOff>142874</xdr:rowOff>
    </xdr:from>
    <xdr:to>
      <xdr:col>8</xdr:col>
      <xdr:colOff>51228</xdr:colOff>
      <xdr:row>67</xdr:row>
      <xdr:rowOff>48716</xdr:rowOff>
    </xdr:to>
    <xdr:sp macro="" textlink="">
      <xdr:nvSpPr>
        <xdr:cNvPr id="8" name="Oval 7" hidden="1">
          <a:extLst>
            <a:ext uri="{FF2B5EF4-FFF2-40B4-BE49-F238E27FC236}">
              <a16:creationId xmlns:a16="http://schemas.microsoft.com/office/drawing/2014/main" id="{00000000-0008-0000-0800-000008000000}"/>
            </a:ext>
          </a:extLst>
        </xdr:cNvPr>
        <xdr:cNvSpPr/>
      </xdr:nvSpPr>
      <xdr:spPr>
        <a:xfrm>
          <a:off x="2464593" y="9858374"/>
          <a:ext cx="101235" cy="9634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264318</xdr:colOff>
      <xdr:row>71</xdr:row>
      <xdr:rowOff>142873</xdr:rowOff>
    </xdr:from>
    <xdr:to>
      <xdr:col>8</xdr:col>
      <xdr:colOff>51228</xdr:colOff>
      <xdr:row>72</xdr:row>
      <xdr:rowOff>48715</xdr:rowOff>
    </xdr:to>
    <xdr:sp macro="" textlink="">
      <xdr:nvSpPr>
        <xdr:cNvPr id="9" name="Oval 8" hidden="1">
          <a:extLst>
            <a:ext uri="{FF2B5EF4-FFF2-40B4-BE49-F238E27FC236}">
              <a16:creationId xmlns:a16="http://schemas.microsoft.com/office/drawing/2014/main" id="{00000000-0008-0000-0800-000009000000}"/>
            </a:ext>
          </a:extLst>
        </xdr:cNvPr>
        <xdr:cNvSpPr/>
      </xdr:nvSpPr>
      <xdr:spPr>
        <a:xfrm>
          <a:off x="2464593" y="10810873"/>
          <a:ext cx="101235" cy="9634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264318</xdr:colOff>
      <xdr:row>76</xdr:row>
      <xdr:rowOff>142873</xdr:rowOff>
    </xdr:from>
    <xdr:to>
      <xdr:col>8</xdr:col>
      <xdr:colOff>51228</xdr:colOff>
      <xdr:row>77</xdr:row>
      <xdr:rowOff>48715</xdr:rowOff>
    </xdr:to>
    <xdr:sp macro="" textlink="">
      <xdr:nvSpPr>
        <xdr:cNvPr id="10" name="Oval 9" hidden="1">
          <a:extLst>
            <a:ext uri="{FF2B5EF4-FFF2-40B4-BE49-F238E27FC236}">
              <a16:creationId xmlns:a16="http://schemas.microsoft.com/office/drawing/2014/main" id="{00000000-0008-0000-0800-00000A000000}"/>
            </a:ext>
          </a:extLst>
        </xdr:cNvPr>
        <xdr:cNvSpPr/>
      </xdr:nvSpPr>
      <xdr:spPr>
        <a:xfrm>
          <a:off x="2464593" y="11763373"/>
          <a:ext cx="101235" cy="9634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264318</xdr:colOff>
      <xdr:row>81</xdr:row>
      <xdr:rowOff>142873</xdr:rowOff>
    </xdr:from>
    <xdr:to>
      <xdr:col>8</xdr:col>
      <xdr:colOff>51228</xdr:colOff>
      <xdr:row>82</xdr:row>
      <xdr:rowOff>48715</xdr:rowOff>
    </xdr:to>
    <xdr:sp macro="" textlink="">
      <xdr:nvSpPr>
        <xdr:cNvPr id="11" name="Oval 10" hidden="1">
          <a:extLst>
            <a:ext uri="{FF2B5EF4-FFF2-40B4-BE49-F238E27FC236}">
              <a16:creationId xmlns:a16="http://schemas.microsoft.com/office/drawing/2014/main" id="{00000000-0008-0000-0800-00000B000000}"/>
            </a:ext>
          </a:extLst>
        </xdr:cNvPr>
        <xdr:cNvSpPr/>
      </xdr:nvSpPr>
      <xdr:spPr>
        <a:xfrm>
          <a:off x="2464593" y="12715873"/>
          <a:ext cx="101235" cy="9634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264318</xdr:colOff>
      <xdr:row>86</xdr:row>
      <xdr:rowOff>142872</xdr:rowOff>
    </xdr:from>
    <xdr:to>
      <xdr:col>8</xdr:col>
      <xdr:colOff>51228</xdr:colOff>
      <xdr:row>87</xdr:row>
      <xdr:rowOff>48714</xdr:rowOff>
    </xdr:to>
    <xdr:sp macro="" textlink="">
      <xdr:nvSpPr>
        <xdr:cNvPr id="12" name="Oval 11" hidden="1">
          <a:extLst>
            <a:ext uri="{FF2B5EF4-FFF2-40B4-BE49-F238E27FC236}">
              <a16:creationId xmlns:a16="http://schemas.microsoft.com/office/drawing/2014/main" id="{00000000-0008-0000-0800-00000C000000}"/>
            </a:ext>
          </a:extLst>
        </xdr:cNvPr>
        <xdr:cNvSpPr/>
      </xdr:nvSpPr>
      <xdr:spPr>
        <a:xfrm>
          <a:off x="2464593" y="13668372"/>
          <a:ext cx="101235" cy="9634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208324</xdr:colOff>
      <xdr:row>36</xdr:row>
      <xdr:rowOff>143670</xdr:rowOff>
    </xdr:from>
    <xdr:to>
      <xdr:col>15</xdr:col>
      <xdr:colOff>51174</xdr:colOff>
      <xdr:row>37</xdr:row>
      <xdr:rowOff>49512</xdr:rowOff>
    </xdr:to>
    <xdr:sp macro="" textlink="">
      <xdr:nvSpPr>
        <xdr:cNvPr id="13" name="Oval 12" hidden="1">
          <a:extLst>
            <a:ext uri="{FF2B5EF4-FFF2-40B4-BE49-F238E27FC236}">
              <a16:creationId xmlns:a16="http://schemas.microsoft.com/office/drawing/2014/main" id="{00000000-0008-0000-0800-00000D000000}"/>
            </a:ext>
          </a:extLst>
        </xdr:cNvPr>
        <xdr:cNvSpPr/>
      </xdr:nvSpPr>
      <xdr:spPr>
        <a:xfrm>
          <a:off x="4270308" y="4165337"/>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208324</xdr:colOff>
      <xdr:row>41</xdr:row>
      <xdr:rowOff>142876</xdr:rowOff>
    </xdr:from>
    <xdr:to>
      <xdr:col>15</xdr:col>
      <xdr:colOff>51174</xdr:colOff>
      <xdr:row>42</xdr:row>
      <xdr:rowOff>48718</xdr:rowOff>
    </xdr:to>
    <xdr:sp macro="" textlink="">
      <xdr:nvSpPr>
        <xdr:cNvPr id="14" name="Oval 13" hidden="1">
          <a:extLst>
            <a:ext uri="{FF2B5EF4-FFF2-40B4-BE49-F238E27FC236}">
              <a16:creationId xmlns:a16="http://schemas.microsoft.com/office/drawing/2014/main" id="{00000000-0008-0000-0800-00000E000000}"/>
            </a:ext>
          </a:extLst>
        </xdr:cNvPr>
        <xdr:cNvSpPr/>
      </xdr:nvSpPr>
      <xdr:spPr>
        <a:xfrm>
          <a:off x="4270308" y="5122082"/>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208324</xdr:colOff>
      <xdr:row>46</xdr:row>
      <xdr:rowOff>142875</xdr:rowOff>
    </xdr:from>
    <xdr:to>
      <xdr:col>15</xdr:col>
      <xdr:colOff>51174</xdr:colOff>
      <xdr:row>47</xdr:row>
      <xdr:rowOff>48717</xdr:rowOff>
    </xdr:to>
    <xdr:sp macro="" textlink="">
      <xdr:nvSpPr>
        <xdr:cNvPr id="15" name="Oval 14" hidden="1">
          <a:extLst>
            <a:ext uri="{FF2B5EF4-FFF2-40B4-BE49-F238E27FC236}">
              <a16:creationId xmlns:a16="http://schemas.microsoft.com/office/drawing/2014/main" id="{00000000-0008-0000-0800-00000F000000}"/>
            </a:ext>
          </a:extLst>
        </xdr:cNvPr>
        <xdr:cNvSpPr/>
      </xdr:nvSpPr>
      <xdr:spPr>
        <a:xfrm>
          <a:off x="4270308" y="6079621"/>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208324</xdr:colOff>
      <xdr:row>51</xdr:row>
      <xdr:rowOff>142874</xdr:rowOff>
    </xdr:from>
    <xdr:to>
      <xdr:col>15</xdr:col>
      <xdr:colOff>51174</xdr:colOff>
      <xdr:row>52</xdr:row>
      <xdr:rowOff>48716</xdr:rowOff>
    </xdr:to>
    <xdr:sp macro="" textlink="">
      <xdr:nvSpPr>
        <xdr:cNvPr id="16" name="Oval 15" hidden="1">
          <a:extLst>
            <a:ext uri="{FF2B5EF4-FFF2-40B4-BE49-F238E27FC236}">
              <a16:creationId xmlns:a16="http://schemas.microsoft.com/office/drawing/2014/main" id="{00000000-0008-0000-0800-000010000000}"/>
            </a:ext>
          </a:extLst>
        </xdr:cNvPr>
        <xdr:cNvSpPr/>
      </xdr:nvSpPr>
      <xdr:spPr>
        <a:xfrm>
          <a:off x="4270308" y="7037160"/>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208323</xdr:colOff>
      <xdr:row>56</xdr:row>
      <xdr:rowOff>142874</xdr:rowOff>
    </xdr:from>
    <xdr:to>
      <xdr:col>15</xdr:col>
      <xdr:colOff>51173</xdr:colOff>
      <xdr:row>57</xdr:row>
      <xdr:rowOff>48716</xdr:rowOff>
    </xdr:to>
    <xdr:sp macro="" textlink="">
      <xdr:nvSpPr>
        <xdr:cNvPr id="17" name="Oval 16" hidden="1">
          <a:extLst>
            <a:ext uri="{FF2B5EF4-FFF2-40B4-BE49-F238E27FC236}">
              <a16:creationId xmlns:a16="http://schemas.microsoft.com/office/drawing/2014/main" id="{00000000-0008-0000-0800-000011000000}"/>
            </a:ext>
          </a:extLst>
        </xdr:cNvPr>
        <xdr:cNvSpPr/>
      </xdr:nvSpPr>
      <xdr:spPr>
        <a:xfrm>
          <a:off x="4270307" y="7994699"/>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208323</xdr:colOff>
      <xdr:row>61</xdr:row>
      <xdr:rowOff>142874</xdr:rowOff>
    </xdr:from>
    <xdr:to>
      <xdr:col>15</xdr:col>
      <xdr:colOff>51173</xdr:colOff>
      <xdr:row>62</xdr:row>
      <xdr:rowOff>48716</xdr:rowOff>
    </xdr:to>
    <xdr:sp macro="" textlink="">
      <xdr:nvSpPr>
        <xdr:cNvPr id="18" name="Oval 17" hidden="1">
          <a:extLst>
            <a:ext uri="{FF2B5EF4-FFF2-40B4-BE49-F238E27FC236}">
              <a16:creationId xmlns:a16="http://schemas.microsoft.com/office/drawing/2014/main" id="{00000000-0008-0000-0800-000012000000}"/>
            </a:ext>
          </a:extLst>
        </xdr:cNvPr>
        <xdr:cNvSpPr/>
      </xdr:nvSpPr>
      <xdr:spPr>
        <a:xfrm>
          <a:off x="4270307" y="8952239"/>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208323</xdr:colOff>
      <xdr:row>66</xdr:row>
      <xdr:rowOff>142874</xdr:rowOff>
    </xdr:from>
    <xdr:to>
      <xdr:col>15</xdr:col>
      <xdr:colOff>51173</xdr:colOff>
      <xdr:row>67</xdr:row>
      <xdr:rowOff>48716</xdr:rowOff>
    </xdr:to>
    <xdr:sp macro="" textlink="">
      <xdr:nvSpPr>
        <xdr:cNvPr id="19" name="Oval 18" hidden="1">
          <a:extLst>
            <a:ext uri="{FF2B5EF4-FFF2-40B4-BE49-F238E27FC236}">
              <a16:creationId xmlns:a16="http://schemas.microsoft.com/office/drawing/2014/main" id="{00000000-0008-0000-0800-000013000000}"/>
            </a:ext>
          </a:extLst>
        </xdr:cNvPr>
        <xdr:cNvSpPr/>
      </xdr:nvSpPr>
      <xdr:spPr>
        <a:xfrm>
          <a:off x="4270307" y="9909779"/>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208323</xdr:colOff>
      <xdr:row>71</xdr:row>
      <xdr:rowOff>142873</xdr:rowOff>
    </xdr:from>
    <xdr:to>
      <xdr:col>15</xdr:col>
      <xdr:colOff>51173</xdr:colOff>
      <xdr:row>72</xdr:row>
      <xdr:rowOff>48715</xdr:rowOff>
    </xdr:to>
    <xdr:sp macro="" textlink="">
      <xdr:nvSpPr>
        <xdr:cNvPr id="20" name="Oval 19" hidden="1">
          <a:extLst>
            <a:ext uri="{FF2B5EF4-FFF2-40B4-BE49-F238E27FC236}">
              <a16:creationId xmlns:a16="http://schemas.microsoft.com/office/drawing/2014/main" id="{00000000-0008-0000-0800-000014000000}"/>
            </a:ext>
          </a:extLst>
        </xdr:cNvPr>
        <xdr:cNvSpPr/>
      </xdr:nvSpPr>
      <xdr:spPr>
        <a:xfrm>
          <a:off x="4270307" y="10867317"/>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208323</xdr:colOff>
      <xdr:row>76</xdr:row>
      <xdr:rowOff>142873</xdr:rowOff>
    </xdr:from>
    <xdr:to>
      <xdr:col>15</xdr:col>
      <xdr:colOff>51173</xdr:colOff>
      <xdr:row>77</xdr:row>
      <xdr:rowOff>48715</xdr:rowOff>
    </xdr:to>
    <xdr:sp macro="" textlink="">
      <xdr:nvSpPr>
        <xdr:cNvPr id="21" name="Oval 20" hidden="1">
          <a:extLst>
            <a:ext uri="{FF2B5EF4-FFF2-40B4-BE49-F238E27FC236}">
              <a16:creationId xmlns:a16="http://schemas.microsoft.com/office/drawing/2014/main" id="{00000000-0008-0000-0800-000015000000}"/>
            </a:ext>
          </a:extLst>
        </xdr:cNvPr>
        <xdr:cNvSpPr/>
      </xdr:nvSpPr>
      <xdr:spPr>
        <a:xfrm>
          <a:off x="4270307" y="11824857"/>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208323</xdr:colOff>
      <xdr:row>81</xdr:row>
      <xdr:rowOff>142873</xdr:rowOff>
    </xdr:from>
    <xdr:to>
      <xdr:col>15</xdr:col>
      <xdr:colOff>51173</xdr:colOff>
      <xdr:row>82</xdr:row>
      <xdr:rowOff>48715</xdr:rowOff>
    </xdr:to>
    <xdr:sp macro="" textlink="">
      <xdr:nvSpPr>
        <xdr:cNvPr id="22" name="Oval 21" hidden="1">
          <a:extLst>
            <a:ext uri="{FF2B5EF4-FFF2-40B4-BE49-F238E27FC236}">
              <a16:creationId xmlns:a16="http://schemas.microsoft.com/office/drawing/2014/main" id="{00000000-0008-0000-0800-000016000000}"/>
            </a:ext>
          </a:extLst>
        </xdr:cNvPr>
        <xdr:cNvSpPr/>
      </xdr:nvSpPr>
      <xdr:spPr>
        <a:xfrm>
          <a:off x="4270307" y="12782397"/>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208323</xdr:colOff>
      <xdr:row>86</xdr:row>
      <xdr:rowOff>142872</xdr:rowOff>
    </xdr:from>
    <xdr:to>
      <xdr:col>15</xdr:col>
      <xdr:colOff>51173</xdr:colOff>
      <xdr:row>87</xdr:row>
      <xdr:rowOff>48714</xdr:rowOff>
    </xdr:to>
    <xdr:sp macro="" textlink="">
      <xdr:nvSpPr>
        <xdr:cNvPr id="23" name="Oval 22" hidden="1">
          <a:extLst>
            <a:ext uri="{FF2B5EF4-FFF2-40B4-BE49-F238E27FC236}">
              <a16:creationId xmlns:a16="http://schemas.microsoft.com/office/drawing/2014/main" id="{00000000-0008-0000-0800-000017000000}"/>
            </a:ext>
          </a:extLst>
        </xdr:cNvPr>
        <xdr:cNvSpPr/>
      </xdr:nvSpPr>
      <xdr:spPr>
        <a:xfrm>
          <a:off x="4270307" y="13739935"/>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209518</xdr:colOff>
      <xdr:row>36</xdr:row>
      <xdr:rowOff>144876</xdr:rowOff>
    </xdr:from>
    <xdr:to>
      <xdr:col>22</xdr:col>
      <xdr:colOff>52368</xdr:colOff>
      <xdr:row>37</xdr:row>
      <xdr:rowOff>50718</xdr:rowOff>
    </xdr:to>
    <xdr:sp macro="" textlink="">
      <xdr:nvSpPr>
        <xdr:cNvPr id="24" name="Oval 23">
          <a:extLst>
            <a:ext uri="{FF2B5EF4-FFF2-40B4-BE49-F238E27FC236}">
              <a16:creationId xmlns:a16="http://schemas.microsoft.com/office/drawing/2014/main" id="{00000000-0008-0000-0800-000018000000}"/>
            </a:ext>
          </a:extLst>
        </xdr:cNvPr>
        <xdr:cNvSpPr/>
      </xdr:nvSpPr>
      <xdr:spPr>
        <a:xfrm>
          <a:off x="6070669" y="4166543"/>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209518</xdr:colOff>
      <xdr:row>41</xdr:row>
      <xdr:rowOff>144082</xdr:rowOff>
    </xdr:from>
    <xdr:to>
      <xdr:col>22</xdr:col>
      <xdr:colOff>52368</xdr:colOff>
      <xdr:row>42</xdr:row>
      <xdr:rowOff>49924</xdr:rowOff>
    </xdr:to>
    <xdr:sp macro="" textlink="">
      <xdr:nvSpPr>
        <xdr:cNvPr id="25" name="Oval 24">
          <a:extLst>
            <a:ext uri="{FF2B5EF4-FFF2-40B4-BE49-F238E27FC236}">
              <a16:creationId xmlns:a16="http://schemas.microsoft.com/office/drawing/2014/main" id="{00000000-0008-0000-0800-000019000000}"/>
            </a:ext>
          </a:extLst>
        </xdr:cNvPr>
        <xdr:cNvSpPr/>
      </xdr:nvSpPr>
      <xdr:spPr>
        <a:xfrm>
          <a:off x="6070669" y="5123288"/>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209518</xdr:colOff>
      <xdr:row>46</xdr:row>
      <xdr:rowOff>144081</xdr:rowOff>
    </xdr:from>
    <xdr:to>
      <xdr:col>22</xdr:col>
      <xdr:colOff>52368</xdr:colOff>
      <xdr:row>47</xdr:row>
      <xdr:rowOff>49923</xdr:rowOff>
    </xdr:to>
    <xdr:sp macro="" textlink="">
      <xdr:nvSpPr>
        <xdr:cNvPr id="26" name="Oval 25">
          <a:extLst>
            <a:ext uri="{FF2B5EF4-FFF2-40B4-BE49-F238E27FC236}">
              <a16:creationId xmlns:a16="http://schemas.microsoft.com/office/drawing/2014/main" id="{00000000-0008-0000-0800-00001A000000}"/>
            </a:ext>
          </a:extLst>
        </xdr:cNvPr>
        <xdr:cNvSpPr/>
      </xdr:nvSpPr>
      <xdr:spPr>
        <a:xfrm>
          <a:off x="6070669" y="6080827"/>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209518</xdr:colOff>
      <xdr:row>51</xdr:row>
      <xdr:rowOff>144080</xdr:rowOff>
    </xdr:from>
    <xdr:to>
      <xdr:col>22</xdr:col>
      <xdr:colOff>52368</xdr:colOff>
      <xdr:row>52</xdr:row>
      <xdr:rowOff>49922</xdr:rowOff>
    </xdr:to>
    <xdr:sp macro="" textlink="">
      <xdr:nvSpPr>
        <xdr:cNvPr id="27" name="Oval 26" hidden="1">
          <a:extLst>
            <a:ext uri="{FF2B5EF4-FFF2-40B4-BE49-F238E27FC236}">
              <a16:creationId xmlns:a16="http://schemas.microsoft.com/office/drawing/2014/main" id="{00000000-0008-0000-0800-00001B000000}"/>
            </a:ext>
          </a:extLst>
        </xdr:cNvPr>
        <xdr:cNvSpPr/>
      </xdr:nvSpPr>
      <xdr:spPr>
        <a:xfrm>
          <a:off x="6070669" y="7038366"/>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209517</xdr:colOff>
      <xdr:row>56</xdr:row>
      <xdr:rowOff>144080</xdr:rowOff>
    </xdr:from>
    <xdr:to>
      <xdr:col>22</xdr:col>
      <xdr:colOff>52367</xdr:colOff>
      <xdr:row>57</xdr:row>
      <xdr:rowOff>49922</xdr:rowOff>
    </xdr:to>
    <xdr:sp macro="" textlink="">
      <xdr:nvSpPr>
        <xdr:cNvPr id="28" name="Oval 27" hidden="1">
          <a:extLst>
            <a:ext uri="{FF2B5EF4-FFF2-40B4-BE49-F238E27FC236}">
              <a16:creationId xmlns:a16="http://schemas.microsoft.com/office/drawing/2014/main" id="{00000000-0008-0000-0800-00001C000000}"/>
            </a:ext>
          </a:extLst>
        </xdr:cNvPr>
        <xdr:cNvSpPr/>
      </xdr:nvSpPr>
      <xdr:spPr>
        <a:xfrm>
          <a:off x="6070668" y="7995905"/>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209517</xdr:colOff>
      <xdr:row>61</xdr:row>
      <xdr:rowOff>144080</xdr:rowOff>
    </xdr:from>
    <xdr:to>
      <xdr:col>22</xdr:col>
      <xdr:colOff>52367</xdr:colOff>
      <xdr:row>62</xdr:row>
      <xdr:rowOff>49922</xdr:rowOff>
    </xdr:to>
    <xdr:sp macro="" textlink="">
      <xdr:nvSpPr>
        <xdr:cNvPr id="29" name="Oval 28" hidden="1">
          <a:extLst>
            <a:ext uri="{FF2B5EF4-FFF2-40B4-BE49-F238E27FC236}">
              <a16:creationId xmlns:a16="http://schemas.microsoft.com/office/drawing/2014/main" id="{00000000-0008-0000-0800-00001D000000}"/>
            </a:ext>
          </a:extLst>
        </xdr:cNvPr>
        <xdr:cNvSpPr/>
      </xdr:nvSpPr>
      <xdr:spPr>
        <a:xfrm>
          <a:off x="6070668" y="8953445"/>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209517</xdr:colOff>
      <xdr:row>66</xdr:row>
      <xdr:rowOff>144080</xdr:rowOff>
    </xdr:from>
    <xdr:to>
      <xdr:col>22</xdr:col>
      <xdr:colOff>52367</xdr:colOff>
      <xdr:row>67</xdr:row>
      <xdr:rowOff>49922</xdr:rowOff>
    </xdr:to>
    <xdr:sp macro="" textlink="">
      <xdr:nvSpPr>
        <xdr:cNvPr id="30" name="Oval 29" hidden="1">
          <a:extLst>
            <a:ext uri="{FF2B5EF4-FFF2-40B4-BE49-F238E27FC236}">
              <a16:creationId xmlns:a16="http://schemas.microsoft.com/office/drawing/2014/main" id="{00000000-0008-0000-0800-00001E000000}"/>
            </a:ext>
          </a:extLst>
        </xdr:cNvPr>
        <xdr:cNvSpPr/>
      </xdr:nvSpPr>
      <xdr:spPr>
        <a:xfrm>
          <a:off x="6070668" y="9910985"/>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209517</xdr:colOff>
      <xdr:row>71</xdr:row>
      <xdr:rowOff>144079</xdr:rowOff>
    </xdr:from>
    <xdr:to>
      <xdr:col>22</xdr:col>
      <xdr:colOff>52367</xdr:colOff>
      <xdr:row>72</xdr:row>
      <xdr:rowOff>49921</xdr:rowOff>
    </xdr:to>
    <xdr:sp macro="" textlink="">
      <xdr:nvSpPr>
        <xdr:cNvPr id="31" name="Oval 30" hidden="1">
          <a:extLst>
            <a:ext uri="{FF2B5EF4-FFF2-40B4-BE49-F238E27FC236}">
              <a16:creationId xmlns:a16="http://schemas.microsoft.com/office/drawing/2014/main" id="{00000000-0008-0000-0800-00001F000000}"/>
            </a:ext>
          </a:extLst>
        </xdr:cNvPr>
        <xdr:cNvSpPr/>
      </xdr:nvSpPr>
      <xdr:spPr>
        <a:xfrm>
          <a:off x="6070668" y="10868523"/>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209517</xdr:colOff>
      <xdr:row>76</xdr:row>
      <xdr:rowOff>144079</xdr:rowOff>
    </xdr:from>
    <xdr:to>
      <xdr:col>22</xdr:col>
      <xdr:colOff>52367</xdr:colOff>
      <xdr:row>77</xdr:row>
      <xdr:rowOff>49921</xdr:rowOff>
    </xdr:to>
    <xdr:sp macro="" textlink="">
      <xdr:nvSpPr>
        <xdr:cNvPr id="32" name="Oval 31" hidden="1">
          <a:extLst>
            <a:ext uri="{FF2B5EF4-FFF2-40B4-BE49-F238E27FC236}">
              <a16:creationId xmlns:a16="http://schemas.microsoft.com/office/drawing/2014/main" id="{00000000-0008-0000-0800-000020000000}"/>
            </a:ext>
          </a:extLst>
        </xdr:cNvPr>
        <xdr:cNvSpPr/>
      </xdr:nvSpPr>
      <xdr:spPr>
        <a:xfrm>
          <a:off x="6070668" y="11826063"/>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209517</xdr:colOff>
      <xdr:row>81</xdr:row>
      <xdr:rowOff>144079</xdr:rowOff>
    </xdr:from>
    <xdr:to>
      <xdr:col>22</xdr:col>
      <xdr:colOff>52367</xdr:colOff>
      <xdr:row>82</xdr:row>
      <xdr:rowOff>49921</xdr:rowOff>
    </xdr:to>
    <xdr:sp macro="" textlink="">
      <xdr:nvSpPr>
        <xdr:cNvPr id="33" name="Oval 32" hidden="1">
          <a:extLst>
            <a:ext uri="{FF2B5EF4-FFF2-40B4-BE49-F238E27FC236}">
              <a16:creationId xmlns:a16="http://schemas.microsoft.com/office/drawing/2014/main" id="{00000000-0008-0000-0800-000021000000}"/>
            </a:ext>
          </a:extLst>
        </xdr:cNvPr>
        <xdr:cNvSpPr/>
      </xdr:nvSpPr>
      <xdr:spPr>
        <a:xfrm>
          <a:off x="6070668" y="12783603"/>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209517</xdr:colOff>
      <xdr:row>86</xdr:row>
      <xdr:rowOff>144078</xdr:rowOff>
    </xdr:from>
    <xdr:to>
      <xdr:col>22</xdr:col>
      <xdr:colOff>52367</xdr:colOff>
      <xdr:row>87</xdr:row>
      <xdr:rowOff>49920</xdr:rowOff>
    </xdr:to>
    <xdr:sp macro="" textlink="">
      <xdr:nvSpPr>
        <xdr:cNvPr id="34" name="Oval 33" hidden="1">
          <a:extLst>
            <a:ext uri="{FF2B5EF4-FFF2-40B4-BE49-F238E27FC236}">
              <a16:creationId xmlns:a16="http://schemas.microsoft.com/office/drawing/2014/main" id="{00000000-0008-0000-0800-000022000000}"/>
            </a:ext>
          </a:extLst>
        </xdr:cNvPr>
        <xdr:cNvSpPr/>
      </xdr:nvSpPr>
      <xdr:spPr>
        <a:xfrm>
          <a:off x="6070668" y="13741141"/>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208195</xdr:colOff>
      <xdr:row>36</xdr:row>
      <xdr:rowOff>143563</xdr:rowOff>
    </xdr:from>
    <xdr:to>
      <xdr:col>29</xdr:col>
      <xdr:colOff>51045</xdr:colOff>
      <xdr:row>37</xdr:row>
      <xdr:rowOff>49405</xdr:rowOff>
    </xdr:to>
    <xdr:sp macro="" textlink="">
      <xdr:nvSpPr>
        <xdr:cNvPr id="35" name="Oval 34">
          <a:extLst>
            <a:ext uri="{FF2B5EF4-FFF2-40B4-BE49-F238E27FC236}">
              <a16:creationId xmlns:a16="http://schemas.microsoft.com/office/drawing/2014/main" id="{00000000-0008-0000-0800-000023000000}"/>
            </a:ext>
          </a:extLst>
        </xdr:cNvPr>
        <xdr:cNvSpPr/>
      </xdr:nvSpPr>
      <xdr:spPr>
        <a:xfrm>
          <a:off x="7868512" y="4165230"/>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208195</xdr:colOff>
      <xdr:row>41</xdr:row>
      <xdr:rowOff>142769</xdr:rowOff>
    </xdr:from>
    <xdr:to>
      <xdr:col>29</xdr:col>
      <xdr:colOff>51045</xdr:colOff>
      <xdr:row>42</xdr:row>
      <xdr:rowOff>48611</xdr:rowOff>
    </xdr:to>
    <xdr:sp macro="" textlink="">
      <xdr:nvSpPr>
        <xdr:cNvPr id="36" name="Oval 35">
          <a:extLst>
            <a:ext uri="{FF2B5EF4-FFF2-40B4-BE49-F238E27FC236}">
              <a16:creationId xmlns:a16="http://schemas.microsoft.com/office/drawing/2014/main" id="{00000000-0008-0000-0800-000024000000}"/>
            </a:ext>
          </a:extLst>
        </xdr:cNvPr>
        <xdr:cNvSpPr/>
      </xdr:nvSpPr>
      <xdr:spPr>
        <a:xfrm>
          <a:off x="7868512" y="5121975"/>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208195</xdr:colOff>
      <xdr:row>46</xdr:row>
      <xdr:rowOff>142768</xdr:rowOff>
    </xdr:from>
    <xdr:to>
      <xdr:col>29</xdr:col>
      <xdr:colOff>51045</xdr:colOff>
      <xdr:row>47</xdr:row>
      <xdr:rowOff>48610</xdr:rowOff>
    </xdr:to>
    <xdr:sp macro="" textlink="">
      <xdr:nvSpPr>
        <xdr:cNvPr id="37" name="Oval 36">
          <a:extLst>
            <a:ext uri="{FF2B5EF4-FFF2-40B4-BE49-F238E27FC236}">
              <a16:creationId xmlns:a16="http://schemas.microsoft.com/office/drawing/2014/main" id="{00000000-0008-0000-0800-000025000000}"/>
            </a:ext>
          </a:extLst>
        </xdr:cNvPr>
        <xdr:cNvSpPr/>
      </xdr:nvSpPr>
      <xdr:spPr>
        <a:xfrm>
          <a:off x="7868512" y="6079514"/>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208195</xdr:colOff>
      <xdr:row>51</xdr:row>
      <xdr:rowOff>142767</xdr:rowOff>
    </xdr:from>
    <xdr:to>
      <xdr:col>29</xdr:col>
      <xdr:colOff>51045</xdr:colOff>
      <xdr:row>52</xdr:row>
      <xdr:rowOff>48609</xdr:rowOff>
    </xdr:to>
    <xdr:sp macro="" textlink="">
      <xdr:nvSpPr>
        <xdr:cNvPr id="38" name="Oval 37" hidden="1">
          <a:extLst>
            <a:ext uri="{FF2B5EF4-FFF2-40B4-BE49-F238E27FC236}">
              <a16:creationId xmlns:a16="http://schemas.microsoft.com/office/drawing/2014/main" id="{00000000-0008-0000-0800-000026000000}"/>
            </a:ext>
          </a:extLst>
        </xdr:cNvPr>
        <xdr:cNvSpPr/>
      </xdr:nvSpPr>
      <xdr:spPr>
        <a:xfrm>
          <a:off x="7868512" y="7037053"/>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208194</xdr:colOff>
      <xdr:row>56</xdr:row>
      <xdr:rowOff>142767</xdr:rowOff>
    </xdr:from>
    <xdr:to>
      <xdr:col>29</xdr:col>
      <xdr:colOff>51044</xdr:colOff>
      <xdr:row>57</xdr:row>
      <xdr:rowOff>48609</xdr:rowOff>
    </xdr:to>
    <xdr:sp macro="" textlink="">
      <xdr:nvSpPr>
        <xdr:cNvPr id="39" name="Oval 38" hidden="1">
          <a:extLst>
            <a:ext uri="{FF2B5EF4-FFF2-40B4-BE49-F238E27FC236}">
              <a16:creationId xmlns:a16="http://schemas.microsoft.com/office/drawing/2014/main" id="{00000000-0008-0000-0800-000027000000}"/>
            </a:ext>
          </a:extLst>
        </xdr:cNvPr>
        <xdr:cNvSpPr/>
      </xdr:nvSpPr>
      <xdr:spPr>
        <a:xfrm>
          <a:off x="7868511" y="7994592"/>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208194</xdr:colOff>
      <xdr:row>61</xdr:row>
      <xdr:rowOff>142767</xdr:rowOff>
    </xdr:from>
    <xdr:to>
      <xdr:col>29</xdr:col>
      <xdr:colOff>51044</xdr:colOff>
      <xdr:row>62</xdr:row>
      <xdr:rowOff>48609</xdr:rowOff>
    </xdr:to>
    <xdr:sp macro="" textlink="">
      <xdr:nvSpPr>
        <xdr:cNvPr id="40" name="Oval 39" hidden="1">
          <a:extLst>
            <a:ext uri="{FF2B5EF4-FFF2-40B4-BE49-F238E27FC236}">
              <a16:creationId xmlns:a16="http://schemas.microsoft.com/office/drawing/2014/main" id="{00000000-0008-0000-0800-000028000000}"/>
            </a:ext>
          </a:extLst>
        </xdr:cNvPr>
        <xdr:cNvSpPr/>
      </xdr:nvSpPr>
      <xdr:spPr>
        <a:xfrm>
          <a:off x="7868511" y="8952132"/>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208194</xdr:colOff>
      <xdr:row>66</xdr:row>
      <xdr:rowOff>142767</xdr:rowOff>
    </xdr:from>
    <xdr:to>
      <xdr:col>29</xdr:col>
      <xdr:colOff>51044</xdr:colOff>
      <xdr:row>67</xdr:row>
      <xdr:rowOff>48609</xdr:rowOff>
    </xdr:to>
    <xdr:sp macro="" textlink="">
      <xdr:nvSpPr>
        <xdr:cNvPr id="41" name="Oval 40" hidden="1">
          <a:extLst>
            <a:ext uri="{FF2B5EF4-FFF2-40B4-BE49-F238E27FC236}">
              <a16:creationId xmlns:a16="http://schemas.microsoft.com/office/drawing/2014/main" id="{00000000-0008-0000-0800-000029000000}"/>
            </a:ext>
          </a:extLst>
        </xdr:cNvPr>
        <xdr:cNvSpPr/>
      </xdr:nvSpPr>
      <xdr:spPr>
        <a:xfrm>
          <a:off x="7868511" y="9909672"/>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208194</xdr:colOff>
      <xdr:row>71</xdr:row>
      <xdr:rowOff>142766</xdr:rowOff>
    </xdr:from>
    <xdr:to>
      <xdr:col>29</xdr:col>
      <xdr:colOff>51044</xdr:colOff>
      <xdr:row>72</xdr:row>
      <xdr:rowOff>48608</xdr:rowOff>
    </xdr:to>
    <xdr:sp macro="" textlink="">
      <xdr:nvSpPr>
        <xdr:cNvPr id="42" name="Oval 41" hidden="1">
          <a:extLst>
            <a:ext uri="{FF2B5EF4-FFF2-40B4-BE49-F238E27FC236}">
              <a16:creationId xmlns:a16="http://schemas.microsoft.com/office/drawing/2014/main" id="{00000000-0008-0000-0800-00002A000000}"/>
            </a:ext>
          </a:extLst>
        </xdr:cNvPr>
        <xdr:cNvSpPr/>
      </xdr:nvSpPr>
      <xdr:spPr>
        <a:xfrm>
          <a:off x="7868511" y="10867210"/>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208194</xdr:colOff>
      <xdr:row>76</xdr:row>
      <xdr:rowOff>142766</xdr:rowOff>
    </xdr:from>
    <xdr:to>
      <xdr:col>29</xdr:col>
      <xdr:colOff>51044</xdr:colOff>
      <xdr:row>77</xdr:row>
      <xdr:rowOff>48608</xdr:rowOff>
    </xdr:to>
    <xdr:sp macro="" textlink="">
      <xdr:nvSpPr>
        <xdr:cNvPr id="43" name="Oval 42" hidden="1">
          <a:extLst>
            <a:ext uri="{FF2B5EF4-FFF2-40B4-BE49-F238E27FC236}">
              <a16:creationId xmlns:a16="http://schemas.microsoft.com/office/drawing/2014/main" id="{00000000-0008-0000-0800-00002B000000}"/>
            </a:ext>
          </a:extLst>
        </xdr:cNvPr>
        <xdr:cNvSpPr/>
      </xdr:nvSpPr>
      <xdr:spPr>
        <a:xfrm>
          <a:off x="7868511" y="11824750"/>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208194</xdr:colOff>
      <xdr:row>81</xdr:row>
      <xdr:rowOff>142766</xdr:rowOff>
    </xdr:from>
    <xdr:to>
      <xdr:col>29</xdr:col>
      <xdr:colOff>51044</xdr:colOff>
      <xdr:row>82</xdr:row>
      <xdr:rowOff>48608</xdr:rowOff>
    </xdr:to>
    <xdr:sp macro="" textlink="">
      <xdr:nvSpPr>
        <xdr:cNvPr id="44" name="Oval 43" hidden="1">
          <a:extLst>
            <a:ext uri="{FF2B5EF4-FFF2-40B4-BE49-F238E27FC236}">
              <a16:creationId xmlns:a16="http://schemas.microsoft.com/office/drawing/2014/main" id="{00000000-0008-0000-0800-00002C000000}"/>
            </a:ext>
          </a:extLst>
        </xdr:cNvPr>
        <xdr:cNvSpPr/>
      </xdr:nvSpPr>
      <xdr:spPr>
        <a:xfrm>
          <a:off x="7868511" y="12782290"/>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208194</xdr:colOff>
      <xdr:row>86</xdr:row>
      <xdr:rowOff>142765</xdr:rowOff>
    </xdr:from>
    <xdr:to>
      <xdr:col>29</xdr:col>
      <xdr:colOff>51044</xdr:colOff>
      <xdr:row>87</xdr:row>
      <xdr:rowOff>48607</xdr:rowOff>
    </xdr:to>
    <xdr:sp macro="" textlink="">
      <xdr:nvSpPr>
        <xdr:cNvPr id="45" name="Oval 44" hidden="1">
          <a:extLst>
            <a:ext uri="{FF2B5EF4-FFF2-40B4-BE49-F238E27FC236}">
              <a16:creationId xmlns:a16="http://schemas.microsoft.com/office/drawing/2014/main" id="{00000000-0008-0000-0800-00002D000000}"/>
            </a:ext>
          </a:extLst>
        </xdr:cNvPr>
        <xdr:cNvSpPr/>
      </xdr:nvSpPr>
      <xdr:spPr>
        <a:xfrm>
          <a:off x="7868511" y="13739828"/>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209393</xdr:colOff>
      <xdr:row>36</xdr:row>
      <xdr:rowOff>144767</xdr:rowOff>
    </xdr:from>
    <xdr:to>
      <xdr:col>36</xdr:col>
      <xdr:colOff>52243</xdr:colOff>
      <xdr:row>37</xdr:row>
      <xdr:rowOff>50609</xdr:rowOff>
    </xdr:to>
    <xdr:sp macro="" textlink="">
      <xdr:nvSpPr>
        <xdr:cNvPr id="46" name="Oval 45" hidden="1">
          <a:extLst>
            <a:ext uri="{FF2B5EF4-FFF2-40B4-BE49-F238E27FC236}">
              <a16:creationId xmlns:a16="http://schemas.microsoft.com/office/drawing/2014/main" id="{00000000-0008-0000-0800-00002E000000}"/>
            </a:ext>
          </a:extLst>
        </xdr:cNvPr>
        <xdr:cNvSpPr/>
      </xdr:nvSpPr>
      <xdr:spPr>
        <a:xfrm>
          <a:off x="9668877" y="4166434"/>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209393</xdr:colOff>
      <xdr:row>41</xdr:row>
      <xdr:rowOff>143973</xdr:rowOff>
    </xdr:from>
    <xdr:to>
      <xdr:col>36</xdr:col>
      <xdr:colOff>52243</xdr:colOff>
      <xdr:row>42</xdr:row>
      <xdr:rowOff>49815</xdr:rowOff>
    </xdr:to>
    <xdr:sp macro="" textlink="">
      <xdr:nvSpPr>
        <xdr:cNvPr id="47" name="Oval 46" hidden="1">
          <a:extLst>
            <a:ext uri="{FF2B5EF4-FFF2-40B4-BE49-F238E27FC236}">
              <a16:creationId xmlns:a16="http://schemas.microsoft.com/office/drawing/2014/main" id="{00000000-0008-0000-0800-00002F000000}"/>
            </a:ext>
          </a:extLst>
        </xdr:cNvPr>
        <xdr:cNvSpPr/>
      </xdr:nvSpPr>
      <xdr:spPr>
        <a:xfrm>
          <a:off x="9668877" y="5123179"/>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209393</xdr:colOff>
      <xdr:row>46</xdr:row>
      <xdr:rowOff>143972</xdr:rowOff>
    </xdr:from>
    <xdr:to>
      <xdr:col>36</xdr:col>
      <xdr:colOff>52243</xdr:colOff>
      <xdr:row>47</xdr:row>
      <xdr:rowOff>49814</xdr:rowOff>
    </xdr:to>
    <xdr:sp macro="" textlink="">
      <xdr:nvSpPr>
        <xdr:cNvPr id="48" name="Oval 47" hidden="1">
          <a:extLst>
            <a:ext uri="{FF2B5EF4-FFF2-40B4-BE49-F238E27FC236}">
              <a16:creationId xmlns:a16="http://schemas.microsoft.com/office/drawing/2014/main" id="{00000000-0008-0000-0800-000030000000}"/>
            </a:ext>
          </a:extLst>
        </xdr:cNvPr>
        <xdr:cNvSpPr/>
      </xdr:nvSpPr>
      <xdr:spPr>
        <a:xfrm>
          <a:off x="9668877" y="6080718"/>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209393</xdr:colOff>
      <xdr:row>51</xdr:row>
      <xdr:rowOff>143971</xdr:rowOff>
    </xdr:from>
    <xdr:to>
      <xdr:col>36</xdr:col>
      <xdr:colOff>52243</xdr:colOff>
      <xdr:row>52</xdr:row>
      <xdr:rowOff>49813</xdr:rowOff>
    </xdr:to>
    <xdr:sp macro="" textlink="">
      <xdr:nvSpPr>
        <xdr:cNvPr id="49" name="Oval 48" hidden="1">
          <a:extLst>
            <a:ext uri="{FF2B5EF4-FFF2-40B4-BE49-F238E27FC236}">
              <a16:creationId xmlns:a16="http://schemas.microsoft.com/office/drawing/2014/main" id="{00000000-0008-0000-0800-000031000000}"/>
            </a:ext>
          </a:extLst>
        </xdr:cNvPr>
        <xdr:cNvSpPr/>
      </xdr:nvSpPr>
      <xdr:spPr>
        <a:xfrm>
          <a:off x="9668877" y="7038257"/>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209392</xdr:colOff>
      <xdr:row>56</xdr:row>
      <xdr:rowOff>143971</xdr:rowOff>
    </xdr:from>
    <xdr:to>
      <xdr:col>36</xdr:col>
      <xdr:colOff>52242</xdr:colOff>
      <xdr:row>57</xdr:row>
      <xdr:rowOff>49813</xdr:rowOff>
    </xdr:to>
    <xdr:sp macro="" textlink="">
      <xdr:nvSpPr>
        <xdr:cNvPr id="50" name="Oval 49" hidden="1">
          <a:extLst>
            <a:ext uri="{FF2B5EF4-FFF2-40B4-BE49-F238E27FC236}">
              <a16:creationId xmlns:a16="http://schemas.microsoft.com/office/drawing/2014/main" id="{00000000-0008-0000-0800-000032000000}"/>
            </a:ext>
          </a:extLst>
        </xdr:cNvPr>
        <xdr:cNvSpPr/>
      </xdr:nvSpPr>
      <xdr:spPr>
        <a:xfrm>
          <a:off x="9668876" y="7995796"/>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209392</xdr:colOff>
      <xdr:row>61</xdr:row>
      <xdr:rowOff>143971</xdr:rowOff>
    </xdr:from>
    <xdr:to>
      <xdr:col>36</xdr:col>
      <xdr:colOff>52242</xdr:colOff>
      <xdr:row>62</xdr:row>
      <xdr:rowOff>49813</xdr:rowOff>
    </xdr:to>
    <xdr:sp macro="" textlink="">
      <xdr:nvSpPr>
        <xdr:cNvPr id="51" name="Oval 50" hidden="1">
          <a:extLst>
            <a:ext uri="{FF2B5EF4-FFF2-40B4-BE49-F238E27FC236}">
              <a16:creationId xmlns:a16="http://schemas.microsoft.com/office/drawing/2014/main" id="{00000000-0008-0000-0800-000033000000}"/>
            </a:ext>
          </a:extLst>
        </xdr:cNvPr>
        <xdr:cNvSpPr/>
      </xdr:nvSpPr>
      <xdr:spPr>
        <a:xfrm>
          <a:off x="9668876" y="8953336"/>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209392</xdr:colOff>
      <xdr:row>66</xdr:row>
      <xdr:rowOff>143971</xdr:rowOff>
    </xdr:from>
    <xdr:to>
      <xdr:col>36</xdr:col>
      <xdr:colOff>52242</xdr:colOff>
      <xdr:row>67</xdr:row>
      <xdr:rowOff>49813</xdr:rowOff>
    </xdr:to>
    <xdr:sp macro="" textlink="">
      <xdr:nvSpPr>
        <xdr:cNvPr id="52" name="Oval 51" hidden="1">
          <a:extLst>
            <a:ext uri="{FF2B5EF4-FFF2-40B4-BE49-F238E27FC236}">
              <a16:creationId xmlns:a16="http://schemas.microsoft.com/office/drawing/2014/main" id="{00000000-0008-0000-0800-000034000000}"/>
            </a:ext>
          </a:extLst>
        </xdr:cNvPr>
        <xdr:cNvSpPr/>
      </xdr:nvSpPr>
      <xdr:spPr>
        <a:xfrm>
          <a:off x="9668876" y="9910876"/>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209392</xdr:colOff>
      <xdr:row>71</xdr:row>
      <xdr:rowOff>143970</xdr:rowOff>
    </xdr:from>
    <xdr:to>
      <xdr:col>36</xdr:col>
      <xdr:colOff>52242</xdr:colOff>
      <xdr:row>72</xdr:row>
      <xdr:rowOff>49812</xdr:rowOff>
    </xdr:to>
    <xdr:sp macro="" textlink="">
      <xdr:nvSpPr>
        <xdr:cNvPr id="53" name="Oval 52" hidden="1">
          <a:extLst>
            <a:ext uri="{FF2B5EF4-FFF2-40B4-BE49-F238E27FC236}">
              <a16:creationId xmlns:a16="http://schemas.microsoft.com/office/drawing/2014/main" id="{00000000-0008-0000-0800-000035000000}"/>
            </a:ext>
          </a:extLst>
        </xdr:cNvPr>
        <xdr:cNvSpPr/>
      </xdr:nvSpPr>
      <xdr:spPr>
        <a:xfrm>
          <a:off x="9668876" y="10868414"/>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209392</xdr:colOff>
      <xdr:row>76</xdr:row>
      <xdr:rowOff>143970</xdr:rowOff>
    </xdr:from>
    <xdr:to>
      <xdr:col>36</xdr:col>
      <xdr:colOff>52242</xdr:colOff>
      <xdr:row>77</xdr:row>
      <xdr:rowOff>49812</xdr:rowOff>
    </xdr:to>
    <xdr:sp macro="" textlink="">
      <xdr:nvSpPr>
        <xdr:cNvPr id="54" name="Oval 53" hidden="1">
          <a:extLst>
            <a:ext uri="{FF2B5EF4-FFF2-40B4-BE49-F238E27FC236}">
              <a16:creationId xmlns:a16="http://schemas.microsoft.com/office/drawing/2014/main" id="{00000000-0008-0000-0800-000036000000}"/>
            </a:ext>
          </a:extLst>
        </xdr:cNvPr>
        <xdr:cNvSpPr/>
      </xdr:nvSpPr>
      <xdr:spPr>
        <a:xfrm>
          <a:off x="9668876" y="11825954"/>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209392</xdr:colOff>
      <xdr:row>81</xdr:row>
      <xdr:rowOff>143970</xdr:rowOff>
    </xdr:from>
    <xdr:to>
      <xdr:col>36</xdr:col>
      <xdr:colOff>52242</xdr:colOff>
      <xdr:row>82</xdr:row>
      <xdr:rowOff>49812</xdr:rowOff>
    </xdr:to>
    <xdr:sp macro="" textlink="">
      <xdr:nvSpPr>
        <xdr:cNvPr id="55" name="Oval 54" hidden="1">
          <a:extLst>
            <a:ext uri="{FF2B5EF4-FFF2-40B4-BE49-F238E27FC236}">
              <a16:creationId xmlns:a16="http://schemas.microsoft.com/office/drawing/2014/main" id="{00000000-0008-0000-0800-000037000000}"/>
            </a:ext>
          </a:extLst>
        </xdr:cNvPr>
        <xdr:cNvSpPr/>
      </xdr:nvSpPr>
      <xdr:spPr>
        <a:xfrm>
          <a:off x="9668876" y="12783494"/>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209392</xdr:colOff>
      <xdr:row>86</xdr:row>
      <xdr:rowOff>143969</xdr:rowOff>
    </xdr:from>
    <xdr:to>
      <xdr:col>36</xdr:col>
      <xdr:colOff>52242</xdr:colOff>
      <xdr:row>87</xdr:row>
      <xdr:rowOff>49811</xdr:rowOff>
    </xdr:to>
    <xdr:sp macro="" textlink="">
      <xdr:nvSpPr>
        <xdr:cNvPr id="56" name="Oval 55" hidden="1">
          <a:extLst>
            <a:ext uri="{FF2B5EF4-FFF2-40B4-BE49-F238E27FC236}">
              <a16:creationId xmlns:a16="http://schemas.microsoft.com/office/drawing/2014/main" id="{00000000-0008-0000-0800-000038000000}"/>
            </a:ext>
          </a:extLst>
        </xdr:cNvPr>
        <xdr:cNvSpPr/>
      </xdr:nvSpPr>
      <xdr:spPr>
        <a:xfrm>
          <a:off x="9668876" y="13741032"/>
          <a:ext cx="99874" cy="97350"/>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0</xdr:colOff>
      <xdr:row>51</xdr:row>
      <xdr:rowOff>0</xdr:rowOff>
    </xdr:from>
    <xdr:to>
      <xdr:col>37</xdr:col>
      <xdr:colOff>1</xdr:colOff>
      <xdr:row>57</xdr:row>
      <xdr:rowOff>19051</xdr:rowOff>
    </xdr:to>
    <xdr:sp macro="" textlink="'Project Event Tree Input'!A123">
      <xdr:nvSpPr>
        <xdr:cNvPr id="60" name="CompConsTextBox">
          <a:extLst>
            <a:ext uri="{FF2B5EF4-FFF2-40B4-BE49-F238E27FC236}">
              <a16:creationId xmlns:a16="http://schemas.microsoft.com/office/drawing/2014/main" id="{00000000-0008-0000-0800-00003C000000}"/>
            </a:ext>
          </a:extLst>
        </xdr:cNvPr>
        <xdr:cNvSpPr txBox="1"/>
      </xdr:nvSpPr>
      <xdr:spPr>
        <a:xfrm>
          <a:off x="6115050" y="9715500"/>
          <a:ext cx="3857626" cy="1162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Aft>
              <a:spcPts val="300"/>
            </a:spcAft>
            <a:buFont typeface="Arial" panose="020B0604020202020204" pitchFamily="34" charset="0"/>
            <a:buNone/>
          </a:pPr>
          <a:fld id="{9B3D7554-CB24-48E6-9E5E-35CA38B862D9}" type="TxLink">
            <a:rPr lang="en-US" sz="1000" b="0" i="0" u="none" strike="noStrike" baseline="0">
              <a:ln>
                <a:noFill/>
              </a:ln>
              <a:solidFill>
                <a:srgbClr val="0070C0"/>
              </a:solidFill>
              <a:latin typeface="Arial"/>
              <a:cs typeface="Arial"/>
            </a:rPr>
            <a:pPr marL="0" indent="0">
              <a:spcAft>
                <a:spcPts val="300"/>
              </a:spcAft>
              <a:buFont typeface="Arial" panose="020B0604020202020204" pitchFamily="34" charset="0"/>
              <a:buNone/>
            </a:pPr>
            <a:t>Composite life loss consequences contain the following weights: 
•  Day Exposure: 0.45
•  Night Exposure: 0.55
Economic costs are not weighted by exposure.</a:t>
          </a:fld>
          <a:endParaRPr lang="en-US" baseline="0">
            <a:ln>
              <a:noFill/>
            </a:ln>
            <a:solidFill>
              <a:srgbClr val="0070C0"/>
            </a:solidFill>
            <a:latin typeface="Arial" panose="020B0604020202020204" pitchFamily="34" charset="0"/>
            <a:cs typeface="Arial" panose="020B0604020202020204" pitchFamily="34" charset="0"/>
          </a:endParaRPr>
        </a:p>
      </xdr:txBody>
    </xdr:sp>
    <xdr:clientData/>
  </xdr:twoCellAnchor>
  <xdr:twoCellAnchor>
    <xdr:from>
      <xdr:col>15</xdr:col>
      <xdr:colOff>0</xdr:colOff>
      <xdr:row>15</xdr:row>
      <xdr:rowOff>0</xdr:rowOff>
    </xdr:from>
    <xdr:to>
      <xdr:col>29</xdr:col>
      <xdr:colOff>250567</xdr:colOff>
      <xdr:row>21</xdr:row>
      <xdr:rowOff>19052</xdr:rowOff>
    </xdr:to>
    <xdr:sp macro="" textlink="'Project Event Tree Input'!A123">
      <xdr:nvSpPr>
        <xdr:cNvPr id="61" name="CompNBConsTextBox">
          <a:extLst>
            <a:ext uri="{FF2B5EF4-FFF2-40B4-BE49-F238E27FC236}">
              <a16:creationId xmlns:a16="http://schemas.microsoft.com/office/drawing/2014/main" id="{00000000-0008-0000-0800-00003D000000}"/>
            </a:ext>
          </a:extLst>
        </xdr:cNvPr>
        <xdr:cNvSpPr txBox="1"/>
      </xdr:nvSpPr>
      <xdr:spPr>
        <a:xfrm>
          <a:off x="4314825" y="2857500"/>
          <a:ext cx="3851017" cy="1162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Aft>
              <a:spcPts val="300"/>
            </a:spcAft>
            <a:buFont typeface="Arial" panose="020B0604020202020204" pitchFamily="34" charset="0"/>
            <a:buNone/>
          </a:pPr>
          <a:fld id="{9B3D7554-CB24-48E6-9E5E-35CA38B862D9}" type="TxLink">
            <a:rPr lang="en-US" sz="1000" b="0" i="0" u="none" strike="noStrike" baseline="0">
              <a:ln>
                <a:noFill/>
              </a:ln>
              <a:solidFill>
                <a:srgbClr val="0070C0"/>
              </a:solidFill>
              <a:latin typeface="Arial"/>
              <a:cs typeface="Arial"/>
            </a:rPr>
            <a:pPr marL="0" indent="0">
              <a:spcAft>
                <a:spcPts val="300"/>
              </a:spcAft>
              <a:buFont typeface="Arial" panose="020B0604020202020204" pitchFamily="34" charset="0"/>
              <a:buNone/>
            </a:pPr>
            <a:t>Composite life loss consequences contain the following weights: 
•  Day Exposure: 0.45
•  Night Exposure: 0.55
Economic costs are not weighted by exposure.</a:t>
          </a:fld>
          <a:endParaRPr lang="en-US" baseline="0">
            <a:ln>
              <a:noFill/>
            </a:ln>
            <a:solidFill>
              <a:srgbClr val="0070C0"/>
            </a:solidFill>
            <a:latin typeface="Arial" panose="020B0604020202020204" pitchFamily="34" charset="0"/>
            <a:cs typeface="Arial" panose="020B0604020202020204" pitchFamily="34" charset="0"/>
          </a:endParaRPr>
        </a:p>
      </xdr:txBody>
    </xdr:sp>
    <xdr:clientData/>
  </xdr:twoCellAnchor>
  <xdr:oneCellAnchor>
    <xdr:from>
      <xdr:col>1</xdr:col>
      <xdr:colOff>19050</xdr:colOff>
      <xdr:row>15</xdr:row>
      <xdr:rowOff>0</xdr:rowOff>
    </xdr:from>
    <xdr:ext cx="2143126" cy="387286"/>
    <xdr:sp macro="" textlink="'Project Event Tree Input'!A108">
      <xdr:nvSpPr>
        <xdr:cNvPr id="59" name="CompNBTextBox1">
          <a:extLst>
            <a:ext uri="{FF2B5EF4-FFF2-40B4-BE49-F238E27FC236}">
              <a16:creationId xmlns:a16="http://schemas.microsoft.com/office/drawing/2014/main" id="{00000000-0008-0000-0800-00003B000000}"/>
            </a:ext>
          </a:extLst>
        </xdr:cNvPr>
        <xdr:cNvSpPr txBox="1"/>
      </xdr:nvSpPr>
      <xdr:spPr>
        <a:xfrm>
          <a:off x="333375" y="2857500"/>
          <a:ext cx="2143126" cy="387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marL="0" indent="0">
            <a:spcAft>
              <a:spcPts val="300"/>
            </a:spcAft>
            <a:buFont typeface="Arial" panose="020B0604020202020204" pitchFamily="34" charset="0"/>
            <a:buNone/>
          </a:pPr>
          <a:fld id="{786F1252-09FC-488B-ADB7-4777DC1977E3}" type="TxLink">
            <a:rPr lang="en-US" sz="1000" b="0" i="0" u="none" strike="noStrike" baseline="0">
              <a:ln>
                <a:noFill/>
              </a:ln>
              <a:solidFill>
                <a:srgbClr val="0070C0"/>
              </a:solidFill>
              <a:latin typeface="Arial"/>
              <a:cs typeface="Arial"/>
            </a:rPr>
            <a:pPr marL="0" indent="0">
              <a:spcAft>
                <a:spcPts val="300"/>
              </a:spcAft>
              <a:buFont typeface="Arial" panose="020B0604020202020204" pitchFamily="34" charset="0"/>
              <a:buNone/>
            </a:pPr>
            <a:t>Composite hazard contains the following scenario weights:</a:t>
          </a:fld>
          <a:endParaRPr lang="en-US" sz="1100" baseline="0">
            <a:ln>
              <a:noFill/>
            </a:ln>
            <a:solidFill>
              <a:srgbClr val="0070C0"/>
            </a:solidFill>
            <a:latin typeface="Arial" panose="020B0604020202020204" pitchFamily="34" charset="0"/>
            <a:cs typeface="Arial" panose="020B0604020202020204" pitchFamily="34" charset="0"/>
          </a:endParaRPr>
        </a:p>
      </xdr:txBody>
    </xdr:sp>
    <xdr:clientData/>
  </xdr:oneCellAnchor>
  <mc:AlternateContent xmlns:mc="http://schemas.openxmlformats.org/markup-compatibility/2006">
    <mc:Choice xmlns:a14="http://schemas.microsoft.com/office/drawing/2010/main" Requires="a14">
      <xdr:twoCellAnchor>
        <xdr:from>
          <xdr:col>43</xdr:col>
          <xdr:colOff>104775</xdr:colOff>
          <xdr:row>5</xdr:row>
          <xdr:rowOff>180975</xdr:rowOff>
        </xdr:from>
        <xdr:to>
          <xdr:col>48</xdr:col>
          <xdr:colOff>152400</xdr:colOff>
          <xdr:row>8</xdr:row>
          <xdr:rowOff>114300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Transparent Background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104775</xdr:colOff>
          <xdr:row>9</xdr:row>
          <xdr:rowOff>28575</xdr:rowOff>
        </xdr:from>
        <xdr:to>
          <xdr:col>48</xdr:col>
          <xdr:colOff>152400</xdr:colOff>
          <xdr:row>11</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8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White</a:t>
              </a:r>
            </a:p>
            <a:p>
              <a:pPr algn="ctr" rtl="0">
                <a:defRPr sz="1000"/>
              </a:pPr>
              <a:r>
                <a:rPr lang="en-US" sz="1100" b="0" i="0" u="none" strike="noStrike" baseline="0">
                  <a:solidFill>
                    <a:srgbClr val="000000"/>
                  </a:solidFill>
                  <a:latin typeface="Calibri"/>
                  <a:ea typeface="Calibri"/>
                  <a:cs typeface="Calibri"/>
                </a:rPr>
                <a:t>Background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133349</xdr:colOff>
      <xdr:row>9</xdr:row>
      <xdr:rowOff>152366</xdr:rowOff>
    </xdr:from>
    <xdr:to>
      <xdr:col>4</xdr:col>
      <xdr:colOff>270082</xdr:colOff>
      <xdr:row>12</xdr:row>
      <xdr:rowOff>42818</xdr:rowOff>
    </xdr:to>
    <xdr:sp macro="" textlink="">
      <xdr:nvSpPr>
        <xdr:cNvPr id="28" name="NBCont">
          <a:extLst>
            <a:ext uri="{FF2B5EF4-FFF2-40B4-BE49-F238E27FC236}">
              <a16:creationId xmlns:a16="http://schemas.microsoft.com/office/drawing/2014/main" id="{00000000-0008-0000-0900-00001C000000}"/>
            </a:ext>
          </a:extLst>
        </xdr:cNvPr>
        <xdr:cNvSpPr/>
      </xdr:nvSpPr>
      <xdr:spPr>
        <a:xfrm>
          <a:off x="1076324" y="1866866"/>
          <a:ext cx="451058" cy="461952"/>
        </a:xfrm>
        <a:prstGeom prst="pie">
          <a:avLst>
            <a:gd name="adj1" fmla="val 19030585"/>
            <a:gd name="adj2" fmla="val 2260575"/>
          </a:avLst>
        </a:prstGeom>
        <a:solidFill>
          <a:srgbClr val="0070C0"/>
        </a:solidFill>
        <a:ln>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98469" tIns="49235" rIns="98469" bIns="49235"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solidFill>
              <a:schemeClr val="tx1"/>
            </a:solidFill>
            <a:latin typeface="Arial" pitchFamily="34" charset="0"/>
            <a:cs typeface="Arial" pitchFamily="34" charset="0"/>
          </a:endParaRPr>
        </a:p>
      </xdr:txBody>
    </xdr:sp>
    <xdr:clientData/>
  </xdr:twoCellAnchor>
  <xdr:twoCellAnchor editAs="oneCell">
    <xdr:from>
      <xdr:col>7</xdr:col>
      <xdr:colOff>266701</xdr:colOff>
      <xdr:row>10</xdr:row>
      <xdr:rowOff>140493</xdr:rowOff>
    </xdr:from>
    <xdr:to>
      <xdr:col>8</xdr:col>
      <xdr:colOff>50436</xdr:colOff>
      <xdr:row>11</xdr:row>
      <xdr:rowOff>46335</xdr:rowOff>
    </xdr:to>
    <xdr:sp macro="" textlink="">
      <xdr:nvSpPr>
        <xdr:cNvPr id="29" name="NBOval1">
          <a:extLst>
            <a:ext uri="{FF2B5EF4-FFF2-40B4-BE49-F238E27FC236}">
              <a16:creationId xmlns:a16="http://schemas.microsoft.com/office/drawing/2014/main" id="{00000000-0008-0000-0900-00001D000000}"/>
            </a:ext>
          </a:extLst>
        </xdr:cNvPr>
        <xdr:cNvSpPr/>
      </xdr:nvSpPr>
      <xdr:spPr>
        <a:xfrm>
          <a:off x="2466976" y="2045493"/>
          <a:ext cx="98060" cy="9634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209551</xdr:colOff>
      <xdr:row>10</xdr:row>
      <xdr:rowOff>142876</xdr:rowOff>
    </xdr:from>
    <xdr:to>
      <xdr:col>15</xdr:col>
      <xdr:colOff>50436</xdr:colOff>
      <xdr:row>11</xdr:row>
      <xdr:rowOff>48718</xdr:rowOff>
    </xdr:to>
    <xdr:sp macro="" textlink="">
      <xdr:nvSpPr>
        <xdr:cNvPr id="30" name="NBOval2">
          <a:extLst>
            <a:ext uri="{FF2B5EF4-FFF2-40B4-BE49-F238E27FC236}">
              <a16:creationId xmlns:a16="http://schemas.microsoft.com/office/drawing/2014/main" id="{00000000-0008-0000-0900-00001E000000}"/>
            </a:ext>
          </a:extLst>
        </xdr:cNvPr>
        <xdr:cNvSpPr/>
      </xdr:nvSpPr>
      <xdr:spPr>
        <a:xfrm>
          <a:off x="4267201" y="2047876"/>
          <a:ext cx="98060" cy="9634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22</xdr:col>
      <xdr:colOff>2382</xdr:colOff>
      <xdr:row>10</xdr:row>
      <xdr:rowOff>59531</xdr:rowOff>
    </xdr:from>
    <xdr:to>
      <xdr:col>22</xdr:col>
      <xdr:colOff>222957</xdr:colOff>
      <xdr:row>11</xdr:row>
      <xdr:rowOff>134207</xdr:rowOff>
    </xdr:to>
    <xdr:sp macro="" textlink="">
      <xdr:nvSpPr>
        <xdr:cNvPr id="32" name="NBTri1">
          <a:extLst>
            <a:ext uri="{FF2B5EF4-FFF2-40B4-BE49-F238E27FC236}">
              <a16:creationId xmlns:a16="http://schemas.microsoft.com/office/drawing/2014/main" id="{00000000-0008-0000-0900-000020000000}"/>
            </a:ext>
          </a:extLst>
        </xdr:cNvPr>
        <xdr:cNvSpPr/>
      </xdr:nvSpPr>
      <xdr:spPr>
        <a:xfrm rot="16200000">
          <a:off x="6095132" y="1986831"/>
          <a:ext cx="265176" cy="220575"/>
        </a:xfrm>
        <a:prstGeom prst="triangle">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15</xdr:row>
      <xdr:rowOff>0</xdr:rowOff>
    </xdr:from>
    <xdr:to>
      <xdr:col>22</xdr:col>
      <xdr:colOff>250567</xdr:colOff>
      <xdr:row>21</xdr:row>
      <xdr:rowOff>19052</xdr:rowOff>
    </xdr:to>
    <xdr:sp macro="" textlink="'Project Event Tree Input'!A123">
      <xdr:nvSpPr>
        <xdr:cNvPr id="90" name="CompNBConsTextBox">
          <a:extLst>
            <a:ext uri="{FF2B5EF4-FFF2-40B4-BE49-F238E27FC236}">
              <a16:creationId xmlns:a16="http://schemas.microsoft.com/office/drawing/2014/main" id="{00000000-0008-0000-0900-00005A000000}"/>
            </a:ext>
          </a:extLst>
        </xdr:cNvPr>
        <xdr:cNvSpPr txBox="1"/>
      </xdr:nvSpPr>
      <xdr:spPr>
        <a:xfrm>
          <a:off x="2514600" y="2857500"/>
          <a:ext cx="3851017" cy="1162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Aft>
              <a:spcPts val="300"/>
            </a:spcAft>
            <a:buFont typeface="Arial" panose="020B0604020202020204" pitchFamily="34" charset="0"/>
            <a:buNone/>
          </a:pPr>
          <a:fld id="{9B3D7554-CB24-48E6-9E5E-35CA38B862D9}" type="TxLink">
            <a:rPr lang="en-US" sz="1000" b="0" i="0" u="none" strike="noStrike" baseline="0">
              <a:ln>
                <a:noFill/>
              </a:ln>
              <a:solidFill>
                <a:srgbClr val="0070C0"/>
              </a:solidFill>
              <a:latin typeface="Arial"/>
              <a:cs typeface="Arial"/>
            </a:rPr>
            <a:pPr marL="0" indent="0">
              <a:spcAft>
                <a:spcPts val="300"/>
              </a:spcAft>
              <a:buFont typeface="Arial" panose="020B0604020202020204" pitchFamily="34" charset="0"/>
              <a:buNone/>
            </a:pPr>
            <a:t>Composite life loss consequences contain the following weights: 
•  Day Exposure: 0.45
•  Night Exposure: 0.55
Economic costs are not weighted by exposure.</a:t>
          </a:fld>
          <a:endParaRPr lang="en-US" baseline="0">
            <a:ln>
              <a:noFill/>
            </a:ln>
            <a:solidFill>
              <a:srgbClr val="0070C0"/>
            </a:solidFill>
            <a:latin typeface="Arial" panose="020B0604020202020204" pitchFamily="34" charset="0"/>
            <a:cs typeface="Arial" panose="020B0604020202020204" pitchFamily="34" charset="0"/>
          </a:endParaRPr>
        </a:p>
      </xdr:txBody>
    </xdr:sp>
    <xdr:clientData/>
  </xdr:twoCellAnchor>
  <xdr:twoCellAnchor editAs="oneCell">
    <xdr:from>
      <xdr:col>7</xdr:col>
      <xdr:colOff>265452</xdr:colOff>
      <xdr:row>36</xdr:row>
      <xdr:rowOff>145959</xdr:rowOff>
    </xdr:from>
    <xdr:to>
      <xdr:col>8</xdr:col>
      <xdr:colOff>49278</xdr:colOff>
      <xdr:row>37</xdr:row>
      <xdr:rowOff>51021</xdr:rowOff>
    </xdr:to>
    <xdr:sp macro="" textlink="">
      <xdr:nvSpPr>
        <xdr:cNvPr id="66" name="Oval 66">
          <a:extLst>
            <a:ext uri="{FF2B5EF4-FFF2-40B4-BE49-F238E27FC236}">
              <a16:creationId xmlns:a16="http://schemas.microsoft.com/office/drawing/2014/main" id="{00000000-0008-0000-0900-000042000000}"/>
            </a:ext>
          </a:extLst>
        </xdr:cNvPr>
        <xdr:cNvSpPr/>
      </xdr:nvSpPr>
      <xdr:spPr>
        <a:xfrm>
          <a:off x="2465727" y="700395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265452</xdr:colOff>
      <xdr:row>41</xdr:row>
      <xdr:rowOff>145959</xdr:rowOff>
    </xdr:from>
    <xdr:to>
      <xdr:col>8</xdr:col>
      <xdr:colOff>49278</xdr:colOff>
      <xdr:row>42</xdr:row>
      <xdr:rowOff>51021</xdr:rowOff>
    </xdr:to>
    <xdr:sp macro="" textlink="">
      <xdr:nvSpPr>
        <xdr:cNvPr id="67" name="Oval 67" hidden="1">
          <a:extLst>
            <a:ext uri="{FF2B5EF4-FFF2-40B4-BE49-F238E27FC236}">
              <a16:creationId xmlns:a16="http://schemas.microsoft.com/office/drawing/2014/main" id="{00000000-0008-0000-0900-000043000000}"/>
            </a:ext>
          </a:extLst>
        </xdr:cNvPr>
        <xdr:cNvSpPr/>
      </xdr:nvSpPr>
      <xdr:spPr>
        <a:xfrm>
          <a:off x="2465727" y="795645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46</xdr:row>
      <xdr:rowOff>143578</xdr:rowOff>
    </xdr:from>
    <xdr:to>
      <xdr:col>8</xdr:col>
      <xdr:colOff>49277</xdr:colOff>
      <xdr:row>47</xdr:row>
      <xdr:rowOff>48640</xdr:rowOff>
    </xdr:to>
    <xdr:sp macro="" textlink="">
      <xdr:nvSpPr>
        <xdr:cNvPr id="68" name="Oval 68" hidden="1">
          <a:extLst>
            <a:ext uri="{FF2B5EF4-FFF2-40B4-BE49-F238E27FC236}">
              <a16:creationId xmlns:a16="http://schemas.microsoft.com/office/drawing/2014/main" id="{00000000-0008-0000-0900-000044000000}"/>
            </a:ext>
          </a:extLst>
        </xdr:cNvPr>
        <xdr:cNvSpPr/>
      </xdr:nvSpPr>
      <xdr:spPr>
        <a:xfrm>
          <a:off x="2465726" y="890657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51</xdr:row>
      <xdr:rowOff>143579</xdr:rowOff>
    </xdr:from>
    <xdr:to>
      <xdr:col>8</xdr:col>
      <xdr:colOff>49277</xdr:colOff>
      <xdr:row>52</xdr:row>
      <xdr:rowOff>48641</xdr:rowOff>
    </xdr:to>
    <xdr:sp macro="" textlink="">
      <xdr:nvSpPr>
        <xdr:cNvPr id="69" name="Oval 69" hidden="1">
          <a:extLst>
            <a:ext uri="{FF2B5EF4-FFF2-40B4-BE49-F238E27FC236}">
              <a16:creationId xmlns:a16="http://schemas.microsoft.com/office/drawing/2014/main" id="{00000000-0008-0000-0900-000045000000}"/>
            </a:ext>
          </a:extLst>
        </xdr:cNvPr>
        <xdr:cNvSpPr/>
      </xdr:nvSpPr>
      <xdr:spPr>
        <a:xfrm>
          <a:off x="2465726" y="985907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56</xdr:row>
      <xdr:rowOff>143579</xdr:rowOff>
    </xdr:from>
    <xdr:to>
      <xdr:col>8</xdr:col>
      <xdr:colOff>49277</xdr:colOff>
      <xdr:row>57</xdr:row>
      <xdr:rowOff>48641</xdr:rowOff>
    </xdr:to>
    <xdr:sp macro="" textlink="">
      <xdr:nvSpPr>
        <xdr:cNvPr id="70" name="Oval 70" hidden="1">
          <a:extLst>
            <a:ext uri="{FF2B5EF4-FFF2-40B4-BE49-F238E27FC236}">
              <a16:creationId xmlns:a16="http://schemas.microsoft.com/office/drawing/2014/main" id="{00000000-0008-0000-0900-000046000000}"/>
            </a:ext>
          </a:extLst>
        </xdr:cNvPr>
        <xdr:cNvSpPr/>
      </xdr:nvSpPr>
      <xdr:spPr>
        <a:xfrm>
          <a:off x="2465726" y="1081157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265452</xdr:colOff>
      <xdr:row>61</xdr:row>
      <xdr:rowOff>143577</xdr:rowOff>
    </xdr:from>
    <xdr:to>
      <xdr:col>8</xdr:col>
      <xdr:colOff>49278</xdr:colOff>
      <xdr:row>62</xdr:row>
      <xdr:rowOff>48639</xdr:rowOff>
    </xdr:to>
    <xdr:sp macro="" textlink="">
      <xdr:nvSpPr>
        <xdr:cNvPr id="71" name="Oval 71" hidden="1">
          <a:extLst>
            <a:ext uri="{FF2B5EF4-FFF2-40B4-BE49-F238E27FC236}">
              <a16:creationId xmlns:a16="http://schemas.microsoft.com/office/drawing/2014/main" id="{00000000-0008-0000-0900-000047000000}"/>
            </a:ext>
          </a:extLst>
        </xdr:cNvPr>
        <xdr:cNvSpPr/>
      </xdr:nvSpPr>
      <xdr:spPr>
        <a:xfrm>
          <a:off x="2465727" y="11764077"/>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265452</xdr:colOff>
      <xdr:row>66</xdr:row>
      <xdr:rowOff>143577</xdr:rowOff>
    </xdr:from>
    <xdr:to>
      <xdr:col>8</xdr:col>
      <xdr:colOff>49278</xdr:colOff>
      <xdr:row>67</xdr:row>
      <xdr:rowOff>48639</xdr:rowOff>
    </xdr:to>
    <xdr:sp macro="" textlink="">
      <xdr:nvSpPr>
        <xdr:cNvPr id="72" name="Oval 72" hidden="1">
          <a:extLst>
            <a:ext uri="{FF2B5EF4-FFF2-40B4-BE49-F238E27FC236}">
              <a16:creationId xmlns:a16="http://schemas.microsoft.com/office/drawing/2014/main" id="{00000000-0008-0000-0900-000048000000}"/>
            </a:ext>
          </a:extLst>
        </xdr:cNvPr>
        <xdr:cNvSpPr/>
      </xdr:nvSpPr>
      <xdr:spPr>
        <a:xfrm>
          <a:off x="2465727" y="12716577"/>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71</xdr:row>
      <xdr:rowOff>141196</xdr:rowOff>
    </xdr:from>
    <xdr:to>
      <xdr:col>8</xdr:col>
      <xdr:colOff>49277</xdr:colOff>
      <xdr:row>72</xdr:row>
      <xdr:rowOff>46258</xdr:rowOff>
    </xdr:to>
    <xdr:sp macro="" textlink="">
      <xdr:nvSpPr>
        <xdr:cNvPr id="73" name="Oval 73" hidden="1">
          <a:extLst>
            <a:ext uri="{FF2B5EF4-FFF2-40B4-BE49-F238E27FC236}">
              <a16:creationId xmlns:a16="http://schemas.microsoft.com/office/drawing/2014/main" id="{00000000-0008-0000-0900-000049000000}"/>
            </a:ext>
          </a:extLst>
        </xdr:cNvPr>
        <xdr:cNvSpPr/>
      </xdr:nvSpPr>
      <xdr:spPr>
        <a:xfrm>
          <a:off x="2465726" y="136666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76</xdr:row>
      <xdr:rowOff>141197</xdr:rowOff>
    </xdr:from>
    <xdr:to>
      <xdr:col>8</xdr:col>
      <xdr:colOff>49277</xdr:colOff>
      <xdr:row>77</xdr:row>
      <xdr:rowOff>46259</xdr:rowOff>
    </xdr:to>
    <xdr:sp macro="" textlink="">
      <xdr:nvSpPr>
        <xdr:cNvPr id="74" name="Oval 74" hidden="1">
          <a:extLst>
            <a:ext uri="{FF2B5EF4-FFF2-40B4-BE49-F238E27FC236}">
              <a16:creationId xmlns:a16="http://schemas.microsoft.com/office/drawing/2014/main" id="{00000000-0008-0000-0900-00004A000000}"/>
            </a:ext>
          </a:extLst>
        </xdr:cNvPr>
        <xdr:cNvSpPr/>
      </xdr:nvSpPr>
      <xdr:spPr>
        <a:xfrm>
          <a:off x="2465726" y="14619197"/>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81</xdr:row>
      <xdr:rowOff>141197</xdr:rowOff>
    </xdr:from>
    <xdr:to>
      <xdr:col>8</xdr:col>
      <xdr:colOff>49277</xdr:colOff>
      <xdr:row>82</xdr:row>
      <xdr:rowOff>46259</xdr:rowOff>
    </xdr:to>
    <xdr:sp macro="" textlink="">
      <xdr:nvSpPr>
        <xdr:cNvPr id="75" name="Oval 75" hidden="1">
          <a:extLst>
            <a:ext uri="{FF2B5EF4-FFF2-40B4-BE49-F238E27FC236}">
              <a16:creationId xmlns:a16="http://schemas.microsoft.com/office/drawing/2014/main" id="{00000000-0008-0000-0900-00004B000000}"/>
            </a:ext>
          </a:extLst>
        </xdr:cNvPr>
        <xdr:cNvSpPr/>
      </xdr:nvSpPr>
      <xdr:spPr>
        <a:xfrm>
          <a:off x="2465726" y="15571697"/>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265452</xdr:colOff>
      <xdr:row>86</xdr:row>
      <xdr:rowOff>143578</xdr:rowOff>
    </xdr:from>
    <xdr:to>
      <xdr:col>8</xdr:col>
      <xdr:colOff>49278</xdr:colOff>
      <xdr:row>87</xdr:row>
      <xdr:rowOff>48640</xdr:rowOff>
    </xdr:to>
    <xdr:sp macro="" textlink="">
      <xdr:nvSpPr>
        <xdr:cNvPr id="76" name="Oval 76" hidden="1">
          <a:extLst>
            <a:ext uri="{FF2B5EF4-FFF2-40B4-BE49-F238E27FC236}">
              <a16:creationId xmlns:a16="http://schemas.microsoft.com/office/drawing/2014/main" id="{00000000-0008-0000-0900-00004C000000}"/>
            </a:ext>
          </a:extLst>
        </xdr:cNvPr>
        <xdr:cNvSpPr/>
      </xdr:nvSpPr>
      <xdr:spPr>
        <a:xfrm>
          <a:off x="2465727" y="1652657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265452</xdr:colOff>
      <xdr:row>91</xdr:row>
      <xdr:rowOff>143578</xdr:rowOff>
    </xdr:from>
    <xdr:to>
      <xdr:col>8</xdr:col>
      <xdr:colOff>49278</xdr:colOff>
      <xdr:row>92</xdr:row>
      <xdr:rowOff>48640</xdr:rowOff>
    </xdr:to>
    <xdr:sp macro="" textlink="">
      <xdr:nvSpPr>
        <xdr:cNvPr id="77" name="Oval 77" hidden="1">
          <a:extLst>
            <a:ext uri="{FF2B5EF4-FFF2-40B4-BE49-F238E27FC236}">
              <a16:creationId xmlns:a16="http://schemas.microsoft.com/office/drawing/2014/main" id="{00000000-0008-0000-0900-00004D000000}"/>
            </a:ext>
          </a:extLst>
        </xdr:cNvPr>
        <xdr:cNvSpPr/>
      </xdr:nvSpPr>
      <xdr:spPr>
        <a:xfrm>
          <a:off x="2465727" y="1747907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96</xdr:row>
      <xdr:rowOff>141197</xdr:rowOff>
    </xdr:from>
    <xdr:to>
      <xdr:col>8</xdr:col>
      <xdr:colOff>49277</xdr:colOff>
      <xdr:row>97</xdr:row>
      <xdr:rowOff>46259</xdr:rowOff>
    </xdr:to>
    <xdr:sp macro="" textlink="">
      <xdr:nvSpPr>
        <xdr:cNvPr id="78" name="Oval 78" hidden="1">
          <a:extLst>
            <a:ext uri="{FF2B5EF4-FFF2-40B4-BE49-F238E27FC236}">
              <a16:creationId xmlns:a16="http://schemas.microsoft.com/office/drawing/2014/main" id="{00000000-0008-0000-0900-00004E000000}"/>
            </a:ext>
          </a:extLst>
        </xdr:cNvPr>
        <xdr:cNvSpPr/>
      </xdr:nvSpPr>
      <xdr:spPr>
        <a:xfrm>
          <a:off x="2465726" y="18429197"/>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101</xdr:row>
      <xdr:rowOff>141198</xdr:rowOff>
    </xdr:from>
    <xdr:to>
      <xdr:col>8</xdr:col>
      <xdr:colOff>49277</xdr:colOff>
      <xdr:row>102</xdr:row>
      <xdr:rowOff>46260</xdr:rowOff>
    </xdr:to>
    <xdr:sp macro="" textlink="">
      <xdr:nvSpPr>
        <xdr:cNvPr id="79" name="Oval 79" hidden="1">
          <a:extLst>
            <a:ext uri="{FF2B5EF4-FFF2-40B4-BE49-F238E27FC236}">
              <a16:creationId xmlns:a16="http://schemas.microsoft.com/office/drawing/2014/main" id="{00000000-0008-0000-0900-00004F000000}"/>
            </a:ext>
          </a:extLst>
        </xdr:cNvPr>
        <xdr:cNvSpPr/>
      </xdr:nvSpPr>
      <xdr:spPr>
        <a:xfrm>
          <a:off x="2465726" y="1938169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106</xdr:row>
      <xdr:rowOff>141198</xdr:rowOff>
    </xdr:from>
    <xdr:to>
      <xdr:col>8</xdr:col>
      <xdr:colOff>49277</xdr:colOff>
      <xdr:row>107</xdr:row>
      <xdr:rowOff>46260</xdr:rowOff>
    </xdr:to>
    <xdr:sp macro="" textlink="">
      <xdr:nvSpPr>
        <xdr:cNvPr id="80" name="Oval 80" hidden="1">
          <a:extLst>
            <a:ext uri="{FF2B5EF4-FFF2-40B4-BE49-F238E27FC236}">
              <a16:creationId xmlns:a16="http://schemas.microsoft.com/office/drawing/2014/main" id="{00000000-0008-0000-0900-000050000000}"/>
            </a:ext>
          </a:extLst>
        </xdr:cNvPr>
        <xdr:cNvSpPr/>
      </xdr:nvSpPr>
      <xdr:spPr>
        <a:xfrm>
          <a:off x="2465726" y="2033419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265452</xdr:colOff>
      <xdr:row>111</xdr:row>
      <xdr:rowOff>143579</xdr:rowOff>
    </xdr:from>
    <xdr:to>
      <xdr:col>8</xdr:col>
      <xdr:colOff>49278</xdr:colOff>
      <xdr:row>112</xdr:row>
      <xdr:rowOff>48641</xdr:rowOff>
    </xdr:to>
    <xdr:sp macro="" textlink="">
      <xdr:nvSpPr>
        <xdr:cNvPr id="81" name="Oval 81" hidden="1">
          <a:extLst>
            <a:ext uri="{FF2B5EF4-FFF2-40B4-BE49-F238E27FC236}">
              <a16:creationId xmlns:a16="http://schemas.microsoft.com/office/drawing/2014/main" id="{00000000-0008-0000-0900-000051000000}"/>
            </a:ext>
          </a:extLst>
        </xdr:cNvPr>
        <xdr:cNvSpPr/>
      </xdr:nvSpPr>
      <xdr:spPr>
        <a:xfrm>
          <a:off x="2465727" y="2128907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265452</xdr:colOff>
      <xdr:row>116</xdr:row>
      <xdr:rowOff>143579</xdr:rowOff>
    </xdr:from>
    <xdr:to>
      <xdr:col>8</xdr:col>
      <xdr:colOff>49278</xdr:colOff>
      <xdr:row>117</xdr:row>
      <xdr:rowOff>48641</xdr:rowOff>
    </xdr:to>
    <xdr:sp macro="" textlink="">
      <xdr:nvSpPr>
        <xdr:cNvPr id="82" name="Oval 82" hidden="1">
          <a:extLst>
            <a:ext uri="{FF2B5EF4-FFF2-40B4-BE49-F238E27FC236}">
              <a16:creationId xmlns:a16="http://schemas.microsoft.com/office/drawing/2014/main" id="{00000000-0008-0000-0900-000052000000}"/>
            </a:ext>
          </a:extLst>
        </xdr:cNvPr>
        <xdr:cNvSpPr/>
      </xdr:nvSpPr>
      <xdr:spPr>
        <a:xfrm>
          <a:off x="2465727" y="2224157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121</xdr:row>
      <xdr:rowOff>141198</xdr:rowOff>
    </xdr:from>
    <xdr:to>
      <xdr:col>8</xdr:col>
      <xdr:colOff>49277</xdr:colOff>
      <xdr:row>122</xdr:row>
      <xdr:rowOff>46260</xdr:rowOff>
    </xdr:to>
    <xdr:sp macro="" textlink="">
      <xdr:nvSpPr>
        <xdr:cNvPr id="83" name="Oval 83" hidden="1">
          <a:extLst>
            <a:ext uri="{FF2B5EF4-FFF2-40B4-BE49-F238E27FC236}">
              <a16:creationId xmlns:a16="http://schemas.microsoft.com/office/drawing/2014/main" id="{00000000-0008-0000-0900-000053000000}"/>
            </a:ext>
          </a:extLst>
        </xdr:cNvPr>
        <xdr:cNvSpPr/>
      </xdr:nvSpPr>
      <xdr:spPr>
        <a:xfrm>
          <a:off x="2465726" y="2319169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126</xdr:row>
      <xdr:rowOff>141199</xdr:rowOff>
    </xdr:from>
    <xdr:to>
      <xdr:col>8</xdr:col>
      <xdr:colOff>49277</xdr:colOff>
      <xdr:row>127</xdr:row>
      <xdr:rowOff>46261</xdr:rowOff>
    </xdr:to>
    <xdr:sp macro="" textlink="">
      <xdr:nvSpPr>
        <xdr:cNvPr id="84" name="Oval 84" hidden="1">
          <a:extLst>
            <a:ext uri="{FF2B5EF4-FFF2-40B4-BE49-F238E27FC236}">
              <a16:creationId xmlns:a16="http://schemas.microsoft.com/office/drawing/2014/main" id="{00000000-0008-0000-0900-000054000000}"/>
            </a:ext>
          </a:extLst>
        </xdr:cNvPr>
        <xdr:cNvSpPr/>
      </xdr:nvSpPr>
      <xdr:spPr>
        <a:xfrm>
          <a:off x="2465726" y="2414419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131</xdr:row>
      <xdr:rowOff>141199</xdr:rowOff>
    </xdr:from>
    <xdr:to>
      <xdr:col>8</xdr:col>
      <xdr:colOff>49277</xdr:colOff>
      <xdr:row>132</xdr:row>
      <xdr:rowOff>46261</xdr:rowOff>
    </xdr:to>
    <xdr:sp macro="" textlink="">
      <xdr:nvSpPr>
        <xdr:cNvPr id="85" name="Oval 85" hidden="1">
          <a:extLst>
            <a:ext uri="{FF2B5EF4-FFF2-40B4-BE49-F238E27FC236}">
              <a16:creationId xmlns:a16="http://schemas.microsoft.com/office/drawing/2014/main" id="{00000000-0008-0000-0900-000055000000}"/>
            </a:ext>
          </a:extLst>
        </xdr:cNvPr>
        <xdr:cNvSpPr/>
      </xdr:nvSpPr>
      <xdr:spPr>
        <a:xfrm>
          <a:off x="2465726" y="2509669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265450</xdr:colOff>
      <xdr:row>136</xdr:row>
      <xdr:rowOff>143579</xdr:rowOff>
    </xdr:from>
    <xdr:to>
      <xdr:col>8</xdr:col>
      <xdr:colOff>49276</xdr:colOff>
      <xdr:row>137</xdr:row>
      <xdr:rowOff>48641</xdr:rowOff>
    </xdr:to>
    <xdr:sp macro="" textlink="">
      <xdr:nvSpPr>
        <xdr:cNvPr id="86" name="Oval 86" hidden="1">
          <a:extLst>
            <a:ext uri="{FF2B5EF4-FFF2-40B4-BE49-F238E27FC236}">
              <a16:creationId xmlns:a16="http://schemas.microsoft.com/office/drawing/2014/main" id="{00000000-0008-0000-0900-000056000000}"/>
            </a:ext>
          </a:extLst>
        </xdr:cNvPr>
        <xdr:cNvSpPr/>
      </xdr:nvSpPr>
      <xdr:spPr>
        <a:xfrm>
          <a:off x="2465725" y="2605157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265450</xdr:colOff>
      <xdr:row>141</xdr:row>
      <xdr:rowOff>143579</xdr:rowOff>
    </xdr:from>
    <xdr:to>
      <xdr:col>8</xdr:col>
      <xdr:colOff>49276</xdr:colOff>
      <xdr:row>142</xdr:row>
      <xdr:rowOff>48641</xdr:rowOff>
    </xdr:to>
    <xdr:sp macro="" textlink="">
      <xdr:nvSpPr>
        <xdr:cNvPr id="87" name="Oval 87" hidden="1">
          <a:extLst>
            <a:ext uri="{FF2B5EF4-FFF2-40B4-BE49-F238E27FC236}">
              <a16:creationId xmlns:a16="http://schemas.microsoft.com/office/drawing/2014/main" id="{00000000-0008-0000-0900-000057000000}"/>
            </a:ext>
          </a:extLst>
        </xdr:cNvPr>
        <xdr:cNvSpPr/>
      </xdr:nvSpPr>
      <xdr:spPr>
        <a:xfrm>
          <a:off x="2465725" y="2700407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265449</xdr:colOff>
      <xdr:row>146</xdr:row>
      <xdr:rowOff>141198</xdr:rowOff>
    </xdr:from>
    <xdr:to>
      <xdr:col>8</xdr:col>
      <xdr:colOff>49275</xdr:colOff>
      <xdr:row>147</xdr:row>
      <xdr:rowOff>46260</xdr:rowOff>
    </xdr:to>
    <xdr:sp macro="" textlink="">
      <xdr:nvSpPr>
        <xdr:cNvPr id="88" name="Oval 88" hidden="1">
          <a:extLst>
            <a:ext uri="{FF2B5EF4-FFF2-40B4-BE49-F238E27FC236}">
              <a16:creationId xmlns:a16="http://schemas.microsoft.com/office/drawing/2014/main" id="{00000000-0008-0000-0900-000058000000}"/>
            </a:ext>
          </a:extLst>
        </xdr:cNvPr>
        <xdr:cNvSpPr/>
      </xdr:nvSpPr>
      <xdr:spPr>
        <a:xfrm>
          <a:off x="2465724" y="2795419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265449</xdr:colOff>
      <xdr:row>151</xdr:row>
      <xdr:rowOff>141199</xdr:rowOff>
    </xdr:from>
    <xdr:to>
      <xdr:col>8</xdr:col>
      <xdr:colOff>49275</xdr:colOff>
      <xdr:row>152</xdr:row>
      <xdr:rowOff>46261</xdr:rowOff>
    </xdr:to>
    <xdr:sp macro="" textlink="">
      <xdr:nvSpPr>
        <xdr:cNvPr id="89" name="Oval 89" hidden="1">
          <a:extLst>
            <a:ext uri="{FF2B5EF4-FFF2-40B4-BE49-F238E27FC236}">
              <a16:creationId xmlns:a16="http://schemas.microsoft.com/office/drawing/2014/main" id="{00000000-0008-0000-0900-000059000000}"/>
            </a:ext>
          </a:extLst>
        </xdr:cNvPr>
        <xdr:cNvSpPr/>
      </xdr:nvSpPr>
      <xdr:spPr>
        <a:xfrm>
          <a:off x="2465724" y="2890669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265449</xdr:colOff>
      <xdr:row>156</xdr:row>
      <xdr:rowOff>141199</xdr:rowOff>
    </xdr:from>
    <xdr:to>
      <xdr:col>8</xdr:col>
      <xdr:colOff>49275</xdr:colOff>
      <xdr:row>157</xdr:row>
      <xdr:rowOff>46261</xdr:rowOff>
    </xdr:to>
    <xdr:sp macro="" textlink="">
      <xdr:nvSpPr>
        <xdr:cNvPr id="91" name="Oval 90" hidden="1">
          <a:extLst>
            <a:ext uri="{FF2B5EF4-FFF2-40B4-BE49-F238E27FC236}">
              <a16:creationId xmlns:a16="http://schemas.microsoft.com/office/drawing/2014/main" id="{00000000-0008-0000-0900-00005B000000}"/>
            </a:ext>
          </a:extLst>
        </xdr:cNvPr>
        <xdr:cNvSpPr/>
      </xdr:nvSpPr>
      <xdr:spPr>
        <a:xfrm>
          <a:off x="2465724" y="2985919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265452</xdr:colOff>
      <xdr:row>161</xdr:row>
      <xdr:rowOff>143579</xdr:rowOff>
    </xdr:from>
    <xdr:to>
      <xdr:col>8</xdr:col>
      <xdr:colOff>49278</xdr:colOff>
      <xdr:row>162</xdr:row>
      <xdr:rowOff>48641</xdr:rowOff>
    </xdr:to>
    <xdr:sp macro="" textlink="">
      <xdr:nvSpPr>
        <xdr:cNvPr id="92" name="Oval 91" hidden="1">
          <a:extLst>
            <a:ext uri="{FF2B5EF4-FFF2-40B4-BE49-F238E27FC236}">
              <a16:creationId xmlns:a16="http://schemas.microsoft.com/office/drawing/2014/main" id="{00000000-0008-0000-0900-00005C000000}"/>
            </a:ext>
          </a:extLst>
        </xdr:cNvPr>
        <xdr:cNvSpPr/>
      </xdr:nvSpPr>
      <xdr:spPr>
        <a:xfrm>
          <a:off x="2465727" y="3081407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265452</xdr:colOff>
      <xdr:row>166</xdr:row>
      <xdr:rowOff>143579</xdr:rowOff>
    </xdr:from>
    <xdr:to>
      <xdr:col>8</xdr:col>
      <xdr:colOff>49278</xdr:colOff>
      <xdr:row>167</xdr:row>
      <xdr:rowOff>48641</xdr:rowOff>
    </xdr:to>
    <xdr:sp macro="" textlink="">
      <xdr:nvSpPr>
        <xdr:cNvPr id="93" name="Oval 92" hidden="1">
          <a:extLst>
            <a:ext uri="{FF2B5EF4-FFF2-40B4-BE49-F238E27FC236}">
              <a16:creationId xmlns:a16="http://schemas.microsoft.com/office/drawing/2014/main" id="{00000000-0008-0000-0900-00005D000000}"/>
            </a:ext>
          </a:extLst>
        </xdr:cNvPr>
        <xdr:cNvSpPr/>
      </xdr:nvSpPr>
      <xdr:spPr>
        <a:xfrm>
          <a:off x="2465727" y="3176657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171</xdr:row>
      <xdr:rowOff>141198</xdr:rowOff>
    </xdr:from>
    <xdr:to>
      <xdr:col>8</xdr:col>
      <xdr:colOff>49277</xdr:colOff>
      <xdr:row>172</xdr:row>
      <xdr:rowOff>46260</xdr:rowOff>
    </xdr:to>
    <xdr:sp macro="" textlink="">
      <xdr:nvSpPr>
        <xdr:cNvPr id="94" name="Oval 93" hidden="1">
          <a:extLst>
            <a:ext uri="{FF2B5EF4-FFF2-40B4-BE49-F238E27FC236}">
              <a16:creationId xmlns:a16="http://schemas.microsoft.com/office/drawing/2014/main" id="{00000000-0008-0000-0900-00005E000000}"/>
            </a:ext>
          </a:extLst>
        </xdr:cNvPr>
        <xdr:cNvSpPr/>
      </xdr:nvSpPr>
      <xdr:spPr>
        <a:xfrm>
          <a:off x="2465726" y="3271669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176</xdr:row>
      <xdr:rowOff>141199</xdr:rowOff>
    </xdr:from>
    <xdr:to>
      <xdr:col>8</xdr:col>
      <xdr:colOff>49277</xdr:colOff>
      <xdr:row>177</xdr:row>
      <xdr:rowOff>46261</xdr:rowOff>
    </xdr:to>
    <xdr:sp macro="" textlink="">
      <xdr:nvSpPr>
        <xdr:cNvPr id="95" name="Oval 94" hidden="1">
          <a:extLst>
            <a:ext uri="{FF2B5EF4-FFF2-40B4-BE49-F238E27FC236}">
              <a16:creationId xmlns:a16="http://schemas.microsoft.com/office/drawing/2014/main" id="{00000000-0008-0000-0900-00005F000000}"/>
            </a:ext>
          </a:extLst>
        </xdr:cNvPr>
        <xdr:cNvSpPr/>
      </xdr:nvSpPr>
      <xdr:spPr>
        <a:xfrm>
          <a:off x="2465726" y="3366919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181</xdr:row>
      <xdr:rowOff>141199</xdr:rowOff>
    </xdr:from>
    <xdr:to>
      <xdr:col>8</xdr:col>
      <xdr:colOff>49277</xdr:colOff>
      <xdr:row>182</xdr:row>
      <xdr:rowOff>46261</xdr:rowOff>
    </xdr:to>
    <xdr:sp macro="" textlink="">
      <xdr:nvSpPr>
        <xdr:cNvPr id="96" name="Oval 95" hidden="1">
          <a:extLst>
            <a:ext uri="{FF2B5EF4-FFF2-40B4-BE49-F238E27FC236}">
              <a16:creationId xmlns:a16="http://schemas.microsoft.com/office/drawing/2014/main" id="{00000000-0008-0000-0900-000060000000}"/>
            </a:ext>
          </a:extLst>
        </xdr:cNvPr>
        <xdr:cNvSpPr/>
      </xdr:nvSpPr>
      <xdr:spPr>
        <a:xfrm>
          <a:off x="2465726" y="3462169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265452</xdr:colOff>
      <xdr:row>186</xdr:row>
      <xdr:rowOff>143579</xdr:rowOff>
    </xdr:from>
    <xdr:to>
      <xdr:col>8</xdr:col>
      <xdr:colOff>49278</xdr:colOff>
      <xdr:row>187</xdr:row>
      <xdr:rowOff>48641</xdr:rowOff>
    </xdr:to>
    <xdr:sp macro="" textlink="">
      <xdr:nvSpPr>
        <xdr:cNvPr id="97" name="Oval 96" hidden="1">
          <a:extLst>
            <a:ext uri="{FF2B5EF4-FFF2-40B4-BE49-F238E27FC236}">
              <a16:creationId xmlns:a16="http://schemas.microsoft.com/office/drawing/2014/main" id="{00000000-0008-0000-0900-000061000000}"/>
            </a:ext>
          </a:extLst>
        </xdr:cNvPr>
        <xdr:cNvSpPr/>
      </xdr:nvSpPr>
      <xdr:spPr>
        <a:xfrm>
          <a:off x="2465727" y="3557657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265452</xdr:colOff>
      <xdr:row>191</xdr:row>
      <xdr:rowOff>143579</xdr:rowOff>
    </xdr:from>
    <xdr:to>
      <xdr:col>8</xdr:col>
      <xdr:colOff>49278</xdr:colOff>
      <xdr:row>192</xdr:row>
      <xdr:rowOff>48641</xdr:rowOff>
    </xdr:to>
    <xdr:sp macro="" textlink="">
      <xdr:nvSpPr>
        <xdr:cNvPr id="98" name="Oval 97" hidden="1">
          <a:extLst>
            <a:ext uri="{FF2B5EF4-FFF2-40B4-BE49-F238E27FC236}">
              <a16:creationId xmlns:a16="http://schemas.microsoft.com/office/drawing/2014/main" id="{00000000-0008-0000-0900-000062000000}"/>
            </a:ext>
          </a:extLst>
        </xdr:cNvPr>
        <xdr:cNvSpPr/>
      </xdr:nvSpPr>
      <xdr:spPr>
        <a:xfrm>
          <a:off x="2465727" y="3652907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196</xdr:row>
      <xdr:rowOff>141198</xdr:rowOff>
    </xdr:from>
    <xdr:to>
      <xdr:col>8</xdr:col>
      <xdr:colOff>49277</xdr:colOff>
      <xdr:row>197</xdr:row>
      <xdr:rowOff>46260</xdr:rowOff>
    </xdr:to>
    <xdr:sp macro="" textlink="">
      <xdr:nvSpPr>
        <xdr:cNvPr id="99" name="Oval 98" hidden="1">
          <a:extLst>
            <a:ext uri="{FF2B5EF4-FFF2-40B4-BE49-F238E27FC236}">
              <a16:creationId xmlns:a16="http://schemas.microsoft.com/office/drawing/2014/main" id="{00000000-0008-0000-0900-000063000000}"/>
            </a:ext>
          </a:extLst>
        </xdr:cNvPr>
        <xdr:cNvSpPr/>
      </xdr:nvSpPr>
      <xdr:spPr>
        <a:xfrm>
          <a:off x="2465726" y="3747919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201</xdr:row>
      <xdr:rowOff>141199</xdr:rowOff>
    </xdr:from>
    <xdr:to>
      <xdr:col>8</xdr:col>
      <xdr:colOff>49277</xdr:colOff>
      <xdr:row>202</xdr:row>
      <xdr:rowOff>46261</xdr:rowOff>
    </xdr:to>
    <xdr:sp macro="" textlink="">
      <xdr:nvSpPr>
        <xdr:cNvPr id="100" name="Oval 99" hidden="1">
          <a:extLst>
            <a:ext uri="{FF2B5EF4-FFF2-40B4-BE49-F238E27FC236}">
              <a16:creationId xmlns:a16="http://schemas.microsoft.com/office/drawing/2014/main" id="{00000000-0008-0000-0900-000064000000}"/>
            </a:ext>
          </a:extLst>
        </xdr:cNvPr>
        <xdr:cNvSpPr/>
      </xdr:nvSpPr>
      <xdr:spPr>
        <a:xfrm>
          <a:off x="2465726" y="3843169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206</xdr:row>
      <xdr:rowOff>141199</xdr:rowOff>
    </xdr:from>
    <xdr:to>
      <xdr:col>8</xdr:col>
      <xdr:colOff>49277</xdr:colOff>
      <xdr:row>207</xdr:row>
      <xdr:rowOff>46261</xdr:rowOff>
    </xdr:to>
    <xdr:sp macro="" textlink="">
      <xdr:nvSpPr>
        <xdr:cNvPr id="101" name="Oval 100" hidden="1">
          <a:extLst>
            <a:ext uri="{FF2B5EF4-FFF2-40B4-BE49-F238E27FC236}">
              <a16:creationId xmlns:a16="http://schemas.microsoft.com/office/drawing/2014/main" id="{00000000-0008-0000-0900-000065000000}"/>
            </a:ext>
          </a:extLst>
        </xdr:cNvPr>
        <xdr:cNvSpPr/>
      </xdr:nvSpPr>
      <xdr:spPr>
        <a:xfrm>
          <a:off x="2465726" y="3938419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265452</xdr:colOff>
      <xdr:row>211</xdr:row>
      <xdr:rowOff>143581</xdr:rowOff>
    </xdr:from>
    <xdr:to>
      <xdr:col>8</xdr:col>
      <xdr:colOff>49278</xdr:colOff>
      <xdr:row>212</xdr:row>
      <xdr:rowOff>48643</xdr:rowOff>
    </xdr:to>
    <xdr:sp macro="" textlink="">
      <xdr:nvSpPr>
        <xdr:cNvPr id="102" name="Oval 101" hidden="1">
          <a:extLst>
            <a:ext uri="{FF2B5EF4-FFF2-40B4-BE49-F238E27FC236}">
              <a16:creationId xmlns:a16="http://schemas.microsoft.com/office/drawing/2014/main" id="{00000000-0008-0000-0900-000066000000}"/>
            </a:ext>
          </a:extLst>
        </xdr:cNvPr>
        <xdr:cNvSpPr/>
      </xdr:nvSpPr>
      <xdr:spPr>
        <a:xfrm>
          <a:off x="2465727" y="4033908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265452</xdr:colOff>
      <xdr:row>216</xdr:row>
      <xdr:rowOff>143581</xdr:rowOff>
    </xdr:from>
    <xdr:to>
      <xdr:col>8</xdr:col>
      <xdr:colOff>49278</xdr:colOff>
      <xdr:row>217</xdr:row>
      <xdr:rowOff>48643</xdr:rowOff>
    </xdr:to>
    <xdr:sp macro="" textlink="">
      <xdr:nvSpPr>
        <xdr:cNvPr id="103" name="Oval 102" hidden="1">
          <a:extLst>
            <a:ext uri="{FF2B5EF4-FFF2-40B4-BE49-F238E27FC236}">
              <a16:creationId xmlns:a16="http://schemas.microsoft.com/office/drawing/2014/main" id="{00000000-0008-0000-0900-000067000000}"/>
            </a:ext>
          </a:extLst>
        </xdr:cNvPr>
        <xdr:cNvSpPr/>
      </xdr:nvSpPr>
      <xdr:spPr>
        <a:xfrm>
          <a:off x="2465727" y="4129158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221</xdr:row>
      <xdr:rowOff>141200</xdr:rowOff>
    </xdr:from>
    <xdr:to>
      <xdr:col>8</xdr:col>
      <xdr:colOff>49277</xdr:colOff>
      <xdr:row>222</xdr:row>
      <xdr:rowOff>46262</xdr:rowOff>
    </xdr:to>
    <xdr:sp macro="" textlink="">
      <xdr:nvSpPr>
        <xdr:cNvPr id="104" name="Oval 103" hidden="1">
          <a:extLst>
            <a:ext uri="{FF2B5EF4-FFF2-40B4-BE49-F238E27FC236}">
              <a16:creationId xmlns:a16="http://schemas.microsoft.com/office/drawing/2014/main" id="{00000000-0008-0000-0900-000068000000}"/>
            </a:ext>
          </a:extLst>
        </xdr:cNvPr>
        <xdr:cNvSpPr/>
      </xdr:nvSpPr>
      <xdr:spPr>
        <a:xfrm>
          <a:off x="2465726" y="42241700"/>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226</xdr:row>
      <xdr:rowOff>141201</xdr:rowOff>
    </xdr:from>
    <xdr:to>
      <xdr:col>8</xdr:col>
      <xdr:colOff>49277</xdr:colOff>
      <xdr:row>227</xdr:row>
      <xdr:rowOff>46263</xdr:rowOff>
    </xdr:to>
    <xdr:sp macro="" textlink="">
      <xdr:nvSpPr>
        <xdr:cNvPr id="105" name="Oval 104" hidden="1">
          <a:extLst>
            <a:ext uri="{FF2B5EF4-FFF2-40B4-BE49-F238E27FC236}">
              <a16:creationId xmlns:a16="http://schemas.microsoft.com/office/drawing/2014/main" id="{00000000-0008-0000-0900-000069000000}"/>
            </a:ext>
          </a:extLst>
        </xdr:cNvPr>
        <xdr:cNvSpPr/>
      </xdr:nvSpPr>
      <xdr:spPr>
        <a:xfrm>
          <a:off x="2465726" y="4319420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231</xdr:row>
      <xdr:rowOff>141201</xdr:rowOff>
    </xdr:from>
    <xdr:to>
      <xdr:col>8</xdr:col>
      <xdr:colOff>49277</xdr:colOff>
      <xdr:row>232</xdr:row>
      <xdr:rowOff>46263</xdr:rowOff>
    </xdr:to>
    <xdr:sp macro="" textlink="">
      <xdr:nvSpPr>
        <xdr:cNvPr id="106" name="Oval 105" hidden="1">
          <a:extLst>
            <a:ext uri="{FF2B5EF4-FFF2-40B4-BE49-F238E27FC236}">
              <a16:creationId xmlns:a16="http://schemas.microsoft.com/office/drawing/2014/main" id="{00000000-0008-0000-0900-00006A000000}"/>
            </a:ext>
          </a:extLst>
        </xdr:cNvPr>
        <xdr:cNvSpPr/>
      </xdr:nvSpPr>
      <xdr:spPr>
        <a:xfrm>
          <a:off x="2465726" y="4414670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265452</xdr:colOff>
      <xdr:row>236</xdr:row>
      <xdr:rowOff>143582</xdr:rowOff>
    </xdr:from>
    <xdr:to>
      <xdr:col>8</xdr:col>
      <xdr:colOff>49278</xdr:colOff>
      <xdr:row>237</xdr:row>
      <xdr:rowOff>48644</xdr:rowOff>
    </xdr:to>
    <xdr:sp macro="" textlink="">
      <xdr:nvSpPr>
        <xdr:cNvPr id="107" name="Oval 106" hidden="1">
          <a:extLst>
            <a:ext uri="{FF2B5EF4-FFF2-40B4-BE49-F238E27FC236}">
              <a16:creationId xmlns:a16="http://schemas.microsoft.com/office/drawing/2014/main" id="{00000000-0008-0000-0900-00006B000000}"/>
            </a:ext>
          </a:extLst>
        </xdr:cNvPr>
        <xdr:cNvSpPr/>
      </xdr:nvSpPr>
      <xdr:spPr>
        <a:xfrm>
          <a:off x="2465727" y="4510158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265452</xdr:colOff>
      <xdr:row>241</xdr:row>
      <xdr:rowOff>143582</xdr:rowOff>
    </xdr:from>
    <xdr:to>
      <xdr:col>8</xdr:col>
      <xdr:colOff>49278</xdr:colOff>
      <xdr:row>242</xdr:row>
      <xdr:rowOff>48644</xdr:rowOff>
    </xdr:to>
    <xdr:sp macro="" textlink="">
      <xdr:nvSpPr>
        <xdr:cNvPr id="108" name="Oval 107" hidden="1">
          <a:extLst>
            <a:ext uri="{FF2B5EF4-FFF2-40B4-BE49-F238E27FC236}">
              <a16:creationId xmlns:a16="http://schemas.microsoft.com/office/drawing/2014/main" id="{00000000-0008-0000-0900-00006C000000}"/>
            </a:ext>
          </a:extLst>
        </xdr:cNvPr>
        <xdr:cNvSpPr/>
      </xdr:nvSpPr>
      <xdr:spPr>
        <a:xfrm>
          <a:off x="2465727" y="4605408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246</xdr:row>
      <xdr:rowOff>141201</xdr:rowOff>
    </xdr:from>
    <xdr:to>
      <xdr:col>8</xdr:col>
      <xdr:colOff>49277</xdr:colOff>
      <xdr:row>247</xdr:row>
      <xdr:rowOff>46263</xdr:rowOff>
    </xdr:to>
    <xdr:sp macro="" textlink="">
      <xdr:nvSpPr>
        <xdr:cNvPr id="109" name="Oval 108" hidden="1">
          <a:extLst>
            <a:ext uri="{FF2B5EF4-FFF2-40B4-BE49-F238E27FC236}">
              <a16:creationId xmlns:a16="http://schemas.microsoft.com/office/drawing/2014/main" id="{00000000-0008-0000-0900-00006D000000}"/>
            </a:ext>
          </a:extLst>
        </xdr:cNvPr>
        <xdr:cNvSpPr/>
      </xdr:nvSpPr>
      <xdr:spPr>
        <a:xfrm>
          <a:off x="2465726" y="4700420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251</xdr:row>
      <xdr:rowOff>141202</xdr:rowOff>
    </xdr:from>
    <xdr:to>
      <xdr:col>8</xdr:col>
      <xdr:colOff>49277</xdr:colOff>
      <xdr:row>252</xdr:row>
      <xdr:rowOff>46264</xdr:rowOff>
    </xdr:to>
    <xdr:sp macro="" textlink="">
      <xdr:nvSpPr>
        <xdr:cNvPr id="110" name="Oval 109" hidden="1">
          <a:extLst>
            <a:ext uri="{FF2B5EF4-FFF2-40B4-BE49-F238E27FC236}">
              <a16:creationId xmlns:a16="http://schemas.microsoft.com/office/drawing/2014/main" id="{00000000-0008-0000-0900-00006E000000}"/>
            </a:ext>
          </a:extLst>
        </xdr:cNvPr>
        <xdr:cNvSpPr/>
      </xdr:nvSpPr>
      <xdr:spPr>
        <a:xfrm>
          <a:off x="2465726" y="4795670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256</xdr:row>
      <xdr:rowOff>141202</xdr:rowOff>
    </xdr:from>
    <xdr:to>
      <xdr:col>8</xdr:col>
      <xdr:colOff>49277</xdr:colOff>
      <xdr:row>257</xdr:row>
      <xdr:rowOff>46264</xdr:rowOff>
    </xdr:to>
    <xdr:sp macro="" textlink="">
      <xdr:nvSpPr>
        <xdr:cNvPr id="111" name="Oval 110" hidden="1">
          <a:extLst>
            <a:ext uri="{FF2B5EF4-FFF2-40B4-BE49-F238E27FC236}">
              <a16:creationId xmlns:a16="http://schemas.microsoft.com/office/drawing/2014/main" id="{00000000-0008-0000-0900-00006F000000}"/>
            </a:ext>
          </a:extLst>
        </xdr:cNvPr>
        <xdr:cNvSpPr/>
      </xdr:nvSpPr>
      <xdr:spPr>
        <a:xfrm>
          <a:off x="2465726" y="4890920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265452</xdr:colOff>
      <xdr:row>261</xdr:row>
      <xdr:rowOff>143582</xdr:rowOff>
    </xdr:from>
    <xdr:to>
      <xdr:col>8</xdr:col>
      <xdr:colOff>49278</xdr:colOff>
      <xdr:row>262</xdr:row>
      <xdr:rowOff>48644</xdr:rowOff>
    </xdr:to>
    <xdr:sp macro="" textlink="">
      <xdr:nvSpPr>
        <xdr:cNvPr id="112" name="Oval 111" hidden="1">
          <a:extLst>
            <a:ext uri="{FF2B5EF4-FFF2-40B4-BE49-F238E27FC236}">
              <a16:creationId xmlns:a16="http://schemas.microsoft.com/office/drawing/2014/main" id="{00000000-0008-0000-0900-000070000000}"/>
            </a:ext>
          </a:extLst>
        </xdr:cNvPr>
        <xdr:cNvSpPr/>
      </xdr:nvSpPr>
      <xdr:spPr>
        <a:xfrm>
          <a:off x="2465727" y="4986408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265452</xdr:colOff>
      <xdr:row>266</xdr:row>
      <xdr:rowOff>143582</xdr:rowOff>
    </xdr:from>
    <xdr:to>
      <xdr:col>8</xdr:col>
      <xdr:colOff>49278</xdr:colOff>
      <xdr:row>267</xdr:row>
      <xdr:rowOff>48644</xdr:rowOff>
    </xdr:to>
    <xdr:sp macro="" textlink="">
      <xdr:nvSpPr>
        <xdr:cNvPr id="113" name="Oval 112" hidden="1">
          <a:extLst>
            <a:ext uri="{FF2B5EF4-FFF2-40B4-BE49-F238E27FC236}">
              <a16:creationId xmlns:a16="http://schemas.microsoft.com/office/drawing/2014/main" id="{00000000-0008-0000-0900-000071000000}"/>
            </a:ext>
          </a:extLst>
        </xdr:cNvPr>
        <xdr:cNvSpPr/>
      </xdr:nvSpPr>
      <xdr:spPr>
        <a:xfrm>
          <a:off x="2465727" y="5081658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271</xdr:row>
      <xdr:rowOff>141201</xdr:rowOff>
    </xdr:from>
    <xdr:to>
      <xdr:col>8</xdr:col>
      <xdr:colOff>49277</xdr:colOff>
      <xdr:row>272</xdr:row>
      <xdr:rowOff>46263</xdr:rowOff>
    </xdr:to>
    <xdr:sp macro="" textlink="">
      <xdr:nvSpPr>
        <xdr:cNvPr id="114" name="Oval 113" hidden="1">
          <a:extLst>
            <a:ext uri="{FF2B5EF4-FFF2-40B4-BE49-F238E27FC236}">
              <a16:creationId xmlns:a16="http://schemas.microsoft.com/office/drawing/2014/main" id="{00000000-0008-0000-0900-000072000000}"/>
            </a:ext>
          </a:extLst>
        </xdr:cNvPr>
        <xdr:cNvSpPr/>
      </xdr:nvSpPr>
      <xdr:spPr>
        <a:xfrm>
          <a:off x="2465726" y="5176670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276</xdr:row>
      <xdr:rowOff>141202</xdr:rowOff>
    </xdr:from>
    <xdr:to>
      <xdr:col>8</xdr:col>
      <xdr:colOff>49277</xdr:colOff>
      <xdr:row>277</xdr:row>
      <xdr:rowOff>46264</xdr:rowOff>
    </xdr:to>
    <xdr:sp macro="" textlink="">
      <xdr:nvSpPr>
        <xdr:cNvPr id="115" name="Oval 114" hidden="1">
          <a:extLst>
            <a:ext uri="{FF2B5EF4-FFF2-40B4-BE49-F238E27FC236}">
              <a16:creationId xmlns:a16="http://schemas.microsoft.com/office/drawing/2014/main" id="{00000000-0008-0000-0900-000073000000}"/>
            </a:ext>
          </a:extLst>
        </xdr:cNvPr>
        <xdr:cNvSpPr/>
      </xdr:nvSpPr>
      <xdr:spPr>
        <a:xfrm>
          <a:off x="2465726" y="5271920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265451</xdr:colOff>
      <xdr:row>281</xdr:row>
      <xdr:rowOff>141202</xdr:rowOff>
    </xdr:from>
    <xdr:to>
      <xdr:col>8</xdr:col>
      <xdr:colOff>49277</xdr:colOff>
      <xdr:row>282</xdr:row>
      <xdr:rowOff>46264</xdr:rowOff>
    </xdr:to>
    <xdr:sp macro="" textlink="">
      <xdr:nvSpPr>
        <xdr:cNvPr id="116" name="Oval 115" hidden="1">
          <a:extLst>
            <a:ext uri="{FF2B5EF4-FFF2-40B4-BE49-F238E27FC236}">
              <a16:creationId xmlns:a16="http://schemas.microsoft.com/office/drawing/2014/main" id="{00000000-0008-0000-0900-000074000000}"/>
            </a:ext>
          </a:extLst>
        </xdr:cNvPr>
        <xdr:cNvSpPr/>
      </xdr:nvSpPr>
      <xdr:spPr>
        <a:xfrm>
          <a:off x="2465726" y="5367170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265453</xdr:colOff>
      <xdr:row>286</xdr:row>
      <xdr:rowOff>143581</xdr:rowOff>
    </xdr:from>
    <xdr:to>
      <xdr:col>8</xdr:col>
      <xdr:colOff>49279</xdr:colOff>
      <xdr:row>287</xdr:row>
      <xdr:rowOff>48643</xdr:rowOff>
    </xdr:to>
    <xdr:sp macro="" textlink="">
      <xdr:nvSpPr>
        <xdr:cNvPr id="117" name="Oval 116" hidden="1">
          <a:extLst>
            <a:ext uri="{FF2B5EF4-FFF2-40B4-BE49-F238E27FC236}">
              <a16:creationId xmlns:a16="http://schemas.microsoft.com/office/drawing/2014/main" id="{00000000-0008-0000-0900-000075000000}"/>
            </a:ext>
          </a:extLst>
        </xdr:cNvPr>
        <xdr:cNvSpPr/>
      </xdr:nvSpPr>
      <xdr:spPr>
        <a:xfrm>
          <a:off x="2465728" y="5462658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265453</xdr:colOff>
      <xdr:row>291</xdr:row>
      <xdr:rowOff>143581</xdr:rowOff>
    </xdr:from>
    <xdr:to>
      <xdr:col>8</xdr:col>
      <xdr:colOff>49279</xdr:colOff>
      <xdr:row>292</xdr:row>
      <xdr:rowOff>48643</xdr:rowOff>
    </xdr:to>
    <xdr:sp macro="" textlink="">
      <xdr:nvSpPr>
        <xdr:cNvPr id="118" name="Oval 117" hidden="1">
          <a:extLst>
            <a:ext uri="{FF2B5EF4-FFF2-40B4-BE49-F238E27FC236}">
              <a16:creationId xmlns:a16="http://schemas.microsoft.com/office/drawing/2014/main" id="{00000000-0008-0000-0900-000076000000}"/>
            </a:ext>
          </a:extLst>
        </xdr:cNvPr>
        <xdr:cNvSpPr/>
      </xdr:nvSpPr>
      <xdr:spPr>
        <a:xfrm>
          <a:off x="2465728" y="5557908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265452</xdr:colOff>
      <xdr:row>296</xdr:row>
      <xdr:rowOff>141200</xdr:rowOff>
    </xdr:from>
    <xdr:to>
      <xdr:col>8</xdr:col>
      <xdr:colOff>49278</xdr:colOff>
      <xdr:row>297</xdr:row>
      <xdr:rowOff>46262</xdr:rowOff>
    </xdr:to>
    <xdr:sp macro="" textlink="">
      <xdr:nvSpPr>
        <xdr:cNvPr id="119" name="Oval 118" hidden="1">
          <a:extLst>
            <a:ext uri="{FF2B5EF4-FFF2-40B4-BE49-F238E27FC236}">
              <a16:creationId xmlns:a16="http://schemas.microsoft.com/office/drawing/2014/main" id="{00000000-0008-0000-0900-000077000000}"/>
            </a:ext>
          </a:extLst>
        </xdr:cNvPr>
        <xdr:cNvSpPr/>
      </xdr:nvSpPr>
      <xdr:spPr>
        <a:xfrm>
          <a:off x="2465727" y="56529200"/>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265452</xdr:colOff>
      <xdr:row>301</xdr:row>
      <xdr:rowOff>141201</xdr:rowOff>
    </xdr:from>
    <xdr:to>
      <xdr:col>8</xdr:col>
      <xdr:colOff>49278</xdr:colOff>
      <xdr:row>302</xdr:row>
      <xdr:rowOff>46263</xdr:rowOff>
    </xdr:to>
    <xdr:sp macro="" textlink="">
      <xdr:nvSpPr>
        <xdr:cNvPr id="120" name="Oval 119" hidden="1">
          <a:extLst>
            <a:ext uri="{FF2B5EF4-FFF2-40B4-BE49-F238E27FC236}">
              <a16:creationId xmlns:a16="http://schemas.microsoft.com/office/drawing/2014/main" id="{00000000-0008-0000-0900-000078000000}"/>
            </a:ext>
          </a:extLst>
        </xdr:cNvPr>
        <xdr:cNvSpPr/>
      </xdr:nvSpPr>
      <xdr:spPr>
        <a:xfrm>
          <a:off x="2465727" y="5748170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265452</xdr:colOff>
      <xdr:row>306</xdr:row>
      <xdr:rowOff>141201</xdr:rowOff>
    </xdr:from>
    <xdr:to>
      <xdr:col>8</xdr:col>
      <xdr:colOff>49278</xdr:colOff>
      <xdr:row>307</xdr:row>
      <xdr:rowOff>46263</xdr:rowOff>
    </xdr:to>
    <xdr:sp macro="" textlink="">
      <xdr:nvSpPr>
        <xdr:cNvPr id="121" name="Oval 120" hidden="1">
          <a:extLst>
            <a:ext uri="{FF2B5EF4-FFF2-40B4-BE49-F238E27FC236}">
              <a16:creationId xmlns:a16="http://schemas.microsoft.com/office/drawing/2014/main" id="{00000000-0008-0000-0900-000079000000}"/>
            </a:ext>
          </a:extLst>
        </xdr:cNvPr>
        <xdr:cNvSpPr/>
      </xdr:nvSpPr>
      <xdr:spPr>
        <a:xfrm>
          <a:off x="2465727" y="5843420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208329</xdr:colOff>
      <xdr:row>36</xdr:row>
      <xdr:rowOff>143576</xdr:rowOff>
    </xdr:from>
    <xdr:to>
      <xdr:col>15</xdr:col>
      <xdr:colOff>49305</xdr:colOff>
      <xdr:row>37</xdr:row>
      <xdr:rowOff>48638</xdr:rowOff>
    </xdr:to>
    <xdr:sp macro="" textlink="">
      <xdr:nvSpPr>
        <xdr:cNvPr id="122" name="Oval 121">
          <a:extLst>
            <a:ext uri="{FF2B5EF4-FFF2-40B4-BE49-F238E27FC236}">
              <a16:creationId xmlns:a16="http://schemas.microsoft.com/office/drawing/2014/main" id="{00000000-0008-0000-0900-00007A000000}"/>
            </a:ext>
          </a:extLst>
        </xdr:cNvPr>
        <xdr:cNvSpPr/>
      </xdr:nvSpPr>
      <xdr:spPr>
        <a:xfrm>
          <a:off x="4265979" y="700157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208329</xdr:colOff>
      <xdr:row>41</xdr:row>
      <xdr:rowOff>143576</xdr:rowOff>
    </xdr:from>
    <xdr:to>
      <xdr:col>15</xdr:col>
      <xdr:colOff>49305</xdr:colOff>
      <xdr:row>42</xdr:row>
      <xdr:rowOff>48638</xdr:rowOff>
    </xdr:to>
    <xdr:sp macro="" textlink="">
      <xdr:nvSpPr>
        <xdr:cNvPr id="123" name="Oval 122" hidden="1">
          <a:extLst>
            <a:ext uri="{FF2B5EF4-FFF2-40B4-BE49-F238E27FC236}">
              <a16:creationId xmlns:a16="http://schemas.microsoft.com/office/drawing/2014/main" id="{00000000-0008-0000-0900-00007B000000}"/>
            </a:ext>
          </a:extLst>
        </xdr:cNvPr>
        <xdr:cNvSpPr/>
      </xdr:nvSpPr>
      <xdr:spPr>
        <a:xfrm>
          <a:off x="4265979" y="795407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46</xdr:row>
      <xdr:rowOff>141195</xdr:rowOff>
    </xdr:from>
    <xdr:to>
      <xdr:col>15</xdr:col>
      <xdr:colOff>49304</xdr:colOff>
      <xdr:row>47</xdr:row>
      <xdr:rowOff>46257</xdr:rowOff>
    </xdr:to>
    <xdr:sp macro="" textlink="">
      <xdr:nvSpPr>
        <xdr:cNvPr id="124" name="Oval 123" hidden="1">
          <a:extLst>
            <a:ext uri="{FF2B5EF4-FFF2-40B4-BE49-F238E27FC236}">
              <a16:creationId xmlns:a16="http://schemas.microsoft.com/office/drawing/2014/main" id="{00000000-0008-0000-0900-00007C000000}"/>
            </a:ext>
          </a:extLst>
        </xdr:cNvPr>
        <xdr:cNvSpPr/>
      </xdr:nvSpPr>
      <xdr:spPr>
        <a:xfrm>
          <a:off x="4265978" y="890419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51</xdr:row>
      <xdr:rowOff>141196</xdr:rowOff>
    </xdr:from>
    <xdr:to>
      <xdr:col>15</xdr:col>
      <xdr:colOff>49304</xdr:colOff>
      <xdr:row>52</xdr:row>
      <xdr:rowOff>46258</xdr:rowOff>
    </xdr:to>
    <xdr:sp macro="" textlink="">
      <xdr:nvSpPr>
        <xdr:cNvPr id="125" name="Oval 124">
          <a:extLst>
            <a:ext uri="{FF2B5EF4-FFF2-40B4-BE49-F238E27FC236}">
              <a16:creationId xmlns:a16="http://schemas.microsoft.com/office/drawing/2014/main" id="{00000000-0008-0000-0900-00007D000000}"/>
            </a:ext>
          </a:extLst>
        </xdr:cNvPr>
        <xdr:cNvSpPr/>
      </xdr:nvSpPr>
      <xdr:spPr>
        <a:xfrm>
          <a:off x="4265978" y="98566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56</xdr:row>
      <xdr:rowOff>141196</xdr:rowOff>
    </xdr:from>
    <xdr:to>
      <xdr:col>15</xdr:col>
      <xdr:colOff>49304</xdr:colOff>
      <xdr:row>57</xdr:row>
      <xdr:rowOff>46258</xdr:rowOff>
    </xdr:to>
    <xdr:sp macro="" textlink="">
      <xdr:nvSpPr>
        <xdr:cNvPr id="126" name="Oval 125" hidden="1">
          <a:extLst>
            <a:ext uri="{FF2B5EF4-FFF2-40B4-BE49-F238E27FC236}">
              <a16:creationId xmlns:a16="http://schemas.microsoft.com/office/drawing/2014/main" id="{00000000-0008-0000-0900-00007E000000}"/>
            </a:ext>
          </a:extLst>
        </xdr:cNvPr>
        <xdr:cNvSpPr/>
      </xdr:nvSpPr>
      <xdr:spPr>
        <a:xfrm>
          <a:off x="4265978" y="108091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208329</xdr:colOff>
      <xdr:row>61</xdr:row>
      <xdr:rowOff>141194</xdr:rowOff>
    </xdr:from>
    <xdr:to>
      <xdr:col>15</xdr:col>
      <xdr:colOff>49305</xdr:colOff>
      <xdr:row>62</xdr:row>
      <xdr:rowOff>46256</xdr:rowOff>
    </xdr:to>
    <xdr:sp macro="" textlink="">
      <xdr:nvSpPr>
        <xdr:cNvPr id="127" name="Oval 126" hidden="1">
          <a:extLst>
            <a:ext uri="{FF2B5EF4-FFF2-40B4-BE49-F238E27FC236}">
              <a16:creationId xmlns:a16="http://schemas.microsoft.com/office/drawing/2014/main" id="{00000000-0008-0000-0900-00007F000000}"/>
            </a:ext>
          </a:extLst>
        </xdr:cNvPr>
        <xdr:cNvSpPr/>
      </xdr:nvSpPr>
      <xdr:spPr>
        <a:xfrm>
          <a:off x="4265979" y="1176169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208329</xdr:colOff>
      <xdr:row>66</xdr:row>
      <xdr:rowOff>141194</xdr:rowOff>
    </xdr:from>
    <xdr:to>
      <xdr:col>15</xdr:col>
      <xdr:colOff>49305</xdr:colOff>
      <xdr:row>67</xdr:row>
      <xdr:rowOff>46256</xdr:rowOff>
    </xdr:to>
    <xdr:sp macro="" textlink="">
      <xdr:nvSpPr>
        <xdr:cNvPr id="128" name="Oval 127">
          <a:extLst>
            <a:ext uri="{FF2B5EF4-FFF2-40B4-BE49-F238E27FC236}">
              <a16:creationId xmlns:a16="http://schemas.microsoft.com/office/drawing/2014/main" id="{00000000-0008-0000-0900-000080000000}"/>
            </a:ext>
          </a:extLst>
        </xdr:cNvPr>
        <xdr:cNvSpPr/>
      </xdr:nvSpPr>
      <xdr:spPr>
        <a:xfrm>
          <a:off x="4265979" y="1271419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71</xdr:row>
      <xdr:rowOff>138813</xdr:rowOff>
    </xdr:from>
    <xdr:to>
      <xdr:col>15</xdr:col>
      <xdr:colOff>49304</xdr:colOff>
      <xdr:row>72</xdr:row>
      <xdr:rowOff>43875</xdr:rowOff>
    </xdr:to>
    <xdr:sp macro="" textlink="">
      <xdr:nvSpPr>
        <xdr:cNvPr id="129" name="Oval 128" hidden="1">
          <a:extLst>
            <a:ext uri="{FF2B5EF4-FFF2-40B4-BE49-F238E27FC236}">
              <a16:creationId xmlns:a16="http://schemas.microsoft.com/office/drawing/2014/main" id="{00000000-0008-0000-0900-000081000000}"/>
            </a:ext>
          </a:extLst>
        </xdr:cNvPr>
        <xdr:cNvSpPr/>
      </xdr:nvSpPr>
      <xdr:spPr>
        <a:xfrm>
          <a:off x="4265978" y="1366431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76</xdr:row>
      <xdr:rowOff>138814</xdr:rowOff>
    </xdr:from>
    <xdr:to>
      <xdr:col>15</xdr:col>
      <xdr:colOff>49304</xdr:colOff>
      <xdr:row>77</xdr:row>
      <xdr:rowOff>43876</xdr:rowOff>
    </xdr:to>
    <xdr:sp macro="" textlink="">
      <xdr:nvSpPr>
        <xdr:cNvPr id="130" name="Oval 129" hidden="1">
          <a:extLst>
            <a:ext uri="{FF2B5EF4-FFF2-40B4-BE49-F238E27FC236}">
              <a16:creationId xmlns:a16="http://schemas.microsoft.com/office/drawing/2014/main" id="{00000000-0008-0000-0900-000082000000}"/>
            </a:ext>
          </a:extLst>
        </xdr:cNvPr>
        <xdr:cNvSpPr/>
      </xdr:nvSpPr>
      <xdr:spPr>
        <a:xfrm>
          <a:off x="4265978" y="1461681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81</xdr:row>
      <xdr:rowOff>138814</xdr:rowOff>
    </xdr:from>
    <xdr:to>
      <xdr:col>15</xdr:col>
      <xdr:colOff>49304</xdr:colOff>
      <xdr:row>82</xdr:row>
      <xdr:rowOff>43876</xdr:rowOff>
    </xdr:to>
    <xdr:sp macro="" textlink="">
      <xdr:nvSpPr>
        <xdr:cNvPr id="131" name="Oval 130" hidden="1">
          <a:extLst>
            <a:ext uri="{FF2B5EF4-FFF2-40B4-BE49-F238E27FC236}">
              <a16:creationId xmlns:a16="http://schemas.microsoft.com/office/drawing/2014/main" id="{00000000-0008-0000-0900-000083000000}"/>
            </a:ext>
          </a:extLst>
        </xdr:cNvPr>
        <xdr:cNvSpPr/>
      </xdr:nvSpPr>
      <xdr:spPr>
        <a:xfrm>
          <a:off x="4265978" y="1556931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208329</xdr:colOff>
      <xdr:row>86</xdr:row>
      <xdr:rowOff>141195</xdr:rowOff>
    </xdr:from>
    <xdr:to>
      <xdr:col>15</xdr:col>
      <xdr:colOff>49305</xdr:colOff>
      <xdr:row>87</xdr:row>
      <xdr:rowOff>46257</xdr:rowOff>
    </xdr:to>
    <xdr:sp macro="" textlink="">
      <xdr:nvSpPr>
        <xdr:cNvPr id="132" name="Oval 131" hidden="1">
          <a:extLst>
            <a:ext uri="{FF2B5EF4-FFF2-40B4-BE49-F238E27FC236}">
              <a16:creationId xmlns:a16="http://schemas.microsoft.com/office/drawing/2014/main" id="{00000000-0008-0000-0900-000084000000}"/>
            </a:ext>
          </a:extLst>
        </xdr:cNvPr>
        <xdr:cNvSpPr/>
      </xdr:nvSpPr>
      <xdr:spPr>
        <a:xfrm>
          <a:off x="4265979" y="1652419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208329</xdr:colOff>
      <xdr:row>91</xdr:row>
      <xdr:rowOff>141195</xdr:rowOff>
    </xdr:from>
    <xdr:to>
      <xdr:col>15</xdr:col>
      <xdr:colOff>49305</xdr:colOff>
      <xdr:row>92</xdr:row>
      <xdr:rowOff>46257</xdr:rowOff>
    </xdr:to>
    <xdr:sp macro="" textlink="">
      <xdr:nvSpPr>
        <xdr:cNvPr id="133" name="Oval 132" hidden="1">
          <a:extLst>
            <a:ext uri="{FF2B5EF4-FFF2-40B4-BE49-F238E27FC236}">
              <a16:creationId xmlns:a16="http://schemas.microsoft.com/office/drawing/2014/main" id="{00000000-0008-0000-0900-000085000000}"/>
            </a:ext>
          </a:extLst>
        </xdr:cNvPr>
        <xdr:cNvSpPr/>
      </xdr:nvSpPr>
      <xdr:spPr>
        <a:xfrm>
          <a:off x="4265979" y="1747669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96</xdr:row>
      <xdr:rowOff>138814</xdr:rowOff>
    </xdr:from>
    <xdr:to>
      <xdr:col>15</xdr:col>
      <xdr:colOff>49304</xdr:colOff>
      <xdr:row>97</xdr:row>
      <xdr:rowOff>43876</xdr:rowOff>
    </xdr:to>
    <xdr:sp macro="" textlink="">
      <xdr:nvSpPr>
        <xdr:cNvPr id="134" name="Oval 133" hidden="1">
          <a:extLst>
            <a:ext uri="{FF2B5EF4-FFF2-40B4-BE49-F238E27FC236}">
              <a16:creationId xmlns:a16="http://schemas.microsoft.com/office/drawing/2014/main" id="{00000000-0008-0000-0900-000086000000}"/>
            </a:ext>
          </a:extLst>
        </xdr:cNvPr>
        <xdr:cNvSpPr/>
      </xdr:nvSpPr>
      <xdr:spPr>
        <a:xfrm>
          <a:off x="4265978" y="1842681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101</xdr:row>
      <xdr:rowOff>138815</xdr:rowOff>
    </xdr:from>
    <xdr:to>
      <xdr:col>15</xdr:col>
      <xdr:colOff>49304</xdr:colOff>
      <xdr:row>102</xdr:row>
      <xdr:rowOff>43877</xdr:rowOff>
    </xdr:to>
    <xdr:sp macro="" textlink="">
      <xdr:nvSpPr>
        <xdr:cNvPr id="135" name="Oval 134" hidden="1">
          <a:extLst>
            <a:ext uri="{FF2B5EF4-FFF2-40B4-BE49-F238E27FC236}">
              <a16:creationId xmlns:a16="http://schemas.microsoft.com/office/drawing/2014/main" id="{00000000-0008-0000-0900-000087000000}"/>
            </a:ext>
          </a:extLst>
        </xdr:cNvPr>
        <xdr:cNvSpPr/>
      </xdr:nvSpPr>
      <xdr:spPr>
        <a:xfrm>
          <a:off x="4265978" y="193793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106</xdr:row>
      <xdr:rowOff>138815</xdr:rowOff>
    </xdr:from>
    <xdr:to>
      <xdr:col>15</xdr:col>
      <xdr:colOff>49304</xdr:colOff>
      <xdr:row>107</xdr:row>
      <xdr:rowOff>43877</xdr:rowOff>
    </xdr:to>
    <xdr:sp macro="" textlink="">
      <xdr:nvSpPr>
        <xdr:cNvPr id="136" name="Oval 135" hidden="1">
          <a:extLst>
            <a:ext uri="{FF2B5EF4-FFF2-40B4-BE49-F238E27FC236}">
              <a16:creationId xmlns:a16="http://schemas.microsoft.com/office/drawing/2014/main" id="{00000000-0008-0000-0900-000088000000}"/>
            </a:ext>
          </a:extLst>
        </xdr:cNvPr>
        <xdr:cNvSpPr/>
      </xdr:nvSpPr>
      <xdr:spPr>
        <a:xfrm>
          <a:off x="4265978" y="203318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208329</xdr:colOff>
      <xdr:row>111</xdr:row>
      <xdr:rowOff>141196</xdr:rowOff>
    </xdr:from>
    <xdr:to>
      <xdr:col>15</xdr:col>
      <xdr:colOff>49305</xdr:colOff>
      <xdr:row>112</xdr:row>
      <xdr:rowOff>46258</xdr:rowOff>
    </xdr:to>
    <xdr:sp macro="" textlink="">
      <xdr:nvSpPr>
        <xdr:cNvPr id="137" name="Oval 136" hidden="1">
          <a:extLst>
            <a:ext uri="{FF2B5EF4-FFF2-40B4-BE49-F238E27FC236}">
              <a16:creationId xmlns:a16="http://schemas.microsoft.com/office/drawing/2014/main" id="{00000000-0008-0000-0900-000089000000}"/>
            </a:ext>
          </a:extLst>
        </xdr:cNvPr>
        <xdr:cNvSpPr/>
      </xdr:nvSpPr>
      <xdr:spPr>
        <a:xfrm>
          <a:off x="4265979" y="212866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208329</xdr:colOff>
      <xdr:row>116</xdr:row>
      <xdr:rowOff>141196</xdr:rowOff>
    </xdr:from>
    <xdr:to>
      <xdr:col>15</xdr:col>
      <xdr:colOff>49305</xdr:colOff>
      <xdr:row>117</xdr:row>
      <xdr:rowOff>46258</xdr:rowOff>
    </xdr:to>
    <xdr:sp macro="" textlink="">
      <xdr:nvSpPr>
        <xdr:cNvPr id="138" name="Oval 137" hidden="1">
          <a:extLst>
            <a:ext uri="{FF2B5EF4-FFF2-40B4-BE49-F238E27FC236}">
              <a16:creationId xmlns:a16="http://schemas.microsoft.com/office/drawing/2014/main" id="{00000000-0008-0000-0900-00008A000000}"/>
            </a:ext>
          </a:extLst>
        </xdr:cNvPr>
        <xdr:cNvSpPr/>
      </xdr:nvSpPr>
      <xdr:spPr>
        <a:xfrm>
          <a:off x="4265979" y="222391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121</xdr:row>
      <xdr:rowOff>138815</xdr:rowOff>
    </xdr:from>
    <xdr:to>
      <xdr:col>15</xdr:col>
      <xdr:colOff>49304</xdr:colOff>
      <xdr:row>122</xdr:row>
      <xdr:rowOff>43877</xdr:rowOff>
    </xdr:to>
    <xdr:sp macro="" textlink="">
      <xdr:nvSpPr>
        <xdr:cNvPr id="139" name="Oval 138" hidden="1">
          <a:extLst>
            <a:ext uri="{FF2B5EF4-FFF2-40B4-BE49-F238E27FC236}">
              <a16:creationId xmlns:a16="http://schemas.microsoft.com/office/drawing/2014/main" id="{00000000-0008-0000-0900-00008B000000}"/>
            </a:ext>
          </a:extLst>
        </xdr:cNvPr>
        <xdr:cNvSpPr/>
      </xdr:nvSpPr>
      <xdr:spPr>
        <a:xfrm>
          <a:off x="4265978" y="231893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126</xdr:row>
      <xdr:rowOff>138816</xdr:rowOff>
    </xdr:from>
    <xdr:to>
      <xdr:col>15</xdr:col>
      <xdr:colOff>49304</xdr:colOff>
      <xdr:row>127</xdr:row>
      <xdr:rowOff>43878</xdr:rowOff>
    </xdr:to>
    <xdr:sp macro="" textlink="">
      <xdr:nvSpPr>
        <xdr:cNvPr id="140" name="Oval 139" hidden="1">
          <a:extLst>
            <a:ext uri="{FF2B5EF4-FFF2-40B4-BE49-F238E27FC236}">
              <a16:creationId xmlns:a16="http://schemas.microsoft.com/office/drawing/2014/main" id="{00000000-0008-0000-0900-00008C000000}"/>
            </a:ext>
          </a:extLst>
        </xdr:cNvPr>
        <xdr:cNvSpPr/>
      </xdr:nvSpPr>
      <xdr:spPr>
        <a:xfrm>
          <a:off x="4265978" y="2414181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131</xdr:row>
      <xdr:rowOff>138816</xdr:rowOff>
    </xdr:from>
    <xdr:to>
      <xdr:col>15</xdr:col>
      <xdr:colOff>49304</xdr:colOff>
      <xdr:row>132</xdr:row>
      <xdr:rowOff>43878</xdr:rowOff>
    </xdr:to>
    <xdr:sp macro="" textlink="">
      <xdr:nvSpPr>
        <xdr:cNvPr id="141" name="Oval 140" hidden="1">
          <a:extLst>
            <a:ext uri="{FF2B5EF4-FFF2-40B4-BE49-F238E27FC236}">
              <a16:creationId xmlns:a16="http://schemas.microsoft.com/office/drawing/2014/main" id="{00000000-0008-0000-0900-00008D000000}"/>
            </a:ext>
          </a:extLst>
        </xdr:cNvPr>
        <xdr:cNvSpPr/>
      </xdr:nvSpPr>
      <xdr:spPr>
        <a:xfrm>
          <a:off x="4265978" y="2509431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208327</xdr:colOff>
      <xdr:row>136</xdr:row>
      <xdr:rowOff>141196</xdr:rowOff>
    </xdr:from>
    <xdr:to>
      <xdr:col>15</xdr:col>
      <xdr:colOff>49303</xdr:colOff>
      <xdr:row>137</xdr:row>
      <xdr:rowOff>46258</xdr:rowOff>
    </xdr:to>
    <xdr:sp macro="" textlink="">
      <xdr:nvSpPr>
        <xdr:cNvPr id="142" name="Oval 141" hidden="1">
          <a:extLst>
            <a:ext uri="{FF2B5EF4-FFF2-40B4-BE49-F238E27FC236}">
              <a16:creationId xmlns:a16="http://schemas.microsoft.com/office/drawing/2014/main" id="{00000000-0008-0000-0900-00008E000000}"/>
            </a:ext>
          </a:extLst>
        </xdr:cNvPr>
        <xdr:cNvSpPr/>
      </xdr:nvSpPr>
      <xdr:spPr>
        <a:xfrm>
          <a:off x="4265977" y="260491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208327</xdr:colOff>
      <xdr:row>141</xdr:row>
      <xdr:rowOff>141196</xdr:rowOff>
    </xdr:from>
    <xdr:to>
      <xdr:col>15</xdr:col>
      <xdr:colOff>49303</xdr:colOff>
      <xdr:row>142</xdr:row>
      <xdr:rowOff>46258</xdr:rowOff>
    </xdr:to>
    <xdr:sp macro="" textlink="">
      <xdr:nvSpPr>
        <xdr:cNvPr id="143" name="Oval 142" hidden="1">
          <a:extLst>
            <a:ext uri="{FF2B5EF4-FFF2-40B4-BE49-F238E27FC236}">
              <a16:creationId xmlns:a16="http://schemas.microsoft.com/office/drawing/2014/main" id="{00000000-0008-0000-0900-00008F000000}"/>
            </a:ext>
          </a:extLst>
        </xdr:cNvPr>
        <xdr:cNvSpPr/>
      </xdr:nvSpPr>
      <xdr:spPr>
        <a:xfrm>
          <a:off x="4265977" y="270016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208326</xdr:colOff>
      <xdr:row>146</xdr:row>
      <xdr:rowOff>138815</xdr:rowOff>
    </xdr:from>
    <xdr:to>
      <xdr:col>15</xdr:col>
      <xdr:colOff>49302</xdr:colOff>
      <xdr:row>147</xdr:row>
      <xdr:rowOff>43877</xdr:rowOff>
    </xdr:to>
    <xdr:sp macro="" textlink="">
      <xdr:nvSpPr>
        <xdr:cNvPr id="144" name="Oval 143" hidden="1">
          <a:extLst>
            <a:ext uri="{FF2B5EF4-FFF2-40B4-BE49-F238E27FC236}">
              <a16:creationId xmlns:a16="http://schemas.microsoft.com/office/drawing/2014/main" id="{00000000-0008-0000-0900-000090000000}"/>
            </a:ext>
          </a:extLst>
        </xdr:cNvPr>
        <xdr:cNvSpPr/>
      </xdr:nvSpPr>
      <xdr:spPr>
        <a:xfrm>
          <a:off x="4265976" y="279518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208326</xdr:colOff>
      <xdr:row>151</xdr:row>
      <xdr:rowOff>138816</xdr:rowOff>
    </xdr:from>
    <xdr:to>
      <xdr:col>15</xdr:col>
      <xdr:colOff>49302</xdr:colOff>
      <xdr:row>152</xdr:row>
      <xdr:rowOff>43878</xdr:rowOff>
    </xdr:to>
    <xdr:sp macro="" textlink="">
      <xdr:nvSpPr>
        <xdr:cNvPr id="145" name="Oval 144" hidden="1">
          <a:extLst>
            <a:ext uri="{FF2B5EF4-FFF2-40B4-BE49-F238E27FC236}">
              <a16:creationId xmlns:a16="http://schemas.microsoft.com/office/drawing/2014/main" id="{00000000-0008-0000-0900-000091000000}"/>
            </a:ext>
          </a:extLst>
        </xdr:cNvPr>
        <xdr:cNvSpPr/>
      </xdr:nvSpPr>
      <xdr:spPr>
        <a:xfrm>
          <a:off x="4265976" y="2890431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208326</xdr:colOff>
      <xdr:row>156</xdr:row>
      <xdr:rowOff>138816</xdr:rowOff>
    </xdr:from>
    <xdr:to>
      <xdr:col>15</xdr:col>
      <xdr:colOff>49302</xdr:colOff>
      <xdr:row>157</xdr:row>
      <xdr:rowOff>43878</xdr:rowOff>
    </xdr:to>
    <xdr:sp macro="" textlink="">
      <xdr:nvSpPr>
        <xdr:cNvPr id="146" name="Oval 145" hidden="1">
          <a:extLst>
            <a:ext uri="{FF2B5EF4-FFF2-40B4-BE49-F238E27FC236}">
              <a16:creationId xmlns:a16="http://schemas.microsoft.com/office/drawing/2014/main" id="{00000000-0008-0000-0900-000092000000}"/>
            </a:ext>
          </a:extLst>
        </xdr:cNvPr>
        <xdr:cNvSpPr/>
      </xdr:nvSpPr>
      <xdr:spPr>
        <a:xfrm>
          <a:off x="4265976" y="2985681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208329</xdr:colOff>
      <xdr:row>161</xdr:row>
      <xdr:rowOff>141196</xdr:rowOff>
    </xdr:from>
    <xdr:to>
      <xdr:col>15</xdr:col>
      <xdr:colOff>49305</xdr:colOff>
      <xdr:row>162</xdr:row>
      <xdr:rowOff>46258</xdr:rowOff>
    </xdr:to>
    <xdr:sp macro="" textlink="">
      <xdr:nvSpPr>
        <xdr:cNvPr id="147" name="Oval 146" hidden="1">
          <a:extLst>
            <a:ext uri="{FF2B5EF4-FFF2-40B4-BE49-F238E27FC236}">
              <a16:creationId xmlns:a16="http://schemas.microsoft.com/office/drawing/2014/main" id="{00000000-0008-0000-0900-000093000000}"/>
            </a:ext>
          </a:extLst>
        </xdr:cNvPr>
        <xdr:cNvSpPr/>
      </xdr:nvSpPr>
      <xdr:spPr>
        <a:xfrm>
          <a:off x="4265979" y="308116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208329</xdr:colOff>
      <xdr:row>166</xdr:row>
      <xdr:rowOff>141196</xdr:rowOff>
    </xdr:from>
    <xdr:to>
      <xdr:col>15</xdr:col>
      <xdr:colOff>49305</xdr:colOff>
      <xdr:row>167</xdr:row>
      <xdr:rowOff>46258</xdr:rowOff>
    </xdr:to>
    <xdr:sp macro="" textlink="">
      <xdr:nvSpPr>
        <xdr:cNvPr id="148" name="Oval 147" hidden="1">
          <a:extLst>
            <a:ext uri="{FF2B5EF4-FFF2-40B4-BE49-F238E27FC236}">
              <a16:creationId xmlns:a16="http://schemas.microsoft.com/office/drawing/2014/main" id="{00000000-0008-0000-0900-000094000000}"/>
            </a:ext>
          </a:extLst>
        </xdr:cNvPr>
        <xdr:cNvSpPr/>
      </xdr:nvSpPr>
      <xdr:spPr>
        <a:xfrm>
          <a:off x="4265979" y="317641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171</xdr:row>
      <xdr:rowOff>138815</xdr:rowOff>
    </xdr:from>
    <xdr:to>
      <xdr:col>15</xdr:col>
      <xdr:colOff>49304</xdr:colOff>
      <xdr:row>172</xdr:row>
      <xdr:rowOff>43877</xdr:rowOff>
    </xdr:to>
    <xdr:sp macro="" textlink="">
      <xdr:nvSpPr>
        <xdr:cNvPr id="149" name="Oval 148" hidden="1">
          <a:extLst>
            <a:ext uri="{FF2B5EF4-FFF2-40B4-BE49-F238E27FC236}">
              <a16:creationId xmlns:a16="http://schemas.microsoft.com/office/drawing/2014/main" id="{00000000-0008-0000-0900-000095000000}"/>
            </a:ext>
          </a:extLst>
        </xdr:cNvPr>
        <xdr:cNvSpPr/>
      </xdr:nvSpPr>
      <xdr:spPr>
        <a:xfrm>
          <a:off x="4265978" y="327143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176</xdr:row>
      <xdr:rowOff>138816</xdr:rowOff>
    </xdr:from>
    <xdr:to>
      <xdr:col>15</xdr:col>
      <xdr:colOff>49304</xdr:colOff>
      <xdr:row>177</xdr:row>
      <xdr:rowOff>43878</xdr:rowOff>
    </xdr:to>
    <xdr:sp macro="" textlink="">
      <xdr:nvSpPr>
        <xdr:cNvPr id="150" name="Oval 149" hidden="1">
          <a:extLst>
            <a:ext uri="{FF2B5EF4-FFF2-40B4-BE49-F238E27FC236}">
              <a16:creationId xmlns:a16="http://schemas.microsoft.com/office/drawing/2014/main" id="{00000000-0008-0000-0900-000096000000}"/>
            </a:ext>
          </a:extLst>
        </xdr:cNvPr>
        <xdr:cNvSpPr/>
      </xdr:nvSpPr>
      <xdr:spPr>
        <a:xfrm>
          <a:off x="4265978" y="3366681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181</xdr:row>
      <xdr:rowOff>138816</xdr:rowOff>
    </xdr:from>
    <xdr:to>
      <xdr:col>15</xdr:col>
      <xdr:colOff>49304</xdr:colOff>
      <xdr:row>182</xdr:row>
      <xdr:rowOff>43878</xdr:rowOff>
    </xdr:to>
    <xdr:sp macro="" textlink="">
      <xdr:nvSpPr>
        <xdr:cNvPr id="151" name="Oval 150" hidden="1">
          <a:extLst>
            <a:ext uri="{FF2B5EF4-FFF2-40B4-BE49-F238E27FC236}">
              <a16:creationId xmlns:a16="http://schemas.microsoft.com/office/drawing/2014/main" id="{00000000-0008-0000-0900-000097000000}"/>
            </a:ext>
          </a:extLst>
        </xdr:cNvPr>
        <xdr:cNvSpPr/>
      </xdr:nvSpPr>
      <xdr:spPr>
        <a:xfrm>
          <a:off x="4265978" y="3461931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208329</xdr:colOff>
      <xdr:row>186</xdr:row>
      <xdr:rowOff>141196</xdr:rowOff>
    </xdr:from>
    <xdr:to>
      <xdr:col>15</xdr:col>
      <xdr:colOff>49305</xdr:colOff>
      <xdr:row>187</xdr:row>
      <xdr:rowOff>46258</xdr:rowOff>
    </xdr:to>
    <xdr:sp macro="" textlink="">
      <xdr:nvSpPr>
        <xdr:cNvPr id="152" name="Oval 151" hidden="1">
          <a:extLst>
            <a:ext uri="{FF2B5EF4-FFF2-40B4-BE49-F238E27FC236}">
              <a16:creationId xmlns:a16="http://schemas.microsoft.com/office/drawing/2014/main" id="{00000000-0008-0000-0900-000098000000}"/>
            </a:ext>
          </a:extLst>
        </xdr:cNvPr>
        <xdr:cNvSpPr/>
      </xdr:nvSpPr>
      <xdr:spPr>
        <a:xfrm>
          <a:off x="4265979" y="355741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208329</xdr:colOff>
      <xdr:row>191</xdr:row>
      <xdr:rowOff>141196</xdr:rowOff>
    </xdr:from>
    <xdr:to>
      <xdr:col>15</xdr:col>
      <xdr:colOff>49305</xdr:colOff>
      <xdr:row>192</xdr:row>
      <xdr:rowOff>46258</xdr:rowOff>
    </xdr:to>
    <xdr:sp macro="" textlink="">
      <xdr:nvSpPr>
        <xdr:cNvPr id="153" name="Oval 152" hidden="1">
          <a:extLst>
            <a:ext uri="{FF2B5EF4-FFF2-40B4-BE49-F238E27FC236}">
              <a16:creationId xmlns:a16="http://schemas.microsoft.com/office/drawing/2014/main" id="{00000000-0008-0000-0900-000099000000}"/>
            </a:ext>
          </a:extLst>
        </xdr:cNvPr>
        <xdr:cNvSpPr/>
      </xdr:nvSpPr>
      <xdr:spPr>
        <a:xfrm>
          <a:off x="4265979" y="365266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196</xdr:row>
      <xdr:rowOff>138815</xdr:rowOff>
    </xdr:from>
    <xdr:to>
      <xdr:col>15</xdr:col>
      <xdr:colOff>49304</xdr:colOff>
      <xdr:row>197</xdr:row>
      <xdr:rowOff>43877</xdr:rowOff>
    </xdr:to>
    <xdr:sp macro="" textlink="">
      <xdr:nvSpPr>
        <xdr:cNvPr id="154" name="Oval 153" hidden="1">
          <a:extLst>
            <a:ext uri="{FF2B5EF4-FFF2-40B4-BE49-F238E27FC236}">
              <a16:creationId xmlns:a16="http://schemas.microsoft.com/office/drawing/2014/main" id="{00000000-0008-0000-0900-00009A000000}"/>
            </a:ext>
          </a:extLst>
        </xdr:cNvPr>
        <xdr:cNvSpPr/>
      </xdr:nvSpPr>
      <xdr:spPr>
        <a:xfrm>
          <a:off x="4265978" y="374768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201</xdr:row>
      <xdr:rowOff>138816</xdr:rowOff>
    </xdr:from>
    <xdr:to>
      <xdr:col>15</xdr:col>
      <xdr:colOff>49304</xdr:colOff>
      <xdr:row>202</xdr:row>
      <xdr:rowOff>43878</xdr:rowOff>
    </xdr:to>
    <xdr:sp macro="" textlink="">
      <xdr:nvSpPr>
        <xdr:cNvPr id="155" name="Oval 154" hidden="1">
          <a:extLst>
            <a:ext uri="{FF2B5EF4-FFF2-40B4-BE49-F238E27FC236}">
              <a16:creationId xmlns:a16="http://schemas.microsoft.com/office/drawing/2014/main" id="{00000000-0008-0000-0900-00009B000000}"/>
            </a:ext>
          </a:extLst>
        </xdr:cNvPr>
        <xdr:cNvSpPr/>
      </xdr:nvSpPr>
      <xdr:spPr>
        <a:xfrm>
          <a:off x="4265978" y="3842931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206</xdr:row>
      <xdr:rowOff>138816</xdr:rowOff>
    </xdr:from>
    <xdr:to>
      <xdr:col>15</xdr:col>
      <xdr:colOff>49304</xdr:colOff>
      <xdr:row>207</xdr:row>
      <xdr:rowOff>43878</xdr:rowOff>
    </xdr:to>
    <xdr:sp macro="" textlink="">
      <xdr:nvSpPr>
        <xdr:cNvPr id="156" name="Oval 155" hidden="1">
          <a:extLst>
            <a:ext uri="{FF2B5EF4-FFF2-40B4-BE49-F238E27FC236}">
              <a16:creationId xmlns:a16="http://schemas.microsoft.com/office/drawing/2014/main" id="{00000000-0008-0000-0900-00009C000000}"/>
            </a:ext>
          </a:extLst>
        </xdr:cNvPr>
        <xdr:cNvSpPr/>
      </xdr:nvSpPr>
      <xdr:spPr>
        <a:xfrm>
          <a:off x="4265978" y="3938181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208329</xdr:colOff>
      <xdr:row>211</xdr:row>
      <xdr:rowOff>141198</xdr:rowOff>
    </xdr:from>
    <xdr:to>
      <xdr:col>15</xdr:col>
      <xdr:colOff>49305</xdr:colOff>
      <xdr:row>212</xdr:row>
      <xdr:rowOff>46260</xdr:rowOff>
    </xdr:to>
    <xdr:sp macro="" textlink="">
      <xdr:nvSpPr>
        <xdr:cNvPr id="157" name="Oval 156" hidden="1">
          <a:extLst>
            <a:ext uri="{FF2B5EF4-FFF2-40B4-BE49-F238E27FC236}">
              <a16:creationId xmlns:a16="http://schemas.microsoft.com/office/drawing/2014/main" id="{00000000-0008-0000-0900-00009D000000}"/>
            </a:ext>
          </a:extLst>
        </xdr:cNvPr>
        <xdr:cNvSpPr/>
      </xdr:nvSpPr>
      <xdr:spPr>
        <a:xfrm>
          <a:off x="4265979" y="4033669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208329</xdr:colOff>
      <xdr:row>216</xdr:row>
      <xdr:rowOff>141198</xdr:rowOff>
    </xdr:from>
    <xdr:to>
      <xdr:col>15</xdr:col>
      <xdr:colOff>49305</xdr:colOff>
      <xdr:row>217</xdr:row>
      <xdr:rowOff>46260</xdr:rowOff>
    </xdr:to>
    <xdr:sp macro="" textlink="">
      <xdr:nvSpPr>
        <xdr:cNvPr id="158" name="Oval 157" hidden="1">
          <a:extLst>
            <a:ext uri="{FF2B5EF4-FFF2-40B4-BE49-F238E27FC236}">
              <a16:creationId xmlns:a16="http://schemas.microsoft.com/office/drawing/2014/main" id="{00000000-0008-0000-0900-00009E000000}"/>
            </a:ext>
          </a:extLst>
        </xdr:cNvPr>
        <xdr:cNvSpPr/>
      </xdr:nvSpPr>
      <xdr:spPr>
        <a:xfrm>
          <a:off x="4265979" y="4128919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221</xdr:row>
      <xdr:rowOff>138817</xdr:rowOff>
    </xdr:from>
    <xdr:to>
      <xdr:col>15</xdr:col>
      <xdr:colOff>49304</xdr:colOff>
      <xdr:row>222</xdr:row>
      <xdr:rowOff>43879</xdr:rowOff>
    </xdr:to>
    <xdr:sp macro="" textlink="">
      <xdr:nvSpPr>
        <xdr:cNvPr id="159" name="Oval 158" hidden="1">
          <a:extLst>
            <a:ext uri="{FF2B5EF4-FFF2-40B4-BE49-F238E27FC236}">
              <a16:creationId xmlns:a16="http://schemas.microsoft.com/office/drawing/2014/main" id="{00000000-0008-0000-0900-00009F000000}"/>
            </a:ext>
          </a:extLst>
        </xdr:cNvPr>
        <xdr:cNvSpPr/>
      </xdr:nvSpPr>
      <xdr:spPr>
        <a:xfrm>
          <a:off x="4265978" y="42239317"/>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226</xdr:row>
      <xdr:rowOff>138818</xdr:rowOff>
    </xdr:from>
    <xdr:to>
      <xdr:col>15</xdr:col>
      <xdr:colOff>49304</xdr:colOff>
      <xdr:row>227</xdr:row>
      <xdr:rowOff>43880</xdr:rowOff>
    </xdr:to>
    <xdr:sp macro="" textlink="">
      <xdr:nvSpPr>
        <xdr:cNvPr id="160" name="Oval 159" hidden="1">
          <a:extLst>
            <a:ext uri="{FF2B5EF4-FFF2-40B4-BE49-F238E27FC236}">
              <a16:creationId xmlns:a16="http://schemas.microsoft.com/office/drawing/2014/main" id="{00000000-0008-0000-0900-0000A0000000}"/>
            </a:ext>
          </a:extLst>
        </xdr:cNvPr>
        <xdr:cNvSpPr/>
      </xdr:nvSpPr>
      <xdr:spPr>
        <a:xfrm>
          <a:off x="4265978" y="4319181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231</xdr:row>
      <xdr:rowOff>138818</xdr:rowOff>
    </xdr:from>
    <xdr:to>
      <xdr:col>15</xdr:col>
      <xdr:colOff>49304</xdr:colOff>
      <xdr:row>232</xdr:row>
      <xdr:rowOff>43880</xdr:rowOff>
    </xdr:to>
    <xdr:sp macro="" textlink="">
      <xdr:nvSpPr>
        <xdr:cNvPr id="161" name="Oval 160" hidden="1">
          <a:extLst>
            <a:ext uri="{FF2B5EF4-FFF2-40B4-BE49-F238E27FC236}">
              <a16:creationId xmlns:a16="http://schemas.microsoft.com/office/drawing/2014/main" id="{00000000-0008-0000-0900-0000A1000000}"/>
            </a:ext>
          </a:extLst>
        </xdr:cNvPr>
        <xdr:cNvSpPr/>
      </xdr:nvSpPr>
      <xdr:spPr>
        <a:xfrm>
          <a:off x="4265978" y="4414431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208329</xdr:colOff>
      <xdr:row>236</xdr:row>
      <xdr:rowOff>141199</xdr:rowOff>
    </xdr:from>
    <xdr:to>
      <xdr:col>15</xdr:col>
      <xdr:colOff>49305</xdr:colOff>
      <xdr:row>237</xdr:row>
      <xdr:rowOff>46261</xdr:rowOff>
    </xdr:to>
    <xdr:sp macro="" textlink="">
      <xdr:nvSpPr>
        <xdr:cNvPr id="162" name="Oval 161" hidden="1">
          <a:extLst>
            <a:ext uri="{FF2B5EF4-FFF2-40B4-BE49-F238E27FC236}">
              <a16:creationId xmlns:a16="http://schemas.microsoft.com/office/drawing/2014/main" id="{00000000-0008-0000-0900-0000A2000000}"/>
            </a:ext>
          </a:extLst>
        </xdr:cNvPr>
        <xdr:cNvSpPr/>
      </xdr:nvSpPr>
      <xdr:spPr>
        <a:xfrm>
          <a:off x="4265979" y="4509919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208329</xdr:colOff>
      <xdr:row>241</xdr:row>
      <xdr:rowOff>141199</xdr:rowOff>
    </xdr:from>
    <xdr:to>
      <xdr:col>15</xdr:col>
      <xdr:colOff>49305</xdr:colOff>
      <xdr:row>242</xdr:row>
      <xdr:rowOff>46261</xdr:rowOff>
    </xdr:to>
    <xdr:sp macro="" textlink="">
      <xdr:nvSpPr>
        <xdr:cNvPr id="163" name="Oval 162" hidden="1">
          <a:extLst>
            <a:ext uri="{FF2B5EF4-FFF2-40B4-BE49-F238E27FC236}">
              <a16:creationId xmlns:a16="http://schemas.microsoft.com/office/drawing/2014/main" id="{00000000-0008-0000-0900-0000A3000000}"/>
            </a:ext>
          </a:extLst>
        </xdr:cNvPr>
        <xdr:cNvSpPr/>
      </xdr:nvSpPr>
      <xdr:spPr>
        <a:xfrm>
          <a:off x="4265979" y="4605169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246</xdr:row>
      <xdr:rowOff>138818</xdr:rowOff>
    </xdr:from>
    <xdr:to>
      <xdr:col>15</xdr:col>
      <xdr:colOff>49304</xdr:colOff>
      <xdr:row>247</xdr:row>
      <xdr:rowOff>43880</xdr:rowOff>
    </xdr:to>
    <xdr:sp macro="" textlink="">
      <xdr:nvSpPr>
        <xdr:cNvPr id="164" name="Oval 163" hidden="1">
          <a:extLst>
            <a:ext uri="{FF2B5EF4-FFF2-40B4-BE49-F238E27FC236}">
              <a16:creationId xmlns:a16="http://schemas.microsoft.com/office/drawing/2014/main" id="{00000000-0008-0000-0900-0000A4000000}"/>
            </a:ext>
          </a:extLst>
        </xdr:cNvPr>
        <xdr:cNvSpPr/>
      </xdr:nvSpPr>
      <xdr:spPr>
        <a:xfrm>
          <a:off x="4265978" y="4700181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251</xdr:row>
      <xdr:rowOff>138819</xdr:rowOff>
    </xdr:from>
    <xdr:to>
      <xdr:col>15</xdr:col>
      <xdr:colOff>49304</xdr:colOff>
      <xdr:row>252</xdr:row>
      <xdr:rowOff>43881</xdr:rowOff>
    </xdr:to>
    <xdr:sp macro="" textlink="">
      <xdr:nvSpPr>
        <xdr:cNvPr id="165" name="Oval 164" hidden="1">
          <a:extLst>
            <a:ext uri="{FF2B5EF4-FFF2-40B4-BE49-F238E27FC236}">
              <a16:creationId xmlns:a16="http://schemas.microsoft.com/office/drawing/2014/main" id="{00000000-0008-0000-0900-0000A5000000}"/>
            </a:ext>
          </a:extLst>
        </xdr:cNvPr>
        <xdr:cNvSpPr/>
      </xdr:nvSpPr>
      <xdr:spPr>
        <a:xfrm>
          <a:off x="4265978" y="4795431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256</xdr:row>
      <xdr:rowOff>138819</xdr:rowOff>
    </xdr:from>
    <xdr:to>
      <xdr:col>15</xdr:col>
      <xdr:colOff>49304</xdr:colOff>
      <xdr:row>257</xdr:row>
      <xdr:rowOff>43881</xdr:rowOff>
    </xdr:to>
    <xdr:sp macro="" textlink="">
      <xdr:nvSpPr>
        <xdr:cNvPr id="166" name="Oval 165" hidden="1">
          <a:extLst>
            <a:ext uri="{FF2B5EF4-FFF2-40B4-BE49-F238E27FC236}">
              <a16:creationId xmlns:a16="http://schemas.microsoft.com/office/drawing/2014/main" id="{00000000-0008-0000-0900-0000A6000000}"/>
            </a:ext>
          </a:extLst>
        </xdr:cNvPr>
        <xdr:cNvSpPr/>
      </xdr:nvSpPr>
      <xdr:spPr>
        <a:xfrm>
          <a:off x="4265978" y="4890681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208329</xdr:colOff>
      <xdr:row>261</xdr:row>
      <xdr:rowOff>141199</xdr:rowOff>
    </xdr:from>
    <xdr:to>
      <xdr:col>15</xdr:col>
      <xdr:colOff>49305</xdr:colOff>
      <xdr:row>262</xdr:row>
      <xdr:rowOff>46261</xdr:rowOff>
    </xdr:to>
    <xdr:sp macro="" textlink="">
      <xdr:nvSpPr>
        <xdr:cNvPr id="167" name="Oval 166" hidden="1">
          <a:extLst>
            <a:ext uri="{FF2B5EF4-FFF2-40B4-BE49-F238E27FC236}">
              <a16:creationId xmlns:a16="http://schemas.microsoft.com/office/drawing/2014/main" id="{00000000-0008-0000-0900-0000A7000000}"/>
            </a:ext>
          </a:extLst>
        </xdr:cNvPr>
        <xdr:cNvSpPr/>
      </xdr:nvSpPr>
      <xdr:spPr>
        <a:xfrm>
          <a:off x="4265979" y="4986169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208329</xdr:colOff>
      <xdr:row>266</xdr:row>
      <xdr:rowOff>141199</xdr:rowOff>
    </xdr:from>
    <xdr:to>
      <xdr:col>15</xdr:col>
      <xdr:colOff>49305</xdr:colOff>
      <xdr:row>267</xdr:row>
      <xdr:rowOff>46261</xdr:rowOff>
    </xdr:to>
    <xdr:sp macro="" textlink="">
      <xdr:nvSpPr>
        <xdr:cNvPr id="168" name="Oval 167" hidden="1">
          <a:extLst>
            <a:ext uri="{FF2B5EF4-FFF2-40B4-BE49-F238E27FC236}">
              <a16:creationId xmlns:a16="http://schemas.microsoft.com/office/drawing/2014/main" id="{00000000-0008-0000-0900-0000A8000000}"/>
            </a:ext>
          </a:extLst>
        </xdr:cNvPr>
        <xdr:cNvSpPr/>
      </xdr:nvSpPr>
      <xdr:spPr>
        <a:xfrm>
          <a:off x="4265979" y="5081419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271</xdr:row>
      <xdr:rowOff>138818</xdr:rowOff>
    </xdr:from>
    <xdr:to>
      <xdr:col>15</xdr:col>
      <xdr:colOff>49304</xdr:colOff>
      <xdr:row>272</xdr:row>
      <xdr:rowOff>43880</xdr:rowOff>
    </xdr:to>
    <xdr:sp macro="" textlink="">
      <xdr:nvSpPr>
        <xdr:cNvPr id="169" name="Oval 168" hidden="1">
          <a:extLst>
            <a:ext uri="{FF2B5EF4-FFF2-40B4-BE49-F238E27FC236}">
              <a16:creationId xmlns:a16="http://schemas.microsoft.com/office/drawing/2014/main" id="{00000000-0008-0000-0900-0000A9000000}"/>
            </a:ext>
          </a:extLst>
        </xdr:cNvPr>
        <xdr:cNvSpPr/>
      </xdr:nvSpPr>
      <xdr:spPr>
        <a:xfrm>
          <a:off x="4265978" y="5176431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276</xdr:row>
      <xdr:rowOff>138819</xdr:rowOff>
    </xdr:from>
    <xdr:to>
      <xdr:col>15</xdr:col>
      <xdr:colOff>49304</xdr:colOff>
      <xdr:row>277</xdr:row>
      <xdr:rowOff>43881</xdr:rowOff>
    </xdr:to>
    <xdr:sp macro="" textlink="">
      <xdr:nvSpPr>
        <xdr:cNvPr id="170" name="Oval 169" hidden="1">
          <a:extLst>
            <a:ext uri="{FF2B5EF4-FFF2-40B4-BE49-F238E27FC236}">
              <a16:creationId xmlns:a16="http://schemas.microsoft.com/office/drawing/2014/main" id="{00000000-0008-0000-0900-0000AA000000}"/>
            </a:ext>
          </a:extLst>
        </xdr:cNvPr>
        <xdr:cNvSpPr/>
      </xdr:nvSpPr>
      <xdr:spPr>
        <a:xfrm>
          <a:off x="4265978" y="5271681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208328</xdr:colOff>
      <xdr:row>281</xdr:row>
      <xdr:rowOff>138819</xdr:rowOff>
    </xdr:from>
    <xdr:to>
      <xdr:col>15</xdr:col>
      <xdr:colOff>49304</xdr:colOff>
      <xdr:row>282</xdr:row>
      <xdr:rowOff>43881</xdr:rowOff>
    </xdr:to>
    <xdr:sp macro="" textlink="">
      <xdr:nvSpPr>
        <xdr:cNvPr id="171" name="Oval 170" hidden="1">
          <a:extLst>
            <a:ext uri="{FF2B5EF4-FFF2-40B4-BE49-F238E27FC236}">
              <a16:creationId xmlns:a16="http://schemas.microsoft.com/office/drawing/2014/main" id="{00000000-0008-0000-0900-0000AB000000}"/>
            </a:ext>
          </a:extLst>
        </xdr:cNvPr>
        <xdr:cNvSpPr/>
      </xdr:nvSpPr>
      <xdr:spPr>
        <a:xfrm>
          <a:off x="4265978" y="5366931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208330</xdr:colOff>
      <xdr:row>286</xdr:row>
      <xdr:rowOff>141198</xdr:rowOff>
    </xdr:from>
    <xdr:to>
      <xdr:col>15</xdr:col>
      <xdr:colOff>49306</xdr:colOff>
      <xdr:row>287</xdr:row>
      <xdr:rowOff>46260</xdr:rowOff>
    </xdr:to>
    <xdr:sp macro="" textlink="">
      <xdr:nvSpPr>
        <xdr:cNvPr id="172" name="Oval 171" hidden="1">
          <a:extLst>
            <a:ext uri="{FF2B5EF4-FFF2-40B4-BE49-F238E27FC236}">
              <a16:creationId xmlns:a16="http://schemas.microsoft.com/office/drawing/2014/main" id="{00000000-0008-0000-0900-0000AC000000}"/>
            </a:ext>
          </a:extLst>
        </xdr:cNvPr>
        <xdr:cNvSpPr/>
      </xdr:nvSpPr>
      <xdr:spPr>
        <a:xfrm>
          <a:off x="4265980" y="5462419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208330</xdr:colOff>
      <xdr:row>291</xdr:row>
      <xdr:rowOff>141198</xdr:rowOff>
    </xdr:from>
    <xdr:to>
      <xdr:col>15</xdr:col>
      <xdr:colOff>49306</xdr:colOff>
      <xdr:row>292</xdr:row>
      <xdr:rowOff>46260</xdr:rowOff>
    </xdr:to>
    <xdr:sp macro="" textlink="">
      <xdr:nvSpPr>
        <xdr:cNvPr id="173" name="Oval 172" hidden="1">
          <a:extLst>
            <a:ext uri="{FF2B5EF4-FFF2-40B4-BE49-F238E27FC236}">
              <a16:creationId xmlns:a16="http://schemas.microsoft.com/office/drawing/2014/main" id="{00000000-0008-0000-0900-0000AD000000}"/>
            </a:ext>
          </a:extLst>
        </xdr:cNvPr>
        <xdr:cNvSpPr/>
      </xdr:nvSpPr>
      <xdr:spPr>
        <a:xfrm>
          <a:off x="4265980" y="5557669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208329</xdr:colOff>
      <xdr:row>296</xdr:row>
      <xdr:rowOff>138817</xdr:rowOff>
    </xdr:from>
    <xdr:to>
      <xdr:col>15</xdr:col>
      <xdr:colOff>49305</xdr:colOff>
      <xdr:row>297</xdr:row>
      <xdr:rowOff>43879</xdr:rowOff>
    </xdr:to>
    <xdr:sp macro="" textlink="">
      <xdr:nvSpPr>
        <xdr:cNvPr id="174" name="Oval 173" hidden="1">
          <a:extLst>
            <a:ext uri="{FF2B5EF4-FFF2-40B4-BE49-F238E27FC236}">
              <a16:creationId xmlns:a16="http://schemas.microsoft.com/office/drawing/2014/main" id="{00000000-0008-0000-0900-0000AE000000}"/>
            </a:ext>
          </a:extLst>
        </xdr:cNvPr>
        <xdr:cNvSpPr/>
      </xdr:nvSpPr>
      <xdr:spPr>
        <a:xfrm>
          <a:off x="4265979" y="56526817"/>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208329</xdr:colOff>
      <xdr:row>301</xdr:row>
      <xdr:rowOff>138818</xdr:rowOff>
    </xdr:from>
    <xdr:to>
      <xdr:col>15</xdr:col>
      <xdr:colOff>49305</xdr:colOff>
      <xdr:row>302</xdr:row>
      <xdr:rowOff>43880</xdr:rowOff>
    </xdr:to>
    <xdr:sp macro="" textlink="">
      <xdr:nvSpPr>
        <xdr:cNvPr id="175" name="Oval 174" hidden="1">
          <a:extLst>
            <a:ext uri="{FF2B5EF4-FFF2-40B4-BE49-F238E27FC236}">
              <a16:creationId xmlns:a16="http://schemas.microsoft.com/office/drawing/2014/main" id="{00000000-0008-0000-0900-0000AF000000}"/>
            </a:ext>
          </a:extLst>
        </xdr:cNvPr>
        <xdr:cNvSpPr/>
      </xdr:nvSpPr>
      <xdr:spPr>
        <a:xfrm>
          <a:off x="4265979" y="5747931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208329</xdr:colOff>
      <xdr:row>306</xdr:row>
      <xdr:rowOff>138818</xdr:rowOff>
    </xdr:from>
    <xdr:to>
      <xdr:col>15</xdr:col>
      <xdr:colOff>49305</xdr:colOff>
      <xdr:row>307</xdr:row>
      <xdr:rowOff>43880</xdr:rowOff>
    </xdr:to>
    <xdr:sp macro="" textlink="">
      <xdr:nvSpPr>
        <xdr:cNvPr id="176" name="Oval 175" hidden="1">
          <a:extLst>
            <a:ext uri="{FF2B5EF4-FFF2-40B4-BE49-F238E27FC236}">
              <a16:creationId xmlns:a16="http://schemas.microsoft.com/office/drawing/2014/main" id="{00000000-0008-0000-0900-0000B0000000}"/>
            </a:ext>
          </a:extLst>
        </xdr:cNvPr>
        <xdr:cNvSpPr/>
      </xdr:nvSpPr>
      <xdr:spPr>
        <a:xfrm>
          <a:off x="4265979" y="5843181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208360</xdr:colOff>
      <xdr:row>36</xdr:row>
      <xdr:rowOff>143576</xdr:rowOff>
    </xdr:from>
    <xdr:to>
      <xdr:col>22</xdr:col>
      <xdr:colOff>49336</xdr:colOff>
      <xdr:row>37</xdr:row>
      <xdr:rowOff>48638</xdr:rowOff>
    </xdr:to>
    <xdr:sp macro="" textlink="">
      <xdr:nvSpPr>
        <xdr:cNvPr id="177" name="Oval 176" hidden="1">
          <a:extLst>
            <a:ext uri="{FF2B5EF4-FFF2-40B4-BE49-F238E27FC236}">
              <a16:creationId xmlns:a16="http://schemas.microsoft.com/office/drawing/2014/main" id="{00000000-0008-0000-0900-0000B1000000}"/>
            </a:ext>
          </a:extLst>
        </xdr:cNvPr>
        <xdr:cNvSpPr/>
      </xdr:nvSpPr>
      <xdr:spPr>
        <a:xfrm>
          <a:off x="6066235" y="700157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208360</xdr:colOff>
      <xdr:row>41</xdr:row>
      <xdr:rowOff>143576</xdr:rowOff>
    </xdr:from>
    <xdr:to>
      <xdr:col>22</xdr:col>
      <xdr:colOff>49336</xdr:colOff>
      <xdr:row>42</xdr:row>
      <xdr:rowOff>48638</xdr:rowOff>
    </xdr:to>
    <xdr:sp macro="" textlink="">
      <xdr:nvSpPr>
        <xdr:cNvPr id="178" name="Oval 177" hidden="1">
          <a:extLst>
            <a:ext uri="{FF2B5EF4-FFF2-40B4-BE49-F238E27FC236}">
              <a16:creationId xmlns:a16="http://schemas.microsoft.com/office/drawing/2014/main" id="{00000000-0008-0000-0900-0000B2000000}"/>
            </a:ext>
          </a:extLst>
        </xdr:cNvPr>
        <xdr:cNvSpPr/>
      </xdr:nvSpPr>
      <xdr:spPr>
        <a:xfrm>
          <a:off x="6066235" y="795407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46</xdr:row>
      <xdr:rowOff>141195</xdr:rowOff>
    </xdr:from>
    <xdr:to>
      <xdr:col>22</xdr:col>
      <xdr:colOff>49335</xdr:colOff>
      <xdr:row>47</xdr:row>
      <xdr:rowOff>46257</xdr:rowOff>
    </xdr:to>
    <xdr:sp macro="" textlink="">
      <xdr:nvSpPr>
        <xdr:cNvPr id="179" name="Oval 178" hidden="1">
          <a:extLst>
            <a:ext uri="{FF2B5EF4-FFF2-40B4-BE49-F238E27FC236}">
              <a16:creationId xmlns:a16="http://schemas.microsoft.com/office/drawing/2014/main" id="{00000000-0008-0000-0900-0000B3000000}"/>
            </a:ext>
          </a:extLst>
        </xdr:cNvPr>
        <xdr:cNvSpPr/>
      </xdr:nvSpPr>
      <xdr:spPr>
        <a:xfrm>
          <a:off x="6066234" y="890419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51</xdr:row>
      <xdr:rowOff>141196</xdr:rowOff>
    </xdr:from>
    <xdr:to>
      <xdr:col>22</xdr:col>
      <xdr:colOff>49335</xdr:colOff>
      <xdr:row>52</xdr:row>
      <xdr:rowOff>46258</xdr:rowOff>
    </xdr:to>
    <xdr:sp macro="" textlink="">
      <xdr:nvSpPr>
        <xdr:cNvPr id="180" name="Oval 179" hidden="1">
          <a:extLst>
            <a:ext uri="{FF2B5EF4-FFF2-40B4-BE49-F238E27FC236}">
              <a16:creationId xmlns:a16="http://schemas.microsoft.com/office/drawing/2014/main" id="{00000000-0008-0000-0900-0000B4000000}"/>
            </a:ext>
          </a:extLst>
        </xdr:cNvPr>
        <xdr:cNvSpPr/>
      </xdr:nvSpPr>
      <xdr:spPr>
        <a:xfrm>
          <a:off x="6066234" y="98566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56</xdr:row>
      <xdr:rowOff>141196</xdr:rowOff>
    </xdr:from>
    <xdr:to>
      <xdr:col>22</xdr:col>
      <xdr:colOff>49335</xdr:colOff>
      <xdr:row>57</xdr:row>
      <xdr:rowOff>46258</xdr:rowOff>
    </xdr:to>
    <xdr:sp macro="" textlink="">
      <xdr:nvSpPr>
        <xdr:cNvPr id="181" name="Oval 180" hidden="1">
          <a:extLst>
            <a:ext uri="{FF2B5EF4-FFF2-40B4-BE49-F238E27FC236}">
              <a16:creationId xmlns:a16="http://schemas.microsoft.com/office/drawing/2014/main" id="{00000000-0008-0000-0900-0000B5000000}"/>
            </a:ext>
          </a:extLst>
        </xdr:cNvPr>
        <xdr:cNvSpPr/>
      </xdr:nvSpPr>
      <xdr:spPr>
        <a:xfrm>
          <a:off x="6066234" y="108091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208360</xdr:colOff>
      <xdr:row>61</xdr:row>
      <xdr:rowOff>141194</xdr:rowOff>
    </xdr:from>
    <xdr:to>
      <xdr:col>22</xdr:col>
      <xdr:colOff>49336</xdr:colOff>
      <xdr:row>62</xdr:row>
      <xdr:rowOff>46256</xdr:rowOff>
    </xdr:to>
    <xdr:sp macro="" textlink="">
      <xdr:nvSpPr>
        <xdr:cNvPr id="182" name="Oval 181" hidden="1">
          <a:extLst>
            <a:ext uri="{FF2B5EF4-FFF2-40B4-BE49-F238E27FC236}">
              <a16:creationId xmlns:a16="http://schemas.microsoft.com/office/drawing/2014/main" id="{00000000-0008-0000-0900-0000B6000000}"/>
            </a:ext>
          </a:extLst>
        </xdr:cNvPr>
        <xdr:cNvSpPr/>
      </xdr:nvSpPr>
      <xdr:spPr>
        <a:xfrm>
          <a:off x="6066235" y="1176169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208360</xdr:colOff>
      <xdr:row>66</xdr:row>
      <xdr:rowOff>141194</xdr:rowOff>
    </xdr:from>
    <xdr:to>
      <xdr:col>22</xdr:col>
      <xdr:colOff>49336</xdr:colOff>
      <xdr:row>67</xdr:row>
      <xdr:rowOff>46256</xdr:rowOff>
    </xdr:to>
    <xdr:sp macro="" textlink="">
      <xdr:nvSpPr>
        <xdr:cNvPr id="183" name="Oval 182" hidden="1">
          <a:extLst>
            <a:ext uri="{FF2B5EF4-FFF2-40B4-BE49-F238E27FC236}">
              <a16:creationId xmlns:a16="http://schemas.microsoft.com/office/drawing/2014/main" id="{00000000-0008-0000-0900-0000B7000000}"/>
            </a:ext>
          </a:extLst>
        </xdr:cNvPr>
        <xdr:cNvSpPr/>
      </xdr:nvSpPr>
      <xdr:spPr>
        <a:xfrm>
          <a:off x="6066235" y="1271419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71</xdr:row>
      <xdr:rowOff>138813</xdr:rowOff>
    </xdr:from>
    <xdr:to>
      <xdr:col>22</xdr:col>
      <xdr:colOff>49335</xdr:colOff>
      <xdr:row>72</xdr:row>
      <xdr:rowOff>43875</xdr:rowOff>
    </xdr:to>
    <xdr:sp macro="" textlink="">
      <xdr:nvSpPr>
        <xdr:cNvPr id="184" name="Oval 183" hidden="1">
          <a:extLst>
            <a:ext uri="{FF2B5EF4-FFF2-40B4-BE49-F238E27FC236}">
              <a16:creationId xmlns:a16="http://schemas.microsoft.com/office/drawing/2014/main" id="{00000000-0008-0000-0900-0000B8000000}"/>
            </a:ext>
          </a:extLst>
        </xdr:cNvPr>
        <xdr:cNvSpPr/>
      </xdr:nvSpPr>
      <xdr:spPr>
        <a:xfrm>
          <a:off x="6066234" y="1366431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76</xdr:row>
      <xdr:rowOff>138814</xdr:rowOff>
    </xdr:from>
    <xdr:to>
      <xdr:col>22</xdr:col>
      <xdr:colOff>49335</xdr:colOff>
      <xdr:row>77</xdr:row>
      <xdr:rowOff>43876</xdr:rowOff>
    </xdr:to>
    <xdr:sp macro="" textlink="">
      <xdr:nvSpPr>
        <xdr:cNvPr id="185" name="Oval 184" hidden="1">
          <a:extLst>
            <a:ext uri="{FF2B5EF4-FFF2-40B4-BE49-F238E27FC236}">
              <a16:creationId xmlns:a16="http://schemas.microsoft.com/office/drawing/2014/main" id="{00000000-0008-0000-0900-0000B9000000}"/>
            </a:ext>
          </a:extLst>
        </xdr:cNvPr>
        <xdr:cNvSpPr/>
      </xdr:nvSpPr>
      <xdr:spPr>
        <a:xfrm>
          <a:off x="6066234" y="1461681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81</xdr:row>
      <xdr:rowOff>138814</xdr:rowOff>
    </xdr:from>
    <xdr:to>
      <xdr:col>22</xdr:col>
      <xdr:colOff>49335</xdr:colOff>
      <xdr:row>82</xdr:row>
      <xdr:rowOff>43876</xdr:rowOff>
    </xdr:to>
    <xdr:sp macro="" textlink="">
      <xdr:nvSpPr>
        <xdr:cNvPr id="186" name="Oval 185" hidden="1">
          <a:extLst>
            <a:ext uri="{FF2B5EF4-FFF2-40B4-BE49-F238E27FC236}">
              <a16:creationId xmlns:a16="http://schemas.microsoft.com/office/drawing/2014/main" id="{00000000-0008-0000-0900-0000BA000000}"/>
            </a:ext>
          </a:extLst>
        </xdr:cNvPr>
        <xdr:cNvSpPr/>
      </xdr:nvSpPr>
      <xdr:spPr>
        <a:xfrm>
          <a:off x="6066234" y="1556931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208360</xdr:colOff>
      <xdr:row>86</xdr:row>
      <xdr:rowOff>141195</xdr:rowOff>
    </xdr:from>
    <xdr:to>
      <xdr:col>22</xdr:col>
      <xdr:colOff>49336</xdr:colOff>
      <xdr:row>87</xdr:row>
      <xdr:rowOff>46257</xdr:rowOff>
    </xdr:to>
    <xdr:sp macro="" textlink="">
      <xdr:nvSpPr>
        <xdr:cNvPr id="187" name="Oval 186" hidden="1">
          <a:extLst>
            <a:ext uri="{FF2B5EF4-FFF2-40B4-BE49-F238E27FC236}">
              <a16:creationId xmlns:a16="http://schemas.microsoft.com/office/drawing/2014/main" id="{00000000-0008-0000-0900-0000BB000000}"/>
            </a:ext>
          </a:extLst>
        </xdr:cNvPr>
        <xdr:cNvSpPr/>
      </xdr:nvSpPr>
      <xdr:spPr>
        <a:xfrm>
          <a:off x="6066235" y="1652419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208360</xdr:colOff>
      <xdr:row>91</xdr:row>
      <xdr:rowOff>141195</xdr:rowOff>
    </xdr:from>
    <xdr:to>
      <xdr:col>22</xdr:col>
      <xdr:colOff>49336</xdr:colOff>
      <xdr:row>92</xdr:row>
      <xdr:rowOff>46257</xdr:rowOff>
    </xdr:to>
    <xdr:sp macro="" textlink="">
      <xdr:nvSpPr>
        <xdr:cNvPr id="188" name="Oval 187" hidden="1">
          <a:extLst>
            <a:ext uri="{FF2B5EF4-FFF2-40B4-BE49-F238E27FC236}">
              <a16:creationId xmlns:a16="http://schemas.microsoft.com/office/drawing/2014/main" id="{00000000-0008-0000-0900-0000BC000000}"/>
            </a:ext>
          </a:extLst>
        </xdr:cNvPr>
        <xdr:cNvSpPr/>
      </xdr:nvSpPr>
      <xdr:spPr>
        <a:xfrm>
          <a:off x="6066235" y="1747669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96</xdr:row>
      <xdr:rowOff>138814</xdr:rowOff>
    </xdr:from>
    <xdr:to>
      <xdr:col>22</xdr:col>
      <xdr:colOff>49335</xdr:colOff>
      <xdr:row>97</xdr:row>
      <xdr:rowOff>43876</xdr:rowOff>
    </xdr:to>
    <xdr:sp macro="" textlink="">
      <xdr:nvSpPr>
        <xdr:cNvPr id="189" name="Oval 188" hidden="1">
          <a:extLst>
            <a:ext uri="{FF2B5EF4-FFF2-40B4-BE49-F238E27FC236}">
              <a16:creationId xmlns:a16="http://schemas.microsoft.com/office/drawing/2014/main" id="{00000000-0008-0000-0900-0000BD000000}"/>
            </a:ext>
          </a:extLst>
        </xdr:cNvPr>
        <xdr:cNvSpPr/>
      </xdr:nvSpPr>
      <xdr:spPr>
        <a:xfrm>
          <a:off x="6066234" y="1842681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101</xdr:row>
      <xdr:rowOff>138815</xdr:rowOff>
    </xdr:from>
    <xdr:to>
      <xdr:col>22</xdr:col>
      <xdr:colOff>49335</xdr:colOff>
      <xdr:row>102</xdr:row>
      <xdr:rowOff>43877</xdr:rowOff>
    </xdr:to>
    <xdr:sp macro="" textlink="">
      <xdr:nvSpPr>
        <xdr:cNvPr id="190" name="Oval 189" hidden="1">
          <a:extLst>
            <a:ext uri="{FF2B5EF4-FFF2-40B4-BE49-F238E27FC236}">
              <a16:creationId xmlns:a16="http://schemas.microsoft.com/office/drawing/2014/main" id="{00000000-0008-0000-0900-0000BE000000}"/>
            </a:ext>
          </a:extLst>
        </xdr:cNvPr>
        <xdr:cNvSpPr/>
      </xdr:nvSpPr>
      <xdr:spPr>
        <a:xfrm>
          <a:off x="6066234" y="193793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106</xdr:row>
      <xdr:rowOff>138815</xdr:rowOff>
    </xdr:from>
    <xdr:to>
      <xdr:col>22</xdr:col>
      <xdr:colOff>49335</xdr:colOff>
      <xdr:row>107</xdr:row>
      <xdr:rowOff>43877</xdr:rowOff>
    </xdr:to>
    <xdr:sp macro="" textlink="">
      <xdr:nvSpPr>
        <xdr:cNvPr id="191" name="Oval 190" hidden="1">
          <a:extLst>
            <a:ext uri="{FF2B5EF4-FFF2-40B4-BE49-F238E27FC236}">
              <a16:creationId xmlns:a16="http://schemas.microsoft.com/office/drawing/2014/main" id="{00000000-0008-0000-0900-0000BF000000}"/>
            </a:ext>
          </a:extLst>
        </xdr:cNvPr>
        <xdr:cNvSpPr/>
      </xdr:nvSpPr>
      <xdr:spPr>
        <a:xfrm>
          <a:off x="6066234" y="203318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208360</xdr:colOff>
      <xdr:row>111</xdr:row>
      <xdr:rowOff>141196</xdr:rowOff>
    </xdr:from>
    <xdr:to>
      <xdr:col>22</xdr:col>
      <xdr:colOff>49336</xdr:colOff>
      <xdr:row>112</xdr:row>
      <xdr:rowOff>46258</xdr:rowOff>
    </xdr:to>
    <xdr:sp macro="" textlink="">
      <xdr:nvSpPr>
        <xdr:cNvPr id="192" name="Oval 191" hidden="1">
          <a:extLst>
            <a:ext uri="{FF2B5EF4-FFF2-40B4-BE49-F238E27FC236}">
              <a16:creationId xmlns:a16="http://schemas.microsoft.com/office/drawing/2014/main" id="{00000000-0008-0000-0900-0000C0000000}"/>
            </a:ext>
          </a:extLst>
        </xdr:cNvPr>
        <xdr:cNvSpPr/>
      </xdr:nvSpPr>
      <xdr:spPr>
        <a:xfrm>
          <a:off x="6066235" y="212866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208360</xdr:colOff>
      <xdr:row>116</xdr:row>
      <xdr:rowOff>141196</xdr:rowOff>
    </xdr:from>
    <xdr:to>
      <xdr:col>22</xdr:col>
      <xdr:colOff>49336</xdr:colOff>
      <xdr:row>117</xdr:row>
      <xdr:rowOff>46258</xdr:rowOff>
    </xdr:to>
    <xdr:sp macro="" textlink="">
      <xdr:nvSpPr>
        <xdr:cNvPr id="193" name="Oval 192" hidden="1">
          <a:extLst>
            <a:ext uri="{FF2B5EF4-FFF2-40B4-BE49-F238E27FC236}">
              <a16:creationId xmlns:a16="http://schemas.microsoft.com/office/drawing/2014/main" id="{00000000-0008-0000-0900-0000C1000000}"/>
            </a:ext>
          </a:extLst>
        </xdr:cNvPr>
        <xdr:cNvSpPr/>
      </xdr:nvSpPr>
      <xdr:spPr>
        <a:xfrm>
          <a:off x="6066235" y="222391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121</xdr:row>
      <xdr:rowOff>138815</xdr:rowOff>
    </xdr:from>
    <xdr:to>
      <xdr:col>22</xdr:col>
      <xdr:colOff>49335</xdr:colOff>
      <xdr:row>122</xdr:row>
      <xdr:rowOff>43877</xdr:rowOff>
    </xdr:to>
    <xdr:sp macro="" textlink="">
      <xdr:nvSpPr>
        <xdr:cNvPr id="194" name="Oval 193" hidden="1">
          <a:extLst>
            <a:ext uri="{FF2B5EF4-FFF2-40B4-BE49-F238E27FC236}">
              <a16:creationId xmlns:a16="http://schemas.microsoft.com/office/drawing/2014/main" id="{00000000-0008-0000-0900-0000C2000000}"/>
            </a:ext>
          </a:extLst>
        </xdr:cNvPr>
        <xdr:cNvSpPr/>
      </xdr:nvSpPr>
      <xdr:spPr>
        <a:xfrm>
          <a:off x="6066234" y="231893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126</xdr:row>
      <xdr:rowOff>138816</xdr:rowOff>
    </xdr:from>
    <xdr:to>
      <xdr:col>22</xdr:col>
      <xdr:colOff>49335</xdr:colOff>
      <xdr:row>127</xdr:row>
      <xdr:rowOff>43878</xdr:rowOff>
    </xdr:to>
    <xdr:sp macro="" textlink="">
      <xdr:nvSpPr>
        <xdr:cNvPr id="195" name="Oval 194" hidden="1">
          <a:extLst>
            <a:ext uri="{FF2B5EF4-FFF2-40B4-BE49-F238E27FC236}">
              <a16:creationId xmlns:a16="http://schemas.microsoft.com/office/drawing/2014/main" id="{00000000-0008-0000-0900-0000C3000000}"/>
            </a:ext>
          </a:extLst>
        </xdr:cNvPr>
        <xdr:cNvSpPr/>
      </xdr:nvSpPr>
      <xdr:spPr>
        <a:xfrm>
          <a:off x="6066234" y="2414181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131</xdr:row>
      <xdr:rowOff>138816</xdr:rowOff>
    </xdr:from>
    <xdr:to>
      <xdr:col>22</xdr:col>
      <xdr:colOff>49335</xdr:colOff>
      <xdr:row>132</xdr:row>
      <xdr:rowOff>43878</xdr:rowOff>
    </xdr:to>
    <xdr:sp macro="" textlink="">
      <xdr:nvSpPr>
        <xdr:cNvPr id="196" name="Oval 195" hidden="1">
          <a:extLst>
            <a:ext uri="{FF2B5EF4-FFF2-40B4-BE49-F238E27FC236}">
              <a16:creationId xmlns:a16="http://schemas.microsoft.com/office/drawing/2014/main" id="{00000000-0008-0000-0900-0000C4000000}"/>
            </a:ext>
          </a:extLst>
        </xdr:cNvPr>
        <xdr:cNvSpPr/>
      </xdr:nvSpPr>
      <xdr:spPr>
        <a:xfrm>
          <a:off x="6066234" y="2509431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208358</xdr:colOff>
      <xdr:row>136</xdr:row>
      <xdr:rowOff>141196</xdr:rowOff>
    </xdr:from>
    <xdr:to>
      <xdr:col>22</xdr:col>
      <xdr:colOff>49334</xdr:colOff>
      <xdr:row>137</xdr:row>
      <xdr:rowOff>46258</xdr:rowOff>
    </xdr:to>
    <xdr:sp macro="" textlink="">
      <xdr:nvSpPr>
        <xdr:cNvPr id="197" name="Oval 196" hidden="1">
          <a:extLst>
            <a:ext uri="{FF2B5EF4-FFF2-40B4-BE49-F238E27FC236}">
              <a16:creationId xmlns:a16="http://schemas.microsoft.com/office/drawing/2014/main" id="{00000000-0008-0000-0900-0000C5000000}"/>
            </a:ext>
          </a:extLst>
        </xdr:cNvPr>
        <xdr:cNvSpPr/>
      </xdr:nvSpPr>
      <xdr:spPr>
        <a:xfrm>
          <a:off x="6066233" y="260491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208358</xdr:colOff>
      <xdr:row>141</xdr:row>
      <xdr:rowOff>141196</xdr:rowOff>
    </xdr:from>
    <xdr:to>
      <xdr:col>22</xdr:col>
      <xdr:colOff>49334</xdr:colOff>
      <xdr:row>142</xdr:row>
      <xdr:rowOff>46258</xdr:rowOff>
    </xdr:to>
    <xdr:sp macro="" textlink="">
      <xdr:nvSpPr>
        <xdr:cNvPr id="198" name="Oval 197" hidden="1">
          <a:extLst>
            <a:ext uri="{FF2B5EF4-FFF2-40B4-BE49-F238E27FC236}">
              <a16:creationId xmlns:a16="http://schemas.microsoft.com/office/drawing/2014/main" id="{00000000-0008-0000-0900-0000C6000000}"/>
            </a:ext>
          </a:extLst>
        </xdr:cNvPr>
        <xdr:cNvSpPr/>
      </xdr:nvSpPr>
      <xdr:spPr>
        <a:xfrm>
          <a:off x="6066233" y="270016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208357</xdr:colOff>
      <xdr:row>146</xdr:row>
      <xdr:rowOff>138815</xdr:rowOff>
    </xdr:from>
    <xdr:to>
      <xdr:col>22</xdr:col>
      <xdr:colOff>49333</xdr:colOff>
      <xdr:row>147</xdr:row>
      <xdr:rowOff>43877</xdr:rowOff>
    </xdr:to>
    <xdr:sp macro="" textlink="">
      <xdr:nvSpPr>
        <xdr:cNvPr id="199" name="Oval 198" hidden="1">
          <a:extLst>
            <a:ext uri="{FF2B5EF4-FFF2-40B4-BE49-F238E27FC236}">
              <a16:creationId xmlns:a16="http://schemas.microsoft.com/office/drawing/2014/main" id="{00000000-0008-0000-0900-0000C7000000}"/>
            </a:ext>
          </a:extLst>
        </xdr:cNvPr>
        <xdr:cNvSpPr/>
      </xdr:nvSpPr>
      <xdr:spPr>
        <a:xfrm>
          <a:off x="6066232" y="279518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208357</xdr:colOff>
      <xdr:row>151</xdr:row>
      <xdr:rowOff>138816</xdr:rowOff>
    </xdr:from>
    <xdr:to>
      <xdr:col>22</xdr:col>
      <xdr:colOff>49333</xdr:colOff>
      <xdr:row>152</xdr:row>
      <xdr:rowOff>43878</xdr:rowOff>
    </xdr:to>
    <xdr:sp macro="" textlink="">
      <xdr:nvSpPr>
        <xdr:cNvPr id="200" name="Oval 199" hidden="1">
          <a:extLst>
            <a:ext uri="{FF2B5EF4-FFF2-40B4-BE49-F238E27FC236}">
              <a16:creationId xmlns:a16="http://schemas.microsoft.com/office/drawing/2014/main" id="{00000000-0008-0000-0900-0000C8000000}"/>
            </a:ext>
          </a:extLst>
        </xdr:cNvPr>
        <xdr:cNvSpPr/>
      </xdr:nvSpPr>
      <xdr:spPr>
        <a:xfrm>
          <a:off x="6066232" y="2890431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208357</xdr:colOff>
      <xdr:row>156</xdr:row>
      <xdr:rowOff>138816</xdr:rowOff>
    </xdr:from>
    <xdr:to>
      <xdr:col>22</xdr:col>
      <xdr:colOff>49333</xdr:colOff>
      <xdr:row>157</xdr:row>
      <xdr:rowOff>43878</xdr:rowOff>
    </xdr:to>
    <xdr:sp macro="" textlink="">
      <xdr:nvSpPr>
        <xdr:cNvPr id="201" name="Oval 200" hidden="1">
          <a:extLst>
            <a:ext uri="{FF2B5EF4-FFF2-40B4-BE49-F238E27FC236}">
              <a16:creationId xmlns:a16="http://schemas.microsoft.com/office/drawing/2014/main" id="{00000000-0008-0000-0900-0000C9000000}"/>
            </a:ext>
          </a:extLst>
        </xdr:cNvPr>
        <xdr:cNvSpPr/>
      </xdr:nvSpPr>
      <xdr:spPr>
        <a:xfrm>
          <a:off x="6066232" y="2985681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208360</xdr:colOff>
      <xdr:row>161</xdr:row>
      <xdr:rowOff>141196</xdr:rowOff>
    </xdr:from>
    <xdr:to>
      <xdr:col>22</xdr:col>
      <xdr:colOff>49336</xdr:colOff>
      <xdr:row>162</xdr:row>
      <xdr:rowOff>46258</xdr:rowOff>
    </xdr:to>
    <xdr:sp macro="" textlink="">
      <xdr:nvSpPr>
        <xdr:cNvPr id="202" name="Oval 201" hidden="1">
          <a:extLst>
            <a:ext uri="{FF2B5EF4-FFF2-40B4-BE49-F238E27FC236}">
              <a16:creationId xmlns:a16="http://schemas.microsoft.com/office/drawing/2014/main" id="{00000000-0008-0000-0900-0000CA000000}"/>
            </a:ext>
          </a:extLst>
        </xdr:cNvPr>
        <xdr:cNvSpPr/>
      </xdr:nvSpPr>
      <xdr:spPr>
        <a:xfrm>
          <a:off x="6066235" y="308116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208360</xdr:colOff>
      <xdr:row>166</xdr:row>
      <xdr:rowOff>141196</xdr:rowOff>
    </xdr:from>
    <xdr:to>
      <xdr:col>22</xdr:col>
      <xdr:colOff>49336</xdr:colOff>
      <xdr:row>167</xdr:row>
      <xdr:rowOff>46258</xdr:rowOff>
    </xdr:to>
    <xdr:sp macro="" textlink="">
      <xdr:nvSpPr>
        <xdr:cNvPr id="203" name="Oval 202" hidden="1">
          <a:extLst>
            <a:ext uri="{FF2B5EF4-FFF2-40B4-BE49-F238E27FC236}">
              <a16:creationId xmlns:a16="http://schemas.microsoft.com/office/drawing/2014/main" id="{00000000-0008-0000-0900-0000CB000000}"/>
            </a:ext>
          </a:extLst>
        </xdr:cNvPr>
        <xdr:cNvSpPr/>
      </xdr:nvSpPr>
      <xdr:spPr>
        <a:xfrm>
          <a:off x="6066235" y="317641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171</xdr:row>
      <xdr:rowOff>138815</xdr:rowOff>
    </xdr:from>
    <xdr:to>
      <xdr:col>22</xdr:col>
      <xdr:colOff>49335</xdr:colOff>
      <xdr:row>172</xdr:row>
      <xdr:rowOff>43877</xdr:rowOff>
    </xdr:to>
    <xdr:sp macro="" textlink="">
      <xdr:nvSpPr>
        <xdr:cNvPr id="204" name="Oval 203" hidden="1">
          <a:extLst>
            <a:ext uri="{FF2B5EF4-FFF2-40B4-BE49-F238E27FC236}">
              <a16:creationId xmlns:a16="http://schemas.microsoft.com/office/drawing/2014/main" id="{00000000-0008-0000-0900-0000CC000000}"/>
            </a:ext>
          </a:extLst>
        </xdr:cNvPr>
        <xdr:cNvSpPr/>
      </xdr:nvSpPr>
      <xdr:spPr>
        <a:xfrm>
          <a:off x="6066234" y="327143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176</xdr:row>
      <xdr:rowOff>138816</xdr:rowOff>
    </xdr:from>
    <xdr:to>
      <xdr:col>22</xdr:col>
      <xdr:colOff>49335</xdr:colOff>
      <xdr:row>177</xdr:row>
      <xdr:rowOff>43878</xdr:rowOff>
    </xdr:to>
    <xdr:sp macro="" textlink="">
      <xdr:nvSpPr>
        <xdr:cNvPr id="205" name="Oval 204" hidden="1">
          <a:extLst>
            <a:ext uri="{FF2B5EF4-FFF2-40B4-BE49-F238E27FC236}">
              <a16:creationId xmlns:a16="http://schemas.microsoft.com/office/drawing/2014/main" id="{00000000-0008-0000-0900-0000CD000000}"/>
            </a:ext>
          </a:extLst>
        </xdr:cNvPr>
        <xdr:cNvSpPr/>
      </xdr:nvSpPr>
      <xdr:spPr>
        <a:xfrm>
          <a:off x="6066234" y="3366681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181</xdr:row>
      <xdr:rowOff>138816</xdr:rowOff>
    </xdr:from>
    <xdr:to>
      <xdr:col>22</xdr:col>
      <xdr:colOff>49335</xdr:colOff>
      <xdr:row>182</xdr:row>
      <xdr:rowOff>43878</xdr:rowOff>
    </xdr:to>
    <xdr:sp macro="" textlink="">
      <xdr:nvSpPr>
        <xdr:cNvPr id="206" name="Oval 205" hidden="1">
          <a:extLst>
            <a:ext uri="{FF2B5EF4-FFF2-40B4-BE49-F238E27FC236}">
              <a16:creationId xmlns:a16="http://schemas.microsoft.com/office/drawing/2014/main" id="{00000000-0008-0000-0900-0000CE000000}"/>
            </a:ext>
          </a:extLst>
        </xdr:cNvPr>
        <xdr:cNvSpPr/>
      </xdr:nvSpPr>
      <xdr:spPr>
        <a:xfrm>
          <a:off x="6066234" y="3461931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208360</xdr:colOff>
      <xdr:row>186</xdr:row>
      <xdr:rowOff>141196</xdr:rowOff>
    </xdr:from>
    <xdr:to>
      <xdr:col>22</xdr:col>
      <xdr:colOff>49336</xdr:colOff>
      <xdr:row>187</xdr:row>
      <xdr:rowOff>46258</xdr:rowOff>
    </xdr:to>
    <xdr:sp macro="" textlink="">
      <xdr:nvSpPr>
        <xdr:cNvPr id="207" name="Oval 206" hidden="1">
          <a:extLst>
            <a:ext uri="{FF2B5EF4-FFF2-40B4-BE49-F238E27FC236}">
              <a16:creationId xmlns:a16="http://schemas.microsoft.com/office/drawing/2014/main" id="{00000000-0008-0000-0900-0000CF000000}"/>
            </a:ext>
          </a:extLst>
        </xdr:cNvPr>
        <xdr:cNvSpPr/>
      </xdr:nvSpPr>
      <xdr:spPr>
        <a:xfrm>
          <a:off x="6066235" y="355741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208360</xdr:colOff>
      <xdr:row>191</xdr:row>
      <xdr:rowOff>141196</xdr:rowOff>
    </xdr:from>
    <xdr:to>
      <xdr:col>22</xdr:col>
      <xdr:colOff>49336</xdr:colOff>
      <xdr:row>192</xdr:row>
      <xdr:rowOff>46258</xdr:rowOff>
    </xdr:to>
    <xdr:sp macro="" textlink="">
      <xdr:nvSpPr>
        <xdr:cNvPr id="208" name="Oval 207" hidden="1">
          <a:extLst>
            <a:ext uri="{FF2B5EF4-FFF2-40B4-BE49-F238E27FC236}">
              <a16:creationId xmlns:a16="http://schemas.microsoft.com/office/drawing/2014/main" id="{00000000-0008-0000-0900-0000D0000000}"/>
            </a:ext>
          </a:extLst>
        </xdr:cNvPr>
        <xdr:cNvSpPr/>
      </xdr:nvSpPr>
      <xdr:spPr>
        <a:xfrm>
          <a:off x="6066235" y="365266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196</xdr:row>
      <xdr:rowOff>138815</xdr:rowOff>
    </xdr:from>
    <xdr:to>
      <xdr:col>22</xdr:col>
      <xdr:colOff>49335</xdr:colOff>
      <xdr:row>197</xdr:row>
      <xdr:rowOff>43877</xdr:rowOff>
    </xdr:to>
    <xdr:sp macro="" textlink="">
      <xdr:nvSpPr>
        <xdr:cNvPr id="209" name="Oval 208" hidden="1">
          <a:extLst>
            <a:ext uri="{FF2B5EF4-FFF2-40B4-BE49-F238E27FC236}">
              <a16:creationId xmlns:a16="http://schemas.microsoft.com/office/drawing/2014/main" id="{00000000-0008-0000-0900-0000D1000000}"/>
            </a:ext>
          </a:extLst>
        </xdr:cNvPr>
        <xdr:cNvSpPr/>
      </xdr:nvSpPr>
      <xdr:spPr>
        <a:xfrm>
          <a:off x="6066234" y="374768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201</xdr:row>
      <xdr:rowOff>138816</xdr:rowOff>
    </xdr:from>
    <xdr:to>
      <xdr:col>22</xdr:col>
      <xdr:colOff>49335</xdr:colOff>
      <xdr:row>202</xdr:row>
      <xdr:rowOff>43878</xdr:rowOff>
    </xdr:to>
    <xdr:sp macro="" textlink="">
      <xdr:nvSpPr>
        <xdr:cNvPr id="210" name="Oval 209" hidden="1">
          <a:extLst>
            <a:ext uri="{FF2B5EF4-FFF2-40B4-BE49-F238E27FC236}">
              <a16:creationId xmlns:a16="http://schemas.microsoft.com/office/drawing/2014/main" id="{00000000-0008-0000-0900-0000D2000000}"/>
            </a:ext>
          </a:extLst>
        </xdr:cNvPr>
        <xdr:cNvSpPr/>
      </xdr:nvSpPr>
      <xdr:spPr>
        <a:xfrm>
          <a:off x="6066234" y="3842931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206</xdr:row>
      <xdr:rowOff>138816</xdr:rowOff>
    </xdr:from>
    <xdr:to>
      <xdr:col>22</xdr:col>
      <xdr:colOff>49335</xdr:colOff>
      <xdr:row>207</xdr:row>
      <xdr:rowOff>43878</xdr:rowOff>
    </xdr:to>
    <xdr:sp macro="" textlink="">
      <xdr:nvSpPr>
        <xdr:cNvPr id="211" name="Oval 210" hidden="1">
          <a:extLst>
            <a:ext uri="{FF2B5EF4-FFF2-40B4-BE49-F238E27FC236}">
              <a16:creationId xmlns:a16="http://schemas.microsoft.com/office/drawing/2014/main" id="{00000000-0008-0000-0900-0000D3000000}"/>
            </a:ext>
          </a:extLst>
        </xdr:cNvPr>
        <xdr:cNvSpPr/>
      </xdr:nvSpPr>
      <xdr:spPr>
        <a:xfrm>
          <a:off x="6066234" y="3938181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208360</xdr:colOff>
      <xdr:row>211</xdr:row>
      <xdr:rowOff>141198</xdr:rowOff>
    </xdr:from>
    <xdr:to>
      <xdr:col>22</xdr:col>
      <xdr:colOff>49336</xdr:colOff>
      <xdr:row>212</xdr:row>
      <xdr:rowOff>46260</xdr:rowOff>
    </xdr:to>
    <xdr:sp macro="" textlink="">
      <xdr:nvSpPr>
        <xdr:cNvPr id="212" name="Oval 211" hidden="1">
          <a:extLst>
            <a:ext uri="{FF2B5EF4-FFF2-40B4-BE49-F238E27FC236}">
              <a16:creationId xmlns:a16="http://schemas.microsoft.com/office/drawing/2014/main" id="{00000000-0008-0000-0900-0000D4000000}"/>
            </a:ext>
          </a:extLst>
        </xdr:cNvPr>
        <xdr:cNvSpPr/>
      </xdr:nvSpPr>
      <xdr:spPr>
        <a:xfrm>
          <a:off x="6066235" y="4033669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208360</xdr:colOff>
      <xdr:row>216</xdr:row>
      <xdr:rowOff>141198</xdr:rowOff>
    </xdr:from>
    <xdr:to>
      <xdr:col>22</xdr:col>
      <xdr:colOff>49336</xdr:colOff>
      <xdr:row>217</xdr:row>
      <xdr:rowOff>46260</xdr:rowOff>
    </xdr:to>
    <xdr:sp macro="" textlink="">
      <xdr:nvSpPr>
        <xdr:cNvPr id="213" name="Oval 212" hidden="1">
          <a:extLst>
            <a:ext uri="{FF2B5EF4-FFF2-40B4-BE49-F238E27FC236}">
              <a16:creationId xmlns:a16="http://schemas.microsoft.com/office/drawing/2014/main" id="{00000000-0008-0000-0900-0000D5000000}"/>
            </a:ext>
          </a:extLst>
        </xdr:cNvPr>
        <xdr:cNvSpPr/>
      </xdr:nvSpPr>
      <xdr:spPr>
        <a:xfrm>
          <a:off x="6066235" y="4128919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221</xdr:row>
      <xdr:rowOff>138817</xdr:rowOff>
    </xdr:from>
    <xdr:to>
      <xdr:col>22</xdr:col>
      <xdr:colOff>49335</xdr:colOff>
      <xdr:row>222</xdr:row>
      <xdr:rowOff>43879</xdr:rowOff>
    </xdr:to>
    <xdr:sp macro="" textlink="">
      <xdr:nvSpPr>
        <xdr:cNvPr id="214" name="Oval 213" hidden="1">
          <a:extLst>
            <a:ext uri="{FF2B5EF4-FFF2-40B4-BE49-F238E27FC236}">
              <a16:creationId xmlns:a16="http://schemas.microsoft.com/office/drawing/2014/main" id="{00000000-0008-0000-0900-0000D6000000}"/>
            </a:ext>
          </a:extLst>
        </xdr:cNvPr>
        <xdr:cNvSpPr/>
      </xdr:nvSpPr>
      <xdr:spPr>
        <a:xfrm>
          <a:off x="6066234" y="42239317"/>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226</xdr:row>
      <xdr:rowOff>138818</xdr:rowOff>
    </xdr:from>
    <xdr:to>
      <xdr:col>22</xdr:col>
      <xdr:colOff>49335</xdr:colOff>
      <xdr:row>227</xdr:row>
      <xdr:rowOff>43880</xdr:rowOff>
    </xdr:to>
    <xdr:sp macro="" textlink="">
      <xdr:nvSpPr>
        <xdr:cNvPr id="215" name="Oval 214" hidden="1">
          <a:extLst>
            <a:ext uri="{FF2B5EF4-FFF2-40B4-BE49-F238E27FC236}">
              <a16:creationId xmlns:a16="http://schemas.microsoft.com/office/drawing/2014/main" id="{00000000-0008-0000-0900-0000D7000000}"/>
            </a:ext>
          </a:extLst>
        </xdr:cNvPr>
        <xdr:cNvSpPr/>
      </xdr:nvSpPr>
      <xdr:spPr>
        <a:xfrm>
          <a:off x="6066234" y="4319181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231</xdr:row>
      <xdr:rowOff>138818</xdr:rowOff>
    </xdr:from>
    <xdr:to>
      <xdr:col>22</xdr:col>
      <xdr:colOff>49335</xdr:colOff>
      <xdr:row>232</xdr:row>
      <xdr:rowOff>43880</xdr:rowOff>
    </xdr:to>
    <xdr:sp macro="" textlink="">
      <xdr:nvSpPr>
        <xdr:cNvPr id="216" name="Oval 215" hidden="1">
          <a:extLst>
            <a:ext uri="{FF2B5EF4-FFF2-40B4-BE49-F238E27FC236}">
              <a16:creationId xmlns:a16="http://schemas.microsoft.com/office/drawing/2014/main" id="{00000000-0008-0000-0900-0000D8000000}"/>
            </a:ext>
          </a:extLst>
        </xdr:cNvPr>
        <xdr:cNvSpPr/>
      </xdr:nvSpPr>
      <xdr:spPr>
        <a:xfrm>
          <a:off x="6066234" y="4414431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208360</xdr:colOff>
      <xdr:row>236</xdr:row>
      <xdr:rowOff>141199</xdr:rowOff>
    </xdr:from>
    <xdr:to>
      <xdr:col>22</xdr:col>
      <xdr:colOff>49336</xdr:colOff>
      <xdr:row>237</xdr:row>
      <xdr:rowOff>46261</xdr:rowOff>
    </xdr:to>
    <xdr:sp macro="" textlink="">
      <xdr:nvSpPr>
        <xdr:cNvPr id="217" name="Oval 216" hidden="1">
          <a:extLst>
            <a:ext uri="{FF2B5EF4-FFF2-40B4-BE49-F238E27FC236}">
              <a16:creationId xmlns:a16="http://schemas.microsoft.com/office/drawing/2014/main" id="{00000000-0008-0000-0900-0000D9000000}"/>
            </a:ext>
          </a:extLst>
        </xdr:cNvPr>
        <xdr:cNvSpPr/>
      </xdr:nvSpPr>
      <xdr:spPr>
        <a:xfrm>
          <a:off x="6066235" y="4509919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208360</xdr:colOff>
      <xdr:row>241</xdr:row>
      <xdr:rowOff>141199</xdr:rowOff>
    </xdr:from>
    <xdr:to>
      <xdr:col>22</xdr:col>
      <xdr:colOff>49336</xdr:colOff>
      <xdr:row>242</xdr:row>
      <xdr:rowOff>46261</xdr:rowOff>
    </xdr:to>
    <xdr:sp macro="" textlink="">
      <xdr:nvSpPr>
        <xdr:cNvPr id="218" name="Oval 217" hidden="1">
          <a:extLst>
            <a:ext uri="{FF2B5EF4-FFF2-40B4-BE49-F238E27FC236}">
              <a16:creationId xmlns:a16="http://schemas.microsoft.com/office/drawing/2014/main" id="{00000000-0008-0000-0900-0000DA000000}"/>
            </a:ext>
          </a:extLst>
        </xdr:cNvPr>
        <xdr:cNvSpPr/>
      </xdr:nvSpPr>
      <xdr:spPr>
        <a:xfrm>
          <a:off x="6066235" y="4605169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246</xdr:row>
      <xdr:rowOff>138818</xdr:rowOff>
    </xdr:from>
    <xdr:to>
      <xdr:col>22</xdr:col>
      <xdr:colOff>49335</xdr:colOff>
      <xdr:row>247</xdr:row>
      <xdr:rowOff>43880</xdr:rowOff>
    </xdr:to>
    <xdr:sp macro="" textlink="">
      <xdr:nvSpPr>
        <xdr:cNvPr id="219" name="Oval 218" hidden="1">
          <a:extLst>
            <a:ext uri="{FF2B5EF4-FFF2-40B4-BE49-F238E27FC236}">
              <a16:creationId xmlns:a16="http://schemas.microsoft.com/office/drawing/2014/main" id="{00000000-0008-0000-0900-0000DB000000}"/>
            </a:ext>
          </a:extLst>
        </xdr:cNvPr>
        <xdr:cNvSpPr/>
      </xdr:nvSpPr>
      <xdr:spPr>
        <a:xfrm>
          <a:off x="6066234" y="4700181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251</xdr:row>
      <xdr:rowOff>138819</xdr:rowOff>
    </xdr:from>
    <xdr:to>
      <xdr:col>22</xdr:col>
      <xdr:colOff>49335</xdr:colOff>
      <xdr:row>252</xdr:row>
      <xdr:rowOff>43881</xdr:rowOff>
    </xdr:to>
    <xdr:sp macro="" textlink="">
      <xdr:nvSpPr>
        <xdr:cNvPr id="220" name="Oval 219" hidden="1">
          <a:extLst>
            <a:ext uri="{FF2B5EF4-FFF2-40B4-BE49-F238E27FC236}">
              <a16:creationId xmlns:a16="http://schemas.microsoft.com/office/drawing/2014/main" id="{00000000-0008-0000-0900-0000DC000000}"/>
            </a:ext>
          </a:extLst>
        </xdr:cNvPr>
        <xdr:cNvSpPr/>
      </xdr:nvSpPr>
      <xdr:spPr>
        <a:xfrm>
          <a:off x="6066234" y="4795431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256</xdr:row>
      <xdr:rowOff>138819</xdr:rowOff>
    </xdr:from>
    <xdr:to>
      <xdr:col>22</xdr:col>
      <xdr:colOff>49335</xdr:colOff>
      <xdr:row>257</xdr:row>
      <xdr:rowOff>43881</xdr:rowOff>
    </xdr:to>
    <xdr:sp macro="" textlink="">
      <xdr:nvSpPr>
        <xdr:cNvPr id="221" name="Oval 220" hidden="1">
          <a:extLst>
            <a:ext uri="{FF2B5EF4-FFF2-40B4-BE49-F238E27FC236}">
              <a16:creationId xmlns:a16="http://schemas.microsoft.com/office/drawing/2014/main" id="{00000000-0008-0000-0900-0000DD000000}"/>
            </a:ext>
          </a:extLst>
        </xdr:cNvPr>
        <xdr:cNvSpPr/>
      </xdr:nvSpPr>
      <xdr:spPr>
        <a:xfrm>
          <a:off x="6066234" y="4890681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208360</xdr:colOff>
      <xdr:row>261</xdr:row>
      <xdr:rowOff>141199</xdr:rowOff>
    </xdr:from>
    <xdr:to>
      <xdr:col>22</xdr:col>
      <xdr:colOff>49336</xdr:colOff>
      <xdr:row>262</xdr:row>
      <xdr:rowOff>46261</xdr:rowOff>
    </xdr:to>
    <xdr:sp macro="" textlink="">
      <xdr:nvSpPr>
        <xdr:cNvPr id="222" name="Oval 221" hidden="1">
          <a:extLst>
            <a:ext uri="{FF2B5EF4-FFF2-40B4-BE49-F238E27FC236}">
              <a16:creationId xmlns:a16="http://schemas.microsoft.com/office/drawing/2014/main" id="{00000000-0008-0000-0900-0000DE000000}"/>
            </a:ext>
          </a:extLst>
        </xdr:cNvPr>
        <xdr:cNvSpPr/>
      </xdr:nvSpPr>
      <xdr:spPr>
        <a:xfrm>
          <a:off x="6066235" y="4986169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208360</xdr:colOff>
      <xdr:row>266</xdr:row>
      <xdr:rowOff>141199</xdr:rowOff>
    </xdr:from>
    <xdr:to>
      <xdr:col>22</xdr:col>
      <xdr:colOff>49336</xdr:colOff>
      <xdr:row>267</xdr:row>
      <xdr:rowOff>46261</xdr:rowOff>
    </xdr:to>
    <xdr:sp macro="" textlink="">
      <xdr:nvSpPr>
        <xdr:cNvPr id="223" name="Oval 222" hidden="1">
          <a:extLst>
            <a:ext uri="{FF2B5EF4-FFF2-40B4-BE49-F238E27FC236}">
              <a16:creationId xmlns:a16="http://schemas.microsoft.com/office/drawing/2014/main" id="{00000000-0008-0000-0900-0000DF000000}"/>
            </a:ext>
          </a:extLst>
        </xdr:cNvPr>
        <xdr:cNvSpPr/>
      </xdr:nvSpPr>
      <xdr:spPr>
        <a:xfrm>
          <a:off x="6066235" y="5081419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271</xdr:row>
      <xdr:rowOff>138818</xdr:rowOff>
    </xdr:from>
    <xdr:to>
      <xdr:col>22</xdr:col>
      <xdr:colOff>49335</xdr:colOff>
      <xdr:row>272</xdr:row>
      <xdr:rowOff>43880</xdr:rowOff>
    </xdr:to>
    <xdr:sp macro="" textlink="">
      <xdr:nvSpPr>
        <xdr:cNvPr id="224" name="Oval 223" hidden="1">
          <a:extLst>
            <a:ext uri="{FF2B5EF4-FFF2-40B4-BE49-F238E27FC236}">
              <a16:creationId xmlns:a16="http://schemas.microsoft.com/office/drawing/2014/main" id="{00000000-0008-0000-0900-0000E0000000}"/>
            </a:ext>
          </a:extLst>
        </xdr:cNvPr>
        <xdr:cNvSpPr/>
      </xdr:nvSpPr>
      <xdr:spPr>
        <a:xfrm>
          <a:off x="6066234" y="5176431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276</xdr:row>
      <xdr:rowOff>138819</xdr:rowOff>
    </xdr:from>
    <xdr:to>
      <xdr:col>22</xdr:col>
      <xdr:colOff>49335</xdr:colOff>
      <xdr:row>277</xdr:row>
      <xdr:rowOff>43881</xdr:rowOff>
    </xdr:to>
    <xdr:sp macro="" textlink="">
      <xdr:nvSpPr>
        <xdr:cNvPr id="225" name="Oval 224" hidden="1">
          <a:extLst>
            <a:ext uri="{FF2B5EF4-FFF2-40B4-BE49-F238E27FC236}">
              <a16:creationId xmlns:a16="http://schemas.microsoft.com/office/drawing/2014/main" id="{00000000-0008-0000-0900-0000E1000000}"/>
            </a:ext>
          </a:extLst>
        </xdr:cNvPr>
        <xdr:cNvSpPr/>
      </xdr:nvSpPr>
      <xdr:spPr>
        <a:xfrm>
          <a:off x="6066234" y="5271681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208359</xdr:colOff>
      <xdr:row>281</xdr:row>
      <xdr:rowOff>138819</xdr:rowOff>
    </xdr:from>
    <xdr:to>
      <xdr:col>22</xdr:col>
      <xdr:colOff>49335</xdr:colOff>
      <xdr:row>282</xdr:row>
      <xdr:rowOff>43881</xdr:rowOff>
    </xdr:to>
    <xdr:sp macro="" textlink="">
      <xdr:nvSpPr>
        <xdr:cNvPr id="226" name="Oval 225" hidden="1">
          <a:extLst>
            <a:ext uri="{FF2B5EF4-FFF2-40B4-BE49-F238E27FC236}">
              <a16:creationId xmlns:a16="http://schemas.microsoft.com/office/drawing/2014/main" id="{00000000-0008-0000-0900-0000E2000000}"/>
            </a:ext>
          </a:extLst>
        </xdr:cNvPr>
        <xdr:cNvSpPr/>
      </xdr:nvSpPr>
      <xdr:spPr>
        <a:xfrm>
          <a:off x="6066234" y="5366931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208361</xdr:colOff>
      <xdr:row>286</xdr:row>
      <xdr:rowOff>141198</xdr:rowOff>
    </xdr:from>
    <xdr:to>
      <xdr:col>22</xdr:col>
      <xdr:colOff>49337</xdr:colOff>
      <xdr:row>287</xdr:row>
      <xdr:rowOff>46260</xdr:rowOff>
    </xdr:to>
    <xdr:sp macro="" textlink="">
      <xdr:nvSpPr>
        <xdr:cNvPr id="227" name="Oval 226" hidden="1">
          <a:extLst>
            <a:ext uri="{FF2B5EF4-FFF2-40B4-BE49-F238E27FC236}">
              <a16:creationId xmlns:a16="http://schemas.microsoft.com/office/drawing/2014/main" id="{00000000-0008-0000-0900-0000E3000000}"/>
            </a:ext>
          </a:extLst>
        </xdr:cNvPr>
        <xdr:cNvSpPr/>
      </xdr:nvSpPr>
      <xdr:spPr>
        <a:xfrm>
          <a:off x="6066236" y="5462419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208361</xdr:colOff>
      <xdr:row>291</xdr:row>
      <xdr:rowOff>141198</xdr:rowOff>
    </xdr:from>
    <xdr:to>
      <xdr:col>22</xdr:col>
      <xdr:colOff>49337</xdr:colOff>
      <xdr:row>292</xdr:row>
      <xdr:rowOff>46260</xdr:rowOff>
    </xdr:to>
    <xdr:sp macro="" textlink="">
      <xdr:nvSpPr>
        <xdr:cNvPr id="228" name="Oval 227" hidden="1">
          <a:extLst>
            <a:ext uri="{FF2B5EF4-FFF2-40B4-BE49-F238E27FC236}">
              <a16:creationId xmlns:a16="http://schemas.microsoft.com/office/drawing/2014/main" id="{00000000-0008-0000-0900-0000E4000000}"/>
            </a:ext>
          </a:extLst>
        </xdr:cNvPr>
        <xdr:cNvSpPr/>
      </xdr:nvSpPr>
      <xdr:spPr>
        <a:xfrm>
          <a:off x="6066236" y="5557669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208360</xdr:colOff>
      <xdr:row>296</xdr:row>
      <xdr:rowOff>138817</xdr:rowOff>
    </xdr:from>
    <xdr:to>
      <xdr:col>22</xdr:col>
      <xdr:colOff>49336</xdr:colOff>
      <xdr:row>297</xdr:row>
      <xdr:rowOff>43879</xdr:rowOff>
    </xdr:to>
    <xdr:sp macro="" textlink="">
      <xdr:nvSpPr>
        <xdr:cNvPr id="229" name="Oval 228" hidden="1">
          <a:extLst>
            <a:ext uri="{FF2B5EF4-FFF2-40B4-BE49-F238E27FC236}">
              <a16:creationId xmlns:a16="http://schemas.microsoft.com/office/drawing/2014/main" id="{00000000-0008-0000-0900-0000E5000000}"/>
            </a:ext>
          </a:extLst>
        </xdr:cNvPr>
        <xdr:cNvSpPr/>
      </xdr:nvSpPr>
      <xdr:spPr>
        <a:xfrm>
          <a:off x="6066235" y="56526817"/>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208360</xdr:colOff>
      <xdr:row>301</xdr:row>
      <xdr:rowOff>138818</xdr:rowOff>
    </xdr:from>
    <xdr:to>
      <xdr:col>22</xdr:col>
      <xdr:colOff>49336</xdr:colOff>
      <xdr:row>302</xdr:row>
      <xdr:rowOff>43880</xdr:rowOff>
    </xdr:to>
    <xdr:sp macro="" textlink="">
      <xdr:nvSpPr>
        <xdr:cNvPr id="230" name="Oval 229" hidden="1">
          <a:extLst>
            <a:ext uri="{FF2B5EF4-FFF2-40B4-BE49-F238E27FC236}">
              <a16:creationId xmlns:a16="http://schemas.microsoft.com/office/drawing/2014/main" id="{00000000-0008-0000-0900-0000E6000000}"/>
            </a:ext>
          </a:extLst>
        </xdr:cNvPr>
        <xdr:cNvSpPr/>
      </xdr:nvSpPr>
      <xdr:spPr>
        <a:xfrm>
          <a:off x="6066235" y="5747931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208360</xdr:colOff>
      <xdr:row>306</xdr:row>
      <xdr:rowOff>138818</xdr:rowOff>
    </xdr:from>
    <xdr:to>
      <xdr:col>22</xdr:col>
      <xdr:colOff>49336</xdr:colOff>
      <xdr:row>307</xdr:row>
      <xdr:rowOff>43880</xdr:rowOff>
    </xdr:to>
    <xdr:sp macro="" textlink="">
      <xdr:nvSpPr>
        <xdr:cNvPr id="231" name="Oval 230" hidden="1">
          <a:extLst>
            <a:ext uri="{FF2B5EF4-FFF2-40B4-BE49-F238E27FC236}">
              <a16:creationId xmlns:a16="http://schemas.microsoft.com/office/drawing/2014/main" id="{00000000-0008-0000-0900-0000E7000000}"/>
            </a:ext>
          </a:extLst>
        </xdr:cNvPr>
        <xdr:cNvSpPr/>
      </xdr:nvSpPr>
      <xdr:spPr>
        <a:xfrm>
          <a:off x="6066235" y="58431818"/>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208389</xdr:colOff>
      <xdr:row>36</xdr:row>
      <xdr:rowOff>143573</xdr:rowOff>
    </xdr:from>
    <xdr:to>
      <xdr:col>29</xdr:col>
      <xdr:colOff>49365</xdr:colOff>
      <xdr:row>37</xdr:row>
      <xdr:rowOff>48635</xdr:rowOff>
    </xdr:to>
    <xdr:sp macro="" textlink="">
      <xdr:nvSpPr>
        <xdr:cNvPr id="232" name="Oval 231">
          <a:extLst>
            <a:ext uri="{FF2B5EF4-FFF2-40B4-BE49-F238E27FC236}">
              <a16:creationId xmlns:a16="http://schemas.microsoft.com/office/drawing/2014/main" id="{00000000-0008-0000-0900-0000E8000000}"/>
            </a:ext>
          </a:extLst>
        </xdr:cNvPr>
        <xdr:cNvSpPr/>
      </xdr:nvSpPr>
      <xdr:spPr>
        <a:xfrm>
          <a:off x="7866489" y="700157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208389</xdr:colOff>
      <xdr:row>41</xdr:row>
      <xdr:rowOff>143573</xdr:rowOff>
    </xdr:from>
    <xdr:to>
      <xdr:col>29</xdr:col>
      <xdr:colOff>49365</xdr:colOff>
      <xdr:row>42</xdr:row>
      <xdr:rowOff>48635</xdr:rowOff>
    </xdr:to>
    <xdr:sp macro="" textlink="">
      <xdr:nvSpPr>
        <xdr:cNvPr id="233" name="Oval 232">
          <a:extLst>
            <a:ext uri="{FF2B5EF4-FFF2-40B4-BE49-F238E27FC236}">
              <a16:creationId xmlns:a16="http://schemas.microsoft.com/office/drawing/2014/main" id="{00000000-0008-0000-0900-0000E9000000}"/>
            </a:ext>
          </a:extLst>
        </xdr:cNvPr>
        <xdr:cNvSpPr/>
      </xdr:nvSpPr>
      <xdr:spPr>
        <a:xfrm>
          <a:off x="7866489" y="795407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46</xdr:row>
      <xdr:rowOff>141192</xdr:rowOff>
    </xdr:from>
    <xdr:to>
      <xdr:col>29</xdr:col>
      <xdr:colOff>49364</xdr:colOff>
      <xdr:row>47</xdr:row>
      <xdr:rowOff>46254</xdr:rowOff>
    </xdr:to>
    <xdr:sp macro="" textlink="">
      <xdr:nvSpPr>
        <xdr:cNvPr id="234" name="Oval 233">
          <a:extLst>
            <a:ext uri="{FF2B5EF4-FFF2-40B4-BE49-F238E27FC236}">
              <a16:creationId xmlns:a16="http://schemas.microsoft.com/office/drawing/2014/main" id="{00000000-0008-0000-0900-0000EA000000}"/>
            </a:ext>
          </a:extLst>
        </xdr:cNvPr>
        <xdr:cNvSpPr/>
      </xdr:nvSpPr>
      <xdr:spPr>
        <a:xfrm>
          <a:off x="7866488" y="890419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51</xdr:row>
      <xdr:rowOff>141193</xdr:rowOff>
    </xdr:from>
    <xdr:to>
      <xdr:col>29</xdr:col>
      <xdr:colOff>49364</xdr:colOff>
      <xdr:row>52</xdr:row>
      <xdr:rowOff>46255</xdr:rowOff>
    </xdr:to>
    <xdr:sp macro="" textlink="">
      <xdr:nvSpPr>
        <xdr:cNvPr id="235" name="Oval 234" hidden="1">
          <a:extLst>
            <a:ext uri="{FF2B5EF4-FFF2-40B4-BE49-F238E27FC236}">
              <a16:creationId xmlns:a16="http://schemas.microsoft.com/office/drawing/2014/main" id="{00000000-0008-0000-0900-0000EB000000}"/>
            </a:ext>
          </a:extLst>
        </xdr:cNvPr>
        <xdr:cNvSpPr/>
      </xdr:nvSpPr>
      <xdr:spPr>
        <a:xfrm>
          <a:off x="7866488" y="985669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56</xdr:row>
      <xdr:rowOff>141193</xdr:rowOff>
    </xdr:from>
    <xdr:to>
      <xdr:col>29</xdr:col>
      <xdr:colOff>49364</xdr:colOff>
      <xdr:row>57</xdr:row>
      <xdr:rowOff>46255</xdr:rowOff>
    </xdr:to>
    <xdr:sp macro="" textlink="">
      <xdr:nvSpPr>
        <xdr:cNvPr id="236" name="Oval 235" hidden="1">
          <a:extLst>
            <a:ext uri="{FF2B5EF4-FFF2-40B4-BE49-F238E27FC236}">
              <a16:creationId xmlns:a16="http://schemas.microsoft.com/office/drawing/2014/main" id="{00000000-0008-0000-0900-0000EC000000}"/>
            </a:ext>
          </a:extLst>
        </xdr:cNvPr>
        <xdr:cNvSpPr/>
      </xdr:nvSpPr>
      <xdr:spPr>
        <a:xfrm>
          <a:off x="7866488" y="1080919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208389</xdr:colOff>
      <xdr:row>61</xdr:row>
      <xdr:rowOff>141191</xdr:rowOff>
    </xdr:from>
    <xdr:to>
      <xdr:col>29</xdr:col>
      <xdr:colOff>49365</xdr:colOff>
      <xdr:row>62</xdr:row>
      <xdr:rowOff>46253</xdr:rowOff>
    </xdr:to>
    <xdr:sp macro="" textlink="">
      <xdr:nvSpPr>
        <xdr:cNvPr id="237" name="Oval 236" hidden="1">
          <a:extLst>
            <a:ext uri="{FF2B5EF4-FFF2-40B4-BE49-F238E27FC236}">
              <a16:creationId xmlns:a16="http://schemas.microsoft.com/office/drawing/2014/main" id="{00000000-0008-0000-0900-0000ED000000}"/>
            </a:ext>
          </a:extLst>
        </xdr:cNvPr>
        <xdr:cNvSpPr/>
      </xdr:nvSpPr>
      <xdr:spPr>
        <a:xfrm>
          <a:off x="7866489" y="1176169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208389</xdr:colOff>
      <xdr:row>66</xdr:row>
      <xdr:rowOff>141191</xdr:rowOff>
    </xdr:from>
    <xdr:to>
      <xdr:col>29</xdr:col>
      <xdr:colOff>49365</xdr:colOff>
      <xdr:row>67</xdr:row>
      <xdr:rowOff>46253</xdr:rowOff>
    </xdr:to>
    <xdr:sp macro="" textlink="">
      <xdr:nvSpPr>
        <xdr:cNvPr id="238" name="Oval 237" hidden="1">
          <a:extLst>
            <a:ext uri="{FF2B5EF4-FFF2-40B4-BE49-F238E27FC236}">
              <a16:creationId xmlns:a16="http://schemas.microsoft.com/office/drawing/2014/main" id="{00000000-0008-0000-0900-0000EE000000}"/>
            </a:ext>
          </a:extLst>
        </xdr:cNvPr>
        <xdr:cNvSpPr/>
      </xdr:nvSpPr>
      <xdr:spPr>
        <a:xfrm>
          <a:off x="7866489" y="1271419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71</xdr:row>
      <xdr:rowOff>138810</xdr:rowOff>
    </xdr:from>
    <xdr:to>
      <xdr:col>29</xdr:col>
      <xdr:colOff>49364</xdr:colOff>
      <xdr:row>72</xdr:row>
      <xdr:rowOff>43872</xdr:rowOff>
    </xdr:to>
    <xdr:sp macro="" textlink="">
      <xdr:nvSpPr>
        <xdr:cNvPr id="239" name="Oval 238" hidden="1">
          <a:extLst>
            <a:ext uri="{FF2B5EF4-FFF2-40B4-BE49-F238E27FC236}">
              <a16:creationId xmlns:a16="http://schemas.microsoft.com/office/drawing/2014/main" id="{00000000-0008-0000-0900-0000EF000000}"/>
            </a:ext>
          </a:extLst>
        </xdr:cNvPr>
        <xdr:cNvSpPr/>
      </xdr:nvSpPr>
      <xdr:spPr>
        <a:xfrm>
          <a:off x="7866488" y="13664310"/>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76</xdr:row>
      <xdr:rowOff>138811</xdr:rowOff>
    </xdr:from>
    <xdr:to>
      <xdr:col>29</xdr:col>
      <xdr:colOff>49364</xdr:colOff>
      <xdr:row>77</xdr:row>
      <xdr:rowOff>43873</xdr:rowOff>
    </xdr:to>
    <xdr:sp macro="" textlink="">
      <xdr:nvSpPr>
        <xdr:cNvPr id="240" name="Oval 239" hidden="1">
          <a:extLst>
            <a:ext uri="{FF2B5EF4-FFF2-40B4-BE49-F238E27FC236}">
              <a16:creationId xmlns:a16="http://schemas.microsoft.com/office/drawing/2014/main" id="{00000000-0008-0000-0900-0000F0000000}"/>
            </a:ext>
          </a:extLst>
        </xdr:cNvPr>
        <xdr:cNvSpPr/>
      </xdr:nvSpPr>
      <xdr:spPr>
        <a:xfrm>
          <a:off x="7866488" y="1461681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81</xdr:row>
      <xdr:rowOff>138811</xdr:rowOff>
    </xdr:from>
    <xdr:to>
      <xdr:col>29</xdr:col>
      <xdr:colOff>49364</xdr:colOff>
      <xdr:row>82</xdr:row>
      <xdr:rowOff>43873</xdr:rowOff>
    </xdr:to>
    <xdr:sp macro="" textlink="">
      <xdr:nvSpPr>
        <xdr:cNvPr id="241" name="Oval 240" hidden="1">
          <a:extLst>
            <a:ext uri="{FF2B5EF4-FFF2-40B4-BE49-F238E27FC236}">
              <a16:creationId xmlns:a16="http://schemas.microsoft.com/office/drawing/2014/main" id="{00000000-0008-0000-0900-0000F1000000}"/>
            </a:ext>
          </a:extLst>
        </xdr:cNvPr>
        <xdr:cNvSpPr/>
      </xdr:nvSpPr>
      <xdr:spPr>
        <a:xfrm>
          <a:off x="7866488" y="1556931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208389</xdr:colOff>
      <xdr:row>86</xdr:row>
      <xdr:rowOff>141192</xdr:rowOff>
    </xdr:from>
    <xdr:to>
      <xdr:col>29</xdr:col>
      <xdr:colOff>49365</xdr:colOff>
      <xdr:row>87</xdr:row>
      <xdr:rowOff>46254</xdr:rowOff>
    </xdr:to>
    <xdr:sp macro="" textlink="">
      <xdr:nvSpPr>
        <xdr:cNvPr id="242" name="Oval 241" hidden="1">
          <a:extLst>
            <a:ext uri="{FF2B5EF4-FFF2-40B4-BE49-F238E27FC236}">
              <a16:creationId xmlns:a16="http://schemas.microsoft.com/office/drawing/2014/main" id="{00000000-0008-0000-0900-0000F2000000}"/>
            </a:ext>
          </a:extLst>
        </xdr:cNvPr>
        <xdr:cNvSpPr/>
      </xdr:nvSpPr>
      <xdr:spPr>
        <a:xfrm>
          <a:off x="7866489" y="1652419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208389</xdr:colOff>
      <xdr:row>91</xdr:row>
      <xdr:rowOff>141192</xdr:rowOff>
    </xdr:from>
    <xdr:to>
      <xdr:col>29</xdr:col>
      <xdr:colOff>49365</xdr:colOff>
      <xdr:row>92</xdr:row>
      <xdr:rowOff>46254</xdr:rowOff>
    </xdr:to>
    <xdr:sp macro="" textlink="">
      <xdr:nvSpPr>
        <xdr:cNvPr id="243" name="Oval 242" hidden="1">
          <a:extLst>
            <a:ext uri="{FF2B5EF4-FFF2-40B4-BE49-F238E27FC236}">
              <a16:creationId xmlns:a16="http://schemas.microsoft.com/office/drawing/2014/main" id="{00000000-0008-0000-0900-0000F3000000}"/>
            </a:ext>
          </a:extLst>
        </xdr:cNvPr>
        <xdr:cNvSpPr/>
      </xdr:nvSpPr>
      <xdr:spPr>
        <a:xfrm>
          <a:off x="7866489" y="1747669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96</xdr:row>
      <xdr:rowOff>138811</xdr:rowOff>
    </xdr:from>
    <xdr:to>
      <xdr:col>29</xdr:col>
      <xdr:colOff>49364</xdr:colOff>
      <xdr:row>97</xdr:row>
      <xdr:rowOff>43873</xdr:rowOff>
    </xdr:to>
    <xdr:sp macro="" textlink="">
      <xdr:nvSpPr>
        <xdr:cNvPr id="244" name="Oval 243" hidden="1">
          <a:extLst>
            <a:ext uri="{FF2B5EF4-FFF2-40B4-BE49-F238E27FC236}">
              <a16:creationId xmlns:a16="http://schemas.microsoft.com/office/drawing/2014/main" id="{00000000-0008-0000-0900-0000F4000000}"/>
            </a:ext>
          </a:extLst>
        </xdr:cNvPr>
        <xdr:cNvSpPr/>
      </xdr:nvSpPr>
      <xdr:spPr>
        <a:xfrm>
          <a:off x="7866488" y="1842681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101</xdr:row>
      <xdr:rowOff>138812</xdr:rowOff>
    </xdr:from>
    <xdr:to>
      <xdr:col>29</xdr:col>
      <xdr:colOff>49364</xdr:colOff>
      <xdr:row>102</xdr:row>
      <xdr:rowOff>43874</xdr:rowOff>
    </xdr:to>
    <xdr:sp macro="" textlink="">
      <xdr:nvSpPr>
        <xdr:cNvPr id="245" name="Oval 244" hidden="1">
          <a:extLst>
            <a:ext uri="{FF2B5EF4-FFF2-40B4-BE49-F238E27FC236}">
              <a16:creationId xmlns:a16="http://schemas.microsoft.com/office/drawing/2014/main" id="{00000000-0008-0000-0900-0000F5000000}"/>
            </a:ext>
          </a:extLst>
        </xdr:cNvPr>
        <xdr:cNvSpPr/>
      </xdr:nvSpPr>
      <xdr:spPr>
        <a:xfrm>
          <a:off x="7866488" y="1937931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106</xdr:row>
      <xdr:rowOff>138812</xdr:rowOff>
    </xdr:from>
    <xdr:to>
      <xdr:col>29</xdr:col>
      <xdr:colOff>49364</xdr:colOff>
      <xdr:row>107</xdr:row>
      <xdr:rowOff>43874</xdr:rowOff>
    </xdr:to>
    <xdr:sp macro="" textlink="">
      <xdr:nvSpPr>
        <xdr:cNvPr id="246" name="Oval 245" hidden="1">
          <a:extLst>
            <a:ext uri="{FF2B5EF4-FFF2-40B4-BE49-F238E27FC236}">
              <a16:creationId xmlns:a16="http://schemas.microsoft.com/office/drawing/2014/main" id="{00000000-0008-0000-0900-0000F6000000}"/>
            </a:ext>
          </a:extLst>
        </xdr:cNvPr>
        <xdr:cNvSpPr/>
      </xdr:nvSpPr>
      <xdr:spPr>
        <a:xfrm>
          <a:off x="7866488" y="2033181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208389</xdr:colOff>
      <xdr:row>111</xdr:row>
      <xdr:rowOff>141193</xdr:rowOff>
    </xdr:from>
    <xdr:to>
      <xdr:col>29</xdr:col>
      <xdr:colOff>49365</xdr:colOff>
      <xdr:row>112</xdr:row>
      <xdr:rowOff>46255</xdr:rowOff>
    </xdr:to>
    <xdr:sp macro="" textlink="">
      <xdr:nvSpPr>
        <xdr:cNvPr id="247" name="Oval 246" hidden="1">
          <a:extLst>
            <a:ext uri="{FF2B5EF4-FFF2-40B4-BE49-F238E27FC236}">
              <a16:creationId xmlns:a16="http://schemas.microsoft.com/office/drawing/2014/main" id="{00000000-0008-0000-0900-0000F7000000}"/>
            </a:ext>
          </a:extLst>
        </xdr:cNvPr>
        <xdr:cNvSpPr/>
      </xdr:nvSpPr>
      <xdr:spPr>
        <a:xfrm>
          <a:off x="7866489" y="2128669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208389</xdr:colOff>
      <xdr:row>116</xdr:row>
      <xdr:rowOff>141193</xdr:rowOff>
    </xdr:from>
    <xdr:to>
      <xdr:col>29</xdr:col>
      <xdr:colOff>49365</xdr:colOff>
      <xdr:row>117</xdr:row>
      <xdr:rowOff>46255</xdr:rowOff>
    </xdr:to>
    <xdr:sp macro="" textlink="">
      <xdr:nvSpPr>
        <xdr:cNvPr id="248" name="Oval 247" hidden="1">
          <a:extLst>
            <a:ext uri="{FF2B5EF4-FFF2-40B4-BE49-F238E27FC236}">
              <a16:creationId xmlns:a16="http://schemas.microsoft.com/office/drawing/2014/main" id="{00000000-0008-0000-0900-0000F8000000}"/>
            </a:ext>
          </a:extLst>
        </xdr:cNvPr>
        <xdr:cNvSpPr/>
      </xdr:nvSpPr>
      <xdr:spPr>
        <a:xfrm>
          <a:off x="7866489" y="2223919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121</xdr:row>
      <xdr:rowOff>138812</xdr:rowOff>
    </xdr:from>
    <xdr:to>
      <xdr:col>29</xdr:col>
      <xdr:colOff>49364</xdr:colOff>
      <xdr:row>122</xdr:row>
      <xdr:rowOff>43874</xdr:rowOff>
    </xdr:to>
    <xdr:sp macro="" textlink="">
      <xdr:nvSpPr>
        <xdr:cNvPr id="249" name="Oval 248" hidden="1">
          <a:extLst>
            <a:ext uri="{FF2B5EF4-FFF2-40B4-BE49-F238E27FC236}">
              <a16:creationId xmlns:a16="http://schemas.microsoft.com/office/drawing/2014/main" id="{00000000-0008-0000-0900-0000F9000000}"/>
            </a:ext>
          </a:extLst>
        </xdr:cNvPr>
        <xdr:cNvSpPr/>
      </xdr:nvSpPr>
      <xdr:spPr>
        <a:xfrm>
          <a:off x="7866488" y="2318931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126</xdr:row>
      <xdr:rowOff>138813</xdr:rowOff>
    </xdr:from>
    <xdr:to>
      <xdr:col>29</xdr:col>
      <xdr:colOff>49364</xdr:colOff>
      <xdr:row>127</xdr:row>
      <xdr:rowOff>43875</xdr:rowOff>
    </xdr:to>
    <xdr:sp macro="" textlink="">
      <xdr:nvSpPr>
        <xdr:cNvPr id="250" name="Oval 249" hidden="1">
          <a:extLst>
            <a:ext uri="{FF2B5EF4-FFF2-40B4-BE49-F238E27FC236}">
              <a16:creationId xmlns:a16="http://schemas.microsoft.com/office/drawing/2014/main" id="{00000000-0008-0000-0900-0000FA000000}"/>
            </a:ext>
          </a:extLst>
        </xdr:cNvPr>
        <xdr:cNvSpPr/>
      </xdr:nvSpPr>
      <xdr:spPr>
        <a:xfrm>
          <a:off x="7866488" y="2414181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131</xdr:row>
      <xdr:rowOff>138813</xdr:rowOff>
    </xdr:from>
    <xdr:to>
      <xdr:col>29</xdr:col>
      <xdr:colOff>49364</xdr:colOff>
      <xdr:row>132</xdr:row>
      <xdr:rowOff>43875</xdr:rowOff>
    </xdr:to>
    <xdr:sp macro="" textlink="">
      <xdr:nvSpPr>
        <xdr:cNvPr id="251" name="Oval 250" hidden="1">
          <a:extLst>
            <a:ext uri="{FF2B5EF4-FFF2-40B4-BE49-F238E27FC236}">
              <a16:creationId xmlns:a16="http://schemas.microsoft.com/office/drawing/2014/main" id="{00000000-0008-0000-0900-0000FB000000}"/>
            </a:ext>
          </a:extLst>
        </xdr:cNvPr>
        <xdr:cNvSpPr/>
      </xdr:nvSpPr>
      <xdr:spPr>
        <a:xfrm>
          <a:off x="7866488" y="2509431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208387</xdr:colOff>
      <xdr:row>136</xdr:row>
      <xdr:rowOff>141193</xdr:rowOff>
    </xdr:from>
    <xdr:to>
      <xdr:col>29</xdr:col>
      <xdr:colOff>49363</xdr:colOff>
      <xdr:row>137</xdr:row>
      <xdr:rowOff>46255</xdr:rowOff>
    </xdr:to>
    <xdr:sp macro="" textlink="">
      <xdr:nvSpPr>
        <xdr:cNvPr id="252" name="Oval 251" hidden="1">
          <a:extLst>
            <a:ext uri="{FF2B5EF4-FFF2-40B4-BE49-F238E27FC236}">
              <a16:creationId xmlns:a16="http://schemas.microsoft.com/office/drawing/2014/main" id="{00000000-0008-0000-0900-0000FC000000}"/>
            </a:ext>
          </a:extLst>
        </xdr:cNvPr>
        <xdr:cNvSpPr/>
      </xdr:nvSpPr>
      <xdr:spPr>
        <a:xfrm>
          <a:off x="7866487" y="2604919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208387</xdr:colOff>
      <xdr:row>141</xdr:row>
      <xdr:rowOff>141193</xdr:rowOff>
    </xdr:from>
    <xdr:to>
      <xdr:col>29</xdr:col>
      <xdr:colOff>49363</xdr:colOff>
      <xdr:row>142</xdr:row>
      <xdr:rowOff>46255</xdr:rowOff>
    </xdr:to>
    <xdr:sp macro="" textlink="">
      <xdr:nvSpPr>
        <xdr:cNvPr id="253" name="Oval 252" hidden="1">
          <a:extLst>
            <a:ext uri="{FF2B5EF4-FFF2-40B4-BE49-F238E27FC236}">
              <a16:creationId xmlns:a16="http://schemas.microsoft.com/office/drawing/2014/main" id="{00000000-0008-0000-0900-0000FD000000}"/>
            </a:ext>
          </a:extLst>
        </xdr:cNvPr>
        <xdr:cNvSpPr/>
      </xdr:nvSpPr>
      <xdr:spPr>
        <a:xfrm>
          <a:off x="7866487" y="2700169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208386</xdr:colOff>
      <xdr:row>146</xdr:row>
      <xdr:rowOff>138812</xdr:rowOff>
    </xdr:from>
    <xdr:to>
      <xdr:col>29</xdr:col>
      <xdr:colOff>49362</xdr:colOff>
      <xdr:row>147</xdr:row>
      <xdr:rowOff>43874</xdr:rowOff>
    </xdr:to>
    <xdr:sp macro="" textlink="">
      <xdr:nvSpPr>
        <xdr:cNvPr id="254" name="Oval 253" hidden="1">
          <a:extLst>
            <a:ext uri="{FF2B5EF4-FFF2-40B4-BE49-F238E27FC236}">
              <a16:creationId xmlns:a16="http://schemas.microsoft.com/office/drawing/2014/main" id="{00000000-0008-0000-0900-0000FE000000}"/>
            </a:ext>
          </a:extLst>
        </xdr:cNvPr>
        <xdr:cNvSpPr/>
      </xdr:nvSpPr>
      <xdr:spPr>
        <a:xfrm>
          <a:off x="7866486" y="2795181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208386</xdr:colOff>
      <xdr:row>151</xdr:row>
      <xdr:rowOff>138813</xdr:rowOff>
    </xdr:from>
    <xdr:to>
      <xdr:col>29</xdr:col>
      <xdr:colOff>49362</xdr:colOff>
      <xdr:row>152</xdr:row>
      <xdr:rowOff>43875</xdr:rowOff>
    </xdr:to>
    <xdr:sp macro="" textlink="">
      <xdr:nvSpPr>
        <xdr:cNvPr id="255" name="Oval 254" hidden="1">
          <a:extLst>
            <a:ext uri="{FF2B5EF4-FFF2-40B4-BE49-F238E27FC236}">
              <a16:creationId xmlns:a16="http://schemas.microsoft.com/office/drawing/2014/main" id="{00000000-0008-0000-0900-0000FF000000}"/>
            </a:ext>
          </a:extLst>
        </xdr:cNvPr>
        <xdr:cNvSpPr/>
      </xdr:nvSpPr>
      <xdr:spPr>
        <a:xfrm>
          <a:off x="7866486" y="2890431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208386</xdr:colOff>
      <xdr:row>156</xdr:row>
      <xdr:rowOff>138813</xdr:rowOff>
    </xdr:from>
    <xdr:to>
      <xdr:col>29</xdr:col>
      <xdr:colOff>49362</xdr:colOff>
      <xdr:row>157</xdr:row>
      <xdr:rowOff>43875</xdr:rowOff>
    </xdr:to>
    <xdr:sp macro="" textlink="">
      <xdr:nvSpPr>
        <xdr:cNvPr id="256" name="Oval 255" hidden="1">
          <a:extLst>
            <a:ext uri="{FF2B5EF4-FFF2-40B4-BE49-F238E27FC236}">
              <a16:creationId xmlns:a16="http://schemas.microsoft.com/office/drawing/2014/main" id="{00000000-0008-0000-0900-000000010000}"/>
            </a:ext>
          </a:extLst>
        </xdr:cNvPr>
        <xdr:cNvSpPr/>
      </xdr:nvSpPr>
      <xdr:spPr>
        <a:xfrm>
          <a:off x="7866486" y="2985681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208389</xdr:colOff>
      <xdr:row>161</xdr:row>
      <xdr:rowOff>141193</xdr:rowOff>
    </xdr:from>
    <xdr:to>
      <xdr:col>29</xdr:col>
      <xdr:colOff>49365</xdr:colOff>
      <xdr:row>162</xdr:row>
      <xdr:rowOff>46255</xdr:rowOff>
    </xdr:to>
    <xdr:sp macro="" textlink="">
      <xdr:nvSpPr>
        <xdr:cNvPr id="257" name="Oval 256" hidden="1">
          <a:extLst>
            <a:ext uri="{FF2B5EF4-FFF2-40B4-BE49-F238E27FC236}">
              <a16:creationId xmlns:a16="http://schemas.microsoft.com/office/drawing/2014/main" id="{00000000-0008-0000-0900-000001010000}"/>
            </a:ext>
          </a:extLst>
        </xdr:cNvPr>
        <xdr:cNvSpPr/>
      </xdr:nvSpPr>
      <xdr:spPr>
        <a:xfrm>
          <a:off x="7866489" y="3081169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208389</xdr:colOff>
      <xdr:row>166</xdr:row>
      <xdr:rowOff>141193</xdr:rowOff>
    </xdr:from>
    <xdr:to>
      <xdr:col>29</xdr:col>
      <xdr:colOff>49365</xdr:colOff>
      <xdr:row>167</xdr:row>
      <xdr:rowOff>46255</xdr:rowOff>
    </xdr:to>
    <xdr:sp macro="" textlink="">
      <xdr:nvSpPr>
        <xdr:cNvPr id="258" name="Oval 257" hidden="1">
          <a:extLst>
            <a:ext uri="{FF2B5EF4-FFF2-40B4-BE49-F238E27FC236}">
              <a16:creationId xmlns:a16="http://schemas.microsoft.com/office/drawing/2014/main" id="{00000000-0008-0000-0900-000002010000}"/>
            </a:ext>
          </a:extLst>
        </xdr:cNvPr>
        <xdr:cNvSpPr/>
      </xdr:nvSpPr>
      <xdr:spPr>
        <a:xfrm>
          <a:off x="7866489" y="3176419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171</xdr:row>
      <xdr:rowOff>138812</xdr:rowOff>
    </xdr:from>
    <xdr:to>
      <xdr:col>29</xdr:col>
      <xdr:colOff>49364</xdr:colOff>
      <xdr:row>172</xdr:row>
      <xdr:rowOff>43874</xdr:rowOff>
    </xdr:to>
    <xdr:sp macro="" textlink="">
      <xdr:nvSpPr>
        <xdr:cNvPr id="259" name="Oval 258" hidden="1">
          <a:extLst>
            <a:ext uri="{FF2B5EF4-FFF2-40B4-BE49-F238E27FC236}">
              <a16:creationId xmlns:a16="http://schemas.microsoft.com/office/drawing/2014/main" id="{00000000-0008-0000-0900-000003010000}"/>
            </a:ext>
          </a:extLst>
        </xdr:cNvPr>
        <xdr:cNvSpPr/>
      </xdr:nvSpPr>
      <xdr:spPr>
        <a:xfrm>
          <a:off x="7866488" y="3271431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176</xdr:row>
      <xdr:rowOff>138813</xdr:rowOff>
    </xdr:from>
    <xdr:to>
      <xdr:col>29</xdr:col>
      <xdr:colOff>49364</xdr:colOff>
      <xdr:row>177</xdr:row>
      <xdr:rowOff>43875</xdr:rowOff>
    </xdr:to>
    <xdr:sp macro="" textlink="">
      <xdr:nvSpPr>
        <xdr:cNvPr id="260" name="Oval 259" hidden="1">
          <a:extLst>
            <a:ext uri="{FF2B5EF4-FFF2-40B4-BE49-F238E27FC236}">
              <a16:creationId xmlns:a16="http://schemas.microsoft.com/office/drawing/2014/main" id="{00000000-0008-0000-0900-000004010000}"/>
            </a:ext>
          </a:extLst>
        </xdr:cNvPr>
        <xdr:cNvSpPr/>
      </xdr:nvSpPr>
      <xdr:spPr>
        <a:xfrm>
          <a:off x="7866488" y="3366681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181</xdr:row>
      <xdr:rowOff>138813</xdr:rowOff>
    </xdr:from>
    <xdr:to>
      <xdr:col>29</xdr:col>
      <xdr:colOff>49364</xdr:colOff>
      <xdr:row>182</xdr:row>
      <xdr:rowOff>43875</xdr:rowOff>
    </xdr:to>
    <xdr:sp macro="" textlink="">
      <xdr:nvSpPr>
        <xdr:cNvPr id="261" name="Oval 260" hidden="1">
          <a:extLst>
            <a:ext uri="{FF2B5EF4-FFF2-40B4-BE49-F238E27FC236}">
              <a16:creationId xmlns:a16="http://schemas.microsoft.com/office/drawing/2014/main" id="{00000000-0008-0000-0900-000005010000}"/>
            </a:ext>
          </a:extLst>
        </xdr:cNvPr>
        <xdr:cNvSpPr/>
      </xdr:nvSpPr>
      <xdr:spPr>
        <a:xfrm>
          <a:off x="7866488" y="3461931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208389</xdr:colOff>
      <xdr:row>186</xdr:row>
      <xdr:rowOff>141193</xdr:rowOff>
    </xdr:from>
    <xdr:to>
      <xdr:col>29</xdr:col>
      <xdr:colOff>49365</xdr:colOff>
      <xdr:row>187</xdr:row>
      <xdr:rowOff>46255</xdr:rowOff>
    </xdr:to>
    <xdr:sp macro="" textlink="">
      <xdr:nvSpPr>
        <xdr:cNvPr id="262" name="Oval 261" hidden="1">
          <a:extLst>
            <a:ext uri="{FF2B5EF4-FFF2-40B4-BE49-F238E27FC236}">
              <a16:creationId xmlns:a16="http://schemas.microsoft.com/office/drawing/2014/main" id="{00000000-0008-0000-0900-000006010000}"/>
            </a:ext>
          </a:extLst>
        </xdr:cNvPr>
        <xdr:cNvSpPr/>
      </xdr:nvSpPr>
      <xdr:spPr>
        <a:xfrm>
          <a:off x="7866489" y="3557419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208389</xdr:colOff>
      <xdr:row>191</xdr:row>
      <xdr:rowOff>141193</xdr:rowOff>
    </xdr:from>
    <xdr:to>
      <xdr:col>29</xdr:col>
      <xdr:colOff>49365</xdr:colOff>
      <xdr:row>192</xdr:row>
      <xdr:rowOff>46255</xdr:rowOff>
    </xdr:to>
    <xdr:sp macro="" textlink="">
      <xdr:nvSpPr>
        <xdr:cNvPr id="263" name="Oval 262" hidden="1">
          <a:extLst>
            <a:ext uri="{FF2B5EF4-FFF2-40B4-BE49-F238E27FC236}">
              <a16:creationId xmlns:a16="http://schemas.microsoft.com/office/drawing/2014/main" id="{00000000-0008-0000-0900-000007010000}"/>
            </a:ext>
          </a:extLst>
        </xdr:cNvPr>
        <xdr:cNvSpPr/>
      </xdr:nvSpPr>
      <xdr:spPr>
        <a:xfrm>
          <a:off x="7866489" y="3652669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196</xdr:row>
      <xdr:rowOff>138812</xdr:rowOff>
    </xdr:from>
    <xdr:to>
      <xdr:col>29</xdr:col>
      <xdr:colOff>49364</xdr:colOff>
      <xdr:row>197</xdr:row>
      <xdr:rowOff>43874</xdr:rowOff>
    </xdr:to>
    <xdr:sp macro="" textlink="">
      <xdr:nvSpPr>
        <xdr:cNvPr id="264" name="Oval 263" hidden="1">
          <a:extLst>
            <a:ext uri="{FF2B5EF4-FFF2-40B4-BE49-F238E27FC236}">
              <a16:creationId xmlns:a16="http://schemas.microsoft.com/office/drawing/2014/main" id="{00000000-0008-0000-0900-000008010000}"/>
            </a:ext>
          </a:extLst>
        </xdr:cNvPr>
        <xdr:cNvSpPr/>
      </xdr:nvSpPr>
      <xdr:spPr>
        <a:xfrm>
          <a:off x="7866488" y="3747681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201</xdr:row>
      <xdr:rowOff>138813</xdr:rowOff>
    </xdr:from>
    <xdr:to>
      <xdr:col>29</xdr:col>
      <xdr:colOff>49364</xdr:colOff>
      <xdr:row>202</xdr:row>
      <xdr:rowOff>43875</xdr:rowOff>
    </xdr:to>
    <xdr:sp macro="" textlink="">
      <xdr:nvSpPr>
        <xdr:cNvPr id="265" name="Oval 264" hidden="1">
          <a:extLst>
            <a:ext uri="{FF2B5EF4-FFF2-40B4-BE49-F238E27FC236}">
              <a16:creationId xmlns:a16="http://schemas.microsoft.com/office/drawing/2014/main" id="{00000000-0008-0000-0900-000009010000}"/>
            </a:ext>
          </a:extLst>
        </xdr:cNvPr>
        <xdr:cNvSpPr/>
      </xdr:nvSpPr>
      <xdr:spPr>
        <a:xfrm>
          <a:off x="7866488" y="3842931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206</xdr:row>
      <xdr:rowOff>138813</xdr:rowOff>
    </xdr:from>
    <xdr:to>
      <xdr:col>29</xdr:col>
      <xdr:colOff>49364</xdr:colOff>
      <xdr:row>207</xdr:row>
      <xdr:rowOff>43875</xdr:rowOff>
    </xdr:to>
    <xdr:sp macro="" textlink="">
      <xdr:nvSpPr>
        <xdr:cNvPr id="266" name="Oval 265" hidden="1">
          <a:extLst>
            <a:ext uri="{FF2B5EF4-FFF2-40B4-BE49-F238E27FC236}">
              <a16:creationId xmlns:a16="http://schemas.microsoft.com/office/drawing/2014/main" id="{00000000-0008-0000-0900-00000A010000}"/>
            </a:ext>
          </a:extLst>
        </xdr:cNvPr>
        <xdr:cNvSpPr/>
      </xdr:nvSpPr>
      <xdr:spPr>
        <a:xfrm>
          <a:off x="7866488" y="3938181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208389</xdr:colOff>
      <xdr:row>211</xdr:row>
      <xdr:rowOff>141195</xdr:rowOff>
    </xdr:from>
    <xdr:to>
      <xdr:col>29</xdr:col>
      <xdr:colOff>49365</xdr:colOff>
      <xdr:row>212</xdr:row>
      <xdr:rowOff>46257</xdr:rowOff>
    </xdr:to>
    <xdr:sp macro="" textlink="">
      <xdr:nvSpPr>
        <xdr:cNvPr id="267" name="Oval 266" hidden="1">
          <a:extLst>
            <a:ext uri="{FF2B5EF4-FFF2-40B4-BE49-F238E27FC236}">
              <a16:creationId xmlns:a16="http://schemas.microsoft.com/office/drawing/2014/main" id="{00000000-0008-0000-0900-00000B010000}"/>
            </a:ext>
          </a:extLst>
        </xdr:cNvPr>
        <xdr:cNvSpPr/>
      </xdr:nvSpPr>
      <xdr:spPr>
        <a:xfrm>
          <a:off x="7866489" y="4033669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208389</xdr:colOff>
      <xdr:row>216</xdr:row>
      <xdr:rowOff>141195</xdr:rowOff>
    </xdr:from>
    <xdr:to>
      <xdr:col>29</xdr:col>
      <xdr:colOff>49365</xdr:colOff>
      <xdr:row>217</xdr:row>
      <xdr:rowOff>46257</xdr:rowOff>
    </xdr:to>
    <xdr:sp macro="" textlink="">
      <xdr:nvSpPr>
        <xdr:cNvPr id="268" name="Oval 267" hidden="1">
          <a:extLst>
            <a:ext uri="{FF2B5EF4-FFF2-40B4-BE49-F238E27FC236}">
              <a16:creationId xmlns:a16="http://schemas.microsoft.com/office/drawing/2014/main" id="{00000000-0008-0000-0900-00000C010000}"/>
            </a:ext>
          </a:extLst>
        </xdr:cNvPr>
        <xdr:cNvSpPr/>
      </xdr:nvSpPr>
      <xdr:spPr>
        <a:xfrm>
          <a:off x="7866489" y="4128919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221</xdr:row>
      <xdr:rowOff>138814</xdr:rowOff>
    </xdr:from>
    <xdr:to>
      <xdr:col>29</xdr:col>
      <xdr:colOff>49364</xdr:colOff>
      <xdr:row>222</xdr:row>
      <xdr:rowOff>43876</xdr:rowOff>
    </xdr:to>
    <xdr:sp macro="" textlink="">
      <xdr:nvSpPr>
        <xdr:cNvPr id="269" name="Oval 268" hidden="1">
          <a:extLst>
            <a:ext uri="{FF2B5EF4-FFF2-40B4-BE49-F238E27FC236}">
              <a16:creationId xmlns:a16="http://schemas.microsoft.com/office/drawing/2014/main" id="{00000000-0008-0000-0900-00000D010000}"/>
            </a:ext>
          </a:extLst>
        </xdr:cNvPr>
        <xdr:cNvSpPr/>
      </xdr:nvSpPr>
      <xdr:spPr>
        <a:xfrm>
          <a:off x="7866488" y="4223931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226</xdr:row>
      <xdr:rowOff>138815</xdr:rowOff>
    </xdr:from>
    <xdr:to>
      <xdr:col>29</xdr:col>
      <xdr:colOff>49364</xdr:colOff>
      <xdr:row>227</xdr:row>
      <xdr:rowOff>43877</xdr:rowOff>
    </xdr:to>
    <xdr:sp macro="" textlink="">
      <xdr:nvSpPr>
        <xdr:cNvPr id="270" name="Oval 269" hidden="1">
          <a:extLst>
            <a:ext uri="{FF2B5EF4-FFF2-40B4-BE49-F238E27FC236}">
              <a16:creationId xmlns:a16="http://schemas.microsoft.com/office/drawing/2014/main" id="{00000000-0008-0000-0900-00000E010000}"/>
            </a:ext>
          </a:extLst>
        </xdr:cNvPr>
        <xdr:cNvSpPr/>
      </xdr:nvSpPr>
      <xdr:spPr>
        <a:xfrm>
          <a:off x="7866488" y="431918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231</xdr:row>
      <xdr:rowOff>138815</xdr:rowOff>
    </xdr:from>
    <xdr:to>
      <xdr:col>29</xdr:col>
      <xdr:colOff>49364</xdr:colOff>
      <xdr:row>232</xdr:row>
      <xdr:rowOff>43877</xdr:rowOff>
    </xdr:to>
    <xdr:sp macro="" textlink="">
      <xdr:nvSpPr>
        <xdr:cNvPr id="271" name="Oval 270" hidden="1">
          <a:extLst>
            <a:ext uri="{FF2B5EF4-FFF2-40B4-BE49-F238E27FC236}">
              <a16:creationId xmlns:a16="http://schemas.microsoft.com/office/drawing/2014/main" id="{00000000-0008-0000-0900-00000F010000}"/>
            </a:ext>
          </a:extLst>
        </xdr:cNvPr>
        <xdr:cNvSpPr/>
      </xdr:nvSpPr>
      <xdr:spPr>
        <a:xfrm>
          <a:off x="7866488" y="441443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208389</xdr:colOff>
      <xdr:row>236</xdr:row>
      <xdr:rowOff>141196</xdr:rowOff>
    </xdr:from>
    <xdr:to>
      <xdr:col>29</xdr:col>
      <xdr:colOff>49365</xdr:colOff>
      <xdr:row>237</xdr:row>
      <xdr:rowOff>46258</xdr:rowOff>
    </xdr:to>
    <xdr:sp macro="" textlink="">
      <xdr:nvSpPr>
        <xdr:cNvPr id="272" name="Oval 271" hidden="1">
          <a:extLst>
            <a:ext uri="{FF2B5EF4-FFF2-40B4-BE49-F238E27FC236}">
              <a16:creationId xmlns:a16="http://schemas.microsoft.com/office/drawing/2014/main" id="{00000000-0008-0000-0900-000010010000}"/>
            </a:ext>
          </a:extLst>
        </xdr:cNvPr>
        <xdr:cNvSpPr/>
      </xdr:nvSpPr>
      <xdr:spPr>
        <a:xfrm>
          <a:off x="7866489" y="450991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208389</xdr:colOff>
      <xdr:row>241</xdr:row>
      <xdr:rowOff>141196</xdr:rowOff>
    </xdr:from>
    <xdr:to>
      <xdr:col>29</xdr:col>
      <xdr:colOff>49365</xdr:colOff>
      <xdr:row>242</xdr:row>
      <xdr:rowOff>46258</xdr:rowOff>
    </xdr:to>
    <xdr:sp macro="" textlink="">
      <xdr:nvSpPr>
        <xdr:cNvPr id="273" name="Oval 272" hidden="1">
          <a:extLst>
            <a:ext uri="{FF2B5EF4-FFF2-40B4-BE49-F238E27FC236}">
              <a16:creationId xmlns:a16="http://schemas.microsoft.com/office/drawing/2014/main" id="{00000000-0008-0000-0900-000011010000}"/>
            </a:ext>
          </a:extLst>
        </xdr:cNvPr>
        <xdr:cNvSpPr/>
      </xdr:nvSpPr>
      <xdr:spPr>
        <a:xfrm>
          <a:off x="7866489" y="460516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246</xdr:row>
      <xdr:rowOff>138815</xdr:rowOff>
    </xdr:from>
    <xdr:to>
      <xdr:col>29</xdr:col>
      <xdr:colOff>49364</xdr:colOff>
      <xdr:row>247</xdr:row>
      <xdr:rowOff>43877</xdr:rowOff>
    </xdr:to>
    <xdr:sp macro="" textlink="">
      <xdr:nvSpPr>
        <xdr:cNvPr id="274" name="Oval 273" hidden="1">
          <a:extLst>
            <a:ext uri="{FF2B5EF4-FFF2-40B4-BE49-F238E27FC236}">
              <a16:creationId xmlns:a16="http://schemas.microsoft.com/office/drawing/2014/main" id="{00000000-0008-0000-0900-000012010000}"/>
            </a:ext>
          </a:extLst>
        </xdr:cNvPr>
        <xdr:cNvSpPr/>
      </xdr:nvSpPr>
      <xdr:spPr>
        <a:xfrm>
          <a:off x="7866488" y="470018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251</xdr:row>
      <xdr:rowOff>138816</xdr:rowOff>
    </xdr:from>
    <xdr:to>
      <xdr:col>29</xdr:col>
      <xdr:colOff>49364</xdr:colOff>
      <xdr:row>252</xdr:row>
      <xdr:rowOff>43878</xdr:rowOff>
    </xdr:to>
    <xdr:sp macro="" textlink="">
      <xdr:nvSpPr>
        <xdr:cNvPr id="275" name="Oval 274" hidden="1">
          <a:extLst>
            <a:ext uri="{FF2B5EF4-FFF2-40B4-BE49-F238E27FC236}">
              <a16:creationId xmlns:a16="http://schemas.microsoft.com/office/drawing/2014/main" id="{00000000-0008-0000-0900-000013010000}"/>
            </a:ext>
          </a:extLst>
        </xdr:cNvPr>
        <xdr:cNvSpPr/>
      </xdr:nvSpPr>
      <xdr:spPr>
        <a:xfrm>
          <a:off x="7866488" y="4795431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256</xdr:row>
      <xdr:rowOff>138816</xdr:rowOff>
    </xdr:from>
    <xdr:to>
      <xdr:col>29</xdr:col>
      <xdr:colOff>49364</xdr:colOff>
      <xdr:row>257</xdr:row>
      <xdr:rowOff>43878</xdr:rowOff>
    </xdr:to>
    <xdr:sp macro="" textlink="">
      <xdr:nvSpPr>
        <xdr:cNvPr id="276" name="Oval 275" hidden="1">
          <a:extLst>
            <a:ext uri="{FF2B5EF4-FFF2-40B4-BE49-F238E27FC236}">
              <a16:creationId xmlns:a16="http://schemas.microsoft.com/office/drawing/2014/main" id="{00000000-0008-0000-0900-000014010000}"/>
            </a:ext>
          </a:extLst>
        </xdr:cNvPr>
        <xdr:cNvSpPr/>
      </xdr:nvSpPr>
      <xdr:spPr>
        <a:xfrm>
          <a:off x="7866488" y="4890681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208389</xdr:colOff>
      <xdr:row>261</xdr:row>
      <xdr:rowOff>141196</xdr:rowOff>
    </xdr:from>
    <xdr:to>
      <xdr:col>29</xdr:col>
      <xdr:colOff>49365</xdr:colOff>
      <xdr:row>262</xdr:row>
      <xdr:rowOff>46258</xdr:rowOff>
    </xdr:to>
    <xdr:sp macro="" textlink="">
      <xdr:nvSpPr>
        <xdr:cNvPr id="277" name="Oval 276" hidden="1">
          <a:extLst>
            <a:ext uri="{FF2B5EF4-FFF2-40B4-BE49-F238E27FC236}">
              <a16:creationId xmlns:a16="http://schemas.microsoft.com/office/drawing/2014/main" id="{00000000-0008-0000-0900-000015010000}"/>
            </a:ext>
          </a:extLst>
        </xdr:cNvPr>
        <xdr:cNvSpPr/>
      </xdr:nvSpPr>
      <xdr:spPr>
        <a:xfrm>
          <a:off x="7866489" y="498616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208389</xdr:colOff>
      <xdr:row>266</xdr:row>
      <xdr:rowOff>141196</xdr:rowOff>
    </xdr:from>
    <xdr:to>
      <xdr:col>29</xdr:col>
      <xdr:colOff>49365</xdr:colOff>
      <xdr:row>267</xdr:row>
      <xdr:rowOff>46258</xdr:rowOff>
    </xdr:to>
    <xdr:sp macro="" textlink="">
      <xdr:nvSpPr>
        <xdr:cNvPr id="278" name="Oval 277" hidden="1">
          <a:extLst>
            <a:ext uri="{FF2B5EF4-FFF2-40B4-BE49-F238E27FC236}">
              <a16:creationId xmlns:a16="http://schemas.microsoft.com/office/drawing/2014/main" id="{00000000-0008-0000-0900-000016010000}"/>
            </a:ext>
          </a:extLst>
        </xdr:cNvPr>
        <xdr:cNvSpPr/>
      </xdr:nvSpPr>
      <xdr:spPr>
        <a:xfrm>
          <a:off x="7866489" y="5081419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271</xdr:row>
      <xdr:rowOff>138815</xdr:rowOff>
    </xdr:from>
    <xdr:to>
      <xdr:col>29</xdr:col>
      <xdr:colOff>49364</xdr:colOff>
      <xdr:row>272</xdr:row>
      <xdr:rowOff>43877</xdr:rowOff>
    </xdr:to>
    <xdr:sp macro="" textlink="">
      <xdr:nvSpPr>
        <xdr:cNvPr id="279" name="Oval 278" hidden="1">
          <a:extLst>
            <a:ext uri="{FF2B5EF4-FFF2-40B4-BE49-F238E27FC236}">
              <a16:creationId xmlns:a16="http://schemas.microsoft.com/office/drawing/2014/main" id="{00000000-0008-0000-0900-000017010000}"/>
            </a:ext>
          </a:extLst>
        </xdr:cNvPr>
        <xdr:cNvSpPr/>
      </xdr:nvSpPr>
      <xdr:spPr>
        <a:xfrm>
          <a:off x="7866488" y="517643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276</xdr:row>
      <xdr:rowOff>138816</xdr:rowOff>
    </xdr:from>
    <xdr:to>
      <xdr:col>29</xdr:col>
      <xdr:colOff>49364</xdr:colOff>
      <xdr:row>277</xdr:row>
      <xdr:rowOff>43878</xdr:rowOff>
    </xdr:to>
    <xdr:sp macro="" textlink="">
      <xdr:nvSpPr>
        <xdr:cNvPr id="280" name="Oval 279" hidden="1">
          <a:extLst>
            <a:ext uri="{FF2B5EF4-FFF2-40B4-BE49-F238E27FC236}">
              <a16:creationId xmlns:a16="http://schemas.microsoft.com/office/drawing/2014/main" id="{00000000-0008-0000-0900-000018010000}"/>
            </a:ext>
          </a:extLst>
        </xdr:cNvPr>
        <xdr:cNvSpPr/>
      </xdr:nvSpPr>
      <xdr:spPr>
        <a:xfrm>
          <a:off x="7866488" y="5271681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208388</xdr:colOff>
      <xdr:row>281</xdr:row>
      <xdr:rowOff>138816</xdr:rowOff>
    </xdr:from>
    <xdr:to>
      <xdr:col>29</xdr:col>
      <xdr:colOff>49364</xdr:colOff>
      <xdr:row>282</xdr:row>
      <xdr:rowOff>43878</xdr:rowOff>
    </xdr:to>
    <xdr:sp macro="" textlink="">
      <xdr:nvSpPr>
        <xdr:cNvPr id="281" name="Oval 280" hidden="1">
          <a:extLst>
            <a:ext uri="{FF2B5EF4-FFF2-40B4-BE49-F238E27FC236}">
              <a16:creationId xmlns:a16="http://schemas.microsoft.com/office/drawing/2014/main" id="{00000000-0008-0000-0900-000019010000}"/>
            </a:ext>
          </a:extLst>
        </xdr:cNvPr>
        <xdr:cNvSpPr/>
      </xdr:nvSpPr>
      <xdr:spPr>
        <a:xfrm>
          <a:off x="7866488" y="53669316"/>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208390</xdr:colOff>
      <xdr:row>286</xdr:row>
      <xdr:rowOff>141195</xdr:rowOff>
    </xdr:from>
    <xdr:to>
      <xdr:col>29</xdr:col>
      <xdr:colOff>49366</xdr:colOff>
      <xdr:row>287</xdr:row>
      <xdr:rowOff>46257</xdr:rowOff>
    </xdr:to>
    <xdr:sp macro="" textlink="">
      <xdr:nvSpPr>
        <xdr:cNvPr id="282" name="Oval 281" hidden="1">
          <a:extLst>
            <a:ext uri="{FF2B5EF4-FFF2-40B4-BE49-F238E27FC236}">
              <a16:creationId xmlns:a16="http://schemas.microsoft.com/office/drawing/2014/main" id="{00000000-0008-0000-0900-00001A010000}"/>
            </a:ext>
          </a:extLst>
        </xdr:cNvPr>
        <xdr:cNvSpPr/>
      </xdr:nvSpPr>
      <xdr:spPr>
        <a:xfrm>
          <a:off x="7866490" y="5462419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208390</xdr:colOff>
      <xdr:row>291</xdr:row>
      <xdr:rowOff>141195</xdr:rowOff>
    </xdr:from>
    <xdr:to>
      <xdr:col>29</xdr:col>
      <xdr:colOff>49366</xdr:colOff>
      <xdr:row>292</xdr:row>
      <xdr:rowOff>46257</xdr:rowOff>
    </xdr:to>
    <xdr:sp macro="" textlink="">
      <xdr:nvSpPr>
        <xdr:cNvPr id="283" name="Oval 282" hidden="1">
          <a:extLst>
            <a:ext uri="{FF2B5EF4-FFF2-40B4-BE49-F238E27FC236}">
              <a16:creationId xmlns:a16="http://schemas.microsoft.com/office/drawing/2014/main" id="{00000000-0008-0000-0900-00001B010000}"/>
            </a:ext>
          </a:extLst>
        </xdr:cNvPr>
        <xdr:cNvSpPr/>
      </xdr:nvSpPr>
      <xdr:spPr>
        <a:xfrm>
          <a:off x="7866490" y="5557669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208389</xdr:colOff>
      <xdr:row>296</xdr:row>
      <xdr:rowOff>138814</xdr:rowOff>
    </xdr:from>
    <xdr:to>
      <xdr:col>29</xdr:col>
      <xdr:colOff>49365</xdr:colOff>
      <xdr:row>297</xdr:row>
      <xdr:rowOff>43876</xdr:rowOff>
    </xdr:to>
    <xdr:sp macro="" textlink="">
      <xdr:nvSpPr>
        <xdr:cNvPr id="284" name="Oval 283" hidden="1">
          <a:extLst>
            <a:ext uri="{FF2B5EF4-FFF2-40B4-BE49-F238E27FC236}">
              <a16:creationId xmlns:a16="http://schemas.microsoft.com/office/drawing/2014/main" id="{00000000-0008-0000-0900-00001C010000}"/>
            </a:ext>
          </a:extLst>
        </xdr:cNvPr>
        <xdr:cNvSpPr/>
      </xdr:nvSpPr>
      <xdr:spPr>
        <a:xfrm>
          <a:off x="7866489" y="5652681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208389</xdr:colOff>
      <xdr:row>301</xdr:row>
      <xdr:rowOff>138815</xdr:rowOff>
    </xdr:from>
    <xdr:to>
      <xdr:col>29</xdr:col>
      <xdr:colOff>49365</xdr:colOff>
      <xdr:row>302</xdr:row>
      <xdr:rowOff>43877</xdr:rowOff>
    </xdr:to>
    <xdr:sp macro="" textlink="">
      <xdr:nvSpPr>
        <xdr:cNvPr id="285" name="Oval 284" hidden="1">
          <a:extLst>
            <a:ext uri="{FF2B5EF4-FFF2-40B4-BE49-F238E27FC236}">
              <a16:creationId xmlns:a16="http://schemas.microsoft.com/office/drawing/2014/main" id="{00000000-0008-0000-0900-00001D010000}"/>
            </a:ext>
          </a:extLst>
        </xdr:cNvPr>
        <xdr:cNvSpPr/>
      </xdr:nvSpPr>
      <xdr:spPr>
        <a:xfrm>
          <a:off x="7866489" y="574793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28</xdr:col>
      <xdr:colOff>208389</xdr:colOff>
      <xdr:row>306</xdr:row>
      <xdr:rowOff>138815</xdr:rowOff>
    </xdr:from>
    <xdr:to>
      <xdr:col>29</xdr:col>
      <xdr:colOff>49365</xdr:colOff>
      <xdr:row>307</xdr:row>
      <xdr:rowOff>43877</xdr:rowOff>
    </xdr:to>
    <xdr:sp macro="" textlink="">
      <xdr:nvSpPr>
        <xdr:cNvPr id="286" name="Oval 285" hidden="1">
          <a:extLst>
            <a:ext uri="{FF2B5EF4-FFF2-40B4-BE49-F238E27FC236}">
              <a16:creationId xmlns:a16="http://schemas.microsoft.com/office/drawing/2014/main" id="{00000000-0008-0000-0900-00001E010000}"/>
            </a:ext>
          </a:extLst>
        </xdr:cNvPr>
        <xdr:cNvSpPr/>
      </xdr:nvSpPr>
      <xdr:spPr>
        <a:xfrm>
          <a:off x="7866489" y="584318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208416</xdr:colOff>
      <xdr:row>36</xdr:row>
      <xdr:rowOff>143572</xdr:rowOff>
    </xdr:from>
    <xdr:to>
      <xdr:col>36</xdr:col>
      <xdr:colOff>49392</xdr:colOff>
      <xdr:row>37</xdr:row>
      <xdr:rowOff>48634</xdr:rowOff>
    </xdr:to>
    <xdr:sp macro="" textlink="">
      <xdr:nvSpPr>
        <xdr:cNvPr id="287" name="Oval 286">
          <a:extLst>
            <a:ext uri="{FF2B5EF4-FFF2-40B4-BE49-F238E27FC236}">
              <a16:creationId xmlns:a16="http://schemas.microsoft.com/office/drawing/2014/main" id="{00000000-0008-0000-0900-00001F010000}"/>
            </a:ext>
          </a:extLst>
        </xdr:cNvPr>
        <xdr:cNvSpPr/>
      </xdr:nvSpPr>
      <xdr:spPr>
        <a:xfrm>
          <a:off x="9666741" y="700157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208416</xdr:colOff>
      <xdr:row>41</xdr:row>
      <xdr:rowOff>143572</xdr:rowOff>
    </xdr:from>
    <xdr:to>
      <xdr:col>36</xdr:col>
      <xdr:colOff>49392</xdr:colOff>
      <xdr:row>42</xdr:row>
      <xdr:rowOff>48634</xdr:rowOff>
    </xdr:to>
    <xdr:sp macro="" textlink="">
      <xdr:nvSpPr>
        <xdr:cNvPr id="288" name="Oval 287">
          <a:extLst>
            <a:ext uri="{FF2B5EF4-FFF2-40B4-BE49-F238E27FC236}">
              <a16:creationId xmlns:a16="http://schemas.microsoft.com/office/drawing/2014/main" id="{00000000-0008-0000-0900-000020010000}"/>
            </a:ext>
          </a:extLst>
        </xdr:cNvPr>
        <xdr:cNvSpPr/>
      </xdr:nvSpPr>
      <xdr:spPr>
        <a:xfrm>
          <a:off x="9666741" y="795407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46</xdr:row>
      <xdr:rowOff>141191</xdr:rowOff>
    </xdr:from>
    <xdr:to>
      <xdr:col>36</xdr:col>
      <xdr:colOff>49391</xdr:colOff>
      <xdr:row>47</xdr:row>
      <xdr:rowOff>46253</xdr:rowOff>
    </xdr:to>
    <xdr:sp macro="" textlink="">
      <xdr:nvSpPr>
        <xdr:cNvPr id="289" name="Oval 288">
          <a:extLst>
            <a:ext uri="{FF2B5EF4-FFF2-40B4-BE49-F238E27FC236}">
              <a16:creationId xmlns:a16="http://schemas.microsoft.com/office/drawing/2014/main" id="{00000000-0008-0000-0900-000021010000}"/>
            </a:ext>
          </a:extLst>
        </xdr:cNvPr>
        <xdr:cNvSpPr/>
      </xdr:nvSpPr>
      <xdr:spPr>
        <a:xfrm>
          <a:off x="9666740" y="890419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51</xdr:row>
      <xdr:rowOff>141192</xdr:rowOff>
    </xdr:from>
    <xdr:to>
      <xdr:col>36</xdr:col>
      <xdr:colOff>49391</xdr:colOff>
      <xdr:row>52</xdr:row>
      <xdr:rowOff>46254</xdr:rowOff>
    </xdr:to>
    <xdr:sp macro="" textlink="">
      <xdr:nvSpPr>
        <xdr:cNvPr id="290" name="Oval 289" hidden="1">
          <a:extLst>
            <a:ext uri="{FF2B5EF4-FFF2-40B4-BE49-F238E27FC236}">
              <a16:creationId xmlns:a16="http://schemas.microsoft.com/office/drawing/2014/main" id="{00000000-0008-0000-0900-000022010000}"/>
            </a:ext>
          </a:extLst>
        </xdr:cNvPr>
        <xdr:cNvSpPr/>
      </xdr:nvSpPr>
      <xdr:spPr>
        <a:xfrm>
          <a:off x="9666740" y="985669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56</xdr:row>
      <xdr:rowOff>141192</xdr:rowOff>
    </xdr:from>
    <xdr:to>
      <xdr:col>36</xdr:col>
      <xdr:colOff>49391</xdr:colOff>
      <xdr:row>57</xdr:row>
      <xdr:rowOff>46254</xdr:rowOff>
    </xdr:to>
    <xdr:sp macro="" textlink="">
      <xdr:nvSpPr>
        <xdr:cNvPr id="291" name="Oval 290" hidden="1">
          <a:extLst>
            <a:ext uri="{FF2B5EF4-FFF2-40B4-BE49-F238E27FC236}">
              <a16:creationId xmlns:a16="http://schemas.microsoft.com/office/drawing/2014/main" id="{00000000-0008-0000-0900-000023010000}"/>
            </a:ext>
          </a:extLst>
        </xdr:cNvPr>
        <xdr:cNvSpPr/>
      </xdr:nvSpPr>
      <xdr:spPr>
        <a:xfrm>
          <a:off x="9666740" y="1080919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208416</xdr:colOff>
      <xdr:row>61</xdr:row>
      <xdr:rowOff>141190</xdr:rowOff>
    </xdr:from>
    <xdr:to>
      <xdr:col>36</xdr:col>
      <xdr:colOff>49392</xdr:colOff>
      <xdr:row>62</xdr:row>
      <xdr:rowOff>46252</xdr:rowOff>
    </xdr:to>
    <xdr:sp macro="" textlink="">
      <xdr:nvSpPr>
        <xdr:cNvPr id="292" name="Oval 291" hidden="1">
          <a:extLst>
            <a:ext uri="{FF2B5EF4-FFF2-40B4-BE49-F238E27FC236}">
              <a16:creationId xmlns:a16="http://schemas.microsoft.com/office/drawing/2014/main" id="{00000000-0008-0000-0900-000024010000}"/>
            </a:ext>
          </a:extLst>
        </xdr:cNvPr>
        <xdr:cNvSpPr/>
      </xdr:nvSpPr>
      <xdr:spPr>
        <a:xfrm>
          <a:off x="9666741" y="11761690"/>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208416</xdr:colOff>
      <xdr:row>66</xdr:row>
      <xdr:rowOff>141190</xdr:rowOff>
    </xdr:from>
    <xdr:to>
      <xdr:col>36</xdr:col>
      <xdr:colOff>49392</xdr:colOff>
      <xdr:row>67</xdr:row>
      <xdr:rowOff>46252</xdr:rowOff>
    </xdr:to>
    <xdr:sp macro="" textlink="">
      <xdr:nvSpPr>
        <xdr:cNvPr id="293" name="Oval 292" hidden="1">
          <a:extLst>
            <a:ext uri="{FF2B5EF4-FFF2-40B4-BE49-F238E27FC236}">
              <a16:creationId xmlns:a16="http://schemas.microsoft.com/office/drawing/2014/main" id="{00000000-0008-0000-0900-000025010000}"/>
            </a:ext>
          </a:extLst>
        </xdr:cNvPr>
        <xdr:cNvSpPr/>
      </xdr:nvSpPr>
      <xdr:spPr>
        <a:xfrm>
          <a:off x="9666741" y="12714190"/>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71</xdr:row>
      <xdr:rowOff>138809</xdr:rowOff>
    </xdr:from>
    <xdr:to>
      <xdr:col>36</xdr:col>
      <xdr:colOff>49391</xdr:colOff>
      <xdr:row>72</xdr:row>
      <xdr:rowOff>43871</xdr:rowOff>
    </xdr:to>
    <xdr:sp macro="" textlink="">
      <xdr:nvSpPr>
        <xdr:cNvPr id="294" name="Oval 293" hidden="1">
          <a:extLst>
            <a:ext uri="{FF2B5EF4-FFF2-40B4-BE49-F238E27FC236}">
              <a16:creationId xmlns:a16="http://schemas.microsoft.com/office/drawing/2014/main" id="{00000000-0008-0000-0900-000026010000}"/>
            </a:ext>
          </a:extLst>
        </xdr:cNvPr>
        <xdr:cNvSpPr/>
      </xdr:nvSpPr>
      <xdr:spPr>
        <a:xfrm>
          <a:off x="9666740" y="13664309"/>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76</xdr:row>
      <xdr:rowOff>138810</xdr:rowOff>
    </xdr:from>
    <xdr:to>
      <xdr:col>36</xdr:col>
      <xdr:colOff>49391</xdr:colOff>
      <xdr:row>77</xdr:row>
      <xdr:rowOff>43872</xdr:rowOff>
    </xdr:to>
    <xdr:sp macro="" textlink="">
      <xdr:nvSpPr>
        <xdr:cNvPr id="295" name="Oval 294" hidden="1">
          <a:extLst>
            <a:ext uri="{FF2B5EF4-FFF2-40B4-BE49-F238E27FC236}">
              <a16:creationId xmlns:a16="http://schemas.microsoft.com/office/drawing/2014/main" id="{00000000-0008-0000-0900-000027010000}"/>
            </a:ext>
          </a:extLst>
        </xdr:cNvPr>
        <xdr:cNvSpPr/>
      </xdr:nvSpPr>
      <xdr:spPr>
        <a:xfrm>
          <a:off x="9666740" y="14616810"/>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81</xdr:row>
      <xdr:rowOff>138810</xdr:rowOff>
    </xdr:from>
    <xdr:to>
      <xdr:col>36</xdr:col>
      <xdr:colOff>49391</xdr:colOff>
      <xdr:row>82</xdr:row>
      <xdr:rowOff>43872</xdr:rowOff>
    </xdr:to>
    <xdr:sp macro="" textlink="">
      <xdr:nvSpPr>
        <xdr:cNvPr id="296" name="Oval 295" hidden="1">
          <a:extLst>
            <a:ext uri="{FF2B5EF4-FFF2-40B4-BE49-F238E27FC236}">
              <a16:creationId xmlns:a16="http://schemas.microsoft.com/office/drawing/2014/main" id="{00000000-0008-0000-0900-000028010000}"/>
            </a:ext>
          </a:extLst>
        </xdr:cNvPr>
        <xdr:cNvSpPr/>
      </xdr:nvSpPr>
      <xdr:spPr>
        <a:xfrm>
          <a:off x="9666740" y="15569310"/>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208416</xdr:colOff>
      <xdr:row>86</xdr:row>
      <xdr:rowOff>141191</xdr:rowOff>
    </xdr:from>
    <xdr:to>
      <xdr:col>36</xdr:col>
      <xdr:colOff>49392</xdr:colOff>
      <xdr:row>87</xdr:row>
      <xdr:rowOff>46253</xdr:rowOff>
    </xdr:to>
    <xdr:sp macro="" textlink="">
      <xdr:nvSpPr>
        <xdr:cNvPr id="297" name="Oval 296" hidden="1">
          <a:extLst>
            <a:ext uri="{FF2B5EF4-FFF2-40B4-BE49-F238E27FC236}">
              <a16:creationId xmlns:a16="http://schemas.microsoft.com/office/drawing/2014/main" id="{00000000-0008-0000-0900-000029010000}"/>
            </a:ext>
          </a:extLst>
        </xdr:cNvPr>
        <xdr:cNvSpPr/>
      </xdr:nvSpPr>
      <xdr:spPr>
        <a:xfrm>
          <a:off x="9666741" y="1652419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208416</xdr:colOff>
      <xdr:row>91</xdr:row>
      <xdr:rowOff>141191</xdr:rowOff>
    </xdr:from>
    <xdr:to>
      <xdr:col>36</xdr:col>
      <xdr:colOff>49392</xdr:colOff>
      <xdr:row>92</xdr:row>
      <xdr:rowOff>46253</xdr:rowOff>
    </xdr:to>
    <xdr:sp macro="" textlink="">
      <xdr:nvSpPr>
        <xdr:cNvPr id="298" name="Oval 297" hidden="1">
          <a:extLst>
            <a:ext uri="{FF2B5EF4-FFF2-40B4-BE49-F238E27FC236}">
              <a16:creationId xmlns:a16="http://schemas.microsoft.com/office/drawing/2014/main" id="{00000000-0008-0000-0900-00002A010000}"/>
            </a:ext>
          </a:extLst>
        </xdr:cNvPr>
        <xdr:cNvSpPr/>
      </xdr:nvSpPr>
      <xdr:spPr>
        <a:xfrm>
          <a:off x="9666741" y="1747669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96</xdr:row>
      <xdr:rowOff>138810</xdr:rowOff>
    </xdr:from>
    <xdr:to>
      <xdr:col>36</xdr:col>
      <xdr:colOff>49391</xdr:colOff>
      <xdr:row>97</xdr:row>
      <xdr:rowOff>43872</xdr:rowOff>
    </xdr:to>
    <xdr:sp macro="" textlink="">
      <xdr:nvSpPr>
        <xdr:cNvPr id="299" name="Oval 298" hidden="1">
          <a:extLst>
            <a:ext uri="{FF2B5EF4-FFF2-40B4-BE49-F238E27FC236}">
              <a16:creationId xmlns:a16="http://schemas.microsoft.com/office/drawing/2014/main" id="{00000000-0008-0000-0900-00002B010000}"/>
            </a:ext>
          </a:extLst>
        </xdr:cNvPr>
        <xdr:cNvSpPr/>
      </xdr:nvSpPr>
      <xdr:spPr>
        <a:xfrm>
          <a:off x="9666740" y="18426810"/>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101</xdr:row>
      <xdr:rowOff>138811</xdr:rowOff>
    </xdr:from>
    <xdr:to>
      <xdr:col>36</xdr:col>
      <xdr:colOff>49391</xdr:colOff>
      <xdr:row>102</xdr:row>
      <xdr:rowOff>43873</xdr:rowOff>
    </xdr:to>
    <xdr:sp macro="" textlink="">
      <xdr:nvSpPr>
        <xdr:cNvPr id="300" name="Oval 299" hidden="1">
          <a:extLst>
            <a:ext uri="{FF2B5EF4-FFF2-40B4-BE49-F238E27FC236}">
              <a16:creationId xmlns:a16="http://schemas.microsoft.com/office/drawing/2014/main" id="{00000000-0008-0000-0900-00002C010000}"/>
            </a:ext>
          </a:extLst>
        </xdr:cNvPr>
        <xdr:cNvSpPr/>
      </xdr:nvSpPr>
      <xdr:spPr>
        <a:xfrm>
          <a:off x="9666740" y="1937931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106</xdr:row>
      <xdr:rowOff>138811</xdr:rowOff>
    </xdr:from>
    <xdr:to>
      <xdr:col>36</xdr:col>
      <xdr:colOff>49391</xdr:colOff>
      <xdr:row>107</xdr:row>
      <xdr:rowOff>43873</xdr:rowOff>
    </xdr:to>
    <xdr:sp macro="" textlink="">
      <xdr:nvSpPr>
        <xdr:cNvPr id="301" name="Oval 300" hidden="1">
          <a:extLst>
            <a:ext uri="{FF2B5EF4-FFF2-40B4-BE49-F238E27FC236}">
              <a16:creationId xmlns:a16="http://schemas.microsoft.com/office/drawing/2014/main" id="{00000000-0008-0000-0900-00002D010000}"/>
            </a:ext>
          </a:extLst>
        </xdr:cNvPr>
        <xdr:cNvSpPr/>
      </xdr:nvSpPr>
      <xdr:spPr>
        <a:xfrm>
          <a:off x="9666740" y="2033181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208416</xdr:colOff>
      <xdr:row>111</xdr:row>
      <xdr:rowOff>141192</xdr:rowOff>
    </xdr:from>
    <xdr:to>
      <xdr:col>36</xdr:col>
      <xdr:colOff>49392</xdr:colOff>
      <xdr:row>112</xdr:row>
      <xdr:rowOff>46254</xdr:rowOff>
    </xdr:to>
    <xdr:sp macro="" textlink="">
      <xdr:nvSpPr>
        <xdr:cNvPr id="302" name="Oval 301" hidden="1">
          <a:extLst>
            <a:ext uri="{FF2B5EF4-FFF2-40B4-BE49-F238E27FC236}">
              <a16:creationId xmlns:a16="http://schemas.microsoft.com/office/drawing/2014/main" id="{00000000-0008-0000-0900-00002E010000}"/>
            </a:ext>
          </a:extLst>
        </xdr:cNvPr>
        <xdr:cNvSpPr/>
      </xdr:nvSpPr>
      <xdr:spPr>
        <a:xfrm>
          <a:off x="9666741" y="2128669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208416</xdr:colOff>
      <xdr:row>116</xdr:row>
      <xdr:rowOff>141192</xdr:rowOff>
    </xdr:from>
    <xdr:to>
      <xdr:col>36</xdr:col>
      <xdr:colOff>49392</xdr:colOff>
      <xdr:row>117</xdr:row>
      <xdr:rowOff>46254</xdr:rowOff>
    </xdr:to>
    <xdr:sp macro="" textlink="">
      <xdr:nvSpPr>
        <xdr:cNvPr id="303" name="Oval 302" hidden="1">
          <a:extLst>
            <a:ext uri="{FF2B5EF4-FFF2-40B4-BE49-F238E27FC236}">
              <a16:creationId xmlns:a16="http://schemas.microsoft.com/office/drawing/2014/main" id="{00000000-0008-0000-0900-00002F010000}"/>
            </a:ext>
          </a:extLst>
        </xdr:cNvPr>
        <xdr:cNvSpPr/>
      </xdr:nvSpPr>
      <xdr:spPr>
        <a:xfrm>
          <a:off x="9666741" y="2223919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121</xdr:row>
      <xdr:rowOff>138811</xdr:rowOff>
    </xdr:from>
    <xdr:to>
      <xdr:col>36</xdr:col>
      <xdr:colOff>49391</xdr:colOff>
      <xdr:row>122</xdr:row>
      <xdr:rowOff>43873</xdr:rowOff>
    </xdr:to>
    <xdr:sp macro="" textlink="">
      <xdr:nvSpPr>
        <xdr:cNvPr id="304" name="Oval 303" hidden="1">
          <a:extLst>
            <a:ext uri="{FF2B5EF4-FFF2-40B4-BE49-F238E27FC236}">
              <a16:creationId xmlns:a16="http://schemas.microsoft.com/office/drawing/2014/main" id="{00000000-0008-0000-0900-000030010000}"/>
            </a:ext>
          </a:extLst>
        </xdr:cNvPr>
        <xdr:cNvSpPr/>
      </xdr:nvSpPr>
      <xdr:spPr>
        <a:xfrm>
          <a:off x="9666740" y="2318931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126</xdr:row>
      <xdr:rowOff>138812</xdr:rowOff>
    </xdr:from>
    <xdr:to>
      <xdr:col>36</xdr:col>
      <xdr:colOff>49391</xdr:colOff>
      <xdr:row>127</xdr:row>
      <xdr:rowOff>43874</xdr:rowOff>
    </xdr:to>
    <xdr:sp macro="" textlink="">
      <xdr:nvSpPr>
        <xdr:cNvPr id="305" name="Oval 304" hidden="1">
          <a:extLst>
            <a:ext uri="{FF2B5EF4-FFF2-40B4-BE49-F238E27FC236}">
              <a16:creationId xmlns:a16="http://schemas.microsoft.com/office/drawing/2014/main" id="{00000000-0008-0000-0900-000031010000}"/>
            </a:ext>
          </a:extLst>
        </xdr:cNvPr>
        <xdr:cNvSpPr/>
      </xdr:nvSpPr>
      <xdr:spPr>
        <a:xfrm>
          <a:off x="9666740" y="2414181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131</xdr:row>
      <xdr:rowOff>138812</xdr:rowOff>
    </xdr:from>
    <xdr:to>
      <xdr:col>36</xdr:col>
      <xdr:colOff>49391</xdr:colOff>
      <xdr:row>132</xdr:row>
      <xdr:rowOff>43874</xdr:rowOff>
    </xdr:to>
    <xdr:sp macro="" textlink="">
      <xdr:nvSpPr>
        <xdr:cNvPr id="306" name="Oval 305" hidden="1">
          <a:extLst>
            <a:ext uri="{FF2B5EF4-FFF2-40B4-BE49-F238E27FC236}">
              <a16:creationId xmlns:a16="http://schemas.microsoft.com/office/drawing/2014/main" id="{00000000-0008-0000-0900-000032010000}"/>
            </a:ext>
          </a:extLst>
        </xdr:cNvPr>
        <xdr:cNvSpPr/>
      </xdr:nvSpPr>
      <xdr:spPr>
        <a:xfrm>
          <a:off x="9666740" y="2509431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208414</xdr:colOff>
      <xdr:row>136</xdr:row>
      <xdr:rowOff>141192</xdr:rowOff>
    </xdr:from>
    <xdr:to>
      <xdr:col>36</xdr:col>
      <xdr:colOff>49390</xdr:colOff>
      <xdr:row>137</xdr:row>
      <xdr:rowOff>46254</xdr:rowOff>
    </xdr:to>
    <xdr:sp macro="" textlink="">
      <xdr:nvSpPr>
        <xdr:cNvPr id="307" name="Oval 306" hidden="1">
          <a:extLst>
            <a:ext uri="{FF2B5EF4-FFF2-40B4-BE49-F238E27FC236}">
              <a16:creationId xmlns:a16="http://schemas.microsoft.com/office/drawing/2014/main" id="{00000000-0008-0000-0900-000033010000}"/>
            </a:ext>
          </a:extLst>
        </xdr:cNvPr>
        <xdr:cNvSpPr/>
      </xdr:nvSpPr>
      <xdr:spPr>
        <a:xfrm>
          <a:off x="9666739" y="2604919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208414</xdr:colOff>
      <xdr:row>141</xdr:row>
      <xdr:rowOff>141192</xdr:rowOff>
    </xdr:from>
    <xdr:to>
      <xdr:col>36</xdr:col>
      <xdr:colOff>49390</xdr:colOff>
      <xdr:row>142</xdr:row>
      <xdr:rowOff>46254</xdr:rowOff>
    </xdr:to>
    <xdr:sp macro="" textlink="">
      <xdr:nvSpPr>
        <xdr:cNvPr id="308" name="Oval 307" hidden="1">
          <a:extLst>
            <a:ext uri="{FF2B5EF4-FFF2-40B4-BE49-F238E27FC236}">
              <a16:creationId xmlns:a16="http://schemas.microsoft.com/office/drawing/2014/main" id="{00000000-0008-0000-0900-000034010000}"/>
            </a:ext>
          </a:extLst>
        </xdr:cNvPr>
        <xdr:cNvSpPr/>
      </xdr:nvSpPr>
      <xdr:spPr>
        <a:xfrm>
          <a:off x="9666739" y="2700169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208413</xdr:colOff>
      <xdr:row>146</xdr:row>
      <xdr:rowOff>138811</xdr:rowOff>
    </xdr:from>
    <xdr:to>
      <xdr:col>36</xdr:col>
      <xdr:colOff>49389</xdr:colOff>
      <xdr:row>147</xdr:row>
      <xdr:rowOff>43873</xdr:rowOff>
    </xdr:to>
    <xdr:sp macro="" textlink="">
      <xdr:nvSpPr>
        <xdr:cNvPr id="309" name="Oval 308" hidden="1">
          <a:extLst>
            <a:ext uri="{FF2B5EF4-FFF2-40B4-BE49-F238E27FC236}">
              <a16:creationId xmlns:a16="http://schemas.microsoft.com/office/drawing/2014/main" id="{00000000-0008-0000-0900-000035010000}"/>
            </a:ext>
          </a:extLst>
        </xdr:cNvPr>
        <xdr:cNvSpPr/>
      </xdr:nvSpPr>
      <xdr:spPr>
        <a:xfrm>
          <a:off x="9666738" y="2795181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208413</xdr:colOff>
      <xdr:row>151</xdr:row>
      <xdr:rowOff>138812</xdr:rowOff>
    </xdr:from>
    <xdr:to>
      <xdr:col>36</xdr:col>
      <xdr:colOff>49389</xdr:colOff>
      <xdr:row>152</xdr:row>
      <xdr:rowOff>43874</xdr:rowOff>
    </xdr:to>
    <xdr:sp macro="" textlink="">
      <xdr:nvSpPr>
        <xdr:cNvPr id="310" name="Oval 309" hidden="1">
          <a:extLst>
            <a:ext uri="{FF2B5EF4-FFF2-40B4-BE49-F238E27FC236}">
              <a16:creationId xmlns:a16="http://schemas.microsoft.com/office/drawing/2014/main" id="{00000000-0008-0000-0900-000036010000}"/>
            </a:ext>
          </a:extLst>
        </xdr:cNvPr>
        <xdr:cNvSpPr/>
      </xdr:nvSpPr>
      <xdr:spPr>
        <a:xfrm>
          <a:off x="9666738" y="2890431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208413</xdr:colOff>
      <xdr:row>156</xdr:row>
      <xdr:rowOff>138812</xdr:rowOff>
    </xdr:from>
    <xdr:to>
      <xdr:col>36</xdr:col>
      <xdr:colOff>49389</xdr:colOff>
      <xdr:row>157</xdr:row>
      <xdr:rowOff>43874</xdr:rowOff>
    </xdr:to>
    <xdr:sp macro="" textlink="">
      <xdr:nvSpPr>
        <xdr:cNvPr id="311" name="Oval 310" hidden="1">
          <a:extLst>
            <a:ext uri="{FF2B5EF4-FFF2-40B4-BE49-F238E27FC236}">
              <a16:creationId xmlns:a16="http://schemas.microsoft.com/office/drawing/2014/main" id="{00000000-0008-0000-0900-000037010000}"/>
            </a:ext>
          </a:extLst>
        </xdr:cNvPr>
        <xdr:cNvSpPr/>
      </xdr:nvSpPr>
      <xdr:spPr>
        <a:xfrm>
          <a:off x="9666738" y="2985681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208416</xdr:colOff>
      <xdr:row>161</xdr:row>
      <xdr:rowOff>141192</xdr:rowOff>
    </xdr:from>
    <xdr:to>
      <xdr:col>36</xdr:col>
      <xdr:colOff>49392</xdr:colOff>
      <xdr:row>162</xdr:row>
      <xdr:rowOff>46254</xdr:rowOff>
    </xdr:to>
    <xdr:sp macro="" textlink="">
      <xdr:nvSpPr>
        <xdr:cNvPr id="312" name="Oval 311" hidden="1">
          <a:extLst>
            <a:ext uri="{FF2B5EF4-FFF2-40B4-BE49-F238E27FC236}">
              <a16:creationId xmlns:a16="http://schemas.microsoft.com/office/drawing/2014/main" id="{00000000-0008-0000-0900-000038010000}"/>
            </a:ext>
          </a:extLst>
        </xdr:cNvPr>
        <xdr:cNvSpPr/>
      </xdr:nvSpPr>
      <xdr:spPr>
        <a:xfrm>
          <a:off x="9666741" y="3081169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208416</xdr:colOff>
      <xdr:row>166</xdr:row>
      <xdr:rowOff>141192</xdr:rowOff>
    </xdr:from>
    <xdr:to>
      <xdr:col>36</xdr:col>
      <xdr:colOff>49392</xdr:colOff>
      <xdr:row>167</xdr:row>
      <xdr:rowOff>46254</xdr:rowOff>
    </xdr:to>
    <xdr:sp macro="" textlink="">
      <xdr:nvSpPr>
        <xdr:cNvPr id="313" name="Oval 312" hidden="1">
          <a:extLst>
            <a:ext uri="{FF2B5EF4-FFF2-40B4-BE49-F238E27FC236}">
              <a16:creationId xmlns:a16="http://schemas.microsoft.com/office/drawing/2014/main" id="{00000000-0008-0000-0900-000039010000}"/>
            </a:ext>
          </a:extLst>
        </xdr:cNvPr>
        <xdr:cNvSpPr/>
      </xdr:nvSpPr>
      <xdr:spPr>
        <a:xfrm>
          <a:off x="9666741" y="3176419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171</xdr:row>
      <xdr:rowOff>138811</xdr:rowOff>
    </xdr:from>
    <xdr:to>
      <xdr:col>36</xdr:col>
      <xdr:colOff>49391</xdr:colOff>
      <xdr:row>172</xdr:row>
      <xdr:rowOff>43873</xdr:rowOff>
    </xdr:to>
    <xdr:sp macro="" textlink="">
      <xdr:nvSpPr>
        <xdr:cNvPr id="314" name="Oval 313" hidden="1">
          <a:extLst>
            <a:ext uri="{FF2B5EF4-FFF2-40B4-BE49-F238E27FC236}">
              <a16:creationId xmlns:a16="http://schemas.microsoft.com/office/drawing/2014/main" id="{00000000-0008-0000-0900-00003A010000}"/>
            </a:ext>
          </a:extLst>
        </xdr:cNvPr>
        <xdr:cNvSpPr/>
      </xdr:nvSpPr>
      <xdr:spPr>
        <a:xfrm>
          <a:off x="9666740" y="3271431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176</xdr:row>
      <xdr:rowOff>138812</xdr:rowOff>
    </xdr:from>
    <xdr:to>
      <xdr:col>36</xdr:col>
      <xdr:colOff>49391</xdr:colOff>
      <xdr:row>177</xdr:row>
      <xdr:rowOff>43874</xdr:rowOff>
    </xdr:to>
    <xdr:sp macro="" textlink="">
      <xdr:nvSpPr>
        <xdr:cNvPr id="315" name="Oval 314" hidden="1">
          <a:extLst>
            <a:ext uri="{FF2B5EF4-FFF2-40B4-BE49-F238E27FC236}">
              <a16:creationId xmlns:a16="http://schemas.microsoft.com/office/drawing/2014/main" id="{00000000-0008-0000-0900-00003B010000}"/>
            </a:ext>
          </a:extLst>
        </xdr:cNvPr>
        <xdr:cNvSpPr/>
      </xdr:nvSpPr>
      <xdr:spPr>
        <a:xfrm>
          <a:off x="9666740" y="3366681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181</xdr:row>
      <xdr:rowOff>138812</xdr:rowOff>
    </xdr:from>
    <xdr:to>
      <xdr:col>36</xdr:col>
      <xdr:colOff>49391</xdr:colOff>
      <xdr:row>182</xdr:row>
      <xdr:rowOff>43874</xdr:rowOff>
    </xdr:to>
    <xdr:sp macro="" textlink="">
      <xdr:nvSpPr>
        <xdr:cNvPr id="316" name="Oval 315" hidden="1">
          <a:extLst>
            <a:ext uri="{FF2B5EF4-FFF2-40B4-BE49-F238E27FC236}">
              <a16:creationId xmlns:a16="http://schemas.microsoft.com/office/drawing/2014/main" id="{00000000-0008-0000-0900-00003C010000}"/>
            </a:ext>
          </a:extLst>
        </xdr:cNvPr>
        <xdr:cNvSpPr/>
      </xdr:nvSpPr>
      <xdr:spPr>
        <a:xfrm>
          <a:off x="9666740" y="3461931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208416</xdr:colOff>
      <xdr:row>186</xdr:row>
      <xdr:rowOff>141192</xdr:rowOff>
    </xdr:from>
    <xdr:to>
      <xdr:col>36</xdr:col>
      <xdr:colOff>49392</xdr:colOff>
      <xdr:row>187</xdr:row>
      <xdr:rowOff>46254</xdr:rowOff>
    </xdr:to>
    <xdr:sp macro="" textlink="">
      <xdr:nvSpPr>
        <xdr:cNvPr id="317" name="Oval 316" hidden="1">
          <a:extLst>
            <a:ext uri="{FF2B5EF4-FFF2-40B4-BE49-F238E27FC236}">
              <a16:creationId xmlns:a16="http://schemas.microsoft.com/office/drawing/2014/main" id="{00000000-0008-0000-0900-00003D010000}"/>
            </a:ext>
          </a:extLst>
        </xdr:cNvPr>
        <xdr:cNvSpPr/>
      </xdr:nvSpPr>
      <xdr:spPr>
        <a:xfrm>
          <a:off x="9666741" y="3557419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208416</xdr:colOff>
      <xdr:row>191</xdr:row>
      <xdr:rowOff>141192</xdr:rowOff>
    </xdr:from>
    <xdr:to>
      <xdr:col>36</xdr:col>
      <xdr:colOff>49392</xdr:colOff>
      <xdr:row>192</xdr:row>
      <xdr:rowOff>46254</xdr:rowOff>
    </xdr:to>
    <xdr:sp macro="" textlink="">
      <xdr:nvSpPr>
        <xdr:cNvPr id="318" name="Oval 317" hidden="1">
          <a:extLst>
            <a:ext uri="{FF2B5EF4-FFF2-40B4-BE49-F238E27FC236}">
              <a16:creationId xmlns:a16="http://schemas.microsoft.com/office/drawing/2014/main" id="{00000000-0008-0000-0900-00003E010000}"/>
            </a:ext>
          </a:extLst>
        </xdr:cNvPr>
        <xdr:cNvSpPr/>
      </xdr:nvSpPr>
      <xdr:spPr>
        <a:xfrm>
          <a:off x="9666741" y="3652669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196</xdr:row>
      <xdr:rowOff>138811</xdr:rowOff>
    </xdr:from>
    <xdr:to>
      <xdr:col>36</xdr:col>
      <xdr:colOff>49391</xdr:colOff>
      <xdr:row>197</xdr:row>
      <xdr:rowOff>43873</xdr:rowOff>
    </xdr:to>
    <xdr:sp macro="" textlink="">
      <xdr:nvSpPr>
        <xdr:cNvPr id="319" name="Oval 318" hidden="1">
          <a:extLst>
            <a:ext uri="{FF2B5EF4-FFF2-40B4-BE49-F238E27FC236}">
              <a16:creationId xmlns:a16="http://schemas.microsoft.com/office/drawing/2014/main" id="{00000000-0008-0000-0900-00003F010000}"/>
            </a:ext>
          </a:extLst>
        </xdr:cNvPr>
        <xdr:cNvSpPr/>
      </xdr:nvSpPr>
      <xdr:spPr>
        <a:xfrm>
          <a:off x="9666740" y="37476811"/>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201</xdr:row>
      <xdr:rowOff>138812</xdr:rowOff>
    </xdr:from>
    <xdr:to>
      <xdr:col>36</xdr:col>
      <xdr:colOff>49391</xdr:colOff>
      <xdr:row>202</xdr:row>
      <xdr:rowOff>43874</xdr:rowOff>
    </xdr:to>
    <xdr:sp macro="" textlink="">
      <xdr:nvSpPr>
        <xdr:cNvPr id="320" name="Oval 319" hidden="1">
          <a:extLst>
            <a:ext uri="{FF2B5EF4-FFF2-40B4-BE49-F238E27FC236}">
              <a16:creationId xmlns:a16="http://schemas.microsoft.com/office/drawing/2014/main" id="{00000000-0008-0000-0900-000040010000}"/>
            </a:ext>
          </a:extLst>
        </xdr:cNvPr>
        <xdr:cNvSpPr/>
      </xdr:nvSpPr>
      <xdr:spPr>
        <a:xfrm>
          <a:off x="9666740" y="3842931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206</xdr:row>
      <xdr:rowOff>138812</xdr:rowOff>
    </xdr:from>
    <xdr:to>
      <xdr:col>36</xdr:col>
      <xdr:colOff>49391</xdr:colOff>
      <xdr:row>207</xdr:row>
      <xdr:rowOff>43874</xdr:rowOff>
    </xdr:to>
    <xdr:sp macro="" textlink="">
      <xdr:nvSpPr>
        <xdr:cNvPr id="321" name="Oval 320" hidden="1">
          <a:extLst>
            <a:ext uri="{FF2B5EF4-FFF2-40B4-BE49-F238E27FC236}">
              <a16:creationId xmlns:a16="http://schemas.microsoft.com/office/drawing/2014/main" id="{00000000-0008-0000-0900-000041010000}"/>
            </a:ext>
          </a:extLst>
        </xdr:cNvPr>
        <xdr:cNvSpPr/>
      </xdr:nvSpPr>
      <xdr:spPr>
        <a:xfrm>
          <a:off x="9666740" y="39381812"/>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208416</xdr:colOff>
      <xdr:row>211</xdr:row>
      <xdr:rowOff>141194</xdr:rowOff>
    </xdr:from>
    <xdr:to>
      <xdr:col>36</xdr:col>
      <xdr:colOff>49392</xdr:colOff>
      <xdr:row>212</xdr:row>
      <xdr:rowOff>46256</xdr:rowOff>
    </xdr:to>
    <xdr:sp macro="" textlink="">
      <xdr:nvSpPr>
        <xdr:cNvPr id="322" name="Oval 321" hidden="1">
          <a:extLst>
            <a:ext uri="{FF2B5EF4-FFF2-40B4-BE49-F238E27FC236}">
              <a16:creationId xmlns:a16="http://schemas.microsoft.com/office/drawing/2014/main" id="{00000000-0008-0000-0900-000042010000}"/>
            </a:ext>
          </a:extLst>
        </xdr:cNvPr>
        <xdr:cNvSpPr/>
      </xdr:nvSpPr>
      <xdr:spPr>
        <a:xfrm>
          <a:off x="9666741" y="4033669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208416</xdr:colOff>
      <xdr:row>216</xdr:row>
      <xdr:rowOff>141194</xdr:rowOff>
    </xdr:from>
    <xdr:to>
      <xdr:col>36</xdr:col>
      <xdr:colOff>49392</xdr:colOff>
      <xdr:row>217</xdr:row>
      <xdr:rowOff>46256</xdr:rowOff>
    </xdr:to>
    <xdr:sp macro="" textlink="">
      <xdr:nvSpPr>
        <xdr:cNvPr id="323" name="Oval 322" hidden="1">
          <a:extLst>
            <a:ext uri="{FF2B5EF4-FFF2-40B4-BE49-F238E27FC236}">
              <a16:creationId xmlns:a16="http://schemas.microsoft.com/office/drawing/2014/main" id="{00000000-0008-0000-0900-000043010000}"/>
            </a:ext>
          </a:extLst>
        </xdr:cNvPr>
        <xdr:cNvSpPr/>
      </xdr:nvSpPr>
      <xdr:spPr>
        <a:xfrm>
          <a:off x="9666741" y="4128919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221</xdr:row>
      <xdr:rowOff>138813</xdr:rowOff>
    </xdr:from>
    <xdr:to>
      <xdr:col>36</xdr:col>
      <xdr:colOff>49391</xdr:colOff>
      <xdr:row>222</xdr:row>
      <xdr:rowOff>43875</xdr:rowOff>
    </xdr:to>
    <xdr:sp macro="" textlink="">
      <xdr:nvSpPr>
        <xdr:cNvPr id="324" name="Oval 323" hidden="1">
          <a:extLst>
            <a:ext uri="{FF2B5EF4-FFF2-40B4-BE49-F238E27FC236}">
              <a16:creationId xmlns:a16="http://schemas.microsoft.com/office/drawing/2014/main" id="{00000000-0008-0000-0900-000044010000}"/>
            </a:ext>
          </a:extLst>
        </xdr:cNvPr>
        <xdr:cNvSpPr/>
      </xdr:nvSpPr>
      <xdr:spPr>
        <a:xfrm>
          <a:off x="9666740" y="4223931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226</xdr:row>
      <xdr:rowOff>138814</xdr:rowOff>
    </xdr:from>
    <xdr:to>
      <xdr:col>36</xdr:col>
      <xdr:colOff>49391</xdr:colOff>
      <xdr:row>227</xdr:row>
      <xdr:rowOff>43876</xdr:rowOff>
    </xdr:to>
    <xdr:sp macro="" textlink="">
      <xdr:nvSpPr>
        <xdr:cNvPr id="325" name="Oval 324" hidden="1">
          <a:extLst>
            <a:ext uri="{FF2B5EF4-FFF2-40B4-BE49-F238E27FC236}">
              <a16:creationId xmlns:a16="http://schemas.microsoft.com/office/drawing/2014/main" id="{00000000-0008-0000-0900-000045010000}"/>
            </a:ext>
          </a:extLst>
        </xdr:cNvPr>
        <xdr:cNvSpPr/>
      </xdr:nvSpPr>
      <xdr:spPr>
        <a:xfrm>
          <a:off x="9666740" y="4319181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231</xdr:row>
      <xdr:rowOff>138814</xdr:rowOff>
    </xdr:from>
    <xdr:to>
      <xdr:col>36</xdr:col>
      <xdr:colOff>49391</xdr:colOff>
      <xdr:row>232</xdr:row>
      <xdr:rowOff>43876</xdr:rowOff>
    </xdr:to>
    <xdr:sp macro="" textlink="">
      <xdr:nvSpPr>
        <xdr:cNvPr id="326" name="Oval 325" hidden="1">
          <a:extLst>
            <a:ext uri="{FF2B5EF4-FFF2-40B4-BE49-F238E27FC236}">
              <a16:creationId xmlns:a16="http://schemas.microsoft.com/office/drawing/2014/main" id="{00000000-0008-0000-0900-000046010000}"/>
            </a:ext>
          </a:extLst>
        </xdr:cNvPr>
        <xdr:cNvSpPr/>
      </xdr:nvSpPr>
      <xdr:spPr>
        <a:xfrm>
          <a:off x="9666740" y="4414431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208416</xdr:colOff>
      <xdr:row>236</xdr:row>
      <xdr:rowOff>141195</xdr:rowOff>
    </xdr:from>
    <xdr:to>
      <xdr:col>36</xdr:col>
      <xdr:colOff>49392</xdr:colOff>
      <xdr:row>237</xdr:row>
      <xdr:rowOff>46257</xdr:rowOff>
    </xdr:to>
    <xdr:sp macro="" textlink="">
      <xdr:nvSpPr>
        <xdr:cNvPr id="327" name="Oval 326" hidden="1">
          <a:extLst>
            <a:ext uri="{FF2B5EF4-FFF2-40B4-BE49-F238E27FC236}">
              <a16:creationId xmlns:a16="http://schemas.microsoft.com/office/drawing/2014/main" id="{00000000-0008-0000-0900-000047010000}"/>
            </a:ext>
          </a:extLst>
        </xdr:cNvPr>
        <xdr:cNvSpPr/>
      </xdr:nvSpPr>
      <xdr:spPr>
        <a:xfrm>
          <a:off x="9666741" y="4509919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208416</xdr:colOff>
      <xdr:row>241</xdr:row>
      <xdr:rowOff>141195</xdr:rowOff>
    </xdr:from>
    <xdr:to>
      <xdr:col>36</xdr:col>
      <xdr:colOff>49392</xdr:colOff>
      <xdr:row>242</xdr:row>
      <xdr:rowOff>46257</xdr:rowOff>
    </xdr:to>
    <xdr:sp macro="" textlink="">
      <xdr:nvSpPr>
        <xdr:cNvPr id="328" name="Oval 327" hidden="1">
          <a:extLst>
            <a:ext uri="{FF2B5EF4-FFF2-40B4-BE49-F238E27FC236}">
              <a16:creationId xmlns:a16="http://schemas.microsoft.com/office/drawing/2014/main" id="{00000000-0008-0000-0900-000048010000}"/>
            </a:ext>
          </a:extLst>
        </xdr:cNvPr>
        <xdr:cNvSpPr/>
      </xdr:nvSpPr>
      <xdr:spPr>
        <a:xfrm>
          <a:off x="9666741" y="4605169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246</xdr:row>
      <xdr:rowOff>138814</xdr:rowOff>
    </xdr:from>
    <xdr:to>
      <xdr:col>36</xdr:col>
      <xdr:colOff>49391</xdr:colOff>
      <xdr:row>247</xdr:row>
      <xdr:rowOff>43876</xdr:rowOff>
    </xdr:to>
    <xdr:sp macro="" textlink="">
      <xdr:nvSpPr>
        <xdr:cNvPr id="329" name="Oval 328" hidden="1">
          <a:extLst>
            <a:ext uri="{FF2B5EF4-FFF2-40B4-BE49-F238E27FC236}">
              <a16:creationId xmlns:a16="http://schemas.microsoft.com/office/drawing/2014/main" id="{00000000-0008-0000-0900-000049010000}"/>
            </a:ext>
          </a:extLst>
        </xdr:cNvPr>
        <xdr:cNvSpPr/>
      </xdr:nvSpPr>
      <xdr:spPr>
        <a:xfrm>
          <a:off x="9666740" y="4700181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251</xdr:row>
      <xdr:rowOff>138815</xdr:rowOff>
    </xdr:from>
    <xdr:to>
      <xdr:col>36</xdr:col>
      <xdr:colOff>49391</xdr:colOff>
      <xdr:row>252</xdr:row>
      <xdr:rowOff>43877</xdr:rowOff>
    </xdr:to>
    <xdr:sp macro="" textlink="">
      <xdr:nvSpPr>
        <xdr:cNvPr id="330" name="Oval 329" hidden="1">
          <a:extLst>
            <a:ext uri="{FF2B5EF4-FFF2-40B4-BE49-F238E27FC236}">
              <a16:creationId xmlns:a16="http://schemas.microsoft.com/office/drawing/2014/main" id="{00000000-0008-0000-0900-00004A010000}"/>
            </a:ext>
          </a:extLst>
        </xdr:cNvPr>
        <xdr:cNvSpPr/>
      </xdr:nvSpPr>
      <xdr:spPr>
        <a:xfrm>
          <a:off x="9666740" y="479543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256</xdr:row>
      <xdr:rowOff>138815</xdr:rowOff>
    </xdr:from>
    <xdr:to>
      <xdr:col>36</xdr:col>
      <xdr:colOff>49391</xdr:colOff>
      <xdr:row>257</xdr:row>
      <xdr:rowOff>43877</xdr:rowOff>
    </xdr:to>
    <xdr:sp macro="" textlink="">
      <xdr:nvSpPr>
        <xdr:cNvPr id="331" name="Oval 330" hidden="1">
          <a:extLst>
            <a:ext uri="{FF2B5EF4-FFF2-40B4-BE49-F238E27FC236}">
              <a16:creationId xmlns:a16="http://schemas.microsoft.com/office/drawing/2014/main" id="{00000000-0008-0000-0900-00004B010000}"/>
            </a:ext>
          </a:extLst>
        </xdr:cNvPr>
        <xdr:cNvSpPr/>
      </xdr:nvSpPr>
      <xdr:spPr>
        <a:xfrm>
          <a:off x="9666740" y="489068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208416</xdr:colOff>
      <xdr:row>261</xdr:row>
      <xdr:rowOff>141195</xdr:rowOff>
    </xdr:from>
    <xdr:to>
      <xdr:col>36</xdr:col>
      <xdr:colOff>49392</xdr:colOff>
      <xdr:row>262</xdr:row>
      <xdr:rowOff>46257</xdr:rowOff>
    </xdr:to>
    <xdr:sp macro="" textlink="">
      <xdr:nvSpPr>
        <xdr:cNvPr id="332" name="Oval 331" hidden="1">
          <a:extLst>
            <a:ext uri="{FF2B5EF4-FFF2-40B4-BE49-F238E27FC236}">
              <a16:creationId xmlns:a16="http://schemas.microsoft.com/office/drawing/2014/main" id="{00000000-0008-0000-0900-00004C010000}"/>
            </a:ext>
          </a:extLst>
        </xdr:cNvPr>
        <xdr:cNvSpPr/>
      </xdr:nvSpPr>
      <xdr:spPr>
        <a:xfrm>
          <a:off x="9666741" y="4986169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208416</xdr:colOff>
      <xdr:row>266</xdr:row>
      <xdr:rowOff>141195</xdr:rowOff>
    </xdr:from>
    <xdr:to>
      <xdr:col>36</xdr:col>
      <xdr:colOff>49392</xdr:colOff>
      <xdr:row>267</xdr:row>
      <xdr:rowOff>46257</xdr:rowOff>
    </xdr:to>
    <xdr:sp macro="" textlink="">
      <xdr:nvSpPr>
        <xdr:cNvPr id="333" name="Oval 332" hidden="1">
          <a:extLst>
            <a:ext uri="{FF2B5EF4-FFF2-40B4-BE49-F238E27FC236}">
              <a16:creationId xmlns:a16="http://schemas.microsoft.com/office/drawing/2014/main" id="{00000000-0008-0000-0900-00004D010000}"/>
            </a:ext>
          </a:extLst>
        </xdr:cNvPr>
        <xdr:cNvSpPr/>
      </xdr:nvSpPr>
      <xdr:spPr>
        <a:xfrm>
          <a:off x="9666741" y="5081419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271</xdr:row>
      <xdr:rowOff>138814</xdr:rowOff>
    </xdr:from>
    <xdr:to>
      <xdr:col>36</xdr:col>
      <xdr:colOff>49391</xdr:colOff>
      <xdr:row>272</xdr:row>
      <xdr:rowOff>43876</xdr:rowOff>
    </xdr:to>
    <xdr:sp macro="" textlink="">
      <xdr:nvSpPr>
        <xdr:cNvPr id="334" name="Oval 333" hidden="1">
          <a:extLst>
            <a:ext uri="{FF2B5EF4-FFF2-40B4-BE49-F238E27FC236}">
              <a16:creationId xmlns:a16="http://schemas.microsoft.com/office/drawing/2014/main" id="{00000000-0008-0000-0900-00004E010000}"/>
            </a:ext>
          </a:extLst>
        </xdr:cNvPr>
        <xdr:cNvSpPr/>
      </xdr:nvSpPr>
      <xdr:spPr>
        <a:xfrm>
          <a:off x="9666740" y="5176431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276</xdr:row>
      <xdr:rowOff>138815</xdr:rowOff>
    </xdr:from>
    <xdr:to>
      <xdr:col>36</xdr:col>
      <xdr:colOff>49391</xdr:colOff>
      <xdr:row>277</xdr:row>
      <xdr:rowOff>43877</xdr:rowOff>
    </xdr:to>
    <xdr:sp macro="" textlink="">
      <xdr:nvSpPr>
        <xdr:cNvPr id="335" name="Oval 334" hidden="1">
          <a:extLst>
            <a:ext uri="{FF2B5EF4-FFF2-40B4-BE49-F238E27FC236}">
              <a16:creationId xmlns:a16="http://schemas.microsoft.com/office/drawing/2014/main" id="{00000000-0008-0000-0900-00004F010000}"/>
            </a:ext>
          </a:extLst>
        </xdr:cNvPr>
        <xdr:cNvSpPr/>
      </xdr:nvSpPr>
      <xdr:spPr>
        <a:xfrm>
          <a:off x="9666740" y="527168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208415</xdr:colOff>
      <xdr:row>281</xdr:row>
      <xdr:rowOff>138815</xdr:rowOff>
    </xdr:from>
    <xdr:to>
      <xdr:col>36</xdr:col>
      <xdr:colOff>49391</xdr:colOff>
      <xdr:row>282</xdr:row>
      <xdr:rowOff>43877</xdr:rowOff>
    </xdr:to>
    <xdr:sp macro="" textlink="">
      <xdr:nvSpPr>
        <xdr:cNvPr id="336" name="Oval 335" hidden="1">
          <a:extLst>
            <a:ext uri="{FF2B5EF4-FFF2-40B4-BE49-F238E27FC236}">
              <a16:creationId xmlns:a16="http://schemas.microsoft.com/office/drawing/2014/main" id="{00000000-0008-0000-0900-000050010000}"/>
            </a:ext>
          </a:extLst>
        </xdr:cNvPr>
        <xdr:cNvSpPr/>
      </xdr:nvSpPr>
      <xdr:spPr>
        <a:xfrm>
          <a:off x="9666740" y="53669315"/>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208417</xdr:colOff>
      <xdr:row>286</xdr:row>
      <xdr:rowOff>141194</xdr:rowOff>
    </xdr:from>
    <xdr:to>
      <xdr:col>36</xdr:col>
      <xdr:colOff>49393</xdr:colOff>
      <xdr:row>287</xdr:row>
      <xdr:rowOff>46256</xdr:rowOff>
    </xdr:to>
    <xdr:sp macro="" textlink="">
      <xdr:nvSpPr>
        <xdr:cNvPr id="337" name="Oval 336" hidden="1">
          <a:extLst>
            <a:ext uri="{FF2B5EF4-FFF2-40B4-BE49-F238E27FC236}">
              <a16:creationId xmlns:a16="http://schemas.microsoft.com/office/drawing/2014/main" id="{00000000-0008-0000-0900-000051010000}"/>
            </a:ext>
          </a:extLst>
        </xdr:cNvPr>
        <xdr:cNvSpPr/>
      </xdr:nvSpPr>
      <xdr:spPr>
        <a:xfrm>
          <a:off x="9666742" y="5462419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208417</xdr:colOff>
      <xdr:row>291</xdr:row>
      <xdr:rowOff>141194</xdr:rowOff>
    </xdr:from>
    <xdr:to>
      <xdr:col>36</xdr:col>
      <xdr:colOff>49393</xdr:colOff>
      <xdr:row>292</xdr:row>
      <xdr:rowOff>46256</xdr:rowOff>
    </xdr:to>
    <xdr:sp macro="" textlink="">
      <xdr:nvSpPr>
        <xdr:cNvPr id="338" name="Oval 337" hidden="1">
          <a:extLst>
            <a:ext uri="{FF2B5EF4-FFF2-40B4-BE49-F238E27FC236}">
              <a16:creationId xmlns:a16="http://schemas.microsoft.com/office/drawing/2014/main" id="{00000000-0008-0000-0900-000052010000}"/>
            </a:ext>
          </a:extLst>
        </xdr:cNvPr>
        <xdr:cNvSpPr/>
      </xdr:nvSpPr>
      <xdr:spPr>
        <a:xfrm>
          <a:off x="9666742" y="5557669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208416</xdr:colOff>
      <xdr:row>296</xdr:row>
      <xdr:rowOff>138813</xdr:rowOff>
    </xdr:from>
    <xdr:to>
      <xdr:col>36</xdr:col>
      <xdr:colOff>49392</xdr:colOff>
      <xdr:row>297</xdr:row>
      <xdr:rowOff>43875</xdr:rowOff>
    </xdr:to>
    <xdr:sp macro="" textlink="">
      <xdr:nvSpPr>
        <xdr:cNvPr id="339" name="Oval 338" hidden="1">
          <a:extLst>
            <a:ext uri="{FF2B5EF4-FFF2-40B4-BE49-F238E27FC236}">
              <a16:creationId xmlns:a16="http://schemas.microsoft.com/office/drawing/2014/main" id="{00000000-0008-0000-0900-000053010000}"/>
            </a:ext>
          </a:extLst>
        </xdr:cNvPr>
        <xdr:cNvSpPr/>
      </xdr:nvSpPr>
      <xdr:spPr>
        <a:xfrm>
          <a:off x="9666741" y="56526813"/>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208416</xdr:colOff>
      <xdr:row>301</xdr:row>
      <xdr:rowOff>138814</xdr:rowOff>
    </xdr:from>
    <xdr:to>
      <xdr:col>36</xdr:col>
      <xdr:colOff>49392</xdr:colOff>
      <xdr:row>302</xdr:row>
      <xdr:rowOff>43876</xdr:rowOff>
    </xdr:to>
    <xdr:sp macro="" textlink="">
      <xdr:nvSpPr>
        <xdr:cNvPr id="340" name="Oval 339" hidden="1">
          <a:extLst>
            <a:ext uri="{FF2B5EF4-FFF2-40B4-BE49-F238E27FC236}">
              <a16:creationId xmlns:a16="http://schemas.microsoft.com/office/drawing/2014/main" id="{00000000-0008-0000-0900-000054010000}"/>
            </a:ext>
          </a:extLst>
        </xdr:cNvPr>
        <xdr:cNvSpPr/>
      </xdr:nvSpPr>
      <xdr:spPr>
        <a:xfrm>
          <a:off x="9666741" y="5747931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35</xdr:col>
      <xdr:colOff>208416</xdr:colOff>
      <xdr:row>306</xdr:row>
      <xdr:rowOff>138814</xdr:rowOff>
    </xdr:from>
    <xdr:to>
      <xdr:col>36</xdr:col>
      <xdr:colOff>49392</xdr:colOff>
      <xdr:row>307</xdr:row>
      <xdr:rowOff>43876</xdr:rowOff>
    </xdr:to>
    <xdr:sp macro="" textlink="">
      <xdr:nvSpPr>
        <xdr:cNvPr id="341" name="Oval 340" hidden="1">
          <a:extLst>
            <a:ext uri="{FF2B5EF4-FFF2-40B4-BE49-F238E27FC236}">
              <a16:creationId xmlns:a16="http://schemas.microsoft.com/office/drawing/2014/main" id="{00000000-0008-0000-0900-000055010000}"/>
            </a:ext>
          </a:extLst>
        </xdr:cNvPr>
        <xdr:cNvSpPr/>
      </xdr:nvSpPr>
      <xdr:spPr>
        <a:xfrm>
          <a:off x="9666741" y="58431814"/>
          <a:ext cx="98151" cy="95562"/>
        </a:xfrm>
        <a:prstGeom prst="ellipse">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2384</xdr:colOff>
      <xdr:row>36</xdr:row>
      <xdr:rowOff>59531</xdr:rowOff>
    </xdr:from>
    <xdr:to>
      <xdr:col>36</xdr:col>
      <xdr:colOff>222959</xdr:colOff>
      <xdr:row>37</xdr:row>
      <xdr:rowOff>134207</xdr:rowOff>
    </xdr:to>
    <xdr:sp macro="" textlink="">
      <xdr:nvSpPr>
        <xdr:cNvPr id="342" name="Isosceles Triangle 341" hidden="1">
          <a:extLst>
            <a:ext uri="{FF2B5EF4-FFF2-40B4-BE49-F238E27FC236}">
              <a16:creationId xmlns:a16="http://schemas.microsoft.com/office/drawing/2014/main" id="{00000000-0008-0000-0900-000056010000}"/>
            </a:ext>
          </a:extLst>
        </xdr:cNvPr>
        <xdr:cNvSpPr/>
      </xdr:nvSpPr>
      <xdr:spPr>
        <a:xfrm rot="16200000">
          <a:off x="9695584" y="6939831"/>
          <a:ext cx="265176" cy="220575"/>
        </a:xfrm>
        <a:prstGeom prst="triangle">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2385</xdr:colOff>
      <xdr:row>41</xdr:row>
      <xdr:rowOff>59531</xdr:rowOff>
    </xdr:from>
    <xdr:to>
      <xdr:col>36</xdr:col>
      <xdr:colOff>222960</xdr:colOff>
      <xdr:row>42</xdr:row>
      <xdr:rowOff>134207</xdr:rowOff>
    </xdr:to>
    <xdr:sp macro="" textlink="">
      <xdr:nvSpPr>
        <xdr:cNvPr id="343" name="Isosceles Triangle 342" hidden="1">
          <a:extLst>
            <a:ext uri="{FF2B5EF4-FFF2-40B4-BE49-F238E27FC236}">
              <a16:creationId xmlns:a16="http://schemas.microsoft.com/office/drawing/2014/main" id="{00000000-0008-0000-0900-000057010000}"/>
            </a:ext>
          </a:extLst>
        </xdr:cNvPr>
        <xdr:cNvSpPr/>
      </xdr:nvSpPr>
      <xdr:spPr>
        <a:xfrm rot="16200000">
          <a:off x="9695585" y="7892331"/>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2387</xdr:colOff>
      <xdr:row>46</xdr:row>
      <xdr:rowOff>59531</xdr:rowOff>
    </xdr:from>
    <xdr:to>
      <xdr:col>36</xdr:col>
      <xdr:colOff>222962</xdr:colOff>
      <xdr:row>47</xdr:row>
      <xdr:rowOff>134207</xdr:rowOff>
    </xdr:to>
    <xdr:sp macro="" textlink="">
      <xdr:nvSpPr>
        <xdr:cNvPr id="344" name="Isosceles Triangle 343" hidden="1">
          <a:extLst>
            <a:ext uri="{FF2B5EF4-FFF2-40B4-BE49-F238E27FC236}">
              <a16:creationId xmlns:a16="http://schemas.microsoft.com/office/drawing/2014/main" id="{00000000-0008-0000-0900-000058010000}"/>
            </a:ext>
          </a:extLst>
        </xdr:cNvPr>
        <xdr:cNvSpPr/>
      </xdr:nvSpPr>
      <xdr:spPr>
        <a:xfrm rot="16200000">
          <a:off x="9695587" y="8844831"/>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2388</xdr:colOff>
      <xdr:row>51</xdr:row>
      <xdr:rowOff>59531</xdr:rowOff>
    </xdr:from>
    <xdr:to>
      <xdr:col>36</xdr:col>
      <xdr:colOff>222963</xdr:colOff>
      <xdr:row>52</xdr:row>
      <xdr:rowOff>134207</xdr:rowOff>
    </xdr:to>
    <xdr:sp macro="" textlink="">
      <xdr:nvSpPr>
        <xdr:cNvPr id="345" name="Isosceles Triangle 344" hidden="1">
          <a:extLst>
            <a:ext uri="{FF2B5EF4-FFF2-40B4-BE49-F238E27FC236}">
              <a16:creationId xmlns:a16="http://schemas.microsoft.com/office/drawing/2014/main" id="{00000000-0008-0000-0900-000059010000}"/>
            </a:ext>
          </a:extLst>
        </xdr:cNvPr>
        <xdr:cNvSpPr/>
      </xdr:nvSpPr>
      <xdr:spPr>
        <a:xfrm rot="16200000">
          <a:off x="9695588" y="9797331"/>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2390</xdr:colOff>
      <xdr:row>56</xdr:row>
      <xdr:rowOff>59531</xdr:rowOff>
    </xdr:from>
    <xdr:to>
      <xdr:col>36</xdr:col>
      <xdr:colOff>222965</xdr:colOff>
      <xdr:row>57</xdr:row>
      <xdr:rowOff>134207</xdr:rowOff>
    </xdr:to>
    <xdr:sp macro="" textlink="">
      <xdr:nvSpPr>
        <xdr:cNvPr id="346" name="Isosceles Triangle 345" hidden="1">
          <a:extLst>
            <a:ext uri="{FF2B5EF4-FFF2-40B4-BE49-F238E27FC236}">
              <a16:creationId xmlns:a16="http://schemas.microsoft.com/office/drawing/2014/main" id="{00000000-0008-0000-0900-00005A010000}"/>
            </a:ext>
          </a:extLst>
        </xdr:cNvPr>
        <xdr:cNvSpPr/>
      </xdr:nvSpPr>
      <xdr:spPr>
        <a:xfrm rot="16200000">
          <a:off x="9695590" y="10749831"/>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2386</xdr:colOff>
      <xdr:row>61</xdr:row>
      <xdr:rowOff>58739</xdr:rowOff>
    </xdr:from>
    <xdr:to>
      <xdr:col>36</xdr:col>
      <xdr:colOff>222961</xdr:colOff>
      <xdr:row>62</xdr:row>
      <xdr:rowOff>133415</xdr:rowOff>
    </xdr:to>
    <xdr:sp macro="" textlink="">
      <xdr:nvSpPr>
        <xdr:cNvPr id="347" name="Isosceles Triangle 346" hidden="1">
          <a:extLst>
            <a:ext uri="{FF2B5EF4-FFF2-40B4-BE49-F238E27FC236}">
              <a16:creationId xmlns:a16="http://schemas.microsoft.com/office/drawing/2014/main" id="{00000000-0008-0000-0900-00005B010000}"/>
            </a:ext>
          </a:extLst>
        </xdr:cNvPr>
        <xdr:cNvSpPr/>
      </xdr:nvSpPr>
      <xdr:spPr>
        <a:xfrm rot="16200000">
          <a:off x="9695586" y="11701539"/>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2388</xdr:colOff>
      <xdr:row>66</xdr:row>
      <xdr:rowOff>58739</xdr:rowOff>
    </xdr:from>
    <xdr:to>
      <xdr:col>36</xdr:col>
      <xdr:colOff>222963</xdr:colOff>
      <xdr:row>67</xdr:row>
      <xdr:rowOff>133415</xdr:rowOff>
    </xdr:to>
    <xdr:sp macro="" textlink="">
      <xdr:nvSpPr>
        <xdr:cNvPr id="348" name="Isosceles Triangle 347" hidden="1">
          <a:extLst>
            <a:ext uri="{FF2B5EF4-FFF2-40B4-BE49-F238E27FC236}">
              <a16:creationId xmlns:a16="http://schemas.microsoft.com/office/drawing/2014/main" id="{00000000-0008-0000-0900-00005C010000}"/>
            </a:ext>
          </a:extLst>
        </xdr:cNvPr>
        <xdr:cNvSpPr/>
      </xdr:nvSpPr>
      <xdr:spPr>
        <a:xfrm rot="16200000">
          <a:off x="9695588" y="12654039"/>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2389</xdr:colOff>
      <xdr:row>71</xdr:row>
      <xdr:rowOff>58739</xdr:rowOff>
    </xdr:from>
    <xdr:to>
      <xdr:col>36</xdr:col>
      <xdr:colOff>222964</xdr:colOff>
      <xdr:row>72</xdr:row>
      <xdr:rowOff>133415</xdr:rowOff>
    </xdr:to>
    <xdr:sp macro="" textlink="">
      <xdr:nvSpPr>
        <xdr:cNvPr id="349" name="Isosceles Triangle 348" hidden="1">
          <a:extLst>
            <a:ext uri="{FF2B5EF4-FFF2-40B4-BE49-F238E27FC236}">
              <a16:creationId xmlns:a16="http://schemas.microsoft.com/office/drawing/2014/main" id="{00000000-0008-0000-0900-00005D010000}"/>
            </a:ext>
          </a:extLst>
        </xdr:cNvPr>
        <xdr:cNvSpPr/>
      </xdr:nvSpPr>
      <xdr:spPr>
        <a:xfrm rot="16200000">
          <a:off x="9695589" y="13606539"/>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2391</xdr:colOff>
      <xdr:row>76</xdr:row>
      <xdr:rowOff>58739</xdr:rowOff>
    </xdr:from>
    <xdr:to>
      <xdr:col>36</xdr:col>
      <xdr:colOff>222966</xdr:colOff>
      <xdr:row>77</xdr:row>
      <xdr:rowOff>133415</xdr:rowOff>
    </xdr:to>
    <xdr:sp macro="" textlink="">
      <xdr:nvSpPr>
        <xdr:cNvPr id="350" name="Isosceles Triangle 349" hidden="1">
          <a:extLst>
            <a:ext uri="{FF2B5EF4-FFF2-40B4-BE49-F238E27FC236}">
              <a16:creationId xmlns:a16="http://schemas.microsoft.com/office/drawing/2014/main" id="{00000000-0008-0000-0900-00005E010000}"/>
            </a:ext>
          </a:extLst>
        </xdr:cNvPr>
        <xdr:cNvSpPr/>
      </xdr:nvSpPr>
      <xdr:spPr>
        <a:xfrm rot="16200000">
          <a:off x="9695591" y="14559039"/>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1709</xdr:colOff>
      <xdr:row>81</xdr:row>
      <xdr:rowOff>60215</xdr:rowOff>
    </xdr:from>
    <xdr:to>
      <xdr:col>36</xdr:col>
      <xdr:colOff>222284</xdr:colOff>
      <xdr:row>82</xdr:row>
      <xdr:rowOff>134891</xdr:rowOff>
    </xdr:to>
    <xdr:sp macro="" textlink="">
      <xdr:nvSpPr>
        <xdr:cNvPr id="351" name="Isosceles Triangle 350" hidden="1">
          <a:extLst>
            <a:ext uri="{FF2B5EF4-FFF2-40B4-BE49-F238E27FC236}">
              <a16:creationId xmlns:a16="http://schemas.microsoft.com/office/drawing/2014/main" id="{00000000-0008-0000-0900-00005F010000}"/>
            </a:ext>
          </a:extLst>
        </xdr:cNvPr>
        <xdr:cNvSpPr/>
      </xdr:nvSpPr>
      <xdr:spPr>
        <a:xfrm rot="16200000">
          <a:off x="9694909" y="1551301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1711</xdr:colOff>
      <xdr:row>86</xdr:row>
      <xdr:rowOff>60215</xdr:rowOff>
    </xdr:from>
    <xdr:to>
      <xdr:col>36</xdr:col>
      <xdr:colOff>222286</xdr:colOff>
      <xdr:row>87</xdr:row>
      <xdr:rowOff>134891</xdr:rowOff>
    </xdr:to>
    <xdr:sp macro="" textlink="">
      <xdr:nvSpPr>
        <xdr:cNvPr id="352" name="Isosceles Triangle 351" hidden="1">
          <a:extLst>
            <a:ext uri="{FF2B5EF4-FFF2-40B4-BE49-F238E27FC236}">
              <a16:creationId xmlns:a16="http://schemas.microsoft.com/office/drawing/2014/main" id="{00000000-0008-0000-0900-000060010000}"/>
            </a:ext>
          </a:extLst>
        </xdr:cNvPr>
        <xdr:cNvSpPr/>
      </xdr:nvSpPr>
      <xdr:spPr>
        <a:xfrm rot="16200000">
          <a:off x="9694911" y="1646551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1712</xdr:colOff>
      <xdr:row>91</xdr:row>
      <xdr:rowOff>60215</xdr:rowOff>
    </xdr:from>
    <xdr:to>
      <xdr:col>36</xdr:col>
      <xdr:colOff>222287</xdr:colOff>
      <xdr:row>92</xdr:row>
      <xdr:rowOff>134891</xdr:rowOff>
    </xdr:to>
    <xdr:sp macro="" textlink="">
      <xdr:nvSpPr>
        <xdr:cNvPr id="353" name="Isosceles Triangle 352" hidden="1">
          <a:extLst>
            <a:ext uri="{FF2B5EF4-FFF2-40B4-BE49-F238E27FC236}">
              <a16:creationId xmlns:a16="http://schemas.microsoft.com/office/drawing/2014/main" id="{00000000-0008-0000-0900-000061010000}"/>
            </a:ext>
          </a:extLst>
        </xdr:cNvPr>
        <xdr:cNvSpPr/>
      </xdr:nvSpPr>
      <xdr:spPr>
        <a:xfrm rot="16200000">
          <a:off x="9694912" y="1741801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1714</xdr:colOff>
      <xdr:row>96</xdr:row>
      <xdr:rowOff>60215</xdr:rowOff>
    </xdr:from>
    <xdr:to>
      <xdr:col>36</xdr:col>
      <xdr:colOff>222289</xdr:colOff>
      <xdr:row>97</xdr:row>
      <xdr:rowOff>134891</xdr:rowOff>
    </xdr:to>
    <xdr:sp macro="" textlink="">
      <xdr:nvSpPr>
        <xdr:cNvPr id="354" name="Isosceles Triangle 353" hidden="1">
          <a:extLst>
            <a:ext uri="{FF2B5EF4-FFF2-40B4-BE49-F238E27FC236}">
              <a16:creationId xmlns:a16="http://schemas.microsoft.com/office/drawing/2014/main" id="{00000000-0008-0000-0900-000062010000}"/>
            </a:ext>
          </a:extLst>
        </xdr:cNvPr>
        <xdr:cNvSpPr/>
      </xdr:nvSpPr>
      <xdr:spPr>
        <a:xfrm rot="16200000">
          <a:off x="9694914" y="1837051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1710</xdr:colOff>
      <xdr:row>101</xdr:row>
      <xdr:rowOff>59423</xdr:rowOff>
    </xdr:from>
    <xdr:to>
      <xdr:col>36</xdr:col>
      <xdr:colOff>222285</xdr:colOff>
      <xdr:row>102</xdr:row>
      <xdr:rowOff>134099</xdr:rowOff>
    </xdr:to>
    <xdr:sp macro="" textlink="">
      <xdr:nvSpPr>
        <xdr:cNvPr id="355" name="Isosceles Triangle 354" hidden="1">
          <a:extLst>
            <a:ext uri="{FF2B5EF4-FFF2-40B4-BE49-F238E27FC236}">
              <a16:creationId xmlns:a16="http://schemas.microsoft.com/office/drawing/2014/main" id="{00000000-0008-0000-0900-000063010000}"/>
            </a:ext>
          </a:extLst>
        </xdr:cNvPr>
        <xdr:cNvSpPr/>
      </xdr:nvSpPr>
      <xdr:spPr>
        <a:xfrm rot="16200000">
          <a:off x="9694910" y="19322223"/>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1712</xdr:colOff>
      <xdr:row>106</xdr:row>
      <xdr:rowOff>59423</xdr:rowOff>
    </xdr:from>
    <xdr:to>
      <xdr:col>36</xdr:col>
      <xdr:colOff>222287</xdr:colOff>
      <xdr:row>107</xdr:row>
      <xdr:rowOff>134099</xdr:rowOff>
    </xdr:to>
    <xdr:sp macro="" textlink="">
      <xdr:nvSpPr>
        <xdr:cNvPr id="356" name="Isosceles Triangle 355" hidden="1">
          <a:extLst>
            <a:ext uri="{FF2B5EF4-FFF2-40B4-BE49-F238E27FC236}">
              <a16:creationId xmlns:a16="http://schemas.microsoft.com/office/drawing/2014/main" id="{00000000-0008-0000-0900-000064010000}"/>
            </a:ext>
          </a:extLst>
        </xdr:cNvPr>
        <xdr:cNvSpPr/>
      </xdr:nvSpPr>
      <xdr:spPr>
        <a:xfrm rot="16200000">
          <a:off x="9694912" y="20274723"/>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1713</xdr:colOff>
      <xdr:row>111</xdr:row>
      <xdr:rowOff>59423</xdr:rowOff>
    </xdr:from>
    <xdr:to>
      <xdr:col>36</xdr:col>
      <xdr:colOff>222288</xdr:colOff>
      <xdr:row>112</xdr:row>
      <xdr:rowOff>134099</xdr:rowOff>
    </xdr:to>
    <xdr:sp macro="" textlink="">
      <xdr:nvSpPr>
        <xdr:cNvPr id="357" name="Isosceles Triangle 356" hidden="1">
          <a:extLst>
            <a:ext uri="{FF2B5EF4-FFF2-40B4-BE49-F238E27FC236}">
              <a16:creationId xmlns:a16="http://schemas.microsoft.com/office/drawing/2014/main" id="{00000000-0008-0000-0900-000065010000}"/>
            </a:ext>
          </a:extLst>
        </xdr:cNvPr>
        <xdr:cNvSpPr/>
      </xdr:nvSpPr>
      <xdr:spPr>
        <a:xfrm rot="16200000">
          <a:off x="9694913" y="21227223"/>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1715</xdr:colOff>
      <xdr:row>116</xdr:row>
      <xdr:rowOff>59423</xdr:rowOff>
    </xdr:from>
    <xdr:to>
      <xdr:col>36</xdr:col>
      <xdr:colOff>222290</xdr:colOff>
      <xdr:row>117</xdr:row>
      <xdr:rowOff>134099</xdr:rowOff>
    </xdr:to>
    <xdr:sp macro="" textlink="">
      <xdr:nvSpPr>
        <xdr:cNvPr id="358" name="Isosceles Triangle 357" hidden="1">
          <a:extLst>
            <a:ext uri="{FF2B5EF4-FFF2-40B4-BE49-F238E27FC236}">
              <a16:creationId xmlns:a16="http://schemas.microsoft.com/office/drawing/2014/main" id="{00000000-0008-0000-0900-000066010000}"/>
            </a:ext>
          </a:extLst>
        </xdr:cNvPr>
        <xdr:cNvSpPr/>
      </xdr:nvSpPr>
      <xdr:spPr>
        <a:xfrm rot="16200000">
          <a:off x="9694915" y="22179723"/>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1715</xdr:colOff>
      <xdr:row>121</xdr:row>
      <xdr:rowOff>60215</xdr:rowOff>
    </xdr:from>
    <xdr:to>
      <xdr:col>36</xdr:col>
      <xdr:colOff>222290</xdr:colOff>
      <xdr:row>122</xdr:row>
      <xdr:rowOff>134891</xdr:rowOff>
    </xdr:to>
    <xdr:sp macro="" textlink="">
      <xdr:nvSpPr>
        <xdr:cNvPr id="359" name="Isosceles Triangle 358" hidden="1">
          <a:extLst>
            <a:ext uri="{FF2B5EF4-FFF2-40B4-BE49-F238E27FC236}">
              <a16:creationId xmlns:a16="http://schemas.microsoft.com/office/drawing/2014/main" id="{00000000-0008-0000-0900-000067010000}"/>
            </a:ext>
          </a:extLst>
        </xdr:cNvPr>
        <xdr:cNvSpPr/>
      </xdr:nvSpPr>
      <xdr:spPr>
        <a:xfrm rot="16200000">
          <a:off x="9694915" y="2313301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1717</xdr:colOff>
      <xdr:row>126</xdr:row>
      <xdr:rowOff>60215</xdr:rowOff>
    </xdr:from>
    <xdr:to>
      <xdr:col>36</xdr:col>
      <xdr:colOff>222292</xdr:colOff>
      <xdr:row>127</xdr:row>
      <xdr:rowOff>134891</xdr:rowOff>
    </xdr:to>
    <xdr:sp macro="" textlink="">
      <xdr:nvSpPr>
        <xdr:cNvPr id="360" name="Isosceles Triangle 359" hidden="1">
          <a:extLst>
            <a:ext uri="{FF2B5EF4-FFF2-40B4-BE49-F238E27FC236}">
              <a16:creationId xmlns:a16="http://schemas.microsoft.com/office/drawing/2014/main" id="{00000000-0008-0000-0900-000068010000}"/>
            </a:ext>
          </a:extLst>
        </xdr:cNvPr>
        <xdr:cNvSpPr/>
      </xdr:nvSpPr>
      <xdr:spPr>
        <a:xfrm rot="16200000">
          <a:off x="9694917" y="2408551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1718</xdr:colOff>
      <xdr:row>131</xdr:row>
      <xdr:rowOff>60215</xdr:rowOff>
    </xdr:from>
    <xdr:to>
      <xdr:col>36</xdr:col>
      <xdr:colOff>222293</xdr:colOff>
      <xdr:row>132</xdr:row>
      <xdr:rowOff>134891</xdr:rowOff>
    </xdr:to>
    <xdr:sp macro="" textlink="">
      <xdr:nvSpPr>
        <xdr:cNvPr id="361" name="Isosceles Triangle 360" hidden="1">
          <a:extLst>
            <a:ext uri="{FF2B5EF4-FFF2-40B4-BE49-F238E27FC236}">
              <a16:creationId xmlns:a16="http://schemas.microsoft.com/office/drawing/2014/main" id="{00000000-0008-0000-0900-000069010000}"/>
            </a:ext>
          </a:extLst>
        </xdr:cNvPr>
        <xdr:cNvSpPr/>
      </xdr:nvSpPr>
      <xdr:spPr>
        <a:xfrm rot="16200000">
          <a:off x="9694918" y="2503801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1720</xdr:colOff>
      <xdr:row>136</xdr:row>
      <xdr:rowOff>60215</xdr:rowOff>
    </xdr:from>
    <xdr:to>
      <xdr:col>36</xdr:col>
      <xdr:colOff>222295</xdr:colOff>
      <xdr:row>137</xdr:row>
      <xdr:rowOff>134891</xdr:rowOff>
    </xdr:to>
    <xdr:sp macro="" textlink="">
      <xdr:nvSpPr>
        <xdr:cNvPr id="362" name="Isosceles Triangle 361" hidden="1">
          <a:extLst>
            <a:ext uri="{FF2B5EF4-FFF2-40B4-BE49-F238E27FC236}">
              <a16:creationId xmlns:a16="http://schemas.microsoft.com/office/drawing/2014/main" id="{00000000-0008-0000-0900-00006A010000}"/>
            </a:ext>
          </a:extLst>
        </xdr:cNvPr>
        <xdr:cNvSpPr/>
      </xdr:nvSpPr>
      <xdr:spPr>
        <a:xfrm rot="16200000">
          <a:off x="9694920" y="2599051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1716</xdr:colOff>
      <xdr:row>141</xdr:row>
      <xdr:rowOff>59423</xdr:rowOff>
    </xdr:from>
    <xdr:to>
      <xdr:col>36</xdr:col>
      <xdr:colOff>222291</xdr:colOff>
      <xdr:row>142</xdr:row>
      <xdr:rowOff>134099</xdr:rowOff>
    </xdr:to>
    <xdr:sp macro="" textlink="">
      <xdr:nvSpPr>
        <xdr:cNvPr id="363" name="Isosceles Triangle 362" hidden="1">
          <a:extLst>
            <a:ext uri="{FF2B5EF4-FFF2-40B4-BE49-F238E27FC236}">
              <a16:creationId xmlns:a16="http://schemas.microsoft.com/office/drawing/2014/main" id="{00000000-0008-0000-0900-00006B010000}"/>
            </a:ext>
          </a:extLst>
        </xdr:cNvPr>
        <xdr:cNvSpPr/>
      </xdr:nvSpPr>
      <xdr:spPr>
        <a:xfrm rot="16200000">
          <a:off x="9694916" y="26942223"/>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1718</xdr:colOff>
      <xdr:row>146</xdr:row>
      <xdr:rowOff>59423</xdr:rowOff>
    </xdr:from>
    <xdr:to>
      <xdr:col>36</xdr:col>
      <xdr:colOff>222293</xdr:colOff>
      <xdr:row>147</xdr:row>
      <xdr:rowOff>134099</xdr:rowOff>
    </xdr:to>
    <xdr:sp macro="" textlink="">
      <xdr:nvSpPr>
        <xdr:cNvPr id="364" name="Isosceles Triangle 363" hidden="1">
          <a:extLst>
            <a:ext uri="{FF2B5EF4-FFF2-40B4-BE49-F238E27FC236}">
              <a16:creationId xmlns:a16="http://schemas.microsoft.com/office/drawing/2014/main" id="{00000000-0008-0000-0900-00006C010000}"/>
            </a:ext>
          </a:extLst>
        </xdr:cNvPr>
        <xdr:cNvSpPr/>
      </xdr:nvSpPr>
      <xdr:spPr>
        <a:xfrm rot="16200000">
          <a:off x="9694918" y="27894723"/>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1719</xdr:colOff>
      <xdr:row>151</xdr:row>
      <xdr:rowOff>59423</xdr:rowOff>
    </xdr:from>
    <xdr:to>
      <xdr:col>36</xdr:col>
      <xdr:colOff>222294</xdr:colOff>
      <xdr:row>152</xdr:row>
      <xdr:rowOff>134099</xdr:rowOff>
    </xdr:to>
    <xdr:sp macro="" textlink="">
      <xdr:nvSpPr>
        <xdr:cNvPr id="365" name="Isosceles Triangle 364" hidden="1">
          <a:extLst>
            <a:ext uri="{FF2B5EF4-FFF2-40B4-BE49-F238E27FC236}">
              <a16:creationId xmlns:a16="http://schemas.microsoft.com/office/drawing/2014/main" id="{00000000-0008-0000-0900-00006D010000}"/>
            </a:ext>
          </a:extLst>
        </xdr:cNvPr>
        <xdr:cNvSpPr/>
      </xdr:nvSpPr>
      <xdr:spPr>
        <a:xfrm rot="16200000">
          <a:off x="9694919" y="28847223"/>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1721</xdr:colOff>
      <xdr:row>156</xdr:row>
      <xdr:rowOff>59423</xdr:rowOff>
    </xdr:from>
    <xdr:to>
      <xdr:col>36</xdr:col>
      <xdr:colOff>222296</xdr:colOff>
      <xdr:row>157</xdr:row>
      <xdr:rowOff>134099</xdr:rowOff>
    </xdr:to>
    <xdr:sp macro="" textlink="">
      <xdr:nvSpPr>
        <xdr:cNvPr id="366" name="Isosceles Triangle 365" hidden="1">
          <a:extLst>
            <a:ext uri="{FF2B5EF4-FFF2-40B4-BE49-F238E27FC236}">
              <a16:creationId xmlns:a16="http://schemas.microsoft.com/office/drawing/2014/main" id="{00000000-0008-0000-0900-00006E010000}"/>
            </a:ext>
          </a:extLst>
        </xdr:cNvPr>
        <xdr:cNvSpPr/>
      </xdr:nvSpPr>
      <xdr:spPr>
        <a:xfrm rot="16200000">
          <a:off x="9694921" y="29799723"/>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1725</xdr:colOff>
      <xdr:row>161</xdr:row>
      <xdr:rowOff>60215</xdr:rowOff>
    </xdr:from>
    <xdr:to>
      <xdr:col>36</xdr:col>
      <xdr:colOff>222300</xdr:colOff>
      <xdr:row>162</xdr:row>
      <xdr:rowOff>134891</xdr:rowOff>
    </xdr:to>
    <xdr:sp macro="" textlink="">
      <xdr:nvSpPr>
        <xdr:cNvPr id="367" name="Isosceles Triangle 366" hidden="1">
          <a:extLst>
            <a:ext uri="{FF2B5EF4-FFF2-40B4-BE49-F238E27FC236}">
              <a16:creationId xmlns:a16="http://schemas.microsoft.com/office/drawing/2014/main" id="{00000000-0008-0000-0900-00006F010000}"/>
            </a:ext>
          </a:extLst>
        </xdr:cNvPr>
        <xdr:cNvSpPr/>
      </xdr:nvSpPr>
      <xdr:spPr>
        <a:xfrm rot="16200000">
          <a:off x="9694925" y="3075301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1727</xdr:colOff>
      <xdr:row>166</xdr:row>
      <xdr:rowOff>60215</xdr:rowOff>
    </xdr:from>
    <xdr:to>
      <xdr:col>36</xdr:col>
      <xdr:colOff>222302</xdr:colOff>
      <xdr:row>167</xdr:row>
      <xdr:rowOff>134891</xdr:rowOff>
    </xdr:to>
    <xdr:sp macro="" textlink="">
      <xdr:nvSpPr>
        <xdr:cNvPr id="368" name="Isosceles Triangle 367" hidden="1">
          <a:extLst>
            <a:ext uri="{FF2B5EF4-FFF2-40B4-BE49-F238E27FC236}">
              <a16:creationId xmlns:a16="http://schemas.microsoft.com/office/drawing/2014/main" id="{00000000-0008-0000-0900-000070010000}"/>
            </a:ext>
          </a:extLst>
        </xdr:cNvPr>
        <xdr:cNvSpPr/>
      </xdr:nvSpPr>
      <xdr:spPr>
        <a:xfrm rot="16200000">
          <a:off x="9694927" y="3170551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1728</xdr:colOff>
      <xdr:row>171</xdr:row>
      <xdr:rowOff>60215</xdr:rowOff>
    </xdr:from>
    <xdr:to>
      <xdr:col>36</xdr:col>
      <xdr:colOff>222303</xdr:colOff>
      <xdr:row>172</xdr:row>
      <xdr:rowOff>134891</xdr:rowOff>
    </xdr:to>
    <xdr:sp macro="" textlink="">
      <xdr:nvSpPr>
        <xdr:cNvPr id="369" name="Isosceles Triangle 368" hidden="1">
          <a:extLst>
            <a:ext uri="{FF2B5EF4-FFF2-40B4-BE49-F238E27FC236}">
              <a16:creationId xmlns:a16="http://schemas.microsoft.com/office/drawing/2014/main" id="{00000000-0008-0000-0900-000071010000}"/>
            </a:ext>
          </a:extLst>
        </xdr:cNvPr>
        <xdr:cNvSpPr/>
      </xdr:nvSpPr>
      <xdr:spPr>
        <a:xfrm rot="16200000">
          <a:off x="9694928" y="3265801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1730</xdr:colOff>
      <xdr:row>176</xdr:row>
      <xdr:rowOff>60215</xdr:rowOff>
    </xdr:from>
    <xdr:to>
      <xdr:col>36</xdr:col>
      <xdr:colOff>222305</xdr:colOff>
      <xdr:row>177</xdr:row>
      <xdr:rowOff>134891</xdr:rowOff>
    </xdr:to>
    <xdr:sp macro="" textlink="">
      <xdr:nvSpPr>
        <xdr:cNvPr id="370" name="Isosceles Triangle 369" hidden="1">
          <a:extLst>
            <a:ext uri="{FF2B5EF4-FFF2-40B4-BE49-F238E27FC236}">
              <a16:creationId xmlns:a16="http://schemas.microsoft.com/office/drawing/2014/main" id="{00000000-0008-0000-0900-000072010000}"/>
            </a:ext>
          </a:extLst>
        </xdr:cNvPr>
        <xdr:cNvSpPr/>
      </xdr:nvSpPr>
      <xdr:spPr>
        <a:xfrm rot="16200000">
          <a:off x="9694930" y="3361051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1726</xdr:colOff>
      <xdr:row>181</xdr:row>
      <xdr:rowOff>59423</xdr:rowOff>
    </xdr:from>
    <xdr:to>
      <xdr:col>36</xdr:col>
      <xdr:colOff>222301</xdr:colOff>
      <xdr:row>182</xdr:row>
      <xdr:rowOff>134099</xdr:rowOff>
    </xdr:to>
    <xdr:sp macro="" textlink="">
      <xdr:nvSpPr>
        <xdr:cNvPr id="371" name="Isosceles Triangle 370" hidden="1">
          <a:extLst>
            <a:ext uri="{FF2B5EF4-FFF2-40B4-BE49-F238E27FC236}">
              <a16:creationId xmlns:a16="http://schemas.microsoft.com/office/drawing/2014/main" id="{00000000-0008-0000-0900-000073010000}"/>
            </a:ext>
          </a:extLst>
        </xdr:cNvPr>
        <xdr:cNvSpPr/>
      </xdr:nvSpPr>
      <xdr:spPr>
        <a:xfrm rot="16200000">
          <a:off x="9694926" y="34562223"/>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1728</xdr:colOff>
      <xdr:row>186</xdr:row>
      <xdr:rowOff>59423</xdr:rowOff>
    </xdr:from>
    <xdr:to>
      <xdr:col>36</xdr:col>
      <xdr:colOff>222303</xdr:colOff>
      <xdr:row>187</xdr:row>
      <xdr:rowOff>134099</xdr:rowOff>
    </xdr:to>
    <xdr:sp macro="" textlink="">
      <xdr:nvSpPr>
        <xdr:cNvPr id="372" name="Isosceles Triangle 371" hidden="1">
          <a:extLst>
            <a:ext uri="{FF2B5EF4-FFF2-40B4-BE49-F238E27FC236}">
              <a16:creationId xmlns:a16="http://schemas.microsoft.com/office/drawing/2014/main" id="{00000000-0008-0000-0900-000074010000}"/>
            </a:ext>
          </a:extLst>
        </xdr:cNvPr>
        <xdr:cNvSpPr/>
      </xdr:nvSpPr>
      <xdr:spPr>
        <a:xfrm rot="16200000">
          <a:off x="9694928" y="35514723"/>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1729</xdr:colOff>
      <xdr:row>191</xdr:row>
      <xdr:rowOff>59423</xdr:rowOff>
    </xdr:from>
    <xdr:to>
      <xdr:col>36</xdr:col>
      <xdr:colOff>222304</xdr:colOff>
      <xdr:row>192</xdr:row>
      <xdr:rowOff>134099</xdr:rowOff>
    </xdr:to>
    <xdr:sp macro="" textlink="">
      <xdr:nvSpPr>
        <xdr:cNvPr id="373" name="Isosceles Triangle 372" hidden="1">
          <a:extLst>
            <a:ext uri="{FF2B5EF4-FFF2-40B4-BE49-F238E27FC236}">
              <a16:creationId xmlns:a16="http://schemas.microsoft.com/office/drawing/2014/main" id="{00000000-0008-0000-0900-000075010000}"/>
            </a:ext>
          </a:extLst>
        </xdr:cNvPr>
        <xdr:cNvSpPr/>
      </xdr:nvSpPr>
      <xdr:spPr>
        <a:xfrm rot="16200000">
          <a:off x="9694929" y="36467223"/>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1731</xdr:colOff>
      <xdr:row>196</xdr:row>
      <xdr:rowOff>59423</xdr:rowOff>
    </xdr:from>
    <xdr:to>
      <xdr:col>36</xdr:col>
      <xdr:colOff>222306</xdr:colOff>
      <xdr:row>197</xdr:row>
      <xdr:rowOff>134099</xdr:rowOff>
    </xdr:to>
    <xdr:sp macro="" textlink="">
      <xdr:nvSpPr>
        <xdr:cNvPr id="374" name="Isosceles Triangle 373" hidden="1">
          <a:extLst>
            <a:ext uri="{FF2B5EF4-FFF2-40B4-BE49-F238E27FC236}">
              <a16:creationId xmlns:a16="http://schemas.microsoft.com/office/drawing/2014/main" id="{00000000-0008-0000-0900-000076010000}"/>
            </a:ext>
          </a:extLst>
        </xdr:cNvPr>
        <xdr:cNvSpPr/>
      </xdr:nvSpPr>
      <xdr:spPr>
        <a:xfrm rot="16200000">
          <a:off x="9694931" y="37419723"/>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1731</xdr:colOff>
      <xdr:row>201</xdr:row>
      <xdr:rowOff>60215</xdr:rowOff>
    </xdr:from>
    <xdr:to>
      <xdr:col>36</xdr:col>
      <xdr:colOff>222306</xdr:colOff>
      <xdr:row>202</xdr:row>
      <xdr:rowOff>134891</xdr:rowOff>
    </xdr:to>
    <xdr:sp macro="" textlink="">
      <xdr:nvSpPr>
        <xdr:cNvPr id="375" name="Isosceles Triangle 374" hidden="1">
          <a:extLst>
            <a:ext uri="{FF2B5EF4-FFF2-40B4-BE49-F238E27FC236}">
              <a16:creationId xmlns:a16="http://schemas.microsoft.com/office/drawing/2014/main" id="{00000000-0008-0000-0900-000077010000}"/>
            </a:ext>
          </a:extLst>
        </xdr:cNvPr>
        <xdr:cNvSpPr/>
      </xdr:nvSpPr>
      <xdr:spPr>
        <a:xfrm rot="16200000">
          <a:off x="9694931" y="3837301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1733</xdr:colOff>
      <xdr:row>206</xdr:row>
      <xdr:rowOff>60215</xdr:rowOff>
    </xdr:from>
    <xdr:to>
      <xdr:col>36</xdr:col>
      <xdr:colOff>222308</xdr:colOff>
      <xdr:row>207</xdr:row>
      <xdr:rowOff>134891</xdr:rowOff>
    </xdr:to>
    <xdr:sp macro="" textlink="">
      <xdr:nvSpPr>
        <xdr:cNvPr id="376" name="Isosceles Triangle 375" hidden="1">
          <a:extLst>
            <a:ext uri="{FF2B5EF4-FFF2-40B4-BE49-F238E27FC236}">
              <a16:creationId xmlns:a16="http://schemas.microsoft.com/office/drawing/2014/main" id="{00000000-0008-0000-0900-000078010000}"/>
            </a:ext>
          </a:extLst>
        </xdr:cNvPr>
        <xdr:cNvSpPr/>
      </xdr:nvSpPr>
      <xdr:spPr>
        <a:xfrm rot="16200000">
          <a:off x="9694933" y="3932551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1734</xdr:colOff>
      <xdr:row>211</xdr:row>
      <xdr:rowOff>60215</xdr:rowOff>
    </xdr:from>
    <xdr:to>
      <xdr:col>36</xdr:col>
      <xdr:colOff>222309</xdr:colOff>
      <xdr:row>212</xdr:row>
      <xdr:rowOff>134891</xdr:rowOff>
    </xdr:to>
    <xdr:sp macro="" textlink="">
      <xdr:nvSpPr>
        <xdr:cNvPr id="377" name="Isosceles Triangle 376" hidden="1">
          <a:extLst>
            <a:ext uri="{FF2B5EF4-FFF2-40B4-BE49-F238E27FC236}">
              <a16:creationId xmlns:a16="http://schemas.microsoft.com/office/drawing/2014/main" id="{00000000-0008-0000-0900-000079010000}"/>
            </a:ext>
          </a:extLst>
        </xdr:cNvPr>
        <xdr:cNvSpPr/>
      </xdr:nvSpPr>
      <xdr:spPr>
        <a:xfrm rot="16200000">
          <a:off x="9694934" y="4027801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1736</xdr:colOff>
      <xdr:row>216</xdr:row>
      <xdr:rowOff>60215</xdr:rowOff>
    </xdr:from>
    <xdr:to>
      <xdr:col>36</xdr:col>
      <xdr:colOff>222311</xdr:colOff>
      <xdr:row>217</xdr:row>
      <xdr:rowOff>134891</xdr:rowOff>
    </xdr:to>
    <xdr:sp macro="" textlink="">
      <xdr:nvSpPr>
        <xdr:cNvPr id="378" name="Isosceles Triangle 377" hidden="1">
          <a:extLst>
            <a:ext uri="{FF2B5EF4-FFF2-40B4-BE49-F238E27FC236}">
              <a16:creationId xmlns:a16="http://schemas.microsoft.com/office/drawing/2014/main" id="{00000000-0008-0000-0900-00007A010000}"/>
            </a:ext>
          </a:extLst>
        </xdr:cNvPr>
        <xdr:cNvSpPr/>
      </xdr:nvSpPr>
      <xdr:spPr>
        <a:xfrm rot="16200000">
          <a:off x="9694936" y="4123051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1732</xdr:colOff>
      <xdr:row>221</xdr:row>
      <xdr:rowOff>59423</xdr:rowOff>
    </xdr:from>
    <xdr:to>
      <xdr:col>36</xdr:col>
      <xdr:colOff>222307</xdr:colOff>
      <xdr:row>222</xdr:row>
      <xdr:rowOff>134099</xdr:rowOff>
    </xdr:to>
    <xdr:sp macro="" textlink="">
      <xdr:nvSpPr>
        <xdr:cNvPr id="379" name="Isosceles Triangle 378" hidden="1">
          <a:extLst>
            <a:ext uri="{FF2B5EF4-FFF2-40B4-BE49-F238E27FC236}">
              <a16:creationId xmlns:a16="http://schemas.microsoft.com/office/drawing/2014/main" id="{00000000-0008-0000-0900-00007B010000}"/>
            </a:ext>
          </a:extLst>
        </xdr:cNvPr>
        <xdr:cNvSpPr/>
      </xdr:nvSpPr>
      <xdr:spPr>
        <a:xfrm rot="16200000">
          <a:off x="9694932" y="42182223"/>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1734</xdr:colOff>
      <xdr:row>226</xdr:row>
      <xdr:rowOff>59423</xdr:rowOff>
    </xdr:from>
    <xdr:to>
      <xdr:col>36</xdr:col>
      <xdr:colOff>222309</xdr:colOff>
      <xdr:row>227</xdr:row>
      <xdr:rowOff>134099</xdr:rowOff>
    </xdr:to>
    <xdr:sp macro="" textlink="">
      <xdr:nvSpPr>
        <xdr:cNvPr id="380" name="Isosceles Triangle 379" hidden="1">
          <a:extLst>
            <a:ext uri="{FF2B5EF4-FFF2-40B4-BE49-F238E27FC236}">
              <a16:creationId xmlns:a16="http://schemas.microsoft.com/office/drawing/2014/main" id="{00000000-0008-0000-0900-00007C010000}"/>
            </a:ext>
          </a:extLst>
        </xdr:cNvPr>
        <xdr:cNvSpPr/>
      </xdr:nvSpPr>
      <xdr:spPr>
        <a:xfrm rot="16200000">
          <a:off x="9694934" y="43134723"/>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1735</xdr:colOff>
      <xdr:row>231</xdr:row>
      <xdr:rowOff>59423</xdr:rowOff>
    </xdr:from>
    <xdr:to>
      <xdr:col>36</xdr:col>
      <xdr:colOff>222310</xdr:colOff>
      <xdr:row>232</xdr:row>
      <xdr:rowOff>134099</xdr:rowOff>
    </xdr:to>
    <xdr:sp macro="" textlink="">
      <xdr:nvSpPr>
        <xdr:cNvPr id="381" name="Isosceles Triangle 380" hidden="1">
          <a:extLst>
            <a:ext uri="{FF2B5EF4-FFF2-40B4-BE49-F238E27FC236}">
              <a16:creationId xmlns:a16="http://schemas.microsoft.com/office/drawing/2014/main" id="{00000000-0008-0000-0900-00007D010000}"/>
            </a:ext>
          </a:extLst>
        </xdr:cNvPr>
        <xdr:cNvSpPr/>
      </xdr:nvSpPr>
      <xdr:spPr>
        <a:xfrm rot="16200000">
          <a:off x="9694935" y="44087223"/>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1737</xdr:colOff>
      <xdr:row>236</xdr:row>
      <xdr:rowOff>59423</xdr:rowOff>
    </xdr:from>
    <xdr:to>
      <xdr:col>36</xdr:col>
      <xdr:colOff>222312</xdr:colOff>
      <xdr:row>237</xdr:row>
      <xdr:rowOff>134099</xdr:rowOff>
    </xdr:to>
    <xdr:sp macro="" textlink="">
      <xdr:nvSpPr>
        <xdr:cNvPr id="382" name="Isosceles Triangle 381" hidden="1">
          <a:extLst>
            <a:ext uri="{FF2B5EF4-FFF2-40B4-BE49-F238E27FC236}">
              <a16:creationId xmlns:a16="http://schemas.microsoft.com/office/drawing/2014/main" id="{00000000-0008-0000-0900-00007E010000}"/>
            </a:ext>
          </a:extLst>
        </xdr:cNvPr>
        <xdr:cNvSpPr/>
      </xdr:nvSpPr>
      <xdr:spPr>
        <a:xfrm rot="16200000">
          <a:off x="9694937" y="45039723"/>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1734</xdr:colOff>
      <xdr:row>241</xdr:row>
      <xdr:rowOff>60215</xdr:rowOff>
    </xdr:from>
    <xdr:to>
      <xdr:col>36</xdr:col>
      <xdr:colOff>222309</xdr:colOff>
      <xdr:row>242</xdr:row>
      <xdr:rowOff>134891</xdr:rowOff>
    </xdr:to>
    <xdr:sp macro="" textlink="">
      <xdr:nvSpPr>
        <xdr:cNvPr id="383" name="Isosceles Triangle 382" hidden="1">
          <a:extLst>
            <a:ext uri="{FF2B5EF4-FFF2-40B4-BE49-F238E27FC236}">
              <a16:creationId xmlns:a16="http://schemas.microsoft.com/office/drawing/2014/main" id="{00000000-0008-0000-0900-00007F010000}"/>
            </a:ext>
          </a:extLst>
        </xdr:cNvPr>
        <xdr:cNvSpPr/>
      </xdr:nvSpPr>
      <xdr:spPr>
        <a:xfrm rot="16200000">
          <a:off x="9694934" y="4599301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1736</xdr:colOff>
      <xdr:row>246</xdr:row>
      <xdr:rowOff>60215</xdr:rowOff>
    </xdr:from>
    <xdr:to>
      <xdr:col>36</xdr:col>
      <xdr:colOff>222311</xdr:colOff>
      <xdr:row>247</xdr:row>
      <xdr:rowOff>134891</xdr:rowOff>
    </xdr:to>
    <xdr:sp macro="" textlink="">
      <xdr:nvSpPr>
        <xdr:cNvPr id="384" name="Isosceles Triangle 383" hidden="1">
          <a:extLst>
            <a:ext uri="{FF2B5EF4-FFF2-40B4-BE49-F238E27FC236}">
              <a16:creationId xmlns:a16="http://schemas.microsoft.com/office/drawing/2014/main" id="{00000000-0008-0000-0900-000080010000}"/>
            </a:ext>
          </a:extLst>
        </xdr:cNvPr>
        <xdr:cNvSpPr/>
      </xdr:nvSpPr>
      <xdr:spPr>
        <a:xfrm rot="16200000">
          <a:off x="9694936" y="4694551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1737</xdr:colOff>
      <xdr:row>251</xdr:row>
      <xdr:rowOff>60215</xdr:rowOff>
    </xdr:from>
    <xdr:to>
      <xdr:col>36</xdr:col>
      <xdr:colOff>222312</xdr:colOff>
      <xdr:row>252</xdr:row>
      <xdr:rowOff>134891</xdr:rowOff>
    </xdr:to>
    <xdr:sp macro="" textlink="">
      <xdr:nvSpPr>
        <xdr:cNvPr id="385" name="Isosceles Triangle 384" hidden="1">
          <a:extLst>
            <a:ext uri="{FF2B5EF4-FFF2-40B4-BE49-F238E27FC236}">
              <a16:creationId xmlns:a16="http://schemas.microsoft.com/office/drawing/2014/main" id="{00000000-0008-0000-0900-000081010000}"/>
            </a:ext>
          </a:extLst>
        </xdr:cNvPr>
        <xdr:cNvSpPr/>
      </xdr:nvSpPr>
      <xdr:spPr>
        <a:xfrm rot="16200000">
          <a:off x="9694937" y="4789801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1739</xdr:colOff>
      <xdr:row>256</xdr:row>
      <xdr:rowOff>60215</xdr:rowOff>
    </xdr:from>
    <xdr:to>
      <xdr:col>36</xdr:col>
      <xdr:colOff>222314</xdr:colOff>
      <xdr:row>257</xdr:row>
      <xdr:rowOff>134891</xdr:rowOff>
    </xdr:to>
    <xdr:sp macro="" textlink="">
      <xdr:nvSpPr>
        <xdr:cNvPr id="386" name="Isosceles Triangle 385" hidden="1">
          <a:extLst>
            <a:ext uri="{FF2B5EF4-FFF2-40B4-BE49-F238E27FC236}">
              <a16:creationId xmlns:a16="http://schemas.microsoft.com/office/drawing/2014/main" id="{00000000-0008-0000-0900-000082010000}"/>
            </a:ext>
          </a:extLst>
        </xdr:cNvPr>
        <xdr:cNvSpPr/>
      </xdr:nvSpPr>
      <xdr:spPr>
        <a:xfrm rot="16200000">
          <a:off x="9694939" y="4885051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1735</xdr:colOff>
      <xdr:row>261</xdr:row>
      <xdr:rowOff>59423</xdr:rowOff>
    </xdr:from>
    <xdr:to>
      <xdr:col>36</xdr:col>
      <xdr:colOff>222310</xdr:colOff>
      <xdr:row>262</xdr:row>
      <xdr:rowOff>134099</xdr:rowOff>
    </xdr:to>
    <xdr:sp macro="" textlink="">
      <xdr:nvSpPr>
        <xdr:cNvPr id="387" name="Isosceles Triangle 386" hidden="1">
          <a:extLst>
            <a:ext uri="{FF2B5EF4-FFF2-40B4-BE49-F238E27FC236}">
              <a16:creationId xmlns:a16="http://schemas.microsoft.com/office/drawing/2014/main" id="{00000000-0008-0000-0900-000083010000}"/>
            </a:ext>
          </a:extLst>
        </xdr:cNvPr>
        <xdr:cNvSpPr/>
      </xdr:nvSpPr>
      <xdr:spPr>
        <a:xfrm rot="16200000">
          <a:off x="9694935" y="49802223"/>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1737</xdr:colOff>
      <xdr:row>266</xdr:row>
      <xdr:rowOff>59423</xdr:rowOff>
    </xdr:from>
    <xdr:to>
      <xdr:col>36</xdr:col>
      <xdr:colOff>222312</xdr:colOff>
      <xdr:row>267</xdr:row>
      <xdr:rowOff>134099</xdr:rowOff>
    </xdr:to>
    <xdr:sp macro="" textlink="">
      <xdr:nvSpPr>
        <xdr:cNvPr id="388" name="Isosceles Triangle 387" hidden="1">
          <a:extLst>
            <a:ext uri="{FF2B5EF4-FFF2-40B4-BE49-F238E27FC236}">
              <a16:creationId xmlns:a16="http://schemas.microsoft.com/office/drawing/2014/main" id="{00000000-0008-0000-0900-000084010000}"/>
            </a:ext>
          </a:extLst>
        </xdr:cNvPr>
        <xdr:cNvSpPr/>
      </xdr:nvSpPr>
      <xdr:spPr>
        <a:xfrm rot="16200000">
          <a:off x="9694937" y="50754723"/>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1738</xdr:colOff>
      <xdr:row>271</xdr:row>
      <xdr:rowOff>59423</xdr:rowOff>
    </xdr:from>
    <xdr:to>
      <xdr:col>36</xdr:col>
      <xdr:colOff>222313</xdr:colOff>
      <xdr:row>272</xdr:row>
      <xdr:rowOff>134099</xdr:rowOff>
    </xdr:to>
    <xdr:sp macro="" textlink="">
      <xdr:nvSpPr>
        <xdr:cNvPr id="389" name="Isosceles Triangle 388" hidden="1">
          <a:extLst>
            <a:ext uri="{FF2B5EF4-FFF2-40B4-BE49-F238E27FC236}">
              <a16:creationId xmlns:a16="http://schemas.microsoft.com/office/drawing/2014/main" id="{00000000-0008-0000-0900-000085010000}"/>
            </a:ext>
          </a:extLst>
        </xdr:cNvPr>
        <xdr:cNvSpPr/>
      </xdr:nvSpPr>
      <xdr:spPr>
        <a:xfrm rot="16200000">
          <a:off x="9694938" y="51707223"/>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1740</xdr:colOff>
      <xdr:row>276</xdr:row>
      <xdr:rowOff>59423</xdr:rowOff>
    </xdr:from>
    <xdr:to>
      <xdr:col>36</xdr:col>
      <xdr:colOff>222315</xdr:colOff>
      <xdr:row>277</xdr:row>
      <xdr:rowOff>134099</xdr:rowOff>
    </xdr:to>
    <xdr:sp macro="" textlink="">
      <xdr:nvSpPr>
        <xdr:cNvPr id="390" name="Isosceles Triangle 389" hidden="1">
          <a:extLst>
            <a:ext uri="{FF2B5EF4-FFF2-40B4-BE49-F238E27FC236}">
              <a16:creationId xmlns:a16="http://schemas.microsoft.com/office/drawing/2014/main" id="{00000000-0008-0000-0900-000086010000}"/>
            </a:ext>
          </a:extLst>
        </xdr:cNvPr>
        <xdr:cNvSpPr/>
      </xdr:nvSpPr>
      <xdr:spPr>
        <a:xfrm rot="16200000">
          <a:off x="9694940" y="52659723"/>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1738</xdr:colOff>
      <xdr:row>281</xdr:row>
      <xdr:rowOff>60217</xdr:rowOff>
    </xdr:from>
    <xdr:to>
      <xdr:col>36</xdr:col>
      <xdr:colOff>222313</xdr:colOff>
      <xdr:row>282</xdr:row>
      <xdr:rowOff>134893</xdr:rowOff>
    </xdr:to>
    <xdr:sp macro="" textlink="">
      <xdr:nvSpPr>
        <xdr:cNvPr id="391" name="Isosceles Triangle 390" hidden="1">
          <a:extLst>
            <a:ext uri="{FF2B5EF4-FFF2-40B4-BE49-F238E27FC236}">
              <a16:creationId xmlns:a16="http://schemas.microsoft.com/office/drawing/2014/main" id="{00000000-0008-0000-0900-000087010000}"/>
            </a:ext>
          </a:extLst>
        </xdr:cNvPr>
        <xdr:cNvSpPr/>
      </xdr:nvSpPr>
      <xdr:spPr>
        <a:xfrm rot="16200000">
          <a:off x="9694938" y="53613017"/>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1740</xdr:colOff>
      <xdr:row>286</xdr:row>
      <xdr:rowOff>60217</xdr:rowOff>
    </xdr:from>
    <xdr:to>
      <xdr:col>36</xdr:col>
      <xdr:colOff>222315</xdr:colOff>
      <xdr:row>287</xdr:row>
      <xdr:rowOff>134893</xdr:rowOff>
    </xdr:to>
    <xdr:sp macro="" textlink="">
      <xdr:nvSpPr>
        <xdr:cNvPr id="392" name="Isosceles Triangle 391" hidden="1">
          <a:extLst>
            <a:ext uri="{FF2B5EF4-FFF2-40B4-BE49-F238E27FC236}">
              <a16:creationId xmlns:a16="http://schemas.microsoft.com/office/drawing/2014/main" id="{00000000-0008-0000-0900-000088010000}"/>
            </a:ext>
          </a:extLst>
        </xdr:cNvPr>
        <xdr:cNvSpPr/>
      </xdr:nvSpPr>
      <xdr:spPr>
        <a:xfrm rot="16200000">
          <a:off x="9694940" y="54565517"/>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1736</xdr:colOff>
      <xdr:row>291</xdr:row>
      <xdr:rowOff>59425</xdr:rowOff>
    </xdr:from>
    <xdr:to>
      <xdr:col>36</xdr:col>
      <xdr:colOff>222311</xdr:colOff>
      <xdr:row>292</xdr:row>
      <xdr:rowOff>134101</xdr:rowOff>
    </xdr:to>
    <xdr:sp macro="" textlink="">
      <xdr:nvSpPr>
        <xdr:cNvPr id="393" name="Isosceles Triangle 392" hidden="1">
          <a:extLst>
            <a:ext uri="{FF2B5EF4-FFF2-40B4-BE49-F238E27FC236}">
              <a16:creationId xmlns:a16="http://schemas.microsoft.com/office/drawing/2014/main" id="{00000000-0008-0000-0900-000089010000}"/>
            </a:ext>
          </a:extLst>
        </xdr:cNvPr>
        <xdr:cNvSpPr/>
      </xdr:nvSpPr>
      <xdr:spPr>
        <a:xfrm rot="16200000">
          <a:off x="9694936" y="5551722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1738</xdr:colOff>
      <xdr:row>296</xdr:row>
      <xdr:rowOff>59425</xdr:rowOff>
    </xdr:from>
    <xdr:to>
      <xdr:col>36</xdr:col>
      <xdr:colOff>222313</xdr:colOff>
      <xdr:row>297</xdr:row>
      <xdr:rowOff>134101</xdr:rowOff>
    </xdr:to>
    <xdr:sp macro="" textlink="">
      <xdr:nvSpPr>
        <xdr:cNvPr id="394" name="Isosceles Triangle 393" hidden="1">
          <a:extLst>
            <a:ext uri="{FF2B5EF4-FFF2-40B4-BE49-F238E27FC236}">
              <a16:creationId xmlns:a16="http://schemas.microsoft.com/office/drawing/2014/main" id="{00000000-0008-0000-0900-00008A010000}"/>
            </a:ext>
          </a:extLst>
        </xdr:cNvPr>
        <xdr:cNvSpPr/>
      </xdr:nvSpPr>
      <xdr:spPr>
        <a:xfrm rot="16200000">
          <a:off x="9694938" y="5646972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1739</xdr:colOff>
      <xdr:row>301</xdr:row>
      <xdr:rowOff>59425</xdr:rowOff>
    </xdr:from>
    <xdr:to>
      <xdr:col>36</xdr:col>
      <xdr:colOff>222314</xdr:colOff>
      <xdr:row>302</xdr:row>
      <xdr:rowOff>134101</xdr:rowOff>
    </xdr:to>
    <xdr:sp macro="" textlink="">
      <xdr:nvSpPr>
        <xdr:cNvPr id="395" name="Isosceles Triangle 394" hidden="1">
          <a:extLst>
            <a:ext uri="{FF2B5EF4-FFF2-40B4-BE49-F238E27FC236}">
              <a16:creationId xmlns:a16="http://schemas.microsoft.com/office/drawing/2014/main" id="{00000000-0008-0000-0900-00008B010000}"/>
            </a:ext>
          </a:extLst>
        </xdr:cNvPr>
        <xdr:cNvSpPr/>
      </xdr:nvSpPr>
      <xdr:spPr>
        <a:xfrm rot="16200000">
          <a:off x="9694939" y="5742222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1741</xdr:colOff>
      <xdr:row>306</xdr:row>
      <xdr:rowOff>59425</xdr:rowOff>
    </xdr:from>
    <xdr:to>
      <xdr:col>36</xdr:col>
      <xdr:colOff>222316</xdr:colOff>
      <xdr:row>307</xdr:row>
      <xdr:rowOff>134101</xdr:rowOff>
    </xdr:to>
    <xdr:sp macro="" textlink="">
      <xdr:nvSpPr>
        <xdr:cNvPr id="396" name="Isosceles Triangle 395" hidden="1">
          <a:extLst>
            <a:ext uri="{FF2B5EF4-FFF2-40B4-BE49-F238E27FC236}">
              <a16:creationId xmlns:a16="http://schemas.microsoft.com/office/drawing/2014/main" id="{00000000-0008-0000-0900-00008C010000}"/>
            </a:ext>
          </a:extLst>
        </xdr:cNvPr>
        <xdr:cNvSpPr/>
      </xdr:nvSpPr>
      <xdr:spPr>
        <a:xfrm rot="16200000">
          <a:off x="9694941" y="58374725"/>
          <a:ext cx="265176"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1885</xdr:colOff>
      <xdr:row>36</xdr:row>
      <xdr:rowOff>59009</xdr:rowOff>
    </xdr:from>
    <xdr:to>
      <xdr:col>43</xdr:col>
      <xdr:colOff>222460</xdr:colOff>
      <xdr:row>37</xdr:row>
      <xdr:rowOff>133685</xdr:rowOff>
    </xdr:to>
    <xdr:sp macro="" textlink="">
      <xdr:nvSpPr>
        <xdr:cNvPr id="397" name="Isosceles Triangle 396">
          <a:extLst>
            <a:ext uri="{FF2B5EF4-FFF2-40B4-BE49-F238E27FC236}">
              <a16:creationId xmlns:a16="http://schemas.microsoft.com/office/drawing/2014/main" id="{00000000-0008-0000-0900-00008D010000}"/>
            </a:ext>
          </a:extLst>
        </xdr:cNvPr>
        <xdr:cNvSpPr/>
      </xdr:nvSpPr>
      <xdr:spPr>
        <a:xfrm rot="16200000">
          <a:off x="11466892" y="6958412"/>
          <a:ext cx="265699" cy="220575"/>
        </a:xfrm>
        <a:prstGeom prst="triangle">
          <a:avLst/>
        </a:prstGeom>
        <a:solidFill>
          <a:srgbClr val="00B05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1886</xdr:colOff>
      <xdr:row>41</xdr:row>
      <xdr:rowOff>59009</xdr:rowOff>
    </xdr:from>
    <xdr:to>
      <xdr:col>43</xdr:col>
      <xdr:colOff>222461</xdr:colOff>
      <xdr:row>42</xdr:row>
      <xdr:rowOff>133685</xdr:rowOff>
    </xdr:to>
    <xdr:sp macro="" textlink="">
      <xdr:nvSpPr>
        <xdr:cNvPr id="398" name="Isosceles Triangle 397">
          <a:extLst>
            <a:ext uri="{FF2B5EF4-FFF2-40B4-BE49-F238E27FC236}">
              <a16:creationId xmlns:a16="http://schemas.microsoft.com/office/drawing/2014/main" id="{00000000-0008-0000-0900-00008E010000}"/>
            </a:ext>
          </a:extLst>
        </xdr:cNvPr>
        <xdr:cNvSpPr/>
      </xdr:nvSpPr>
      <xdr:spPr>
        <a:xfrm rot="16200000">
          <a:off x="11466893" y="7913528"/>
          <a:ext cx="265700"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1888</xdr:colOff>
      <xdr:row>46</xdr:row>
      <xdr:rowOff>59009</xdr:rowOff>
    </xdr:from>
    <xdr:to>
      <xdr:col>43</xdr:col>
      <xdr:colOff>222463</xdr:colOff>
      <xdr:row>47</xdr:row>
      <xdr:rowOff>133685</xdr:rowOff>
    </xdr:to>
    <xdr:sp macro="" textlink="">
      <xdr:nvSpPr>
        <xdr:cNvPr id="399" name="Isosceles Triangle 398">
          <a:extLst>
            <a:ext uri="{FF2B5EF4-FFF2-40B4-BE49-F238E27FC236}">
              <a16:creationId xmlns:a16="http://schemas.microsoft.com/office/drawing/2014/main" id="{00000000-0008-0000-0900-00008F010000}"/>
            </a:ext>
          </a:extLst>
        </xdr:cNvPr>
        <xdr:cNvSpPr/>
      </xdr:nvSpPr>
      <xdr:spPr>
        <a:xfrm rot="16200000">
          <a:off x="11466895" y="8868645"/>
          <a:ext cx="265700"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1889</xdr:colOff>
      <xdr:row>51</xdr:row>
      <xdr:rowOff>59009</xdr:rowOff>
    </xdr:from>
    <xdr:to>
      <xdr:col>43</xdr:col>
      <xdr:colOff>222464</xdr:colOff>
      <xdr:row>52</xdr:row>
      <xdr:rowOff>133685</xdr:rowOff>
    </xdr:to>
    <xdr:sp macro="" textlink="">
      <xdr:nvSpPr>
        <xdr:cNvPr id="400" name="Isosceles Triangle 399" hidden="1">
          <a:extLst>
            <a:ext uri="{FF2B5EF4-FFF2-40B4-BE49-F238E27FC236}">
              <a16:creationId xmlns:a16="http://schemas.microsoft.com/office/drawing/2014/main" id="{00000000-0008-0000-0900-000090010000}"/>
            </a:ext>
          </a:extLst>
        </xdr:cNvPr>
        <xdr:cNvSpPr/>
      </xdr:nvSpPr>
      <xdr:spPr>
        <a:xfrm rot="16200000">
          <a:off x="11466896" y="9823762"/>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1891</xdr:colOff>
      <xdr:row>56</xdr:row>
      <xdr:rowOff>59009</xdr:rowOff>
    </xdr:from>
    <xdr:to>
      <xdr:col>43</xdr:col>
      <xdr:colOff>222466</xdr:colOff>
      <xdr:row>57</xdr:row>
      <xdr:rowOff>133685</xdr:rowOff>
    </xdr:to>
    <xdr:sp macro="" textlink="">
      <xdr:nvSpPr>
        <xdr:cNvPr id="401" name="Isosceles Triangle 400" hidden="1">
          <a:extLst>
            <a:ext uri="{FF2B5EF4-FFF2-40B4-BE49-F238E27FC236}">
              <a16:creationId xmlns:a16="http://schemas.microsoft.com/office/drawing/2014/main" id="{00000000-0008-0000-0900-000091010000}"/>
            </a:ext>
          </a:extLst>
        </xdr:cNvPr>
        <xdr:cNvSpPr/>
      </xdr:nvSpPr>
      <xdr:spPr>
        <a:xfrm rot="16200000">
          <a:off x="11466898" y="10778879"/>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1887</xdr:colOff>
      <xdr:row>61</xdr:row>
      <xdr:rowOff>58217</xdr:rowOff>
    </xdr:from>
    <xdr:to>
      <xdr:col>43</xdr:col>
      <xdr:colOff>222462</xdr:colOff>
      <xdr:row>62</xdr:row>
      <xdr:rowOff>132893</xdr:rowOff>
    </xdr:to>
    <xdr:sp macro="" textlink="">
      <xdr:nvSpPr>
        <xdr:cNvPr id="402" name="Isosceles Triangle 401" hidden="1">
          <a:extLst>
            <a:ext uri="{FF2B5EF4-FFF2-40B4-BE49-F238E27FC236}">
              <a16:creationId xmlns:a16="http://schemas.microsoft.com/office/drawing/2014/main" id="{00000000-0008-0000-0900-000092010000}"/>
            </a:ext>
          </a:extLst>
        </xdr:cNvPr>
        <xdr:cNvSpPr/>
      </xdr:nvSpPr>
      <xdr:spPr>
        <a:xfrm rot="16200000">
          <a:off x="11466894" y="11733203"/>
          <a:ext cx="265700"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1889</xdr:colOff>
      <xdr:row>66</xdr:row>
      <xdr:rowOff>58217</xdr:rowOff>
    </xdr:from>
    <xdr:to>
      <xdr:col>43</xdr:col>
      <xdr:colOff>222464</xdr:colOff>
      <xdr:row>67</xdr:row>
      <xdr:rowOff>132893</xdr:rowOff>
    </xdr:to>
    <xdr:sp macro="" textlink="">
      <xdr:nvSpPr>
        <xdr:cNvPr id="403" name="Isosceles Triangle 402" hidden="1">
          <a:extLst>
            <a:ext uri="{FF2B5EF4-FFF2-40B4-BE49-F238E27FC236}">
              <a16:creationId xmlns:a16="http://schemas.microsoft.com/office/drawing/2014/main" id="{00000000-0008-0000-0900-000093010000}"/>
            </a:ext>
          </a:extLst>
        </xdr:cNvPr>
        <xdr:cNvSpPr/>
      </xdr:nvSpPr>
      <xdr:spPr>
        <a:xfrm rot="16200000">
          <a:off x="11466896" y="12688320"/>
          <a:ext cx="265700"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1890</xdr:colOff>
      <xdr:row>71</xdr:row>
      <xdr:rowOff>58217</xdr:rowOff>
    </xdr:from>
    <xdr:to>
      <xdr:col>43</xdr:col>
      <xdr:colOff>222465</xdr:colOff>
      <xdr:row>72</xdr:row>
      <xdr:rowOff>132893</xdr:rowOff>
    </xdr:to>
    <xdr:sp macro="" textlink="">
      <xdr:nvSpPr>
        <xdr:cNvPr id="404" name="Isosceles Triangle 403" hidden="1">
          <a:extLst>
            <a:ext uri="{FF2B5EF4-FFF2-40B4-BE49-F238E27FC236}">
              <a16:creationId xmlns:a16="http://schemas.microsoft.com/office/drawing/2014/main" id="{00000000-0008-0000-0900-000094010000}"/>
            </a:ext>
          </a:extLst>
        </xdr:cNvPr>
        <xdr:cNvSpPr/>
      </xdr:nvSpPr>
      <xdr:spPr>
        <a:xfrm rot="16200000">
          <a:off x="11466897" y="13643437"/>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1892</xdr:colOff>
      <xdr:row>76</xdr:row>
      <xdr:rowOff>58217</xdr:rowOff>
    </xdr:from>
    <xdr:to>
      <xdr:col>43</xdr:col>
      <xdr:colOff>222467</xdr:colOff>
      <xdr:row>77</xdr:row>
      <xdr:rowOff>132893</xdr:rowOff>
    </xdr:to>
    <xdr:sp macro="" textlink="">
      <xdr:nvSpPr>
        <xdr:cNvPr id="405" name="Isosceles Triangle 404" hidden="1">
          <a:extLst>
            <a:ext uri="{FF2B5EF4-FFF2-40B4-BE49-F238E27FC236}">
              <a16:creationId xmlns:a16="http://schemas.microsoft.com/office/drawing/2014/main" id="{00000000-0008-0000-0900-000095010000}"/>
            </a:ext>
          </a:extLst>
        </xdr:cNvPr>
        <xdr:cNvSpPr/>
      </xdr:nvSpPr>
      <xdr:spPr>
        <a:xfrm rot="16200000">
          <a:off x="11466899" y="14598554"/>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1210</xdr:colOff>
      <xdr:row>81</xdr:row>
      <xdr:rowOff>59693</xdr:rowOff>
    </xdr:from>
    <xdr:to>
      <xdr:col>43</xdr:col>
      <xdr:colOff>221785</xdr:colOff>
      <xdr:row>82</xdr:row>
      <xdr:rowOff>134369</xdr:rowOff>
    </xdr:to>
    <xdr:sp macro="" textlink="">
      <xdr:nvSpPr>
        <xdr:cNvPr id="406" name="Isosceles Triangle 405" hidden="1">
          <a:extLst>
            <a:ext uri="{FF2B5EF4-FFF2-40B4-BE49-F238E27FC236}">
              <a16:creationId xmlns:a16="http://schemas.microsoft.com/office/drawing/2014/main" id="{00000000-0008-0000-0900-000096010000}"/>
            </a:ext>
          </a:extLst>
        </xdr:cNvPr>
        <xdr:cNvSpPr/>
      </xdr:nvSpPr>
      <xdr:spPr>
        <a:xfrm rot="16200000">
          <a:off x="11466217" y="15555146"/>
          <a:ext cx="265700"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1212</xdr:colOff>
      <xdr:row>86</xdr:row>
      <xdr:rowOff>59693</xdr:rowOff>
    </xdr:from>
    <xdr:to>
      <xdr:col>43</xdr:col>
      <xdr:colOff>221787</xdr:colOff>
      <xdr:row>87</xdr:row>
      <xdr:rowOff>134369</xdr:rowOff>
    </xdr:to>
    <xdr:sp macro="" textlink="">
      <xdr:nvSpPr>
        <xdr:cNvPr id="407" name="Isosceles Triangle 406" hidden="1">
          <a:extLst>
            <a:ext uri="{FF2B5EF4-FFF2-40B4-BE49-F238E27FC236}">
              <a16:creationId xmlns:a16="http://schemas.microsoft.com/office/drawing/2014/main" id="{00000000-0008-0000-0900-000097010000}"/>
            </a:ext>
          </a:extLst>
        </xdr:cNvPr>
        <xdr:cNvSpPr/>
      </xdr:nvSpPr>
      <xdr:spPr>
        <a:xfrm rot="16200000">
          <a:off x="11466219" y="16510263"/>
          <a:ext cx="265700"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1213</xdr:colOff>
      <xdr:row>91</xdr:row>
      <xdr:rowOff>59693</xdr:rowOff>
    </xdr:from>
    <xdr:to>
      <xdr:col>43</xdr:col>
      <xdr:colOff>221788</xdr:colOff>
      <xdr:row>92</xdr:row>
      <xdr:rowOff>134369</xdr:rowOff>
    </xdr:to>
    <xdr:sp macro="" textlink="">
      <xdr:nvSpPr>
        <xdr:cNvPr id="408" name="Isosceles Triangle 407" hidden="1">
          <a:extLst>
            <a:ext uri="{FF2B5EF4-FFF2-40B4-BE49-F238E27FC236}">
              <a16:creationId xmlns:a16="http://schemas.microsoft.com/office/drawing/2014/main" id="{00000000-0008-0000-0900-000098010000}"/>
            </a:ext>
          </a:extLst>
        </xdr:cNvPr>
        <xdr:cNvSpPr/>
      </xdr:nvSpPr>
      <xdr:spPr>
        <a:xfrm rot="16200000">
          <a:off x="11466220" y="17465380"/>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1215</xdr:colOff>
      <xdr:row>96</xdr:row>
      <xdr:rowOff>59693</xdr:rowOff>
    </xdr:from>
    <xdr:to>
      <xdr:col>43</xdr:col>
      <xdr:colOff>221790</xdr:colOff>
      <xdr:row>97</xdr:row>
      <xdr:rowOff>134369</xdr:rowOff>
    </xdr:to>
    <xdr:sp macro="" textlink="">
      <xdr:nvSpPr>
        <xdr:cNvPr id="409" name="Isosceles Triangle 408" hidden="1">
          <a:extLst>
            <a:ext uri="{FF2B5EF4-FFF2-40B4-BE49-F238E27FC236}">
              <a16:creationId xmlns:a16="http://schemas.microsoft.com/office/drawing/2014/main" id="{00000000-0008-0000-0900-000099010000}"/>
            </a:ext>
          </a:extLst>
        </xdr:cNvPr>
        <xdr:cNvSpPr/>
      </xdr:nvSpPr>
      <xdr:spPr>
        <a:xfrm rot="16200000">
          <a:off x="11466222" y="18420497"/>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1211</xdr:colOff>
      <xdr:row>101</xdr:row>
      <xdr:rowOff>58901</xdr:rowOff>
    </xdr:from>
    <xdr:to>
      <xdr:col>43</xdr:col>
      <xdr:colOff>221786</xdr:colOff>
      <xdr:row>102</xdr:row>
      <xdr:rowOff>133577</xdr:rowOff>
    </xdr:to>
    <xdr:sp macro="" textlink="">
      <xdr:nvSpPr>
        <xdr:cNvPr id="410" name="Isosceles Triangle 409" hidden="1">
          <a:extLst>
            <a:ext uri="{FF2B5EF4-FFF2-40B4-BE49-F238E27FC236}">
              <a16:creationId xmlns:a16="http://schemas.microsoft.com/office/drawing/2014/main" id="{00000000-0008-0000-0900-00009A010000}"/>
            </a:ext>
          </a:extLst>
        </xdr:cNvPr>
        <xdr:cNvSpPr/>
      </xdr:nvSpPr>
      <xdr:spPr>
        <a:xfrm rot="16200000">
          <a:off x="11466218" y="19374822"/>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1213</xdr:colOff>
      <xdr:row>106</xdr:row>
      <xdr:rowOff>58901</xdr:rowOff>
    </xdr:from>
    <xdr:to>
      <xdr:col>43</xdr:col>
      <xdr:colOff>221788</xdr:colOff>
      <xdr:row>107</xdr:row>
      <xdr:rowOff>133577</xdr:rowOff>
    </xdr:to>
    <xdr:sp macro="" textlink="">
      <xdr:nvSpPr>
        <xdr:cNvPr id="411" name="Isosceles Triangle 410" hidden="1">
          <a:extLst>
            <a:ext uri="{FF2B5EF4-FFF2-40B4-BE49-F238E27FC236}">
              <a16:creationId xmlns:a16="http://schemas.microsoft.com/office/drawing/2014/main" id="{00000000-0008-0000-0900-00009B010000}"/>
            </a:ext>
          </a:extLst>
        </xdr:cNvPr>
        <xdr:cNvSpPr/>
      </xdr:nvSpPr>
      <xdr:spPr>
        <a:xfrm rot="16200000">
          <a:off x="11466220" y="20329938"/>
          <a:ext cx="265700"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1214</xdr:colOff>
      <xdr:row>111</xdr:row>
      <xdr:rowOff>58901</xdr:rowOff>
    </xdr:from>
    <xdr:to>
      <xdr:col>43</xdr:col>
      <xdr:colOff>221789</xdr:colOff>
      <xdr:row>112</xdr:row>
      <xdr:rowOff>133577</xdr:rowOff>
    </xdr:to>
    <xdr:sp macro="" textlink="">
      <xdr:nvSpPr>
        <xdr:cNvPr id="412" name="Isosceles Triangle 411" hidden="1">
          <a:extLst>
            <a:ext uri="{FF2B5EF4-FFF2-40B4-BE49-F238E27FC236}">
              <a16:creationId xmlns:a16="http://schemas.microsoft.com/office/drawing/2014/main" id="{00000000-0008-0000-0900-00009C010000}"/>
            </a:ext>
          </a:extLst>
        </xdr:cNvPr>
        <xdr:cNvSpPr/>
      </xdr:nvSpPr>
      <xdr:spPr>
        <a:xfrm rot="16200000">
          <a:off x="11466221" y="21285055"/>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1216</xdr:colOff>
      <xdr:row>116</xdr:row>
      <xdr:rowOff>58901</xdr:rowOff>
    </xdr:from>
    <xdr:to>
      <xdr:col>43</xdr:col>
      <xdr:colOff>221791</xdr:colOff>
      <xdr:row>117</xdr:row>
      <xdr:rowOff>133577</xdr:rowOff>
    </xdr:to>
    <xdr:sp macro="" textlink="">
      <xdr:nvSpPr>
        <xdr:cNvPr id="413" name="Isosceles Triangle 412" hidden="1">
          <a:extLst>
            <a:ext uri="{FF2B5EF4-FFF2-40B4-BE49-F238E27FC236}">
              <a16:creationId xmlns:a16="http://schemas.microsoft.com/office/drawing/2014/main" id="{00000000-0008-0000-0900-00009D010000}"/>
            </a:ext>
          </a:extLst>
        </xdr:cNvPr>
        <xdr:cNvSpPr/>
      </xdr:nvSpPr>
      <xdr:spPr>
        <a:xfrm rot="16200000">
          <a:off x="11466223" y="22240172"/>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1216</xdr:colOff>
      <xdr:row>121</xdr:row>
      <xdr:rowOff>59693</xdr:rowOff>
    </xdr:from>
    <xdr:to>
      <xdr:col>43</xdr:col>
      <xdr:colOff>221791</xdr:colOff>
      <xdr:row>122</xdr:row>
      <xdr:rowOff>134369</xdr:rowOff>
    </xdr:to>
    <xdr:sp macro="" textlink="">
      <xdr:nvSpPr>
        <xdr:cNvPr id="414" name="Isosceles Triangle 413" hidden="1">
          <a:extLst>
            <a:ext uri="{FF2B5EF4-FFF2-40B4-BE49-F238E27FC236}">
              <a16:creationId xmlns:a16="http://schemas.microsoft.com/office/drawing/2014/main" id="{00000000-0008-0000-0900-00009E010000}"/>
            </a:ext>
          </a:extLst>
        </xdr:cNvPr>
        <xdr:cNvSpPr/>
      </xdr:nvSpPr>
      <xdr:spPr>
        <a:xfrm rot="16200000">
          <a:off x="11466223" y="23196081"/>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1218</xdr:colOff>
      <xdr:row>126</xdr:row>
      <xdr:rowOff>59693</xdr:rowOff>
    </xdr:from>
    <xdr:to>
      <xdr:col>43</xdr:col>
      <xdr:colOff>221793</xdr:colOff>
      <xdr:row>127</xdr:row>
      <xdr:rowOff>134369</xdr:rowOff>
    </xdr:to>
    <xdr:sp macro="" textlink="">
      <xdr:nvSpPr>
        <xdr:cNvPr id="415" name="Isosceles Triangle 414" hidden="1">
          <a:extLst>
            <a:ext uri="{FF2B5EF4-FFF2-40B4-BE49-F238E27FC236}">
              <a16:creationId xmlns:a16="http://schemas.microsoft.com/office/drawing/2014/main" id="{00000000-0008-0000-0900-00009F010000}"/>
            </a:ext>
          </a:extLst>
        </xdr:cNvPr>
        <xdr:cNvSpPr/>
      </xdr:nvSpPr>
      <xdr:spPr>
        <a:xfrm rot="16200000">
          <a:off x="11466225" y="24151197"/>
          <a:ext cx="265700"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1219</xdr:colOff>
      <xdr:row>131</xdr:row>
      <xdr:rowOff>59693</xdr:rowOff>
    </xdr:from>
    <xdr:to>
      <xdr:col>43</xdr:col>
      <xdr:colOff>221794</xdr:colOff>
      <xdr:row>132</xdr:row>
      <xdr:rowOff>134369</xdr:rowOff>
    </xdr:to>
    <xdr:sp macro="" textlink="">
      <xdr:nvSpPr>
        <xdr:cNvPr id="416" name="Isosceles Triangle 415" hidden="1">
          <a:extLst>
            <a:ext uri="{FF2B5EF4-FFF2-40B4-BE49-F238E27FC236}">
              <a16:creationId xmlns:a16="http://schemas.microsoft.com/office/drawing/2014/main" id="{00000000-0008-0000-0900-0000A0010000}"/>
            </a:ext>
          </a:extLst>
        </xdr:cNvPr>
        <xdr:cNvSpPr/>
      </xdr:nvSpPr>
      <xdr:spPr>
        <a:xfrm rot="16200000">
          <a:off x="11466226" y="25106314"/>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1221</xdr:colOff>
      <xdr:row>136</xdr:row>
      <xdr:rowOff>59693</xdr:rowOff>
    </xdr:from>
    <xdr:to>
      <xdr:col>43</xdr:col>
      <xdr:colOff>221796</xdr:colOff>
      <xdr:row>137</xdr:row>
      <xdr:rowOff>134369</xdr:rowOff>
    </xdr:to>
    <xdr:sp macro="" textlink="">
      <xdr:nvSpPr>
        <xdr:cNvPr id="417" name="Isosceles Triangle 416" hidden="1">
          <a:extLst>
            <a:ext uri="{FF2B5EF4-FFF2-40B4-BE49-F238E27FC236}">
              <a16:creationId xmlns:a16="http://schemas.microsoft.com/office/drawing/2014/main" id="{00000000-0008-0000-0900-0000A1010000}"/>
            </a:ext>
          </a:extLst>
        </xdr:cNvPr>
        <xdr:cNvSpPr/>
      </xdr:nvSpPr>
      <xdr:spPr>
        <a:xfrm rot="16200000">
          <a:off x="11466228" y="26061431"/>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1217</xdr:colOff>
      <xdr:row>141</xdr:row>
      <xdr:rowOff>58901</xdr:rowOff>
    </xdr:from>
    <xdr:to>
      <xdr:col>43</xdr:col>
      <xdr:colOff>221792</xdr:colOff>
      <xdr:row>142</xdr:row>
      <xdr:rowOff>133577</xdr:rowOff>
    </xdr:to>
    <xdr:sp macro="" textlink="">
      <xdr:nvSpPr>
        <xdr:cNvPr id="418" name="Isosceles Triangle 417" hidden="1">
          <a:extLst>
            <a:ext uri="{FF2B5EF4-FFF2-40B4-BE49-F238E27FC236}">
              <a16:creationId xmlns:a16="http://schemas.microsoft.com/office/drawing/2014/main" id="{00000000-0008-0000-0900-0000A2010000}"/>
            </a:ext>
          </a:extLst>
        </xdr:cNvPr>
        <xdr:cNvSpPr/>
      </xdr:nvSpPr>
      <xdr:spPr>
        <a:xfrm rot="16200000">
          <a:off x="11466224" y="27015756"/>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1219</xdr:colOff>
      <xdr:row>146</xdr:row>
      <xdr:rowOff>58901</xdr:rowOff>
    </xdr:from>
    <xdr:to>
      <xdr:col>43</xdr:col>
      <xdr:colOff>221794</xdr:colOff>
      <xdr:row>147</xdr:row>
      <xdr:rowOff>133577</xdr:rowOff>
    </xdr:to>
    <xdr:sp macro="" textlink="">
      <xdr:nvSpPr>
        <xdr:cNvPr id="419" name="Isosceles Triangle 418" hidden="1">
          <a:extLst>
            <a:ext uri="{FF2B5EF4-FFF2-40B4-BE49-F238E27FC236}">
              <a16:creationId xmlns:a16="http://schemas.microsoft.com/office/drawing/2014/main" id="{00000000-0008-0000-0900-0000A3010000}"/>
            </a:ext>
          </a:extLst>
        </xdr:cNvPr>
        <xdr:cNvSpPr/>
      </xdr:nvSpPr>
      <xdr:spPr>
        <a:xfrm rot="16200000">
          <a:off x="11466226" y="27970872"/>
          <a:ext cx="265700"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1220</xdr:colOff>
      <xdr:row>151</xdr:row>
      <xdr:rowOff>58901</xdr:rowOff>
    </xdr:from>
    <xdr:to>
      <xdr:col>43</xdr:col>
      <xdr:colOff>221795</xdr:colOff>
      <xdr:row>152</xdr:row>
      <xdr:rowOff>133577</xdr:rowOff>
    </xdr:to>
    <xdr:sp macro="" textlink="">
      <xdr:nvSpPr>
        <xdr:cNvPr id="420" name="Isosceles Triangle 419" hidden="1">
          <a:extLst>
            <a:ext uri="{FF2B5EF4-FFF2-40B4-BE49-F238E27FC236}">
              <a16:creationId xmlns:a16="http://schemas.microsoft.com/office/drawing/2014/main" id="{00000000-0008-0000-0900-0000A4010000}"/>
            </a:ext>
          </a:extLst>
        </xdr:cNvPr>
        <xdr:cNvSpPr/>
      </xdr:nvSpPr>
      <xdr:spPr>
        <a:xfrm rot="16200000">
          <a:off x="11466227" y="28925989"/>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1222</xdr:colOff>
      <xdr:row>156</xdr:row>
      <xdr:rowOff>58901</xdr:rowOff>
    </xdr:from>
    <xdr:to>
      <xdr:col>43</xdr:col>
      <xdr:colOff>221797</xdr:colOff>
      <xdr:row>157</xdr:row>
      <xdr:rowOff>133577</xdr:rowOff>
    </xdr:to>
    <xdr:sp macro="" textlink="">
      <xdr:nvSpPr>
        <xdr:cNvPr id="421" name="Isosceles Triangle 420" hidden="1">
          <a:extLst>
            <a:ext uri="{FF2B5EF4-FFF2-40B4-BE49-F238E27FC236}">
              <a16:creationId xmlns:a16="http://schemas.microsoft.com/office/drawing/2014/main" id="{00000000-0008-0000-0900-0000A5010000}"/>
            </a:ext>
          </a:extLst>
        </xdr:cNvPr>
        <xdr:cNvSpPr/>
      </xdr:nvSpPr>
      <xdr:spPr>
        <a:xfrm rot="16200000">
          <a:off x="11466229" y="29881106"/>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1226</xdr:colOff>
      <xdr:row>161</xdr:row>
      <xdr:rowOff>59693</xdr:rowOff>
    </xdr:from>
    <xdr:to>
      <xdr:col>43</xdr:col>
      <xdr:colOff>221801</xdr:colOff>
      <xdr:row>162</xdr:row>
      <xdr:rowOff>134369</xdr:rowOff>
    </xdr:to>
    <xdr:sp macro="" textlink="">
      <xdr:nvSpPr>
        <xdr:cNvPr id="422" name="Isosceles Triangle 421" hidden="1">
          <a:extLst>
            <a:ext uri="{FF2B5EF4-FFF2-40B4-BE49-F238E27FC236}">
              <a16:creationId xmlns:a16="http://schemas.microsoft.com/office/drawing/2014/main" id="{00000000-0008-0000-0900-0000A6010000}"/>
            </a:ext>
          </a:extLst>
        </xdr:cNvPr>
        <xdr:cNvSpPr/>
      </xdr:nvSpPr>
      <xdr:spPr>
        <a:xfrm rot="16200000">
          <a:off x="11466233" y="30837015"/>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1228</xdr:colOff>
      <xdr:row>166</xdr:row>
      <xdr:rowOff>59693</xdr:rowOff>
    </xdr:from>
    <xdr:to>
      <xdr:col>43</xdr:col>
      <xdr:colOff>221803</xdr:colOff>
      <xdr:row>167</xdr:row>
      <xdr:rowOff>134369</xdr:rowOff>
    </xdr:to>
    <xdr:sp macro="" textlink="">
      <xdr:nvSpPr>
        <xdr:cNvPr id="423" name="Isosceles Triangle 422" hidden="1">
          <a:extLst>
            <a:ext uri="{FF2B5EF4-FFF2-40B4-BE49-F238E27FC236}">
              <a16:creationId xmlns:a16="http://schemas.microsoft.com/office/drawing/2014/main" id="{00000000-0008-0000-0900-0000A7010000}"/>
            </a:ext>
          </a:extLst>
        </xdr:cNvPr>
        <xdr:cNvSpPr/>
      </xdr:nvSpPr>
      <xdr:spPr>
        <a:xfrm rot="16200000">
          <a:off x="11466235" y="31792131"/>
          <a:ext cx="265700"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1229</xdr:colOff>
      <xdr:row>171</xdr:row>
      <xdr:rowOff>59693</xdr:rowOff>
    </xdr:from>
    <xdr:to>
      <xdr:col>43</xdr:col>
      <xdr:colOff>221804</xdr:colOff>
      <xdr:row>172</xdr:row>
      <xdr:rowOff>134369</xdr:rowOff>
    </xdr:to>
    <xdr:sp macro="" textlink="">
      <xdr:nvSpPr>
        <xdr:cNvPr id="424" name="Isosceles Triangle 423" hidden="1">
          <a:extLst>
            <a:ext uri="{FF2B5EF4-FFF2-40B4-BE49-F238E27FC236}">
              <a16:creationId xmlns:a16="http://schemas.microsoft.com/office/drawing/2014/main" id="{00000000-0008-0000-0900-0000A8010000}"/>
            </a:ext>
          </a:extLst>
        </xdr:cNvPr>
        <xdr:cNvSpPr/>
      </xdr:nvSpPr>
      <xdr:spPr>
        <a:xfrm rot="16200000">
          <a:off x="11466236" y="32747248"/>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1231</xdr:colOff>
      <xdr:row>176</xdr:row>
      <xdr:rowOff>59693</xdr:rowOff>
    </xdr:from>
    <xdr:to>
      <xdr:col>43</xdr:col>
      <xdr:colOff>221806</xdr:colOff>
      <xdr:row>177</xdr:row>
      <xdr:rowOff>134369</xdr:rowOff>
    </xdr:to>
    <xdr:sp macro="" textlink="">
      <xdr:nvSpPr>
        <xdr:cNvPr id="425" name="Isosceles Triangle 424" hidden="1">
          <a:extLst>
            <a:ext uri="{FF2B5EF4-FFF2-40B4-BE49-F238E27FC236}">
              <a16:creationId xmlns:a16="http://schemas.microsoft.com/office/drawing/2014/main" id="{00000000-0008-0000-0900-0000A9010000}"/>
            </a:ext>
          </a:extLst>
        </xdr:cNvPr>
        <xdr:cNvSpPr/>
      </xdr:nvSpPr>
      <xdr:spPr>
        <a:xfrm rot="16200000">
          <a:off x="11466238" y="33702365"/>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1227</xdr:colOff>
      <xdr:row>181</xdr:row>
      <xdr:rowOff>58901</xdr:rowOff>
    </xdr:from>
    <xdr:to>
      <xdr:col>43</xdr:col>
      <xdr:colOff>221802</xdr:colOff>
      <xdr:row>182</xdr:row>
      <xdr:rowOff>133577</xdr:rowOff>
    </xdr:to>
    <xdr:sp macro="" textlink="">
      <xdr:nvSpPr>
        <xdr:cNvPr id="426" name="Isosceles Triangle 425" hidden="1">
          <a:extLst>
            <a:ext uri="{FF2B5EF4-FFF2-40B4-BE49-F238E27FC236}">
              <a16:creationId xmlns:a16="http://schemas.microsoft.com/office/drawing/2014/main" id="{00000000-0008-0000-0900-0000AA010000}"/>
            </a:ext>
          </a:extLst>
        </xdr:cNvPr>
        <xdr:cNvSpPr/>
      </xdr:nvSpPr>
      <xdr:spPr>
        <a:xfrm rot="16200000">
          <a:off x="11466234" y="34656690"/>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1229</xdr:colOff>
      <xdr:row>186</xdr:row>
      <xdr:rowOff>58901</xdr:rowOff>
    </xdr:from>
    <xdr:to>
      <xdr:col>43</xdr:col>
      <xdr:colOff>221804</xdr:colOff>
      <xdr:row>187</xdr:row>
      <xdr:rowOff>133577</xdr:rowOff>
    </xdr:to>
    <xdr:sp macro="" textlink="">
      <xdr:nvSpPr>
        <xdr:cNvPr id="427" name="Isosceles Triangle 426" hidden="1">
          <a:extLst>
            <a:ext uri="{FF2B5EF4-FFF2-40B4-BE49-F238E27FC236}">
              <a16:creationId xmlns:a16="http://schemas.microsoft.com/office/drawing/2014/main" id="{00000000-0008-0000-0900-0000AB010000}"/>
            </a:ext>
          </a:extLst>
        </xdr:cNvPr>
        <xdr:cNvSpPr/>
      </xdr:nvSpPr>
      <xdr:spPr>
        <a:xfrm rot="16200000">
          <a:off x="11466236" y="35611806"/>
          <a:ext cx="265700"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1230</xdr:colOff>
      <xdr:row>191</xdr:row>
      <xdr:rowOff>58901</xdr:rowOff>
    </xdr:from>
    <xdr:to>
      <xdr:col>43</xdr:col>
      <xdr:colOff>221805</xdr:colOff>
      <xdr:row>192</xdr:row>
      <xdr:rowOff>133577</xdr:rowOff>
    </xdr:to>
    <xdr:sp macro="" textlink="">
      <xdr:nvSpPr>
        <xdr:cNvPr id="428" name="Isosceles Triangle 427" hidden="1">
          <a:extLst>
            <a:ext uri="{FF2B5EF4-FFF2-40B4-BE49-F238E27FC236}">
              <a16:creationId xmlns:a16="http://schemas.microsoft.com/office/drawing/2014/main" id="{00000000-0008-0000-0900-0000AC010000}"/>
            </a:ext>
          </a:extLst>
        </xdr:cNvPr>
        <xdr:cNvSpPr/>
      </xdr:nvSpPr>
      <xdr:spPr>
        <a:xfrm rot="16200000">
          <a:off x="11466237" y="36566923"/>
          <a:ext cx="265700"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1232</xdr:colOff>
      <xdr:row>196</xdr:row>
      <xdr:rowOff>58901</xdr:rowOff>
    </xdr:from>
    <xdr:to>
      <xdr:col>43</xdr:col>
      <xdr:colOff>221807</xdr:colOff>
      <xdr:row>197</xdr:row>
      <xdr:rowOff>133577</xdr:rowOff>
    </xdr:to>
    <xdr:sp macro="" textlink="">
      <xdr:nvSpPr>
        <xdr:cNvPr id="429" name="Isosceles Triangle 428" hidden="1">
          <a:extLst>
            <a:ext uri="{FF2B5EF4-FFF2-40B4-BE49-F238E27FC236}">
              <a16:creationId xmlns:a16="http://schemas.microsoft.com/office/drawing/2014/main" id="{00000000-0008-0000-0900-0000AD010000}"/>
            </a:ext>
          </a:extLst>
        </xdr:cNvPr>
        <xdr:cNvSpPr/>
      </xdr:nvSpPr>
      <xdr:spPr>
        <a:xfrm rot="16200000">
          <a:off x="11466239" y="37522040"/>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1232</xdr:colOff>
      <xdr:row>201</xdr:row>
      <xdr:rowOff>59693</xdr:rowOff>
    </xdr:from>
    <xdr:to>
      <xdr:col>43</xdr:col>
      <xdr:colOff>221807</xdr:colOff>
      <xdr:row>202</xdr:row>
      <xdr:rowOff>134369</xdr:rowOff>
    </xdr:to>
    <xdr:sp macro="" textlink="">
      <xdr:nvSpPr>
        <xdr:cNvPr id="430" name="Isosceles Triangle 429" hidden="1">
          <a:extLst>
            <a:ext uri="{FF2B5EF4-FFF2-40B4-BE49-F238E27FC236}">
              <a16:creationId xmlns:a16="http://schemas.microsoft.com/office/drawing/2014/main" id="{00000000-0008-0000-0900-0000AE010000}"/>
            </a:ext>
          </a:extLst>
        </xdr:cNvPr>
        <xdr:cNvSpPr/>
      </xdr:nvSpPr>
      <xdr:spPr>
        <a:xfrm rot="16200000">
          <a:off x="11466239" y="38477949"/>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1234</xdr:colOff>
      <xdr:row>206</xdr:row>
      <xdr:rowOff>59693</xdr:rowOff>
    </xdr:from>
    <xdr:to>
      <xdr:col>43</xdr:col>
      <xdr:colOff>221809</xdr:colOff>
      <xdr:row>207</xdr:row>
      <xdr:rowOff>134369</xdr:rowOff>
    </xdr:to>
    <xdr:sp macro="" textlink="">
      <xdr:nvSpPr>
        <xdr:cNvPr id="431" name="Isosceles Triangle 430" hidden="1">
          <a:extLst>
            <a:ext uri="{FF2B5EF4-FFF2-40B4-BE49-F238E27FC236}">
              <a16:creationId xmlns:a16="http://schemas.microsoft.com/office/drawing/2014/main" id="{00000000-0008-0000-0900-0000AF010000}"/>
            </a:ext>
          </a:extLst>
        </xdr:cNvPr>
        <xdr:cNvSpPr/>
      </xdr:nvSpPr>
      <xdr:spPr>
        <a:xfrm rot="16200000">
          <a:off x="11466241" y="39433065"/>
          <a:ext cx="265700"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1235</xdr:colOff>
      <xdr:row>211</xdr:row>
      <xdr:rowOff>59693</xdr:rowOff>
    </xdr:from>
    <xdr:to>
      <xdr:col>43</xdr:col>
      <xdr:colOff>221810</xdr:colOff>
      <xdr:row>212</xdr:row>
      <xdr:rowOff>134369</xdr:rowOff>
    </xdr:to>
    <xdr:sp macro="" textlink="">
      <xdr:nvSpPr>
        <xdr:cNvPr id="432" name="Isosceles Triangle 431" hidden="1">
          <a:extLst>
            <a:ext uri="{FF2B5EF4-FFF2-40B4-BE49-F238E27FC236}">
              <a16:creationId xmlns:a16="http://schemas.microsoft.com/office/drawing/2014/main" id="{00000000-0008-0000-0900-0000B0010000}"/>
            </a:ext>
          </a:extLst>
        </xdr:cNvPr>
        <xdr:cNvSpPr/>
      </xdr:nvSpPr>
      <xdr:spPr>
        <a:xfrm rot="16200000">
          <a:off x="11466242" y="40388182"/>
          <a:ext cx="265700"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1237</xdr:colOff>
      <xdr:row>216</xdr:row>
      <xdr:rowOff>59693</xdr:rowOff>
    </xdr:from>
    <xdr:to>
      <xdr:col>43</xdr:col>
      <xdr:colOff>221812</xdr:colOff>
      <xdr:row>217</xdr:row>
      <xdr:rowOff>134369</xdr:rowOff>
    </xdr:to>
    <xdr:sp macro="" textlink="">
      <xdr:nvSpPr>
        <xdr:cNvPr id="433" name="Isosceles Triangle 432" hidden="1">
          <a:extLst>
            <a:ext uri="{FF2B5EF4-FFF2-40B4-BE49-F238E27FC236}">
              <a16:creationId xmlns:a16="http://schemas.microsoft.com/office/drawing/2014/main" id="{00000000-0008-0000-0900-0000B1010000}"/>
            </a:ext>
          </a:extLst>
        </xdr:cNvPr>
        <xdr:cNvSpPr/>
      </xdr:nvSpPr>
      <xdr:spPr>
        <a:xfrm rot="16200000">
          <a:off x="11466244" y="41343299"/>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1233</xdr:colOff>
      <xdr:row>221</xdr:row>
      <xdr:rowOff>58901</xdr:rowOff>
    </xdr:from>
    <xdr:to>
      <xdr:col>43</xdr:col>
      <xdr:colOff>221808</xdr:colOff>
      <xdr:row>222</xdr:row>
      <xdr:rowOff>133577</xdr:rowOff>
    </xdr:to>
    <xdr:sp macro="" textlink="">
      <xdr:nvSpPr>
        <xdr:cNvPr id="434" name="Isosceles Triangle 433" hidden="1">
          <a:extLst>
            <a:ext uri="{FF2B5EF4-FFF2-40B4-BE49-F238E27FC236}">
              <a16:creationId xmlns:a16="http://schemas.microsoft.com/office/drawing/2014/main" id="{00000000-0008-0000-0900-0000B2010000}"/>
            </a:ext>
          </a:extLst>
        </xdr:cNvPr>
        <xdr:cNvSpPr/>
      </xdr:nvSpPr>
      <xdr:spPr>
        <a:xfrm rot="16200000">
          <a:off x="11466240" y="42297624"/>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1235</xdr:colOff>
      <xdr:row>226</xdr:row>
      <xdr:rowOff>58901</xdr:rowOff>
    </xdr:from>
    <xdr:to>
      <xdr:col>43</xdr:col>
      <xdr:colOff>221810</xdr:colOff>
      <xdr:row>227</xdr:row>
      <xdr:rowOff>133577</xdr:rowOff>
    </xdr:to>
    <xdr:sp macro="" textlink="">
      <xdr:nvSpPr>
        <xdr:cNvPr id="435" name="Isosceles Triangle 434" hidden="1">
          <a:extLst>
            <a:ext uri="{FF2B5EF4-FFF2-40B4-BE49-F238E27FC236}">
              <a16:creationId xmlns:a16="http://schemas.microsoft.com/office/drawing/2014/main" id="{00000000-0008-0000-0900-0000B3010000}"/>
            </a:ext>
          </a:extLst>
        </xdr:cNvPr>
        <xdr:cNvSpPr/>
      </xdr:nvSpPr>
      <xdr:spPr>
        <a:xfrm rot="16200000">
          <a:off x="11466242" y="43252740"/>
          <a:ext cx="265700"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1236</xdr:colOff>
      <xdr:row>231</xdr:row>
      <xdr:rowOff>58901</xdr:rowOff>
    </xdr:from>
    <xdr:to>
      <xdr:col>43</xdr:col>
      <xdr:colOff>221811</xdr:colOff>
      <xdr:row>232</xdr:row>
      <xdr:rowOff>133577</xdr:rowOff>
    </xdr:to>
    <xdr:sp macro="" textlink="">
      <xdr:nvSpPr>
        <xdr:cNvPr id="436" name="Isosceles Triangle 435" hidden="1">
          <a:extLst>
            <a:ext uri="{FF2B5EF4-FFF2-40B4-BE49-F238E27FC236}">
              <a16:creationId xmlns:a16="http://schemas.microsoft.com/office/drawing/2014/main" id="{00000000-0008-0000-0900-0000B4010000}"/>
            </a:ext>
          </a:extLst>
        </xdr:cNvPr>
        <xdr:cNvSpPr/>
      </xdr:nvSpPr>
      <xdr:spPr>
        <a:xfrm rot="16200000">
          <a:off x="11466243" y="44207857"/>
          <a:ext cx="265700"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1238</xdr:colOff>
      <xdr:row>236</xdr:row>
      <xdr:rowOff>58901</xdr:rowOff>
    </xdr:from>
    <xdr:to>
      <xdr:col>43</xdr:col>
      <xdr:colOff>221813</xdr:colOff>
      <xdr:row>237</xdr:row>
      <xdr:rowOff>133577</xdr:rowOff>
    </xdr:to>
    <xdr:sp macro="" textlink="">
      <xdr:nvSpPr>
        <xdr:cNvPr id="437" name="Isosceles Triangle 436" hidden="1">
          <a:extLst>
            <a:ext uri="{FF2B5EF4-FFF2-40B4-BE49-F238E27FC236}">
              <a16:creationId xmlns:a16="http://schemas.microsoft.com/office/drawing/2014/main" id="{00000000-0008-0000-0900-0000B5010000}"/>
            </a:ext>
          </a:extLst>
        </xdr:cNvPr>
        <xdr:cNvSpPr/>
      </xdr:nvSpPr>
      <xdr:spPr>
        <a:xfrm rot="16200000">
          <a:off x="11466245" y="45162974"/>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1235</xdr:colOff>
      <xdr:row>241</xdr:row>
      <xdr:rowOff>59693</xdr:rowOff>
    </xdr:from>
    <xdr:to>
      <xdr:col>43</xdr:col>
      <xdr:colOff>221810</xdr:colOff>
      <xdr:row>242</xdr:row>
      <xdr:rowOff>134369</xdr:rowOff>
    </xdr:to>
    <xdr:sp macro="" textlink="">
      <xdr:nvSpPr>
        <xdr:cNvPr id="438" name="Isosceles Triangle 437" hidden="1">
          <a:extLst>
            <a:ext uri="{FF2B5EF4-FFF2-40B4-BE49-F238E27FC236}">
              <a16:creationId xmlns:a16="http://schemas.microsoft.com/office/drawing/2014/main" id="{00000000-0008-0000-0900-0000B6010000}"/>
            </a:ext>
          </a:extLst>
        </xdr:cNvPr>
        <xdr:cNvSpPr/>
      </xdr:nvSpPr>
      <xdr:spPr>
        <a:xfrm rot="16200000">
          <a:off x="11466242" y="46118883"/>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1237</xdr:colOff>
      <xdr:row>246</xdr:row>
      <xdr:rowOff>59693</xdr:rowOff>
    </xdr:from>
    <xdr:to>
      <xdr:col>43</xdr:col>
      <xdr:colOff>221812</xdr:colOff>
      <xdr:row>247</xdr:row>
      <xdr:rowOff>134369</xdr:rowOff>
    </xdr:to>
    <xdr:sp macro="" textlink="">
      <xdr:nvSpPr>
        <xdr:cNvPr id="439" name="Isosceles Triangle 438" hidden="1">
          <a:extLst>
            <a:ext uri="{FF2B5EF4-FFF2-40B4-BE49-F238E27FC236}">
              <a16:creationId xmlns:a16="http://schemas.microsoft.com/office/drawing/2014/main" id="{00000000-0008-0000-0900-0000B7010000}"/>
            </a:ext>
          </a:extLst>
        </xdr:cNvPr>
        <xdr:cNvSpPr/>
      </xdr:nvSpPr>
      <xdr:spPr>
        <a:xfrm rot="16200000">
          <a:off x="11466244" y="47074000"/>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1238</xdr:colOff>
      <xdr:row>251</xdr:row>
      <xdr:rowOff>59693</xdr:rowOff>
    </xdr:from>
    <xdr:to>
      <xdr:col>43</xdr:col>
      <xdr:colOff>221813</xdr:colOff>
      <xdr:row>252</xdr:row>
      <xdr:rowOff>134369</xdr:rowOff>
    </xdr:to>
    <xdr:sp macro="" textlink="">
      <xdr:nvSpPr>
        <xdr:cNvPr id="440" name="Isosceles Triangle 439" hidden="1">
          <a:extLst>
            <a:ext uri="{FF2B5EF4-FFF2-40B4-BE49-F238E27FC236}">
              <a16:creationId xmlns:a16="http://schemas.microsoft.com/office/drawing/2014/main" id="{00000000-0008-0000-0900-0000B8010000}"/>
            </a:ext>
          </a:extLst>
        </xdr:cNvPr>
        <xdr:cNvSpPr/>
      </xdr:nvSpPr>
      <xdr:spPr>
        <a:xfrm rot="16200000">
          <a:off x="11466245" y="48029116"/>
          <a:ext cx="265700"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1240</xdr:colOff>
      <xdr:row>256</xdr:row>
      <xdr:rowOff>59693</xdr:rowOff>
    </xdr:from>
    <xdr:to>
      <xdr:col>43</xdr:col>
      <xdr:colOff>221815</xdr:colOff>
      <xdr:row>257</xdr:row>
      <xdr:rowOff>134369</xdr:rowOff>
    </xdr:to>
    <xdr:sp macro="" textlink="">
      <xdr:nvSpPr>
        <xdr:cNvPr id="441" name="Isosceles Triangle 440" hidden="1">
          <a:extLst>
            <a:ext uri="{FF2B5EF4-FFF2-40B4-BE49-F238E27FC236}">
              <a16:creationId xmlns:a16="http://schemas.microsoft.com/office/drawing/2014/main" id="{00000000-0008-0000-0900-0000B9010000}"/>
            </a:ext>
          </a:extLst>
        </xdr:cNvPr>
        <xdr:cNvSpPr/>
      </xdr:nvSpPr>
      <xdr:spPr>
        <a:xfrm rot="16200000">
          <a:off x="11466247" y="48984233"/>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1236</xdr:colOff>
      <xdr:row>261</xdr:row>
      <xdr:rowOff>58901</xdr:rowOff>
    </xdr:from>
    <xdr:to>
      <xdr:col>43</xdr:col>
      <xdr:colOff>221811</xdr:colOff>
      <xdr:row>262</xdr:row>
      <xdr:rowOff>133577</xdr:rowOff>
    </xdr:to>
    <xdr:sp macro="" textlink="">
      <xdr:nvSpPr>
        <xdr:cNvPr id="442" name="Isosceles Triangle 441" hidden="1">
          <a:extLst>
            <a:ext uri="{FF2B5EF4-FFF2-40B4-BE49-F238E27FC236}">
              <a16:creationId xmlns:a16="http://schemas.microsoft.com/office/drawing/2014/main" id="{00000000-0008-0000-0900-0000BA010000}"/>
            </a:ext>
          </a:extLst>
        </xdr:cNvPr>
        <xdr:cNvSpPr/>
      </xdr:nvSpPr>
      <xdr:spPr>
        <a:xfrm rot="16200000">
          <a:off x="11466243" y="49938558"/>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1238</xdr:colOff>
      <xdr:row>266</xdr:row>
      <xdr:rowOff>58901</xdr:rowOff>
    </xdr:from>
    <xdr:to>
      <xdr:col>43</xdr:col>
      <xdr:colOff>221813</xdr:colOff>
      <xdr:row>267</xdr:row>
      <xdr:rowOff>133577</xdr:rowOff>
    </xdr:to>
    <xdr:sp macro="" textlink="">
      <xdr:nvSpPr>
        <xdr:cNvPr id="443" name="Isosceles Triangle 442" hidden="1">
          <a:extLst>
            <a:ext uri="{FF2B5EF4-FFF2-40B4-BE49-F238E27FC236}">
              <a16:creationId xmlns:a16="http://schemas.microsoft.com/office/drawing/2014/main" id="{00000000-0008-0000-0900-0000BB010000}"/>
            </a:ext>
          </a:extLst>
        </xdr:cNvPr>
        <xdr:cNvSpPr/>
      </xdr:nvSpPr>
      <xdr:spPr>
        <a:xfrm rot="16200000">
          <a:off x="11466245" y="50893675"/>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1239</xdr:colOff>
      <xdr:row>271</xdr:row>
      <xdr:rowOff>58901</xdr:rowOff>
    </xdr:from>
    <xdr:to>
      <xdr:col>43</xdr:col>
      <xdr:colOff>221814</xdr:colOff>
      <xdr:row>272</xdr:row>
      <xdr:rowOff>133577</xdr:rowOff>
    </xdr:to>
    <xdr:sp macro="" textlink="">
      <xdr:nvSpPr>
        <xdr:cNvPr id="444" name="Isosceles Triangle 443" hidden="1">
          <a:extLst>
            <a:ext uri="{FF2B5EF4-FFF2-40B4-BE49-F238E27FC236}">
              <a16:creationId xmlns:a16="http://schemas.microsoft.com/office/drawing/2014/main" id="{00000000-0008-0000-0900-0000BC010000}"/>
            </a:ext>
          </a:extLst>
        </xdr:cNvPr>
        <xdr:cNvSpPr/>
      </xdr:nvSpPr>
      <xdr:spPr>
        <a:xfrm rot="16200000">
          <a:off x="11466246" y="51848791"/>
          <a:ext cx="265700"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1241</xdr:colOff>
      <xdr:row>276</xdr:row>
      <xdr:rowOff>58901</xdr:rowOff>
    </xdr:from>
    <xdr:to>
      <xdr:col>43</xdr:col>
      <xdr:colOff>221816</xdr:colOff>
      <xdr:row>277</xdr:row>
      <xdr:rowOff>133577</xdr:rowOff>
    </xdr:to>
    <xdr:sp macro="" textlink="">
      <xdr:nvSpPr>
        <xdr:cNvPr id="445" name="Isosceles Triangle 444" hidden="1">
          <a:extLst>
            <a:ext uri="{FF2B5EF4-FFF2-40B4-BE49-F238E27FC236}">
              <a16:creationId xmlns:a16="http://schemas.microsoft.com/office/drawing/2014/main" id="{00000000-0008-0000-0900-0000BD010000}"/>
            </a:ext>
          </a:extLst>
        </xdr:cNvPr>
        <xdr:cNvSpPr/>
      </xdr:nvSpPr>
      <xdr:spPr>
        <a:xfrm rot="16200000">
          <a:off x="11466248" y="52803908"/>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1239</xdr:colOff>
      <xdr:row>281</xdr:row>
      <xdr:rowOff>59695</xdr:rowOff>
    </xdr:from>
    <xdr:to>
      <xdr:col>43</xdr:col>
      <xdr:colOff>221814</xdr:colOff>
      <xdr:row>282</xdr:row>
      <xdr:rowOff>134371</xdr:rowOff>
    </xdr:to>
    <xdr:sp macro="" textlink="">
      <xdr:nvSpPr>
        <xdr:cNvPr id="446" name="Isosceles Triangle 445" hidden="1">
          <a:extLst>
            <a:ext uri="{FF2B5EF4-FFF2-40B4-BE49-F238E27FC236}">
              <a16:creationId xmlns:a16="http://schemas.microsoft.com/office/drawing/2014/main" id="{00000000-0008-0000-0900-0000BE010000}"/>
            </a:ext>
          </a:extLst>
        </xdr:cNvPr>
        <xdr:cNvSpPr/>
      </xdr:nvSpPr>
      <xdr:spPr>
        <a:xfrm rot="16200000">
          <a:off x="11466246" y="53759819"/>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1241</xdr:colOff>
      <xdr:row>286</xdr:row>
      <xdr:rowOff>59695</xdr:rowOff>
    </xdr:from>
    <xdr:to>
      <xdr:col>43</xdr:col>
      <xdr:colOff>221816</xdr:colOff>
      <xdr:row>287</xdr:row>
      <xdr:rowOff>134371</xdr:rowOff>
    </xdr:to>
    <xdr:sp macro="" textlink="">
      <xdr:nvSpPr>
        <xdr:cNvPr id="447" name="Isosceles Triangle 446" hidden="1">
          <a:extLst>
            <a:ext uri="{FF2B5EF4-FFF2-40B4-BE49-F238E27FC236}">
              <a16:creationId xmlns:a16="http://schemas.microsoft.com/office/drawing/2014/main" id="{00000000-0008-0000-0900-0000BF010000}"/>
            </a:ext>
          </a:extLst>
        </xdr:cNvPr>
        <xdr:cNvSpPr/>
      </xdr:nvSpPr>
      <xdr:spPr>
        <a:xfrm rot="16200000">
          <a:off x="11466248" y="54714936"/>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1237</xdr:colOff>
      <xdr:row>291</xdr:row>
      <xdr:rowOff>58903</xdr:rowOff>
    </xdr:from>
    <xdr:to>
      <xdr:col>43</xdr:col>
      <xdr:colOff>221812</xdr:colOff>
      <xdr:row>292</xdr:row>
      <xdr:rowOff>133579</xdr:rowOff>
    </xdr:to>
    <xdr:sp macro="" textlink="">
      <xdr:nvSpPr>
        <xdr:cNvPr id="448" name="Isosceles Triangle 447" hidden="1">
          <a:extLst>
            <a:ext uri="{FF2B5EF4-FFF2-40B4-BE49-F238E27FC236}">
              <a16:creationId xmlns:a16="http://schemas.microsoft.com/office/drawing/2014/main" id="{00000000-0008-0000-0900-0000C0010000}"/>
            </a:ext>
          </a:extLst>
        </xdr:cNvPr>
        <xdr:cNvSpPr/>
      </xdr:nvSpPr>
      <xdr:spPr>
        <a:xfrm rot="16200000">
          <a:off x="11466244" y="55669260"/>
          <a:ext cx="265700"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1239</xdr:colOff>
      <xdr:row>296</xdr:row>
      <xdr:rowOff>58903</xdr:rowOff>
    </xdr:from>
    <xdr:to>
      <xdr:col>43</xdr:col>
      <xdr:colOff>221814</xdr:colOff>
      <xdr:row>297</xdr:row>
      <xdr:rowOff>133579</xdr:rowOff>
    </xdr:to>
    <xdr:sp macro="" textlink="">
      <xdr:nvSpPr>
        <xdr:cNvPr id="449" name="Isosceles Triangle 448" hidden="1">
          <a:extLst>
            <a:ext uri="{FF2B5EF4-FFF2-40B4-BE49-F238E27FC236}">
              <a16:creationId xmlns:a16="http://schemas.microsoft.com/office/drawing/2014/main" id="{00000000-0008-0000-0900-0000C1010000}"/>
            </a:ext>
          </a:extLst>
        </xdr:cNvPr>
        <xdr:cNvSpPr/>
      </xdr:nvSpPr>
      <xdr:spPr>
        <a:xfrm rot="16200000">
          <a:off x="11466246" y="56624377"/>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1240</xdr:colOff>
      <xdr:row>301</xdr:row>
      <xdr:rowOff>58903</xdr:rowOff>
    </xdr:from>
    <xdr:to>
      <xdr:col>43</xdr:col>
      <xdr:colOff>221815</xdr:colOff>
      <xdr:row>302</xdr:row>
      <xdr:rowOff>133579</xdr:rowOff>
    </xdr:to>
    <xdr:sp macro="" textlink="">
      <xdr:nvSpPr>
        <xdr:cNvPr id="450" name="Isosceles Triangle 449" hidden="1">
          <a:extLst>
            <a:ext uri="{FF2B5EF4-FFF2-40B4-BE49-F238E27FC236}">
              <a16:creationId xmlns:a16="http://schemas.microsoft.com/office/drawing/2014/main" id="{00000000-0008-0000-0900-0000C2010000}"/>
            </a:ext>
          </a:extLst>
        </xdr:cNvPr>
        <xdr:cNvSpPr/>
      </xdr:nvSpPr>
      <xdr:spPr>
        <a:xfrm rot="16200000">
          <a:off x="11466247" y="57579494"/>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43</xdr:col>
      <xdr:colOff>1242</xdr:colOff>
      <xdr:row>306</xdr:row>
      <xdr:rowOff>58903</xdr:rowOff>
    </xdr:from>
    <xdr:to>
      <xdr:col>43</xdr:col>
      <xdr:colOff>221817</xdr:colOff>
      <xdr:row>307</xdr:row>
      <xdr:rowOff>133579</xdr:rowOff>
    </xdr:to>
    <xdr:sp macro="" textlink="">
      <xdr:nvSpPr>
        <xdr:cNvPr id="451" name="Isosceles Triangle 450" hidden="1">
          <a:extLst>
            <a:ext uri="{FF2B5EF4-FFF2-40B4-BE49-F238E27FC236}">
              <a16:creationId xmlns:a16="http://schemas.microsoft.com/office/drawing/2014/main" id="{00000000-0008-0000-0900-0000C3010000}"/>
            </a:ext>
          </a:extLst>
        </xdr:cNvPr>
        <xdr:cNvSpPr/>
      </xdr:nvSpPr>
      <xdr:spPr>
        <a:xfrm rot="16200000">
          <a:off x="11466249" y="58534611"/>
          <a:ext cx="265699" cy="2205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130968</xdr:colOff>
      <xdr:row>35</xdr:row>
      <xdr:rowOff>150020</xdr:rowOff>
    </xdr:from>
    <xdr:to>
      <xdr:col>4</xdr:col>
      <xdr:colOff>267701</xdr:colOff>
      <xdr:row>38</xdr:row>
      <xdr:rowOff>40472</xdr:rowOff>
    </xdr:to>
    <xdr:sp macro="" textlink="">
      <xdr:nvSpPr>
        <xdr:cNvPr id="452" name="Cont1">
          <a:extLst>
            <a:ext uri="{FF2B5EF4-FFF2-40B4-BE49-F238E27FC236}">
              <a16:creationId xmlns:a16="http://schemas.microsoft.com/office/drawing/2014/main" id="{00000000-0008-0000-0900-0000C4010000}"/>
            </a:ext>
          </a:extLst>
        </xdr:cNvPr>
        <xdr:cNvSpPr/>
      </xdr:nvSpPr>
      <xdr:spPr>
        <a:xfrm>
          <a:off x="1073943" y="6817520"/>
          <a:ext cx="451058" cy="461952"/>
        </a:xfrm>
        <a:prstGeom prst="pie">
          <a:avLst>
            <a:gd name="adj1" fmla="val 19030585"/>
            <a:gd name="adj2" fmla="val 2260575"/>
          </a:avLst>
        </a:prstGeom>
        <a:solidFill>
          <a:srgbClr val="0070C0"/>
        </a:solidFill>
        <a:ln>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98469" tIns="49235" rIns="98469" bIns="49235"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solidFill>
              <a:schemeClr val="tx1"/>
            </a:solidFill>
            <a:latin typeface="Arial" pitchFamily="34" charset="0"/>
            <a:cs typeface="Arial" pitchFamily="34" charset="0"/>
          </a:endParaRPr>
        </a:p>
      </xdr:txBody>
    </xdr:sp>
    <xdr:clientData/>
  </xdr:twoCellAnchor>
  <xdr:twoCellAnchor editAs="oneCell">
    <xdr:from>
      <xdr:col>10</xdr:col>
      <xdr:colOff>47625</xdr:colOff>
      <xdr:row>35</xdr:row>
      <xdr:rowOff>152399</xdr:rowOff>
    </xdr:from>
    <xdr:to>
      <xdr:col>11</xdr:col>
      <xdr:colOff>241508</xdr:colOff>
      <xdr:row>38</xdr:row>
      <xdr:rowOff>42851</xdr:rowOff>
    </xdr:to>
    <xdr:sp macro="" textlink="">
      <xdr:nvSpPr>
        <xdr:cNvPr id="453" name="Cont2" hidden="1">
          <a:extLst>
            <a:ext uri="{FF2B5EF4-FFF2-40B4-BE49-F238E27FC236}">
              <a16:creationId xmlns:a16="http://schemas.microsoft.com/office/drawing/2014/main" id="{00000000-0008-0000-0900-0000C5010000}"/>
            </a:ext>
          </a:extLst>
        </xdr:cNvPr>
        <xdr:cNvSpPr/>
      </xdr:nvSpPr>
      <xdr:spPr>
        <a:xfrm>
          <a:off x="3076575" y="6819899"/>
          <a:ext cx="451058" cy="461952"/>
        </a:xfrm>
        <a:prstGeom prst="pie">
          <a:avLst>
            <a:gd name="adj1" fmla="val 19030585"/>
            <a:gd name="adj2" fmla="val 2260575"/>
          </a:avLst>
        </a:prstGeom>
        <a:solidFill>
          <a:srgbClr val="0070C0"/>
        </a:solidFill>
        <a:ln>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98469" tIns="49235" rIns="98469" bIns="49235"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800">
            <a:solidFill>
              <a:schemeClr val="tx1"/>
            </a:solidFill>
            <a:latin typeface="Arial" pitchFamily="34" charset="0"/>
            <a:cs typeface="Arial" pitchFamily="34" charset="0"/>
          </a:endParaRPr>
        </a:p>
      </xdr:txBody>
    </xdr:sp>
    <xdr:clientData/>
  </xdr:twoCellAnchor>
  <xdr:twoCellAnchor>
    <xdr:from>
      <xdr:col>29</xdr:col>
      <xdr:colOff>0</xdr:colOff>
      <xdr:row>51</xdr:row>
      <xdr:rowOff>0</xdr:rowOff>
    </xdr:from>
    <xdr:to>
      <xdr:col>44</xdr:col>
      <xdr:colOff>1</xdr:colOff>
      <xdr:row>56</xdr:row>
      <xdr:rowOff>0</xdr:rowOff>
    </xdr:to>
    <xdr:sp macro="" textlink="'Project Event Tree Input'!A123">
      <xdr:nvSpPr>
        <xdr:cNvPr id="454" name="CompConsTextBox">
          <a:extLst>
            <a:ext uri="{FF2B5EF4-FFF2-40B4-BE49-F238E27FC236}">
              <a16:creationId xmlns:a16="http://schemas.microsoft.com/office/drawing/2014/main" id="{00000000-0008-0000-0900-0000C6010000}"/>
            </a:ext>
          </a:extLst>
        </xdr:cNvPr>
        <xdr:cNvSpPr txBox="1"/>
      </xdr:nvSpPr>
      <xdr:spPr>
        <a:xfrm>
          <a:off x="7915275" y="9715500"/>
          <a:ext cx="3857626" cy="952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Aft>
              <a:spcPts val="300"/>
            </a:spcAft>
            <a:buFont typeface="Arial" panose="020B0604020202020204" pitchFamily="34" charset="0"/>
            <a:buNone/>
          </a:pPr>
          <a:fld id="{9B3D7554-CB24-48E6-9E5E-35CA38B862D9}" type="TxLink">
            <a:rPr lang="en-US" sz="1000" b="0" i="0" u="none" strike="noStrike" baseline="0">
              <a:ln>
                <a:noFill/>
              </a:ln>
              <a:solidFill>
                <a:srgbClr val="0070C0"/>
              </a:solidFill>
              <a:latin typeface="Arial"/>
              <a:cs typeface="Arial"/>
            </a:rPr>
            <a:pPr marL="0" indent="0">
              <a:spcAft>
                <a:spcPts val="300"/>
              </a:spcAft>
              <a:buFont typeface="Arial" panose="020B0604020202020204" pitchFamily="34" charset="0"/>
              <a:buNone/>
            </a:pPr>
            <a:t>Composite life loss consequences contain the following weights: 
•  Day Exposure: 0.45
•  Night Exposure: 0.55
Economic costs are not weighted by exposure.</a:t>
          </a:fld>
          <a:endParaRPr lang="en-US" baseline="0">
            <a:ln>
              <a:noFill/>
            </a:ln>
            <a:solidFill>
              <a:srgbClr val="0070C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19050</xdr:colOff>
          <xdr:row>28</xdr:row>
          <xdr:rowOff>9525</xdr:rowOff>
        </xdr:from>
        <xdr:to>
          <xdr:col>5</xdr:col>
          <xdr:colOff>133350</xdr:colOff>
          <xdr:row>30</xdr:row>
          <xdr:rowOff>95250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9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Hide Collapsed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257175</xdr:colOff>
          <xdr:row>28</xdr:row>
          <xdr:rowOff>9525</xdr:rowOff>
        </xdr:from>
        <xdr:to>
          <xdr:col>10</xdr:col>
          <xdr:colOff>171450</xdr:colOff>
          <xdr:row>30</xdr:row>
          <xdr:rowOff>85725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9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Unhide All Rows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RMC.software@usace.army.mi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9.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0.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BB0D6-406C-4A4E-B8C4-82004C5CBDC9}">
  <sheetPr codeName="Sheet01"/>
  <dimension ref="A1:H26"/>
  <sheetViews>
    <sheetView zoomScaleNormal="100" workbookViewId="0"/>
  </sheetViews>
  <sheetFormatPr defaultColWidth="11.28515625" defaultRowHeight="12.75" x14ac:dyDescent="0.2"/>
  <cols>
    <col min="1" max="16384" width="11.28515625" style="2"/>
  </cols>
  <sheetData>
    <row r="1" spans="1:8" x14ac:dyDescent="0.2">
      <c r="A1" s="1"/>
      <c r="B1" s="1"/>
      <c r="C1" s="1"/>
      <c r="D1" s="1"/>
      <c r="E1" s="1"/>
      <c r="F1" s="1"/>
      <c r="G1" s="1"/>
      <c r="H1" s="1"/>
    </row>
    <row r="2" spans="1:8" x14ac:dyDescent="0.2">
      <c r="A2" s="1"/>
      <c r="B2" s="1"/>
      <c r="C2" s="1"/>
      <c r="D2" s="1"/>
      <c r="E2" s="1"/>
      <c r="F2" s="1"/>
      <c r="G2" s="1"/>
      <c r="H2" s="1"/>
    </row>
    <row r="3" spans="1:8" x14ac:dyDescent="0.2">
      <c r="A3" s="1"/>
      <c r="B3" s="1"/>
      <c r="C3" s="1"/>
      <c r="D3" s="1"/>
      <c r="E3" s="1"/>
      <c r="F3" s="1"/>
      <c r="G3" s="1"/>
      <c r="H3" s="1"/>
    </row>
    <row r="4" spans="1:8" x14ac:dyDescent="0.2">
      <c r="A4" s="1"/>
      <c r="B4" s="1"/>
      <c r="C4" s="1"/>
      <c r="D4" s="1"/>
      <c r="E4" s="1"/>
      <c r="F4" s="1"/>
      <c r="G4" s="1"/>
      <c r="H4" s="1"/>
    </row>
    <row r="5" spans="1:8" x14ac:dyDescent="0.2">
      <c r="A5" s="1"/>
      <c r="B5" s="1"/>
      <c r="C5" s="1"/>
      <c r="D5" s="1"/>
      <c r="E5" s="1"/>
      <c r="F5" s="1"/>
      <c r="G5" s="1"/>
      <c r="H5" s="1"/>
    </row>
    <row r="6" spans="1:8" x14ac:dyDescent="0.2">
      <c r="A6" s="1"/>
      <c r="B6" s="1"/>
      <c r="C6" s="1"/>
      <c r="D6" s="1"/>
      <c r="E6" s="1"/>
      <c r="F6" s="1"/>
      <c r="G6" s="1"/>
      <c r="H6" s="1"/>
    </row>
    <row r="7" spans="1:8" x14ac:dyDescent="0.2">
      <c r="A7" s="1"/>
      <c r="B7" s="1"/>
      <c r="C7" s="1"/>
      <c r="D7" s="1"/>
      <c r="E7" s="1"/>
      <c r="F7" s="1"/>
      <c r="G7" s="1"/>
      <c r="H7" s="1"/>
    </row>
    <row r="8" spans="1:8" x14ac:dyDescent="0.2">
      <c r="A8" s="121" t="s">
        <v>13</v>
      </c>
      <c r="B8" s="121"/>
      <c r="C8" s="121"/>
      <c r="D8" s="121"/>
      <c r="E8" s="121"/>
      <c r="F8" s="121"/>
      <c r="G8" s="121"/>
      <c r="H8" s="121"/>
    </row>
    <row r="9" spans="1:8" x14ac:dyDescent="0.2">
      <c r="A9" s="121" t="s">
        <v>57</v>
      </c>
      <c r="B9" s="121"/>
      <c r="C9" s="121"/>
      <c r="D9" s="121"/>
      <c r="E9" s="121"/>
      <c r="F9" s="121"/>
      <c r="G9" s="121"/>
      <c r="H9" s="121"/>
    </row>
    <row r="10" spans="1:8" x14ac:dyDescent="0.2">
      <c r="A10" s="121" t="s">
        <v>153</v>
      </c>
      <c r="B10" s="121"/>
      <c r="C10" s="121"/>
      <c r="D10" s="121"/>
      <c r="E10" s="121"/>
      <c r="F10" s="121"/>
      <c r="G10" s="121"/>
      <c r="H10" s="121"/>
    </row>
    <row r="11" spans="1:8" x14ac:dyDescent="0.2">
      <c r="A11" s="1"/>
      <c r="B11" s="1"/>
      <c r="C11" s="1"/>
      <c r="D11" s="1"/>
      <c r="E11" s="1"/>
      <c r="F11" s="1"/>
      <c r="G11" s="1"/>
      <c r="H11" s="1"/>
    </row>
    <row r="12" spans="1:8" x14ac:dyDescent="0.2">
      <c r="A12" s="120" t="str">
        <f>"The U.S. Army Corps of Engineers (USACE) Risk Management Center (RMC) developed the "&amp;Toolbox_Name&amp;" as part of the "&amp;Toolbox_Suite&amp;" of Microsoft Excel spreadsheets to support risk assessments for dam and levee safety."</f>
        <v>The U.S. Army Corps of Engineers (USACE) Risk Management Center (RMC) developed the RMC Event Tree Toolbox as part of the RMC Risk Calculations Suite of Microsoft Excel spreadsheets to support risk assessments for dam and levee safety.</v>
      </c>
      <c r="B12" s="120"/>
      <c r="C12" s="120"/>
      <c r="D12" s="120"/>
      <c r="E12" s="120"/>
      <c r="F12" s="120"/>
      <c r="G12" s="120"/>
      <c r="H12" s="120"/>
    </row>
    <row r="13" spans="1:8" x14ac:dyDescent="0.2">
      <c r="A13" s="120"/>
      <c r="B13" s="120"/>
      <c r="C13" s="120"/>
      <c r="D13" s="120"/>
      <c r="E13" s="120"/>
      <c r="F13" s="120"/>
      <c r="G13" s="120"/>
      <c r="H13" s="120"/>
    </row>
    <row r="14" spans="1:8" x14ac:dyDescent="0.2">
      <c r="A14" s="120"/>
      <c r="B14" s="120"/>
      <c r="C14" s="120"/>
      <c r="D14" s="120"/>
      <c r="E14" s="120"/>
      <c r="F14" s="120"/>
      <c r="G14" s="120"/>
      <c r="H14" s="120"/>
    </row>
    <row r="15" spans="1:8" x14ac:dyDescent="0.2">
      <c r="A15" s="1"/>
      <c r="B15" s="1"/>
      <c r="C15" s="1"/>
      <c r="D15" s="1"/>
      <c r="E15" s="1"/>
      <c r="F15" s="1"/>
      <c r="G15" s="1"/>
      <c r="H15" s="1"/>
    </row>
    <row r="16" spans="1:8" x14ac:dyDescent="0.2">
      <c r="A16" s="120" t="s">
        <v>145</v>
      </c>
      <c r="B16" s="120"/>
      <c r="C16" s="120"/>
      <c r="D16" s="120"/>
      <c r="E16" s="120"/>
      <c r="F16" s="120"/>
      <c r="G16" s="120"/>
      <c r="H16" s="120"/>
    </row>
    <row r="17" spans="1:8" x14ac:dyDescent="0.2">
      <c r="A17" s="120"/>
      <c r="B17" s="120"/>
      <c r="C17" s="120"/>
      <c r="D17" s="120"/>
      <c r="E17" s="120"/>
      <c r="F17" s="120"/>
      <c r="G17" s="120"/>
      <c r="H17" s="120"/>
    </row>
    <row r="18" spans="1:8" x14ac:dyDescent="0.2">
      <c r="A18" s="120" t="s">
        <v>8</v>
      </c>
      <c r="B18" s="120"/>
      <c r="C18" s="120"/>
      <c r="D18" s="120"/>
      <c r="E18" s="120"/>
      <c r="F18" s="120"/>
      <c r="G18" s="120"/>
      <c r="H18" s="120"/>
    </row>
    <row r="19" spans="1:8" x14ac:dyDescent="0.2">
      <c r="A19" s="120"/>
      <c r="B19" s="120"/>
      <c r="C19" s="120"/>
      <c r="D19" s="120"/>
      <c r="E19" s="120"/>
      <c r="F19" s="120"/>
      <c r="G19" s="120"/>
      <c r="H19" s="120"/>
    </row>
    <row r="20" spans="1:8" x14ac:dyDescent="0.2">
      <c r="A20" s="120"/>
      <c r="B20" s="120"/>
      <c r="C20" s="120"/>
      <c r="D20" s="120"/>
      <c r="E20" s="120"/>
      <c r="F20" s="120"/>
      <c r="G20" s="120"/>
      <c r="H20" s="120"/>
    </row>
    <row r="21" spans="1:8" x14ac:dyDescent="0.2">
      <c r="A21" s="120"/>
      <c r="B21" s="120"/>
      <c r="C21" s="120"/>
      <c r="D21" s="120"/>
      <c r="E21" s="120"/>
      <c r="F21" s="120"/>
      <c r="G21" s="120"/>
      <c r="H21" s="120"/>
    </row>
    <row r="22" spans="1:8" x14ac:dyDescent="0.2">
      <c r="A22" s="1"/>
      <c r="B22" s="1"/>
      <c r="C22" s="1"/>
      <c r="D22" s="1"/>
      <c r="E22" s="1"/>
      <c r="F22" s="1"/>
      <c r="G22" s="1"/>
      <c r="H22" s="1"/>
    </row>
    <row r="23" spans="1:8" x14ac:dyDescent="0.2">
      <c r="A23" s="1" t="s">
        <v>9</v>
      </c>
      <c r="B23" s="1"/>
      <c r="C23" s="1"/>
      <c r="D23" s="1"/>
      <c r="E23" s="1"/>
      <c r="F23" s="1"/>
      <c r="G23" s="1"/>
      <c r="H23" s="1"/>
    </row>
    <row r="24" spans="1:8" x14ac:dyDescent="0.2">
      <c r="A24" s="1" t="s">
        <v>10</v>
      </c>
      <c r="B24" s="1"/>
      <c r="C24" s="1"/>
      <c r="D24" s="1"/>
      <c r="E24" s="1"/>
      <c r="F24" s="1"/>
      <c r="G24" s="1"/>
      <c r="H24" s="1"/>
    </row>
    <row r="25" spans="1:8" x14ac:dyDescent="0.2">
      <c r="A25" s="1" t="s">
        <v>11</v>
      </c>
      <c r="B25" s="1"/>
      <c r="C25" s="1"/>
      <c r="D25" s="1"/>
      <c r="E25" s="1"/>
      <c r="F25" s="1"/>
      <c r="G25" s="1"/>
      <c r="H25" s="1"/>
    </row>
    <row r="26" spans="1:8" x14ac:dyDescent="0.2">
      <c r="A26" s="3" t="s">
        <v>12</v>
      </c>
      <c r="B26" s="1"/>
      <c r="C26" s="1"/>
      <c r="D26" s="1"/>
      <c r="E26" s="1"/>
      <c r="F26" s="1"/>
      <c r="G26" s="1"/>
      <c r="H26" s="1"/>
    </row>
  </sheetData>
  <mergeCells count="6">
    <mergeCell ref="A18:H21"/>
    <mergeCell ref="A8:H8"/>
    <mergeCell ref="A9:H9"/>
    <mergeCell ref="A10:H10"/>
    <mergeCell ref="A12:H14"/>
    <mergeCell ref="A16:H17"/>
  </mergeCells>
  <hyperlinks>
    <hyperlink ref="A26" r:id="rId1" xr:uid="{DF8A7018-D8C3-4452-8902-6910423C35F0}"/>
  </hyperlinks>
  <pageMargins left="0.75" right="0.75" top="0.75" bottom="0.75" header="0.25" footer="0.25"/>
  <pageSetup scale="98" pageOrder="overThenDown" orientation="portrait" r:id="rId2"/>
  <headerFooter scaleWithDoc="0">
    <oddFooter>&amp;LRMC Event Tree Toolbox
&amp;A&amp;RVersion 3.0
Page &amp;P of &amp;N</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13378-2BCD-4604-BD4D-422B612F2246}">
  <sheetPr codeName="Sheet02"/>
  <dimension ref="A1:H63"/>
  <sheetViews>
    <sheetView zoomScaleNormal="100" workbookViewId="0"/>
  </sheetViews>
  <sheetFormatPr defaultColWidth="11.28515625" defaultRowHeight="12.75" x14ac:dyDescent="0.2"/>
  <cols>
    <col min="1" max="16384" width="11.28515625" style="5"/>
  </cols>
  <sheetData>
    <row r="1" spans="1:8" x14ac:dyDescent="0.2">
      <c r="A1" s="4" t="s">
        <v>57</v>
      </c>
      <c r="B1" s="4"/>
      <c r="C1" s="4"/>
      <c r="D1" s="4"/>
      <c r="E1" s="4"/>
      <c r="F1" s="4"/>
      <c r="G1" s="4"/>
      <c r="H1" s="4"/>
    </row>
    <row r="2" spans="1:8" x14ac:dyDescent="0.2">
      <c r="A2" s="4" t="s">
        <v>14</v>
      </c>
      <c r="B2" s="4"/>
      <c r="C2" s="4"/>
      <c r="D2" s="4"/>
      <c r="E2" s="4"/>
      <c r="F2" s="4"/>
      <c r="G2" s="4"/>
      <c r="H2" s="4"/>
    </row>
    <row r="3" spans="1:8" x14ac:dyDescent="0.2">
      <c r="A3" s="6"/>
      <c r="B3" s="6"/>
      <c r="C3" s="6"/>
      <c r="D3" s="6"/>
      <c r="E3" s="6"/>
      <c r="F3" s="6"/>
      <c r="G3" s="6"/>
      <c r="H3" s="6"/>
    </row>
    <row r="4" spans="1:8" x14ac:dyDescent="0.2">
      <c r="A4" s="122" t="s">
        <v>88</v>
      </c>
      <c r="B4" s="122"/>
      <c r="C4" s="122"/>
      <c r="D4" s="122"/>
      <c r="E4" s="122"/>
      <c r="F4" s="122"/>
      <c r="G4" s="122"/>
      <c r="H4" s="122"/>
    </row>
    <row r="5" spans="1:8" x14ac:dyDescent="0.2">
      <c r="A5" s="122"/>
      <c r="B5" s="122"/>
      <c r="C5" s="122"/>
      <c r="D5" s="122"/>
      <c r="E5" s="122"/>
      <c r="F5" s="122"/>
      <c r="G5" s="122"/>
      <c r="H5" s="122"/>
    </row>
    <row r="6" spans="1:8" x14ac:dyDescent="0.2">
      <c r="A6" s="122"/>
      <c r="B6" s="122"/>
      <c r="C6" s="122"/>
      <c r="D6" s="122"/>
      <c r="E6" s="122"/>
      <c r="F6" s="122"/>
      <c r="G6" s="122"/>
      <c r="H6" s="122"/>
    </row>
    <row r="7" spans="1:8" x14ac:dyDescent="0.2">
      <c r="A7" s="122"/>
      <c r="B7" s="122"/>
      <c r="C7" s="122"/>
      <c r="D7" s="122"/>
      <c r="E7" s="122"/>
      <c r="F7" s="122"/>
      <c r="G7" s="122"/>
      <c r="H7" s="122"/>
    </row>
    <row r="8" spans="1:8" x14ac:dyDescent="0.2">
      <c r="A8" s="6"/>
      <c r="B8" s="6"/>
      <c r="C8" s="6"/>
      <c r="D8" s="6"/>
      <c r="E8" s="6"/>
      <c r="F8" s="6"/>
      <c r="G8" s="6"/>
      <c r="H8" s="6"/>
    </row>
    <row r="9" spans="1:8" x14ac:dyDescent="0.2">
      <c r="A9" s="4" t="s">
        <v>15</v>
      </c>
      <c r="B9" s="4"/>
      <c r="C9" s="4"/>
      <c r="D9" s="4"/>
      <c r="E9" s="4"/>
      <c r="F9" s="4"/>
      <c r="G9" s="4"/>
      <c r="H9" s="4"/>
    </row>
    <row r="10" spans="1:8" x14ac:dyDescent="0.2">
      <c r="A10" s="6"/>
      <c r="B10" s="6"/>
      <c r="C10" s="6"/>
      <c r="D10" s="6"/>
      <c r="E10" s="6"/>
      <c r="F10" s="6"/>
      <c r="G10" s="6"/>
      <c r="H10" s="6"/>
    </row>
    <row r="11" spans="1:8" x14ac:dyDescent="0.2">
      <c r="A11" s="122" t="s">
        <v>16</v>
      </c>
      <c r="B11" s="122"/>
      <c r="C11" s="122"/>
      <c r="D11" s="122"/>
      <c r="E11" s="122"/>
      <c r="F11" s="122"/>
      <c r="G11" s="122"/>
      <c r="H11" s="122"/>
    </row>
    <row r="12" spans="1:8" x14ac:dyDescent="0.2">
      <c r="A12" s="122"/>
      <c r="B12" s="122"/>
      <c r="C12" s="122"/>
      <c r="D12" s="122"/>
      <c r="E12" s="122"/>
      <c r="F12" s="122"/>
      <c r="G12" s="122"/>
      <c r="H12" s="122"/>
    </row>
    <row r="13" spans="1:8" x14ac:dyDescent="0.2">
      <c r="A13" s="122"/>
      <c r="B13" s="122"/>
      <c r="C13" s="122"/>
      <c r="D13" s="122"/>
      <c r="E13" s="122"/>
      <c r="F13" s="122"/>
      <c r="G13" s="122"/>
      <c r="H13" s="122"/>
    </row>
    <row r="14" spans="1:8" x14ac:dyDescent="0.2">
      <c r="A14" s="122"/>
      <c r="B14" s="122"/>
      <c r="C14" s="122"/>
      <c r="D14" s="122"/>
      <c r="E14" s="122"/>
      <c r="F14" s="122"/>
      <c r="G14" s="122"/>
      <c r="H14" s="122"/>
    </row>
    <row r="15" spans="1:8" x14ac:dyDescent="0.2">
      <c r="A15" s="122"/>
      <c r="B15" s="122"/>
      <c r="C15" s="122"/>
      <c r="D15" s="122"/>
      <c r="E15" s="122"/>
      <c r="F15" s="122"/>
      <c r="G15" s="122"/>
      <c r="H15" s="122"/>
    </row>
    <row r="16" spans="1:8" x14ac:dyDescent="0.2">
      <c r="A16" s="122"/>
      <c r="B16" s="122"/>
      <c r="C16" s="122"/>
      <c r="D16" s="122"/>
      <c r="E16" s="122"/>
      <c r="F16" s="122"/>
      <c r="G16" s="122"/>
      <c r="H16" s="122"/>
    </row>
    <row r="17" spans="1:8" x14ac:dyDescent="0.2">
      <c r="A17" s="6"/>
      <c r="B17" s="6"/>
      <c r="C17" s="6"/>
      <c r="D17" s="6"/>
      <c r="E17" s="6"/>
      <c r="F17" s="6"/>
      <c r="G17" s="6"/>
      <c r="H17" s="6"/>
    </row>
    <row r="18" spans="1:8" x14ac:dyDescent="0.2">
      <c r="A18" s="122" t="s">
        <v>17</v>
      </c>
      <c r="B18" s="122"/>
      <c r="C18" s="122"/>
      <c r="D18" s="122"/>
      <c r="E18" s="122"/>
      <c r="F18" s="122"/>
      <c r="G18" s="122"/>
      <c r="H18" s="122"/>
    </row>
    <row r="19" spans="1:8" x14ac:dyDescent="0.2">
      <c r="A19" s="122"/>
      <c r="B19" s="122"/>
      <c r="C19" s="122"/>
      <c r="D19" s="122"/>
      <c r="E19" s="122"/>
      <c r="F19" s="122"/>
      <c r="G19" s="122"/>
      <c r="H19" s="122"/>
    </row>
    <row r="20" spans="1:8" x14ac:dyDescent="0.2">
      <c r="A20" s="7"/>
      <c r="B20" s="6"/>
      <c r="C20" s="6"/>
      <c r="D20" s="6"/>
      <c r="E20" s="6"/>
      <c r="F20" s="6"/>
      <c r="G20" s="6"/>
      <c r="H20" s="6"/>
    </row>
    <row r="21" spans="1:8" x14ac:dyDescent="0.2">
      <c r="A21" s="122" t="s">
        <v>18</v>
      </c>
      <c r="B21" s="122"/>
      <c r="C21" s="122"/>
      <c r="D21" s="122"/>
      <c r="E21" s="122"/>
      <c r="F21" s="122"/>
      <c r="G21" s="122"/>
      <c r="H21" s="122"/>
    </row>
    <row r="22" spans="1:8" x14ac:dyDescent="0.2">
      <c r="A22" s="122"/>
      <c r="B22" s="122"/>
      <c r="C22" s="122"/>
      <c r="D22" s="122"/>
      <c r="E22" s="122"/>
      <c r="F22" s="122"/>
      <c r="G22" s="122"/>
      <c r="H22" s="122"/>
    </row>
    <row r="23" spans="1:8" x14ac:dyDescent="0.2">
      <c r="A23" s="7"/>
      <c r="B23" s="6"/>
      <c r="C23" s="6"/>
      <c r="D23" s="6"/>
      <c r="E23" s="6"/>
      <c r="F23" s="6"/>
      <c r="G23" s="6"/>
      <c r="H23" s="6"/>
    </row>
    <row r="24" spans="1:8" x14ac:dyDescent="0.2">
      <c r="A24" s="122" t="s">
        <v>19</v>
      </c>
      <c r="B24" s="122"/>
      <c r="C24" s="122"/>
      <c r="D24" s="122"/>
      <c r="E24" s="122"/>
      <c r="F24" s="122"/>
      <c r="G24" s="122"/>
      <c r="H24" s="122"/>
    </row>
    <row r="25" spans="1:8" x14ac:dyDescent="0.2">
      <c r="A25" s="122"/>
      <c r="B25" s="122"/>
      <c r="C25" s="122"/>
      <c r="D25" s="122"/>
      <c r="E25" s="122"/>
      <c r="F25" s="122"/>
      <c r="G25" s="122"/>
      <c r="H25" s="122"/>
    </row>
    <row r="26" spans="1:8" x14ac:dyDescent="0.2">
      <c r="A26" s="122"/>
      <c r="B26" s="122"/>
      <c r="C26" s="122"/>
      <c r="D26" s="122"/>
      <c r="E26" s="122"/>
      <c r="F26" s="122"/>
      <c r="G26" s="122"/>
      <c r="H26" s="122"/>
    </row>
    <row r="27" spans="1:8" x14ac:dyDescent="0.2">
      <c r="A27" s="122"/>
      <c r="B27" s="122"/>
      <c r="C27" s="122"/>
      <c r="D27" s="122"/>
      <c r="E27" s="122"/>
      <c r="F27" s="122"/>
      <c r="G27" s="122"/>
      <c r="H27" s="122"/>
    </row>
    <row r="28" spans="1:8" x14ac:dyDescent="0.2">
      <c r="A28" s="6"/>
      <c r="B28" s="6"/>
      <c r="C28" s="6"/>
      <c r="D28" s="6"/>
      <c r="E28" s="6"/>
      <c r="F28" s="6"/>
      <c r="G28" s="6"/>
      <c r="H28" s="6"/>
    </row>
    <row r="29" spans="1:8" x14ac:dyDescent="0.2">
      <c r="A29" s="122" t="s">
        <v>20</v>
      </c>
      <c r="B29" s="122"/>
      <c r="C29" s="122"/>
      <c r="D29" s="122"/>
      <c r="E29" s="122"/>
      <c r="F29" s="122"/>
      <c r="G29" s="122"/>
      <c r="H29" s="122"/>
    </row>
    <row r="30" spans="1:8" x14ac:dyDescent="0.2">
      <c r="A30" s="122"/>
      <c r="B30" s="122"/>
      <c r="C30" s="122"/>
      <c r="D30" s="122"/>
      <c r="E30" s="122"/>
      <c r="F30" s="122"/>
      <c r="G30" s="122"/>
      <c r="H30" s="122"/>
    </row>
    <row r="31" spans="1:8" x14ac:dyDescent="0.2">
      <c r="A31" s="6"/>
      <c r="B31" s="6"/>
      <c r="C31" s="6"/>
      <c r="D31" s="6"/>
      <c r="E31" s="6"/>
      <c r="F31" s="6"/>
      <c r="G31" s="6"/>
      <c r="H31" s="6"/>
    </row>
    <row r="32" spans="1:8" x14ac:dyDescent="0.2">
      <c r="A32" s="122" t="s">
        <v>21</v>
      </c>
      <c r="B32" s="122"/>
      <c r="C32" s="122"/>
      <c r="D32" s="122"/>
      <c r="E32" s="122"/>
      <c r="F32" s="122"/>
      <c r="G32" s="122"/>
      <c r="H32" s="122"/>
    </row>
    <row r="33" spans="1:8" x14ac:dyDescent="0.2">
      <c r="A33" s="6"/>
      <c r="B33" s="6"/>
      <c r="C33" s="6"/>
      <c r="D33" s="6"/>
      <c r="E33" s="6"/>
      <c r="F33" s="6"/>
      <c r="G33" s="6"/>
      <c r="H33" s="6"/>
    </row>
    <row r="34" spans="1:8" x14ac:dyDescent="0.2">
      <c r="A34" s="122" t="s">
        <v>22</v>
      </c>
      <c r="B34" s="122"/>
      <c r="C34" s="122"/>
      <c r="D34" s="122"/>
      <c r="E34" s="122"/>
      <c r="F34" s="122"/>
      <c r="G34" s="122"/>
      <c r="H34" s="122"/>
    </row>
    <row r="35" spans="1:8" x14ac:dyDescent="0.2">
      <c r="A35" s="6"/>
      <c r="B35" s="6"/>
      <c r="C35" s="6"/>
      <c r="D35" s="6"/>
      <c r="E35" s="6"/>
      <c r="F35" s="6"/>
      <c r="G35" s="6"/>
      <c r="H35" s="6"/>
    </row>
    <row r="36" spans="1:8" x14ac:dyDescent="0.2">
      <c r="A36" s="4" t="s">
        <v>23</v>
      </c>
      <c r="B36" s="4"/>
      <c r="C36" s="4"/>
      <c r="D36" s="4"/>
      <c r="E36" s="4"/>
      <c r="F36" s="4"/>
      <c r="G36" s="4"/>
      <c r="H36" s="4"/>
    </row>
    <row r="37" spans="1:8" x14ac:dyDescent="0.2">
      <c r="A37" s="6"/>
      <c r="B37" s="6"/>
      <c r="C37" s="6"/>
      <c r="D37" s="6"/>
      <c r="E37" s="6"/>
      <c r="F37" s="6"/>
      <c r="G37" s="6"/>
      <c r="H37" s="6"/>
    </row>
    <row r="38" spans="1:8" x14ac:dyDescent="0.2">
      <c r="A38" s="122" t="s">
        <v>24</v>
      </c>
      <c r="B38" s="122"/>
      <c r="C38" s="122"/>
      <c r="D38" s="122"/>
      <c r="E38" s="122"/>
      <c r="F38" s="122"/>
      <c r="G38" s="122"/>
      <c r="H38" s="122"/>
    </row>
    <row r="39" spans="1:8" x14ac:dyDescent="0.2">
      <c r="A39" s="122"/>
      <c r="B39" s="122"/>
      <c r="C39" s="122"/>
      <c r="D39" s="122"/>
      <c r="E39" s="122"/>
      <c r="F39" s="122"/>
      <c r="G39" s="122"/>
      <c r="H39" s="122"/>
    </row>
    <row r="40" spans="1:8" x14ac:dyDescent="0.2">
      <c r="A40" s="122"/>
      <c r="B40" s="122"/>
      <c r="C40" s="122"/>
      <c r="D40" s="122"/>
      <c r="E40" s="122"/>
      <c r="F40" s="122"/>
      <c r="G40" s="122"/>
      <c r="H40" s="122"/>
    </row>
    <row r="41" spans="1:8" x14ac:dyDescent="0.2">
      <c r="A41" s="122"/>
      <c r="B41" s="122"/>
      <c r="C41" s="122"/>
      <c r="D41" s="122"/>
      <c r="E41" s="122"/>
      <c r="F41" s="122"/>
      <c r="G41" s="122"/>
      <c r="H41" s="122"/>
    </row>
    <row r="42" spans="1:8" x14ac:dyDescent="0.2">
      <c r="A42" s="122"/>
      <c r="B42" s="122"/>
      <c r="C42" s="122"/>
      <c r="D42" s="122"/>
      <c r="E42" s="122"/>
      <c r="F42" s="122"/>
      <c r="G42" s="122"/>
      <c r="H42" s="122"/>
    </row>
    <row r="43" spans="1:8" x14ac:dyDescent="0.2">
      <c r="A43" s="122"/>
      <c r="B43" s="122"/>
      <c r="C43" s="122"/>
      <c r="D43" s="122"/>
      <c r="E43" s="122"/>
      <c r="F43" s="122"/>
      <c r="G43" s="122"/>
      <c r="H43" s="122"/>
    </row>
    <row r="44" spans="1:8" x14ac:dyDescent="0.2">
      <c r="A44" s="6"/>
      <c r="B44" s="6"/>
      <c r="C44" s="6"/>
      <c r="D44" s="6"/>
      <c r="E44" s="6"/>
      <c r="F44" s="6"/>
      <c r="G44" s="6"/>
      <c r="H44" s="6"/>
    </row>
    <row r="45" spans="1:8" x14ac:dyDescent="0.2">
      <c r="A45" s="4" t="s">
        <v>25</v>
      </c>
      <c r="B45" s="4"/>
      <c r="C45" s="4"/>
      <c r="D45" s="4"/>
      <c r="E45" s="4"/>
      <c r="F45" s="4"/>
      <c r="G45" s="4"/>
      <c r="H45" s="4"/>
    </row>
    <row r="46" spans="1:8" x14ac:dyDescent="0.2">
      <c r="A46" s="6"/>
      <c r="B46" s="6"/>
      <c r="C46" s="6"/>
      <c r="D46" s="6"/>
      <c r="E46" s="6"/>
      <c r="F46" s="6"/>
      <c r="G46" s="6"/>
      <c r="H46" s="6"/>
    </row>
    <row r="47" spans="1:8" x14ac:dyDescent="0.2">
      <c r="A47" s="122" t="s">
        <v>26</v>
      </c>
      <c r="B47" s="122"/>
      <c r="C47" s="122"/>
      <c r="D47" s="122"/>
      <c r="E47" s="122"/>
      <c r="F47" s="122"/>
      <c r="G47" s="122"/>
      <c r="H47" s="122"/>
    </row>
    <row r="48" spans="1:8" x14ac:dyDescent="0.2">
      <c r="A48" s="122"/>
      <c r="B48" s="122"/>
      <c r="C48" s="122"/>
      <c r="D48" s="122"/>
      <c r="E48" s="122"/>
      <c r="F48" s="122"/>
      <c r="G48" s="122"/>
      <c r="H48" s="122"/>
    </row>
    <row r="49" spans="1:8" x14ac:dyDescent="0.2">
      <c r="A49" s="122"/>
      <c r="B49" s="122"/>
      <c r="C49" s="122"/>
      <c r="D49" s="122"/>
      <c r="E49" s="122"/>
      <c r="F49" s="122"/>
      <c r="G49" s="122"/>
      <c r="H49" s="122"/>
    </row>
    <row r="50" spans="1:8" x14ac:dyDescent="0.2">
      <c r="A50" s="122"/>
      <c r="B50" s="122"/>
      <c r="C50" s="122"/>
      <c r="D50" s="122"/>
      <c r="E50" s="122"/>
      <c r="F50" s="122"/>
      <c r="G50" s="122"/>
      <c r="H50" s="122"/>
    </row>
    <row r="51" spans="1:8" x14ac:dyDescent="0.2">
      <c r="A51" s="122"/>
      <c r="B51" s="122"/>
      <c r="C51" s="122"/>
      <c r="D51" s="122"/>
      <c r="E51" s="122"/>
      <c r="F51" s="122"/>
      <c r="G51" s="122"/>
      <c r="H51" s="122"/>
    </row>
    <row r="52" spans="1:8" x14ac:dyDescent="0.2">
      <c r="A52" s="122"/>
      <c r="B52" s="122"/>
      <c r="C52" s="122"/>
      <c r="D52" s="122"/>
      <c r="E52" s="122"/>
      <c r="F52" s="122"/>
      <c r="G52" s="122"/>
      <c r="H52" s="122"/>
    </row>
    <row r="53" spans="1:8" x14ac:dyDescent="0.2">
      <c r="A53" s="122"/>
      <c r="B53" s="122"/>
      <c r="C53" s="122"/>
      <c r="D53" s="122"/>
      <c r="E53" s="122"/>
      <c r="F53" s="122"/>
      <c r="G53" s="122"/>
      <c r="H53" s="122"/>
    </row>
    <row r="54" spans="1:8" x14ac:dyDescent="0.2">
      <c r="A54" s="122"/>
      <c r="B54" s="122"/>
      <c r="C54" s="122"/>
      <c r="D54" s="122"/>
      <c r="E54" s="122"/>
      <c r="F54" s="122"/>
      <c r="G54" s="122"/>
      <c r="H54" s="122"/>
    </row>
    <row r="55" spans="1:8" x14ac:dyDescent="0.2">
      <c r="A55" s="122" t="s">
        <v>27</v>
      </c>
      <c r="B55" s="122"/>
      <c r="C55" s="122"/>
      <c r="D55" s="122"/>
      <c r="E55" s="122"/>
      <c r="F55" s="122"/>
      <c r="G55" s="122"/>
      <c r="H55" s="122"/>
    </row>
    <row r="56" spans="1:8" x14ac:dyDescent="0.2">
      <c r="A56" s="8"/>
      <c r="B56" s="8"/>
      <c r="C56" s="8"/>
      <c r="D56" s="8"/>
      <c r="E56" s="8"/>
      <c r="F56" s="8"/>
      <c r="G56" s="8"/>
      <c r="H56" s="8"/>
    </row>
    <row r="57" spans="1:8" x14ac:dyDescent="0.2">
      <c r="A57" s="4" t="s">
        <v>28</v>
      </c>
      <c r="B57" s="4"/>
      <c r="C57" s="4"/>
      <c r="D57" s="4"/>
      <c r="E57" s="4"/>
      <c r="F57" s="4"/>
      <c r="G57" s="4"/>
      <c r="H57" s="4"/>
    </row>
    <row r="58" spans="1:8" x14ac:dyDescent="0.2">
      <c r="A58" s="8"/>
      <c r="B58" s="8"/>
      <c r="C58" s="8"/>
      <c r="D58" s="8"/>
      <c r="E58" s="8"/>
      <c r="F58" s="8"/>
      <c r="G58" s="8"/>
      <c r="H58" s="8"/>
    </row>
    <row r="59" spans="1:8" x14ac:dyDescent="0.2">
      <c r="A59" s="122" t="s">
        <v>29</v>
      </c>
      <c r="B59" s="122"/>
      <c r="C59" s="122"/>
      <c r="D59" s="122"/>
      <c r="E59" s="122"/>
      <c r="F59" s="122"/>
      <c r="G59" s="122"/>
      <c r="H59" s="122"/>
    </row>
    <row r="60" spans="1:8" x14ac:dyDescent="0.2">
      <c r="A60" s="122"/>
      <c r="B60" s="122"/>
      <c r="C60" s="122"/>
      <c r="D60" s="122"/>
      <c r="E60" s="122"/>
      <c r="F60" s="122"/>
      <c r="G60" s="122"/>
      <c r="H60" s="122"/>
    </row>
    <row r="61" spans="1:8" x14ac:dyDescent="0.2">
      <c r="A61" s="122"/>
      <c r="B61" s="122"/>
      <c r="C61" s="122"/>
      <c r="D61" s="122"/>
      <c r="E61" s="122"/>
      <c r="F61" s="122"/>
      <c r="G61" s="122"/>
      <c r="H61" s="122"/>
    </row>
    <row r="62" spans="1:8" x14ac:dyDescent="0.2">
      <c r="A62" s="122"/>
      <c r="B62" s="122"/>
      <c r="C62" s="122"/>
      <c r="D62" s="122"/>
      <c r="E62" s="122"/>
      <c r="F62" s="122"/>
      <c r="G62" s="122"/>
      <c r="H62" s="122"/>
    </row>
    <row r="63" spans="1:8" x14ac:dyDescent="0.2">
      <c r="A63" s="122"/>
      <c r="B63" s="122"/>
      <c r="C63" s="122"/>
      <c r="D63" s="122"/>
      <c r="E63" s="122"/>
      <c r="F63" s="122"/>
      <c r="G63" s="122"/>
      <c r="H63" s="122"/>
    </row>
  </sheetData>
  <mergeCells count="11">
    <mergeCell ref="A32:H32"/>
    <mergeCell ref="A34:H34"/>
    <mergeCell ref="A38:H43"/>
    <mergeCell ref="A47:H55"/>
    <mergeCell ref="A59:H63"/>
    <mergeCell ref="A29:H30"/>
    <mergeCell ref="A4:H7"/>
    <mergeCell ref="A11:H16"/>
    <mergeCell ref="A18:H19"/>
    <mergeCell ref="A21:H22"/>
    <mergeCell ref="A24:H27"/>
  </mergeCells>
  <pageMargins left="0.75" right="0.75" top="0.75" bottom="0.75" header="0.25" footer="0.25"/>
  <pageSetup scale="88" pageOrder="overThenDown" orientation="portrait" r:id="rId1"/>
  <headerFooter scaleWithDoc="0">
    <oddFooter>&amp;LRMC Event Tree Toolbox
&amp;A&amp;RVersion 3.0
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9CF98-E52E-4DF2-B0BD-52C8FD179B6D}">
  <sheetPr codeName="Sheet03"/>
  <dimension ref="A1:J30"/>
  <sheetViews>
    <sheetView zoomScaleNormal="100" workbookViewId="0"/>
  </sheetViews>
  <sheetFormatPr defaultColWidth="11.28515625" defaultRowHeight="12.75" x14ac:dyDescent="0.2"/>
  <cols>
    <col min="1" max="8" width="11.28515625" style="5"/>
    <col min="9" max="10" width="15.7109375" style="5" customWidth="1"/>
    <col min="11" max="16384" width="11.28515625" style="5"/>
  </cols>
  <sheetData>
    <row r="1" spans="1:10" x14ac:dyDescent="0.2">
      <c r="A1" s="4" t="s">
        <v>57</v>
      </c>
      <c r="B1" s="4"/>
      <c r="C1" s="4"/>
      <c r="D1" s="4"/>
      <c r="E1" s="4"/>
      <c r="F1" s="4"/>
      <c r="G1" s="4"/>
      <c r="H1" s="4"/>
      <c r="I1" s="4"/>
      <c r="J1" s="4"/>
    </row>
    <row r="2" spans="1:10" x14ac:dyDescent="0.2">
      <c r="A2" s="4" t="s">
        <v>30</v>
      </c>
      <c r="B2" s="4"/>
      <c r="C2" s="4"/>
      <c r="D2" s="4"/>
      <c r="E2" s="4"/>
      <c r="F2" s="4"/>
      <c r="G2" s="4"/>
      <c r="H2" s="4"/>
      <c r="I2" s="4"/>
      <c r="J2" s="4"/>
    </row>
    <row r="3" spans="1:10" x14ac:dyDescent="0.2">
      <c r="A3" s="6"/>
      <c r="B3" s="6"/>
      <c r="C3" s="6"/>
      <c r="D3" s="6"/>
      <c r="E3" s="6"/>
      <c r="F3" s="6"/>
      <c r="G3" s="6"/>
      <c r="H3" s="6"/>
      <c r="I3" s="6"/>
      <c r="J3" s="6"/>
    </row>
    <row r="4" spans="1:10" x14ac:dyDescent="0.2">
      <c r="A4" s="9" t="s">
        <v>31</v>
      </c>
      <c r="B4" s="9" t="s">
        <v>32</v>
      </c>
      <c r="C4" s="127" t="s">
        <v>33</v>
      </c>
      <c r="D4" s="127"/>
      <c r="E4" s="127"/>
      <c r="F4" s="127"/>
      <c r="G4" s="127"/>
      <c r="H4" s="127"/>
      <c r="I4" s="9" t="s">
        <v>34</v>
      </c>
      <c r="J4" s="9" t="s">
        <v>35</v>
      </c>
    </row>
    <row r="5" spans="1:10" x14ac:dyDescent="0.2">
      <c r="A5" s="10"/>
      <c r="B5" s="11"/>
      <c r="C5" s="128"/>
      <c r="D5" s="128"/>
      <c r="E5" s="128"/>
      <c r="F5" s="128"/>
      <c r="G5" s="128"/>
      <c r="H5" s="128"/>
      <c r="I5" s="12"/>
      <c r="J5" s="12"/>
    </row>
    <row r="6" spans="1:10" ht="13.15" customHeight="1" x14ac:dyDescent="0.2">
      <c r="A6" s="13" t="s">
        <v>36</v>
      </c>
      <c r="B6" s="11">
        <v>44391</v>
      </c>
      <c r="C6" s="129" t="s">
        <v>37</v>
      </c>
      <c r="D6" s="129"/>
      <c r="E6" s="129"/>
      <c r="F6" s="129"/>
      <c r="G6" s="129"/>
      <c r="H6" s="129"/>
      <c r="I6" s="13"/>
      <c r="J6" s="13"/>
    </row>
    <row r="7" spans="1:10" ht="13.15" customHeight="1" x14ac:dyDescent="0.2">
      <c r="A7" s="131" t="s">
        <v>90</v>
      </c>
      <c r="B7" s="132">
        <v>44413</v>
      </c>
      <c r="C7" s="129" t="s">
        <v>91</v>
      </c>
      <c r="D7" s="129"/>
      <c r="E7" s="129"/>
      <c r="F7" s="129"/>
      <c r="G7" s="129"/>
      <c r="H7" s="129"/>
      <c r="I7" s="131" t="s">
        <v>92</v>
      </c>
      <c r="J7" s="131" t="s">
        <v>93</v>
      </c>
    </row>
    <row r="8" spans="1:10" ht="15.6" customHeight="1" x14ac:dyDescent="0.2">
      <c r="A8" s="131"/>
      <c r="B8" s="132"/>
      <c r="C8" s="129"/>
      <c r="D8" s="129"/>
      <c r="E8" s="129"/>
      <c r="F8" s="129"/>
      <c r="G8" s="129"/>
      <c r="H8" s="129"/>
      <c r="I8" s="131"/>
      <c r="J8" s="131"/>
    </row>
    <row r="9" spans="1:10" ht="13.15" customHeight="1" x14ac:dyDescent="0.2">
      <c r="A9" s="131"/>
      <c r="B9" s="132"/>
      <c r="C9" s="129"/>
      <c r="D9" s="129"/>
      <c r="E9" s="129"/>
      <c r="F9" s="129"/>
      <c r="G9" s="129"/>
      <c r="H9" s="129"/>
      <c r="I9" s="131"/>
      <c r="J9" s="131"/>
    </row>
    <row r="10" spans="1:10" x14ac:dyDescent="0.2">
      <c r="A10" s="32">
        <v>1.2</v>
      </c>
      <c r="B10" s="31">
        <v>44803</v>
      </c>
      <c r="C10" s="130" t="s">
        <v>94</v>
      </c>
      <c r="D10" s="130"/>
      <c r="E10" s="130"/>
      <c r="F10" s="130"/>
      <c r="G10" s="130"/>
      <c r="H10" s="130"/>
      <c r="I10" s="8" t="s">
        <v>92</v>
      </c>
      <c r="J10" s="8" t="s">
        <v>95</v>
      </c>
    </row>
    <row r="11" spans="1:10" ht="12.75" customHeight="1" x14ac:dyDescent="0.2">
      <c r="A11" s="126">
        <v>2</v>
      </c>
      <c r="B11" s="125">
        <v>44911</v>
      </c>
      <c r="C11" s="133" t="s">
        <v>142</v>
      </c>
      <c r="D11" s="133"/>
      <c r="E11" s="133"/>
      <c r="F11" s="133"/>
      <c r="G11" s="133"/>
      <c r="H11" s="133"/>
      <c r="I11" s="124" t="s">
        <v>92</v>
      </c>
      <c r="J11" s="124" t="s">
        <v>144</v>
      </c>
    </row>
    <row r="12" spans="1:10" x14ac:dyDescent="0.2">
      <c r="A12" s="126"/>
      <c r="B12" s="125"/>
      <c r="C12" s="133"/>
      <c r="D12" s="133"/>
      <c r="E12" s="133"/>
      <c r="F12" s="133"/>
      <c r="G12" s="133"/>
      <c r="H12" s="133"/>
      <c r="I12" s="124"/>
      <c r="J12" s="124"/>
    </row>
    <row r="13" spans="1:10" x14ac:dyDescent="0.2">
      <c r="A13" s="126"/>
      <c r="B13" s="125"/>
      <c r="C13" s="133"/>
      <c r="D13" s="133"/>
      <c r="E13" s="133"/>
      <c r="F13" s="133"/>
      <c r="G13" s="133"/>
      <c r="H13" s="133"/>
      <c r="I13" s="124"/>
      <c r="J13" s="124"/>
    </row>
    <row r="14" spans="1:10" x14ac:dyDescent="0.2">
      <c r="A14" s="126"/>
      <c r="B14" s="125"/>
      <c r="C14" s="133"/>
      <c r="D14" s="133"/>
      <c r="E14" s="133"/>
      <c r="F14" s="133"/>
      <c r="G14" s="133"/>
      <c r="H14" s="133"/>
      <c r="I14" s="124"/>
      <c r="J14" s="124"/>
    </row>
    <row r="15" spans="1:10" x14ac:dyDescent="0.2">
      <c r="A15" s="126"/>
      <c r="B15" s="125"/>
      <c r="C15" s="133"/>
      <c r="D15" s="133"/>
      <c r="E15" s="133"/>
      <c r="F15" s="133"/>
      <c r="G15" s="133"/>
      <c r="H15" s="133"/>
      <c r="I15" s="124"/>
      <c r="J15" s="124"/>
    </row>
    <row r="16" spans="1:10" x14ac:dyDescent="0.2">
      <c r="A16" s="126"/>
      <c r="B16" s="125"/>
      <c r="C16" s="133"/>
      <c r="D16" s="133"/>
      <c r="E16" s="133"/>
      <c r="F16" s="133"/>
      <c r="G16" s="133"/>
      <c r="H16" s="133"/>
      <c r="I16" s="124"/>
      <c r="J16" s="124"/>
    </row>
    <row r="17" spans="1:10" ht="12.75" customHeight="1" x14ac:dyDescent="0.2">
      <c r="A17" s="126">
        <v>3</v>
      </c>
      <c r="B17" s="125">
        <v>45330</v>
      </c>
      <c r="C17" s="123" t="s">
        <v>239</v>
      </c>
      <c r="D17" s="123"/>
      <c r="E17" s="123"/>
      <c r="F17" s="123"/>
      <c r="G17" s="123"/>
      <c r="H17" s="123"/>
      <c r="I17" s="124" t="s">
        <v>92</v>
      </c>
      <c r="J17" s="124" t="s">
        <v>95</v>
      </c>
    </row>
    <row r="18" spans="1:10" x14ac:dyDescent="0.2">
      <c r="A18" s="126"/>
      <c r="B18" s="125"/>
      <c r="C18" s="123"/>
      <c r="D18" s="123"/>
      <c r="E18" s="123"/>
      <c r="F18" s="123"/>
      <c r="G18" s="123"/>
      <c r="H18" s="123"/>
      <c r="I18" s="124"/>
      <c r="J18" s="124"/>
    </row>
    <row r="19" spans="1:10" x14ac:dyDescent="0.2">
      <c r="A19" s="126"/>
      <c r="B19" s="125"/>
      <c r="C19" s="123"/>
      <c r="D19" s="123"/>
      <c r="E19" s="123"/>
      <c r="F19" s="123"/>
      <c r="G19" s="123"/>
      <c r="H19" s="123"/>
      <c r="I19" s="124"/>
      <c r="J19" s="124"/>
    </row>
    <row r="20" spans="1:10" x14ac:dyDescent="0.2">
      <c r="A20" s="126"/>
      <c r="B20" s="125"/>
      <c r="C20" s="123"/>
      <c r="D20" s="123"/>
      <c r="E20" s="123"/>
      <c r="F20" s="123"/>
      <c r="G20" s="123"/>
      <c r="H20" s="123"/>
      <c r="I20" s="124"/>
      <c r="J20" s="124"/>
    </row>
    <row r="21" spans="1:10" x14ac:dyDescent="0.2">
      <c r="A21" s="126"/>
      <c r="B21" s="125"/>
      <c r="C21" s="123"/>
      <c r="D21" s="123"/>
      <c r="E21" s="123"/>
      <c r="F21" s="123"/>
      <c r="G21" s="123"/>
      <c r="H21" s="123"/>
      <c r="I21" s="124"/>
      <c r="J21" s="124"/>
    </row>
    <row r="22" spans="1:10" x14ac:dyDescent="0.2">
      <c r="A22" s="126"/>
      <c r="B22" s="125"/>
      <c r="C22" s="123"/>
      <c r="D22" s="123"/>
      <c r="E22" s="123"/>
      <c r="F22" s="123"/>
      <c r="G22" s="123"/>
      <c r="H22" s="123"/>
      <c r="I22" s="124"/>
      <c r="J22" s="124"/>
    </row>
    <row r="23" spans="1:10" x14ac:dyDescent="0.2">
      <c r="A23" s="126"/>
      <c r="B23" s="125"/>
      <c r="C23" s="123"/>
      <c r="D23" s="123"/>
      <c r="E23" s="123"/>
      <c r="F23" s="123"/>
      <c r="G23" s="123"/>
      <c r="H23" s="123"/>
      <c r="I23" s="124"/>
      <c r="J23" s="124"/>
    </row>
    <row r="24" spans="1:10" x14ac:dyDescent="0.2">
      <c r="A24" s="126"/>
      <c r="B24" s="125"/>
      <c r="C24" s="123"/>
      <c r="D24" s="123"/>
      <c r="E24" s="123"/>
      <c r="F24" s="123"/>
      <c r="G24" s="123"/>
      <c r="H24" s="123"/>
      <c r="I24" s="124"/>
      <c r="J24" s="124"/>
    </row>
    <row r="25" spans="1:10" x14ac:dyDescent="0.2">
      <c r="A25" s="126"/>
      <c r="B25" s="125"/>
      <c r="C25" s="123"/>
      <c r="D25" s="123"/>
      <c r="E25" s="123"/>
      <c r="F25" s="123"/>
      <c r="G25" s="123"/>
      <c r="H25" s="123"/>
      <c r="I25" s="124"/>
      <c r="J25" s="124"/>
    </row>
    <row r="26" spans="1:10" x14ac:dyDescent="0.2">
      <c r="A26" s="126"/>
      <c r="B26" s="125"/>
      <c r="C26" s="123"/>
      <c r="D26" s="123"/>
      <c r="E26" s="123"/>
      <c r="F26" s="123"/>
      <c r="G26" s="123"/>
      <c r="H26" s="123"/>
      <c r="I26" s="124"/>
      <c r="J26" s="124"/>
    </row>
    <row r="27" spans="1:10" x14ac:dyDescent="0.2">
      <c r="A27" s="126"/>
      <c r="B27" s="125"/>
      <c r="C27" s="123"/>
      <c r="D27" s="123"/>
      <c r="E27" s="123"/>
      <c r="F27" s="123"/>
      <c r="G27" s="123"/>
      <c r="H27" s="123"/>
      <c r="I27" s="124"/>
      <c r="J27" s="124"/>
    </row>
    <row r="28" spans="1:10" x14ac:dyDescent="0.2">
      <c r="A28" s="126"/>
      <c r="B28" s="125"/>
      <c r="C28" s="123"/>
      <c r="D28" s="123"/>
      <c r="E28" s="123"/>
      <c r="F28" s="123"/>
      <c r="G28" s="123"/>
      <c r="H28" s="123"/>
      <c r="I28" s="124"/>
      <c r="J28" s="124"/>
    </row>
    <row r="29" spans="1:10" x14ac:dyDescent="0.2">
      <c r="A29" s="126"/>
      <c r="B29" s="125"/>
      <c r="C29" s="123"/>
      <c r="D29" s="123"/>
      <c r="E29" s="123"/>
      <c r="F29" s="123"/>
      <c r="G29" s="123"/>
      <c r="H29" s="123"/>
      <c r="I29" s="124"/>
      <c r="J29" s="124"/>
    </row>
    <row r="30" spans="1:10" x14ac:dyDescent="0.2">
      <c r="A30" s="126"/>
      <c r="B30" s="125"/>
      <c r="C30" s="123"/>
      <c r="D30" s="123"/>
      <c r="E30" s="123"/>
      <c r="F30" s="123"/>
      <c r="G30" s="123"/>
      <c r="H30" s="123"/>
      <c r="I30" s="124"/>
      <c r="J30" s="124"/>
    </row>
  </sheetData>
  <mergeCells count="19">
    <mergeCell ref="I7:I9"/>
    <mergeCell ref="J7:J9"/>
    <mergeCell ref="A7:A9"/>
    <mergeCell ref="B7:B9"/>
    <mergeCell ref="C11:H16"/>
    <mergeCell ref="B11:B16"/>
    <mergeCell ref="A11:A16"/>
    <mergeCell ref="I11:I16"/>
    <mergeCell ref="J11:J16"/>
    <mergeCell ref="C4:H4"/>
    <mergeCell ref="C5:H5"/>
    <mergeCell ref="C6:H6"/>
    <mergeCell ref="C7:H9"/>
    <mergeCell ref="C10:H10"/>
    <mergeCell ref="C17:H30"/>
    <mergeCell ref="I17:I30"/>
    <mergeCell ref="J17:J30"/>
    <mergeCell ref="B17:B30"/>
    <mergeCell ref="A17:A30"/>
  </mergeCells>
  <pageMargins left="0.75" right="0.75" top="0.75" bottom="0.75" header="0.25" footer="0.25"/>
  <pageSetup scale="99" pageOrder="overThenDown" orientation="landscape" r:id="rId1"/>
  <headerFooter scaleWithDoc="0">
    <oddFooter>&amp;LRMC Event Tree Toolbox
&amp;A&amp;RVersion 3.0
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54ACF-3332-4F47-A65D-14A4D4B3F318}">
  <sheetPr codeName="Sheet04"/>
  <dimension ref="A1:H23"/>
  <sheetViews>
    <sheetView zoomScaleNormal="100" workbookViewId="0"/>
  </sheetViews>
  <sheetFormatPr defaultColWidth="11.28515625" defaultRowHeight="12.75" x14ac:dyDescent="0.2"/>
  <cols>
    <col min="1" max="16384" width="11.28515625" style="5"/>
  </cols>
  <sheetData>
    <row r="1" spans="1:8" x14ac:dyDescent="0.2">
      <c r="A1" s="4" t="s">
        <v>57</v>
      </c>
      <c r="B1" s="4"/>
      <c r="C1" s="4"/>
      <c r="D1" s="4"/>
      <c r="E1" s="4"/>
      <c r="F1" s="4"/>
      <c r="G1" s="4"/>
      <c r="H1" s="4"/>
    </row>
    <row r="2" spans="1:8" x14ac:dyDescent="0.2">
      <c r="A2" s="4" t="s">
        <v>38</v>
      </c>
      <c r="B2" s="4"/>
      <c r="C2" s="4"/>
      <c r="D2" s="4"/>
      <c r="E2" s="4"/>
      <c r="F2" s="4"/>
      <c r="G2" s="4"/>
      <c r="H2" s="4"/>
    </row>
    <row r="3" spans="1:8" x14ac:dyDescent="0.2">
      <c r="A3" s="6"/>
      <c r="B3" s="6"/>
      <c r="C3" s="6"/>
      <c r="D3" s="6"/>
      <c r="E3" s="6"/>
      <c r="F3" s="6"/>
      <c r="G3" s="6"/>
      <c r="H3" s="6"/>
    </row>
    <row r="4" spans="1:8" x14ac:dyDescent="0.2">
      <c r="A4" s="4" t="s">
        <v>222</v>
      </c>
      <c r="B4" s="4"/>
      <c r="C4" s="4"/>
      <c r="D4" s="4"/>
      <c r="E4" s="4"/>
      <c r="F4" s="4"/>
      <c r="G4" s="4"/>
      <c r="H4" s="4"/>
    </row>
    <row r="5" spans="1:8" x14ac:dyDescent="0.2">
      <c r="A5" s="6"/>
      <c r="B5" s="6"/>
      <c r="C5" s="6"/>
      <c r="D5" s="6"/>
      <c r="E5" s="6"/>
      <c r="F5" s="6"/>
      <c r="G5" s="6"/>
      <c r="H5" s="6"/>
    </row>
    <row r="6" spans="1:8" x14ac:dyDescent="0.2">
      <c r="A6" s="6" t="s">
        <v>62</v>
      </c>
      <c r="B6" s="6"/>
      <c r="C6" s="6"/>
      <c r="D6" s="6"/>
      <c r="E6" s="6"/>
      <c r="F6" s="6"/>
      <c r="G6" s="6"/>
      <c r="H6" s="6"/>
    </row>
    <row r="7" spans="1:8" x14ac:dyDescent="0.2">
      <c r="A7" s="122"/>
      <c r="B7" s="122"/>
      <c r="C7" s="122"/>
      <c r="D7" s="122"/>
      <c r="E7" s="122"/>
      <c r="F7" s="122"/>
      <c r="G7" s="122"/>
      <c r="H7" s="122"/>
    </row>
    <row r="8" spans="1:8" x14ac:dyDescent="0.2">
      <c r="A8" s="4" t="s">
        <v>49</v>
      </c>
      <c r="B8" s="4"/>
      <c r="C8" s="4"/>
      <c r="D8" s="4"/>
      <c r="E8" s="4"/>
      <c r="F8" s="4"/>
      <c r="G8" s="4"/>
      <c r="H8" s="4"/>
    </row>
    <row r="9" spans="1:8" x14ac:dyDescent="0.2">
      <c r="A9" s="6"/>
      <c r="B9" s="6"/>
      <c r="C9" s="6"/>
      <c r="D9" s="6"/>
      <c r="E9" s="6"/>
      <c r="F9" s="6"/>
      <c r="G9" s="6"/>
      <c r="H9" s="6"/>
    </row>
    <row r="10" spans="1:8" x14ac:dyDescent="0.2">
      <c r="A10" s="6" t="s">
        <v>62</v>
      </c>
      <c r="B10" s="6"/>
      <c r="C10" s="6"/>
      <c r="D10" s="6"/>
      <c r="E10" s="6"/>
      <c r="F10" s="6"/>
      <c r="G10" s="6"/>
      <c r="H10" s="6"/>
    </row>
    <row r="11" spans="1:8" x14ac:dyDescent="0.2">
      <c r="A11" s="122"/>
      <c r="B11" s="122"/>
      <c r="C11" s="122"/>
      <c r="D11" s="122"/>
      <c r="E11" s="122"/>
      <c r="F11" s="122"/>
      <c r="G11" s="122"/>
      <c r="H11" s="122"/>
    </row>
    <row r="12" spans="1:8" x14ac:dyDescent="0.2">
      <c r="A12" s="4" t="s">
        <v>56</v>
      </c>
      <c r="B12" s="4"/>
      <c r="C12" s="4"/>
      <c r="D12" s="4"/>
      <c r="E12" s="4"/>
      <c r="F12" s="4"/>
      <c r="G12" s="4"/>
      <c r="H12" s="4"/>
    </row>
    <row r="13" spans="1:8" x14ac:dyDescent="0.2">
      <c r="A13" s="6"/>
      <c r="B13" s="6"/>
      <c r="C13" s="6"/>
      <c r="D13" s="6"/>
      <c r="E13" s="6"/>
      <c r="F13" s="6"/>
      <c r="G13" s="6"/>
      <c r="H13" s="6"/>
    </row>
    <row r="14" spans="1:8" x14ac:dyDescent="0.2">
      <c r="A14" s="6" t="s">
        <v>62</v>
      </c>
      <c r="B14" s="6"/>
      <c r="C14" s="6"/>
      <c r="D14" s="6"/>
      <c r="E14" s="6"/>
      <c r="F14" s="6"/>
      <c r="G14" s="6"/>
      <c r="H14" s="6"/>
    </row>
    <row r="15" spans="1:8" x14ac:dyDescent="0.2">
      <c r="A15" s="122"/>
      <c r="B15" s="122"/>
      <c r="C15" s="122"/>
      <c r="D15" s="122"/>
      <c r="E15" s="122"/>
      <c r="F15" s="122"/>
      <c r="G15" s="122"/>
      <c r="H15" s="122"/>
    </row>
    <row r="16" spans="1:8" x14ac:dyDescent="0.2">
      <c r="A16" s="4" t="s">
        <v>141</v>
      </c>
      <c r="B16" s="4"/>
      <c r="C16" s="4"/>
      <c r="D16" s="4"/>
      <c r="E16" s="4"/>
      <c r="F16" s="4"/>
      <c r="G16" s="4"/>
      <c r="H16" s="4"/>
    </row>
    <row r="17" spans="1:8" x14ac:dyDescent="0.2">
      <c r="A17" s="6"/>
      <c r="B17" s="6"/>
      <c r="C17" s="6"/>
      <c r="D17" s="6"/>
      <c r="E17" s="6"/>
      <c r="F17" s="6"/>
      <c r="G17" s="6"/>
      <c r="H17" s="6"/>
    </row>
    <row r="18" spans="1:8" x14ac:dyDescent="0.2">
      <c r="A18" s="6" t="s">
        <v>62</v>
      </c>
      <c r="B18" s="6"/>
      <c r="C18" s="6"/>
      <c r="D18" s="6"/>
      <c r="E18" s="6"/>
      <c r="F18" s="6"/>
      <c r="G18" s="6"/>
      <c r="H18" s="6"/>
    </row>
    <row r="19" spans="1:8" x14ac:dyDescent="0.2">
      <c r="A19" s="122"/>
      <c r="B19" s="122"/>
      <c r="C19" s="122"/>
      <c r="D19" s="122"/>
      <c r="E19" s="122"/>
      <c r="F19" s="122"/>
      <c r="G19" s="122"/>
      <c r="H19" s="122"/>
    </row>
    <row r="20" spans="1:8" x14ac:dyDescent="0.2">
      <c r="A20" s="4" t="s">
        <v>96</v>
      </c>
      <c r="B20" s="4"/>
      <c r="C20" s="4"/>
      <c r="D20" s="4"/>
      <c r="E20" s="4"/>
      <c r="F20" s="4"/>
      <c r="G20" s="4"/>
      <c r="H20" s="4"/>
    </row>
    <row r="21" spans="1:8" x14ac:dyDescent="0.2">
      <c r="A21" s="6"/>
      <c r="B21" s="6"/>
      <c r="C21" s="6"/>
      <c r="D21" s="6"/>
      <c r="E21" s="6"/>
      <c r="F21" s="6"/>
      <c r="G21" s="6"/>
      <c r="H21" s="6"/>
    </row>
    <row r="22" spans="1:8" x14ac:dyDescent="0.2">
      <c r="A22" s="6" t="s">
        <v>62</v>
      </c>
      <c r="B22" s="6"/>
      <c r="C22" s="6"/>
      <c r="D22" s="6"/>
      <c r="E22" s="6"/>
      <c r="F22" s="6"/>
      <c r="G22" s="6"/>
      <c r="H22" s="6"/>
    </row>
    <row r="23" spans="1:8" x14ac:dyDescent="0.2">
      <c r="A23" s="122"/>
      <c r="B23" s="122"/>
      <c r="C23" s="122"/>
      <c r="D23" s="122"/>
      <c r="E23" s="122"/>
      <c r="F23" s="122"/>
      <c r="G23" s="122"/>
      <c r="H23" s="122"/>
    </row>
  </sheetData>
  <mergeCells count="5">
    <mergeCell ref="A11:H11"/>
    <mergeCell ref="A15:H15"/>
    <mergeCell ref="A19:H19"/>
    <mergeCell ref="A23:H23"/>
    <mergeCell ref="A7:H7"/>
  </mergeCells>
  <pageMargins left="0.75" right="0.75" top="0.75" bottom="0.75" header="0.25" footer="0.25"/>
  <pageSetup scale="98" orientation="portrait" r:id="rId1"/>
  <headerFooter scaleWithDoc="0">
    <oddFooter>&amp;LRMC Event Tree Toolbox
&amp;A&amp;RVersion 3.0
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90A3B-E2A2-4120-8A89-1A9E89419B7D}">
  <sheetPr codeName="Sheet07">
    <pageSetUpPr fitToPage="1"/>
  </sheetPr>
  <dimension ref="A1:H108"/>
  <sheetViews>
    <sheetView zoomScaleNormal="100" zoomScaleSheetLayoutView="100" workbookViewId="0"/>
  </sheetViews>
  <sheetFormatPr defaultColWidth="11.28515625" defaultRowHeight="12.75" x14ac:dyDescent="0.25"/>
  <cols>
    <col min="1" max="16384" width="11.28515625" style="85"/>
  </cols>
  <sheetData>
    <row r="1" spans="1:8" x14ac:dyDescent="0.25">
      <c r="A1" s="84" t="s">
        <v>57</v>
      </c>
      <c r="B1" s="84"/>
      <c r="C1" s="84"/>
      <c r="D1" s="84"/>
      <c r="E1" s="84"/>
      <c r="F1" s="84"/>
      <c r="G1" s="84"/>
      <c r="H1" s="84"/>
    </row>
    <row r="2" spans="1:8" x14ac:dyDescent="0.25">
      <c r="A2" s="84" t="s">
        <v>222</v>
      </c>
      <c r="B2" s="84"/>
      <c r="C2" s="84"/>
      <c r="D2" s="84"/>
      <c r="E2" s="84"/>
      <c r="F2" s="84"/>
      <c r="G2" s="84"/>
      <c r="H2" s="84"/>
    </row>
    <row r="3" spans="1:8" x14ac:dyDescent="0.25">
      <c r="A3" s="86"/>
      <c r="B3" s="86"/>
      <c r="C3" s="86"/>
      <c r="D3" s="86"/>
      <c r="E3" s="86"/>
      <c r="F3" s="86"/>
      <c r="G3" s="86"/>
      <c r="H3" s="86"/>
    </row>
    <row r="4" spans="1:8" x14ac:dyDescent="0.25">
      <c r="A4" s="84" t="s">
        <v>56</v>
      </c>
      <c r="B4" s="84"/>
      <c r="C4" s="84"/>
      <c r="D4" s="84"/>
      <c r="E4" s="84"/>
      <c r="F4" s="84"/>
      <c r="G4" s="84"/>
      <c r="H4" s="84"/>
    </row>
    <row r="5" spans="1:8" x14ac:dyDescent="0.25">
      <c r="A5" s="134" t="s">
        <v>236</v>
      </c>
      <c r="B5" s="134"/>
      <c r="C5" s="134"/>
      <c r="D5" s="86"/>
      <c r="E5" s="86"/>
      <c r="F5" s="86"/>
      <c r="G5" s="86"/>
      <c r="H5" s="86"/>
    </row>
    <row r="6" spans="1:8" x14ac:dyDescent="0.25">
      <c r="A6" s="134"/>
      <c r="B6" s="134"/>
      <c r="C6" s="134"/>
      <c r="D6" s="86"/>
      <c r="E6" s="86"/>
      <c r="F6" s="86"/>
      <c r="G6" s="86"/>
      <c r="H6" s="86"/>
    </row>
    <row r="7" spans="1:8" x14ac:dyDescent="0.25">
      <c r="A7" s="135" t="s">
        <v>233</v>
      </c>
      <c r="B7" s="136"/>
      <c r="C7" s="136"/>
      <c r="D7" s="136"/>
      <c r="E7" s="136"/>
      <c r="F7" s="136"/>
      <c r="G7" s="136"/>
      <c r="H7" s="136"/>
    </row>
    <row r="8" spans="1:8" x14ac:dyDescent="0.25">
      <c r="A8" s="136"/>
      <c r="B8" s="136"/>
      <c r="C8" s="136"/>
      <c r="D8" s="136"/>
      <c r="E8" s="136"/>
      <c r="F8" s="136"/>
      <c r="G8" s="136"/>
      <c r="H8" s="136"/>
    </row>
    <row r="9" spans="1:8" x14ac:dyDescent="0.25">
      <c r="A9" s="136"/>
      <c r="B9" s="136"/>
      <c r="C9" s="136"/>
      <c r="D9" s="136"/>
      <c r="E9" s="136"/>
      <c r="F9" s="136"/>
      <c r="G9" s="136"/>
      <c r="H9" s="136"/>
    </row>
    <row r="10" spans="1:8" x14ac:dyDescent="0.25">
      <c r="A10" s="136"/>
      <c r="B10" s="136"/>
      <c r="C10" s="136"/>
      <c r="D10" s="136"/>
      <c r="E10" s="136"/>
      <c r="F10" s="136"/>
      <c r="G10" s="136"/>
      <c r="H10" s="136"/>
    </row>
    <row r="11" spans="1:8" x14ac:dyDescent="0.25">
      <c r="A11" s="87"/>
      <c r="B11" s="87"/>
      <c r="C11" s="87"/>
      <c r="D11" s="87"/>
      <c r="E11" s="87"/>
      <c r="F11" s="87"/>
      <c r="G11" s="87"/>
      <c r="H11" s="87"/>
    </row>
    <row r="12" spans="1:8" x14ac:dyDescent="0.25">
      <c r="A12" s="134" t="s">
        <v>237</v>
      </c>
      <c r="B12" s="134"/>
      <c r="C12" s="88"/>
      <c r="D12" s="88"/>
      <c r="E12" s="88"/>
      <c r="F12" s="88"/>
      <c r="G12" s="88"/>
      <c r="H12" s="88"/>
    </row>
    <row r="13" spans="1:8" x14ac:dyDescent="0.25">
      <c r="A13" s="134"/>
      <c r="B13" s="134"/>
      <c r="C13" s="88"/>
      <c r="D13" s="88"/>
      <c r="E13" s="88"/>
      <c r="F13" s="88"/>
      <c r="G13" s="88"/>
      <c r="H13" s="88"/>
    </row>
    <row r="14" spans="1:8" ht="12.75" customHeight="1" x14ac:dyDescent="0.25">
      <c r="A14" s="137" t="s">
        <v>321</v>
      </c>
      <c r="B14" s="137"/>
      <c r="C14" s="137"/>
      <c r="D14" s="137"/>
      <c r="E14" s="137"/>
      <c r="F14" s="137"/>
      <c r="G14" s="137"/>
      <c r="H14" s="137"/>
    </row>
    <row r="15" spans="1:8" x14ac:dyDescent="0.25">
      <c r="A15" s="137"/>
      <c r="B15" s="137"/>
      <c r="C15" s="137"/>
      <c r="D15" s="137"/>
      <c r="E15" s="137"/>
      <c r="F15" s="137"/>
      <c r="G15" s="137"/>
      <c r="H15" s="137"/>
    </row>
    <row r="16" spans="1:8" x14ac:dyDescent="0.25">
      <c r="A16" s="137"/>
      <c r="B16" s="137"/>
      <c r="C16" s="137"/>
      <c r="D16" s="137"/>
      <c r="E16" s="137"/>
      <c r="F16" s="137"/>
      <c r="G16" s="137"/>
      <c r="H16" s="137"/>
    </row>
    <row r="17" spans="1:8" x14ac:dyDescent="0.25">
      <c r="A17" s="137"/>
      <c r="B17" s="137"/>
      <c r="C17" s="137"/>
      <c r="D17" s="137"/>
      <c r="E17" s="137"/>
      <c r="F17" s="137"/>
      <c r="G17" s="137"/>
      <c r="H17" s="137"/>
    </row>
    <row r="18" spans="1:8" x14ac:dyDescent="0.25">
      <c r="A18" s="137"/>
      <c r="B18" s="137"/>
      <c r="C18" s="137"/>
      <c r="D18" s="137"/>
      <c r="E18" s="137"/>
      <c r="F18" s="137"/>
      <c r="G18" s="137"/>
      <c r="H18" s="137"/>
    </row>
    <row r="19" spans="1:8" x14ac:dyDescent="0.25">
      <c r="A19" s="137"/>
      <c r="B19" s="137"/>
      <c r="C19" s="137"/>
      <c r="D19" s="137"/>
      <c r="E19" s="137"/>
      <c r="F19" s="137"/>
      <c r="G19" s="137"/>
      <c r="H19" s="137"/>
    </row>
    <row r="20" spans="1:8" x14ac:dyDescent="0.25">
      <c r="A20" s="137"/>
      <c r="B20" s="137"/>
      <c r="C20" s="137"/>
      <c r="D20" s="137"/>
      <c r="E20" s="137"/>
      <c r="F20" s="137"/>
      <c r="G20" s="137"/>
      <c r="H20" s="137"/>
    </row>
    <row r="21" spans="1:8" x14ac:dyDescent="0.25">
      <c r="A21" s="137"/>
      <c r="B21" s="137"/>
      <c r="C21" s="137"/>
      <c r="D21" s="137"/>
      <c r="E21" s="137"/>
      <c r="F21" s="137"/>
      <c r="G21" s="137"/>
      <c r="H21" s="137"/>
    </row>
    <row r="22" spans="1:8" x14ac:dyDescent="0.25">
      <c r="A22" s="137"/>
      <c r="B22" s="137"/>
      <c r="C22" s="137"/>
      <c r="D22" s="137"/>
      <c r="E22" s="137"/>
      <c r="F22" s="137"/>
      <c r="G22" s="137"/>
      <c r="H22" s="137"/>
    </row>
    <row r="23" spans="1:8" x14ac:dyDescent="0.25">
      <c r="A23" s="137"/>
      <c r="B23" s="137"/>
      <c r="C23" s="137"/>
      <c r="D23" s="137"/>
      <c r="E23" s="137"/>
      <c r="F23" s="137"/>
      <c r="G23" s="137"/>
      <c r="H23" s="137"/>
    </row>
    <row r="24" spans="1:8" x14ac:dyDescent="0.25">
      <c r="A24" s="137"/>
      <c r="B24" s="137"/>
      <c r="C24" s="137"/>
      <c r="D24" s="137"/>
      <c r="E24" s="137"/>
      <c r="F24" s="137"/>
      <c r="G24" s="137"/>
      <c r="H24" s="137"/>
    </row>
    <row r="25" spans="1:8" x14ac:dyDescent="0.25">
      <c r="A25" s="137"/>
      <c r="B25" s="137"/>
      <c r="C25" s="137"/>
      <c r="D25" s="137"/>
      <c r="E25" s="137"/>
      <c r="F25" s="137"/>
      <c r="G25" s="137"/>
      <c r="H25" s="137"/>
    </row>
    <row r="26" spans="1:8" x14ac:dyDescent="0.25">
      <c r="A26" s="137"/>
      <c r="B26" s="137"/>
      <c r="C26" s="137"/>
      <c r="D26" s="137"/>
      <c r="E26" s="137"/>
      <c r="F26" s="137"/>
      <c r="G26" s="137"/>
      <c r="H26" s="137"/>
    </row>
    <row r="27" spans="1:8" x14ac:dyDescent="0.25">
      <c r="A27" s="137"/>
      <c r="B27" s="137"/>
      <c r="C27" s="137"/>
      <c r="D27" s="137"/>
      <c r="E27" s="137"/>
      <c r="F27" s="137"/>
      <c r="G27" s="137"/>
      <c r="H27" s="137"/>
    </row>
    <row r="28" spans="1:8" x14ac:dyDescent="0.25">
      <c r="A28" s="137"/>
      <c r="B28" s="137"/>
      <c r="C28" s="137"/>
      <c r="D28" s="137"/>
      <c r="E28" s="137"/>
      <c r="F28" s="137"/>
      <c r="G28" s="137"/>
      <c r="H28" s="137"/>
    </row>
    <row r="29" spans="1:8" x14ac:dyDescent="0.25">
      <c r="A29" s="137"/>
      <c r="B29" s="137"/>
      <c r="C29" s="137"/>
      <c r="D29" s="137"/>
      <c r="E29" s="137"/>
      <c r="F29" s="137"/>
      <c r="G29" s="137"/>
      <c r="H29" s="137"/>
    </row>
    <row r="30" spans="1:8" x14ac:dyDescent="0.25">
      <c r="A30" s="89"/>
      <c r="B30" s="89"/>
      <c r="C30" s="89"/>
      <c r="D30" s="89"/>
      <c r="E30" s="89"/>
      <c r="F30" s="89"/>
      <c r="G30" s="89"/>
      <c r="H30" s="89"/>
    </row>
    <row r="31" spans="1:8" x14ac:dyDescent="0.25">
      <c r="A31" s="84" t="s">
        <v>96</v>
      </c>
      <c r="B31" s="84"/>
      <c r="C31" s="84"/>
      <c r="D31" s="84"/>
      <c r="E31" s="84"/>
      <c r="F31" s="84"/>
      <c r="G31" s="84"/>
      <c r="H31" s="84"/>
    </row>
    <row r="32" spans="1:8" x14ac:dyDescent="0.25">
      <c r="A32" s="134" t="s">
        <v>236</v>
      </c>
      <c r="B32" s="134"/>
      <c r="C32" s="134"/>
      <c r="D32" s="86"/>
      <c r="E32" s="86"/>
      <c r="F32" s="86"/>
      <c r="G32" s="86"/>
      <c r="H32" s="86"/>
    </row>
    <row r="33" spans="1:8" x14ac:dyDescent="0.25">
      <c r="A33" s="134"/>
      <c r="B33" s="134"/>
      <c r="C33" s="134"/>
      <c r="D33" s="86"/>
      <c r="E33" s="86"/>
      <c r="F33" s="86"/>
      <c r="G33" s="86"/>
      <c r="H33" s="86"/>
    </row>
    <row r="34" spans="1:8" ht="12.75" customHeight="1" x14ac:dyDescent="0.25">
      <c r="A34" s="135" t="s">
        <v>316</v>
      </c>
      <c r="B34" s="135"/>
      <c r="C34" s="135"/>
      <c r="D34" s="135"/>
      <c r="E34" s="135"/>
      <c r="F34" s="135"/>
      <c r="G34" s="135"/>
      <c r="H34" s="135"/>
    </row>
    <row r="35" spans="1:8" x14ac:dyDescent="0.25">
      <c r="A35" s="135"/>
      <c r="B35" s="135"/>
      <c r="C35" s="135"/>
      <c r="D35" s="135"/>
      <c r="E35" s="135"/>
      <c r="F35" s="135"/>
      <c r="G35" s="135"/>
      <c r="H35" s="135"/>
    </row>
    <row r="36" spans="1:8" x14ac:dyDescent="0.25">
      <c r="A36" s="135"/>
      <c r="B36" s="135"/>
      <c r="C36" s="135"/>
      <c r="D36" s="135"/>
      <c r="E36" s="135"/>
      <c r="F36" s="135"/>
      <c r="G36" s="135"/>
      <c r="H36" s="135"/>
    </row>
    <row r="37" spans="1:8" x14ac:dyDescent="0.25">
      <c r="A37" s="135"/>
      <c r="B37" s="135"/>
      <c r="C37" s="135"/>
      <c r="D37" s="135"/>
      <c r="E37" s="135"/>
      <c r="F37" s="135"/>
      <c r="G37" s="135"/>
      <c r="H37" s="135"/>
    </row>
    <row r="38" spans="1:8" x14ac:dyDescent="0.25">
      <c r="A38" s="135"/>
      <c r="B38" s="135"/>
      <c r="C38" s="135"/>
      <c r="D38" s="135"/>
      <c r="E38" s="135"/>
      <c r="F38" s="135"/>
      <c r="G38" s="135"/>
      <c r="H38" s="135"/>
    </row>
    <row r="39" spans="1:8" x14ac:dyDescent="0.25">
      <c r="A39" s="135"/>
      <c r="B39" s="135"/>
      <c r="C39" s="135"/>
      <c r="D39" s="135"/>
      <c r="E39" s="135"/>
      <c r="F39" s="135"/>
      <c r="G39" s="135"/>
      <c r="H39" s="135"/>
    </row>
    <row r="40" spans="1:8" x14ac:dyDescent="0.25">
      <c r="A40" s="135"/>
      <c r="B40" s="135"/>
      <c r="C40" s="135"/>
      <c r="D40" s="135"/>
      <c r="E40" s="135"/>
      <c r="F40" s="135"/>
      <c r="G40" s="135"/>
      <c r="H40" s="135"/>
    </row>
    <row r="41" spans="1:8" x14ac:dyDescent="0.25">
      <c r="A41" s="135"/>
      <c r="B41" s="135"/>
      <c r="C41" s="135"/>
      <c r="D41" s="135"/>
      <c r="E41" s="135"/>
      <c r="F41" s="135"/>
      <c r="G41" s="135"/>
      <c r="H41" s="135"/>
    </row>
    <row r="42" spans="1:8" x14ac:dyDescent="0.25">
      <c r="A42" s="135"/>
      <c r="B42" s="135"/>
      <c r="C42" s="135"/>
      <c r="D42" s="135"/>
      <c r="E42" s="135"/>
      <c r="F42" s="135"/>
      <c r="G42" s="135"/>
      <c r="H42" s="135"/>
    </row>
    <row r="43" spans="1:8" x14ac:dyDescent="0.25">
      <c r="A43" s="135"/>
      <c r="B43" s="135"/>
      <c r="C43" s="135"/>
      <c r="D43" s="135"/>
      <c r="E43" s="135"/>
      <c r="F43" s="135"/>
      <c r="G43" s="135"/>
      <c r="H43" s="135"/>
    </row>
    <row r="44" spans="1:8" x14ac:dyDescent="0.25">
      <c r="A44" s="135"/>
      <c r="B44" s="135"/>
      <c r="C44" s="135"/>
      <c r="D44" s="135"/>
      <c r="E44" s="135"/>
      <c r="F44" s="135"/>
      <c r="G44" s="135"/>
      <c r="H44" s="135"/>
    </row>
    <row r="45" spans="1:8" x14ac:dyDescent="0.25">
      <c r="A45" s="135"/>
      <c r="B45" s="135"/>
      <c r="C45" s="135"/>
      <c r="D45" s="135"/>
      <c r="E45" s="135"/>
      <c r="F45" s="135"/>
      <c r="G45" s="135"/>
      <c r="H45" s="135"/>
    </row>
    <row r="46" spans="1:8" x14ac:dyDescent="0.25">
      <c r="A46" s="135"/>
      <c r="B46" s="135"/>
      <c r="C46" s="135"/>
      <c r="D46" s="135"/>
      <c r="E46" s="135"/>
      <c r="F46" s="135"/>
      <c r="G46" s="135"/>
      <c r="H46" s="135"/>
    </row>
    <row r="47" spans="1:8" x14ac:dyDescent="0.25">
      <c r="A47" s="135"/>
      <c r="B47" s="135"/>
      <c r="C47" s="135"/>
      <c r="D47" s="135"/>
      <c r="E47" s="135"/>
      <c r="F47" s="135"/>
      <c r="G47" s="135"/>
      <c r="H47" s="135"/>
    </row>
    <row r="48" spans="1:8" x14ac:dyDescent="0.25">
      <c r="A48" s="135"/>
      <c r="B48" s="135"/>
      <c r="C48" s="135"/>
      <c r="D48" s="135"/>
      <c r="E48" s="135"/>
      <c r="F48" s="135"/>
      <c r="G48" s="135"/>
      <c r="H48" s="135"/>
    </row>
    <row r="49" spans="1:8" x14ac:dyDescent="0.25">
      <c r="A49" s="135"/>
      <c r="B49" s="135"/>
      <c r="C49" s="135"/>
      <c r="D49" s="135"/>
      <c r="E49" s="135"/>
      <c r="F49" s="135"/>
      <c r="G49" s="135"/>
      <c r="H49" s="135"/>
    </row>
    <row r="50" spans="1:8" x14ac:dyDescent="0.25">
      <c r="A50" s="135"/>
      <c r="B50" s="135"/>
      <c r="C50" s="135"/>
      <c r="D50" s="135"/>
      <c r="E50" s="135"/>
      <c r="F50" s="135"/>
      <c r="G50" s="135"/>
      <c r="H50" s="135"/>
    </row>
    <row r="51" spans="1:8" x14ac:dyDescent="0.25">
      <c r="A51" s="135"/>
      <c r="B51" s="135"/>
      <c r="C51" s="135"/>
      <c r="D51" s="135"/>
      <c r="E51" s="135"/>
      <c r="F51" s="135"/>
      <c r="G51" s="135"/>
      <c r="H51" s="135"/>
    </row>
    <row r="52" spans="1:8" x14ac:dyDescent="0.25">
      <c r="A52" s="135"/>
      <c r="B52" s="135"/>
      <c r="C52" s="135"/>
      <c r="D52" s="135"/>
      <c r="E52" s="135"/>
      <c r="F52" s="135"/>
      <c r="G52" s="135"/>
      <c r="H52" s="135"/>
    </row>
    <row r="53" spans="1:8" x14ac:dyDescent="0.25">
      <c r="A53" s="135"/>
      <c r="B53" s="135"/>
      <c r="C53" s="135"/>
      <c r="D53" s="135"/>
      <c r="E53" s="135"/>
      <c r="F53" s="135"/>
      <c r="G53" s="135"/>
      <c r="H53" s="135"/>
    </row>
    <row r="54" spans="1:8" x14ac:dyDescent="0.25">
      <c r="A54" s="135"/>
      <c r="B54" s="135"/>
      <c r="C54" s="135"/>
      <c r="D54" s="135"/>
      <c r="E54" s="135"/>
      <c r="F54" s="135"/>
      <c r="G54" s="135"/>
      <c r="H54" s="135"/>
    </row>
    <row r="55" spans="1:8" x14ac:dyDescent="0.25">
      <c r="A55" s="135"/>
      <c r="B55" s="135"/>
      <c r="C55" s="135"/>
      <c r="D55" s="135"/>
      <c r="E55" s="135"/>
      <c r="F55" s="135"/>
      <c r="G55" s="135"/>
      <c r="H55" s="135"/>
    </row>
    <row r="56" spans="1:8" x14ac:dyDescent="0.25">
      <c r="A56" s="135"/>
      <c r="B56" s="135"/>
      <c r="C56" s="135"/>
      <c r="D56" s="135"/>
      <c r="E56" s="135"/>
      <c r="F56" s="135"/>
      <c r="G56" s="135"/>
      <c r="H56" s="135"/>
    </row>
    <row r="57" spans="1:8" x14ac:dyDescent="0.25">
      <c r="A57" s="89"/>
      <c r="B57" s="90"/>
      <c r="C57" s="90"/>
      <c r="D57" s="90"/>
      <c r="E57" s="90"/>
      <c r="F57" s="90"/>
      <c r="G57" s="90"/>
      <c r="H57" s="90"/>
    </row>
    <row r="58" spans="1:8" x14ac:dyDescent="0.25">
      <c r="A58" s="134" t="s">
        <v>237</v>
      </c>
      <c r="B58" s="134"/>
      <c r="C58" s="88"/>
      <c r="D58" s="88"/>
      <c r="E58" s="88"/>
      <c r="F58" s="88"/>
      <c r="G58" s="88"/>
      <c r="H58" s="88"/>
    </row>
    <row r="59" spans="1:8" x14ac:dyDescent="0.25">
      <c r="A59" s="134"/>
      <c r="B59" s="134"/>
      <c r="C59" s="88"/>
      <c r="D59" s="88"/>
      <c r="E59" s="88"/>
      <c r="F59" s="88"/>
      <c r="G59" s="88"/>
      <c r="H59" s="88"/>
    </row>
    <row r="60" spans="1:8" ht="12.75" customHeight="1" x14ac:dyDescent="0.25">
      <c r="A60" s="137" t="s">
        <v>322</v>
      </c>
      <c r="B60" s="137"/>
      <c r="C60" s="137"/>
      <c r="D60" s="137"/>
      <c r="E60" s="137"/>
      <c r="F60" s="137"/>
      <c r="G60" s="137"/>
      <c r="H60" s="137"/>
    </row>
    <row r="61" spans="1:8" x14ac:dyDescent="0.25">
      <c r="A61" s="137"/>
      <c r="B61" s="137"/>
      <c r="C61" s="137"/>
      <c r="D61" s="137"/>
      <c r="E61" s="137"/>
      <c r="F61" s="137"/>
      <c r="G61" s="137"/>
      <c r="H61" s="137"/>
    </row>
    <row r="62" spans="1:8" x14ac:dyDescent="0.25">
      <c r="A62" s="137"/>
      <c r="B62" s="137"/>
      <c r="C62" s="137"/>
      <c r="D62" s="137"/>
      <c r="E62" s="137"/>
      <c r="F62" s="137"/>
      <c r="G62" s="137"/>
      <c r="H62" s="137"/>
    </row>
    <row r="63" spans="1:8" x14ac:dyDescent="0.25">
      <c r="A63" s="137"/>
      <c r="B63" s="137"/>
      <c r="C63" s="137"/>
      <c r="D63" s="137"/>
      <c r="E63" s="137"/>
      <c r="F63" s="137"/>
      <c r="G63" s="137"/>
      <c r="H63" s="137"/>
    </row>
    <row r="64" spans="1:8" x14ac:dyDescent="0.25">
      <c r="A64" s="137"/>
      <c r="B64" s="137"/>
      <c r="C64" s="137"/>
      <c r="D64" s="137"/>
      <c r="E64" s="137"/>
      <c r="F64" s="137"/>
      <c r="G64" s="137"/>
      <c r="H64" s="137"/>
    </row>
    <row r="65" spans="1:8" x14ac:dyDescent="0.25">
      <c r="A65" s="137"/>
      <c r="B65" s="137"/>
      <c r="C65" s="137"/>
      <c r="D65" s="137"/>
      <c r="E65" s="137"/>
      <c r="F65" s="137"/>
      <c r="G65" s="137"/>
      <c r="H65" s="137"/>
    </row>
    <row r="66" spans="1:8" x14ac:dyDescent="0.25">
      <c r="A66" s="137"/>
      <c r="B66" s="137"/>
      <c r="C66" s="137"/>
      <c r="D66" s="137"/>
      <c r="E66" s="137"/>
      <c r="F66" s="137"/>
      <c r="G66" s="137"/>
      <c r="H66" s="137"/>
    </row>
    <row r="67" spans="1:8" x14ac:dyDescent="0.25">
      <c r="A67" s="137"/>
      <c r="B67" s="137"/>
      <c r="C67" s="137"/>
      <c r="D67" s="137"/>
      <c r="E67" s="137"/>
      <c r="F67" s="137"/>
      <c r="G67" s="137"/>
      <c r="H67" s="137"/>
    </row>
    <row r="68" spans="1:8" x14ac:dyDescent="0.25">
      <c r="A68" s="137"/>
      <c r="B68" s="137"/>
      <c r="C68" s="137"/>
      <c r="D68" s="137"/>
      <c r="E68" s="137"/>
      <c r="F68" s="137"/>
      <c r="G68" s="137"/>
      <c r="H68" s="137"/>
    </row>
    <row r="69" spans="1:8" x14ac:dyDescent="0.25">
      <c r="A69" s="137"/>
      <c r="B69" s="137"/>
      <c r="C69" s="137"/>
      <c r="D69" s="137"/>
      <c r="E69" s="137"/>
      <c r="F69" s="137"/>
      <c r="G69" s="137"/>
      <c r="H69" s="137"/>
    </row>
    <row r="70" spans="1:8" x14ac:dyDescent="0.25">
      <c r="A70" s="137"/>
      <c r="B70" s="137"/>
      <c r="C70" s="137"/>
      <c r="D70" s="137"/>
      <c r="E70" s="137"/>
      <c r="F70" s="137"/>
      <c r="G70" s="137"/>
      <c r="H70" s="137"/>
    </row>
    <row r="71" spans="1:8" x14ac:dyDescent="0.25">
      <c r="A71" s="137"/>
      <c r="B71" s="137"/>
      <c r="C71" s="137"/>
      <c r="D71" s="137"/>
      <c r="E71" s="137"/>
      <c r="F71" s="137"/>
      <c r="G71" s="137"/>
      <c r="H71" s="137"/>
    </row>
    <row r="72" spans="1:8" x14ac:dyDescent="0.25">
      <c r="A72" s="137"/>
      <c r="B72" s="137"/>
      <c r="C72" s="137"/>
      <c r="D72" s="137"/>
      <c r="E72" s="137"/>
      <c r="F72" s="137"/>
      <c r="G72" s="137"/>
      <c r="H72" s="137"/>
    </row>
    <row r="73" spans="1:8" x14ac:dyDescent="0.25">
      <c r="A73" s="137"/>
      <c r="B73" s="137"/>
      <c r="C73" s="137"/>
      <c r="D73" s="137"/>
      <c r="E73" s="137"/>
      <c r="F73" s="137"/>
      <c r="G73" s="137"/>
      <c r="H73" s="137"/>
    </row>
    <row r="74" spans="1:8" x14ac:dyDescent="0.25">
      <c r="A74" s="137"/>
      <c r="B74" s="137"/>
      <c r="C74" s="137"/>
      <c r="D74" s="137"/>
      <c r="E74" s="137"/>
      <c r="F74" s="137"/>
      <c r="G74" s="137"/>
      <c r="H74" s="137"/>
    </row>
    <row r="75" spans="1:8" x14ac:dyDescent="0.25">
      <c r="A75" s="137"/>
      <c r="B75" s="137"/>
      <c r="C75" s="137"/>
      <c r="D75" s="137"/>
      <c r="E75" s="137"/>
      <c r="F75" s="137"/>
      <c r="G75" s="137"/>
      <c r="H75" s="137"/>
    </row>
    <row r="76" spans="1:8" x14ac:dyDescent="0.25">
      <c r="A76" s="137"/>
      <c r="B76" s="137"/>
      <c r="C76" s="137"/>
      <c r="D76" s="137"/>
      <c r="E76" s="137"/>
      <c r="F76" s="137"/>
      <c r="G76" s="137"/>
      <c r="H76" s="137"/>
    </row>
    <row r="77" spans="1:8" x14ac:dyDescent="0.25">
      <c r="A77" s="137"/>
      <c r="B77" s="137"/>
      <c r="C77" s="137"/>
      <c r="D77" s="137"/>
      <c r="E77" s="137"/>
      <c r="F77" s="137"/>
      <c r="G77" s="137"/>
      <c r="H77" s="137"/>
    </row>
    <row r="78" spans="1:8" x14ac:dyDescent="0.25">
      <c r="A78" s="137"/>
      <c r="B78" s="137"/>
      <c r="C78" s="137"/>
      <c r="D78" s="137"/>
      <c r="E78" s="137"/>
      <c r="F78" s="137"/>
      <c r="G78" s="137"/>
      <c r="H78" s="137"/>
    </row>
    <row r="79" spans="1:8" x14ac:dyDescent="0.25">
      <c r="A79" s="137"/>
      <c r="B79" s="137"/>
      <c r="C79" s="137"/>
      <c r="D79" s="137"/>
      <c r="E79" s="137"/>
      <c r="F79" s="137"/>
      <c r="G79" s="137"/>
      <c r="H79" s="137"/>
    </row>
    <row r="80" spans="1:8" x14ac:dyDescent="0.25">
      <c r="A80" s="137"/>
      <c r="B80" s="137"/>
      <c r="C80" s="137"/>
      <c r="D80" s="137"/>
      <c r="E80" s="137"/>
      <c r="F80" s="137"/>
      <c r="G80" s="137"/>
      <c r="H80" s="137"/>
    </row>
    <row r="81" spans="1:8" x14ac:dyDescent="0.25">
      <c r="A81" s="137"/>
      <c r="B81" s="137"/>
      <c r="C81" s="137"/>
      <c r="D81" s="137"/>
      <c r="E81" s="137"/>
      <c r="F81" s="137"/>
      <c r="G81" s="137"/>
      <c r="H81" s="137"/>
    </row>
    <row r="82" spans="1:8" x14ac:dyDescent="0.25">
      <c r="A82" s="137"/>
      <c r="B82" s="137"/>
      <c r="C82" s="137"/>
      <c r="D82" s="137"/>
      <c r="E82" s="137"/>
      <c r="F82" s="137"/>
      <c r="G82" s="137"/>
      <c r="H82" s="137"/>
    </row>
    <row r="83" spans="1:8" x14ac:dyDescent="0.25">
      <c r="A83" s="137"/>
      <c r="B83" s="137"/>
      <c r="C83" s="137"/>
      <c r="D83" s="137"/>
      <c r="E83" s="137"/>
      <c r="F83" s="137"/>
      <c r="G83" s="137"/>
      <c r="H83" s="137"/>
    </row>
    <row r="84" spans="1:8" x14ac:dyDescent="0.25">
      <c r="A84" s="137"/>
      <c r="B84" s="137"/>
      <c r="C84" s="137"/>
      <c r="D84" s="137"/>
      <c r="E84" s="137"/>
      <c r="F84" s="137"/>
      <c r="G84" s="137"/>
      <c r="H84" s="137"/>
    </row>
    <row r="85" spans="1:8" x14ac:dyDescent="0.25">
      <c r="A85" s="137"/>
      <c r="B85" s="137"/>
      <c r="C85" s="137"/>
      <c r="D85" s="137"/>
      <c r="E85" s="137"/>
      <c r="F85" s="137"/>
      <c r="G85" s="137"/>
      <c r="H85" s="137"/>
    </row>
    <row r="86" spans="1:8" x14ac:dyDescent="0.25">
      <c r="A86" s="137"/>
      <c r="B86" s="137"/>
      <c r="C86" s="137"/>
      <c r="D86" s="137"/>
      <c r="E86" s="137"/>
      <c r="F86" s="137"/>
      <c r="G86" s="137"/>
      <c r="H86" s="137"/>
    </row>
    <row r="87" spans="1:8" x14ac:dyDescent="0.25">
      <c r="A87" s="137"/>
      <c r="B87" s="137"/>
      <c r="C87" s="137"/>
      <c r="D87" s="137"/>
      <c r="E87" s="137"/>
      <c r="F87" s="137"/>
      <c r="G87" s="137"/>
      <c r="H87" s="137"/>
    </row>
    <row r="88" spans="1:8" x14ac:dyDescent="0.25">
      <c r="A88" s="137"/>
      <c r="B88" s="137"/>
      <c r="C88" s="137"/>
      <c r="D88" s="137"/>
      <c r="E88" s="137"/>
      <c r="F88" s="137"/>
      <c r="G88" s="137"/>
      <c r="H88" s="137"/>
    </row>
    <row r="89" spans="1:8" x14ac:dyDescent="0.25">
      <c r="A89" s="137"/>
      <c r="B89" s="137"/>
      <c r="C89" s="137"/>
      <c r="D89" s="137"/>
      <c r="E89" s="137"/>
      <c r="F89" s="137"/>
      <c r="G89" s="137"/>
      <c r="H89" s="137"/>
    </row>
    <row r="90" spans="1:8" x14ac:dyDescent="0.25">
      <c r="A90" s="137"/>
      <c r="B90" s="137"/>
      <c r="C90" s="137"/>
      <c r="D90" s="137"/>
      <c r="E90" s="137"/>
      <c r="F90" s="137"/>
      <c r="G90" s="137"/>
      <c r="H90" s="137"/>
    </row>
    <row r="91" spans="1:8" x14ac:dyDescent="0.25">
      <c r="A91" s="137"/>
      <c r="B91" s="137"/>
      <c r="C91" s="137"/>
      <c r="D91" s="137"/>
      <c r="E91" s="137"/>
      <c r="F91" s="137"/>
      <c r="G91" s="137"/>
      <c r="H91" s="137"/>
    </row>
    <row r="92" spans="1:8" x14ac:dyDescent="0.25">
      <c r="A92" s="137"/>
      <c r="B92" s="137"/>
      <c r="C92" s="137"/>
      <c r="D92" s="137"/>
      <c r="E92" s="137"/>
      <c r="F92" s="137"/>
      <c r="G92" s="137"/>
      <c r="H92" s="137"/>
    </row>
    <row r="93" spans="1:8" x14ac:dyDescent="0.25">
      <c r="A93" s="137"/>
      <c r="B93" s="137"/>
      <c r="C93" s="137"/>
      <c r="D93" s="137"/>
      <c r="E93" s="137"/>
      <c r="F93" s="137"/>
      <c r="G93" s="137"/>
      <c r="H93" s="137"/>
    </row>
    <row r="94" spans="1:8" x14ac:dyDescent="0.25">
      <c r="A94" s="137"/>
      <c r="B94" s="137"/>
      <c r="C94" s="137"/>
      <c r="D94" s="137"/>
      <c r="E94" s="137"/>
      <c r="F94" s="137"/>
      <c r="G94" s="137"/>
      <c r="H94" s="137"/>
    </row>
    <row r="95" spans="1:8" x14ac:dyDescent="0.25">
      <c r="A95" s="137"/>
      <c r="B95" s="137"/>
      <c r="C95" s="137"/>
      <c r="D95" s="137"/>
      <c r="E95" s="137"/>
      <c r="F95" s="137"/>
      <c r="G95" s="137"/>
      <c r="H95" s="137"/>
    </row>
    <row r="96" spans="1:8" x14ac:dyDescent="0.25">
      <c r="A96" s="137"/>
      <c r="B96" s="137"/>
      <c r="C96" s="137"/>
      <c r="D96" s="137"/>
      <c r="E96" s="137"/>
      <c r="F96" s="137"/>
      <c r="G96" s="137"/>
      <c r="H96" s="137"/>
    </row>
    <row r="97" spans="1:8" x14ac:dyDescent="0.25">
      <c r="A97" s="137"/>
      <c r="B97" s="137"/>
      <c r="C97" s="137"/>
      <c r="D97" s="137"/>
      <c r="E97" s="137"/>
      <c r="F97" s="137"/>
      <c r="G97" s="137"/>
      <c r="H97" s="137"/>
    </row>
    <row r="98" spans="1:8" x14ac:dyDescent="0.25">
      <c r="A98" s="137"/>
      <c r="B98" s="137"/>
      <c r="C98" s="137"/>
      <c r="D98" s="137"/>
      <c r="E98" s="137"/>
      <c r="F98" s="137"/>
      <c r="G98" s="137"/>
      <c r="H98" s="137"/>
    </row>
    <row r="99" spans="1:8" x14ac:dyDescent="0.25">
      <c r="A99" s="137"/>
      <c r="B99" s="137"/>
      <c r="C99" s="137"/>
      <c r="D99" s="137"/>
      <c r="E99" s="137"/>
      <c r="F99" s="137"/>
      <c r="G99" s="137"/>
      <c r="H99" s="137"/>
    </row>
    <row r="100" spans="1:8" x14ac:dyDescent="0.25">
      <c r="A100" s="137"/>
      <c r="B100" s="137"/>
      <c r="C100" s="137"/>
      <c r="D100" s="137"/>
      <c r="E100" s="137"/>
      <c r="F100" s="137"/>
      <c r="G100" s="137"/>
      <c r="H100" s="137"/>
    </row>
    <row r="101" spans="1:8" x14ac:dyDescent="0.25">
      <c r="A101" s="137"/>
      <c r="B101" s="137"/>
      <c r="C101" s="137"/>
      <c r="D101" s="137"/>
      <c r="E101" s="137"/>
      <c r="F101" s="137"/>
      <c r="G101" s="137"/>
      <c r="H101" s="137"/>
    </row>
    <row r="102" spans="1:8" x14ac:dyDescent="0.25">
      <c r="A102" s="137"/>
      <c r="B102" s="137"/>
      <c r="C102" s="137"/>
      <c r="D102" s="137"/>
      <c r="E102" s="137"/>
      <c r="F102" s="137"/>
      <c r="G102" s="137"/>
      <c r="H102" s="137"/>
    </row>
    <row r="103" spans="1:8" x14ac:dyDescent="0.25">
      <c r="A103" s="137"/>
      <c r="B103" s="137"/>
      <c r="C103" s="137"/>
      <c r="D103" s="137"/>
      <c r="E103" s="137"/>
      <c r="F103" s="137"/>
      <c r="G103" s="137"/>
      <c r="H103" s="137"/>
    </row>
    <row r="104" spans="1:8" x14ac:dyDescent="0.25">
      <c r="A104" s="117"/>
      <c r="B104" s="117"/>
      <c r="C104" s="117"/>
      <c r="D104" s="117"/>
      <c r="E104" s="117"/>
      <c r="F104" s="117"/>
      <c r="G104" s="117"/>
      <c r="H104" s="117"/>
    </row>
    <row r="105" spans="1:8" x14ac:dyDescent="0.25">
      <c r="A105" s="117"/>
      <c r="B105" s="117"/>
      <c r="C105" s="117"/>
      <c r="D105" s="117"/>
      <c r="E105" s="117"/>
      <c r="F105" s="117"/>
      <c r="G105" s="117"/>
      <c r="H105" s="117"/>
    </row>
    <row r="106" spans="1:8" x14ac:dyDescent="0.25">
      <c r="A106" s="117"/>
      <c r="B106" s="117"/>
      <c r="C106" s="117"/>
      <c r="D106" s="117"/>
      <c r="E106" s="117"/>
      <c r="F106" s="117"/>
      <c r="G106" s="117"/>
      <c r="H106" s="117"/>
    </row>
    <row r="107" spans="1:8" x14ac:dyDescent="0.25">
      <c r="A107" s="117"/>
      <c r="B107" s="117"/>
      <c r="C107" s="117"/>
      <c r="D107" s="117"/>
      <c r="E107" s="117"/>
      <c r="F107" s="117"/>
      <c r="G107" s="117"/>
      <c r="H107" s="117"/>
    </row>
    <row r="108" spans="1:8" x14ac:dyDescent="0.25">
      <c r="A108" s="117"/>
      <c r="B108" s="117"/>
      <c r="C108" s="117"/>
      <c r="D108" s="117"/>
      <c r="E108" s="117"/>
      <c r="F108" s="117"/>
      <c r="G108" s="117"/>
      <c r="H108" s="117"/>
    </row>
  </sheetData>
  <mergeCells count="8">
    <mergeCell ref="A60:H103"/>
    <mergeCell ref="A5:C6"/>
    <mergeCell ref="A32:C33"/>
    <mergeCell ref="A12:B13"/>
    <mergeCell ref="A58:B59"/>
    <mergeCell ref="A7:H10"/>
    <mergeCell ref="A34:H56"/>
    <mergeCell ref="A14:H29"/>
  </mergeCells>
  <pageMargins left="0.75" right="0.75" top="0.75" bottom="0.75" header="0.25" footer="0.25"/>
  <pageSetup scale="98" fitToHeight="0" orientation="portrait" r:id="rId1"/>
  <headerFooter scaleWithDoc="0">
    <oddFooter>&amp;LRMC Event Tree Toolbox
&amp;A&amp;RVersion 3.0
Page &amp;P of &amp;N</oddFooter>
  </headerFooter>
  <rowBreaks count="2" manualBreakCount="2">
    <brk id="30" max="7" man="1"/>
    <brk id="82" max="7"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5"/>
  <dimension ref="A1:O169"/>
  <sheetViews>
    <sheetView zoomScaleNormal="100" workbookViewId="0">
      <selection activeCell="G12" sqref="G12"/>
    </sheetView>
  </sheetViews>
  <sheetFormatPr defaultColWidth="9.140625" defaultRowHeight="12.75" x14ac:dyDescent="0.2"/>
  <cols>
    <col min="1" max="33" width="11.28515625" style="15" customWidth="1"/>
    <col min="34" max="16384" width="9.140625" style="15"/>
  </cols>
  <sheetData>
    <row r="1" spans="1:9" ht="12.75" customHeight="1" x14ac:dyDescent="0.2">
      <c r="A1" s="78" t="s">
        <v>39</v>
      </c>
      <c r="B1" s="139"/>
      <c r="C1" s="139"/>
      <c r="D1" s="139"/>
      <c r="E1" s="79" t="s">
        <v>40</v>
      </c>
      <c r="F1" s="80"/>
      <c r="G1" s="81" t="s">
        <v>41</v>
      </c>
      <c r="H1" s="82"/>
    </row>
    <row r="2" spans="1:9" x14ac:dyDescent="0.2">
      <c r="A2" s="78" t="s">
        <v>42</v>
      </c>
      <c r="B2" s="139"/>
      <c r="C2" s="139"/>
      <c r="D2" s="139"/>
      <c r="E2" s="79" t="s">
        <v>40</v>
      </c>
      <c r="F2" s="80"/>
      <c r="G2" s="81" t="s">
        <v>41</v>
      </c>
      <c r="H2" s="82"/>
    </row>
    <row r="3" spans="1:9" x14ac:dyDescent="0.2">
      <c r="A3" s="83" t="s">
        <v>43</v>
      </c>
      <c r="B3" s="18"/>
      <c r="C3" s="140"/>
      <c r="D3" s="140"/>
      <c r="E3" s="140"/>
      <c r="F3" s="140"/>
      <c r="G3" s="140"/>
      <c r="H3" s="140"/>
    </row>
    <row r="4" spans="1:9" x14ac:dyDescent="0.2">
      <c r="A4" s="16"/>
      <c r="B4" s="16"/>
      <c r="C4" s="16"/>
      <c r="D4" s="16"/>
      <c r="E4" s="16"/>
      <c r="F4" s="16"/>
      <c r="G4" s="16"/>
      <c r="H4" s="16"/>
    </row>
    <row r="5" spans="1:9" x14ac:dyDescent="0.2">
      <c r="A5" s="4" t="s">
        <v>49</v>
      </c>
      <c r="B5" s="4"/>
      <c r="C5" s="4"/>
      <c r="D5" s="4"/>
      <c r="E5" s="4"/>
      <c r="F5" s="4"/>
      <c r="G5" s="4"/>
      <c r="H5" s="4"/>
    </row>
    <row r="6" spans="1:9" x14ac:dyDescent="0.2">
      <c r="A6" s="23"/>
      <c r="B6" s="30"/>
      <c r="C6" s="30"/>
      <c r="D6" s="30"/>
      <c r="E6" s="30"/>
      <c r="F6" s="30"/>
      <c r="G6" s="30"/>
      <c r="H6" s="30"/>
    </row>
    <row r="7" spans="1:9" x14ac:dyDescent="0.2">
      <c r="A7" s="4" t="s">
        <v>64</v>
      </c>
      <c r="B7" s="4"/>
      <c r="C7" s="4"/>
      <c r="D7" s="4"/>
      <c r="E7" s="4"/>
      <c r="F7" s="4"/>
      <c r="G7" s="4"/>
      <c r="H7" s="4"/>
    </row>
    <row r="8" spans="1:9" x14ac:dyDescent="0.2">
      <c r="A8" s="16"/>
      <c r="B8" s="16"/>
      <c r="C8" s="16"/>
      <c r="D8" s="16"/>
      <c r="E8" s="16"/>
      <c r="F8" s="16"/>
      <c r="G8" s="16"/>
      <c r="H8" s="16"/>
    </row>
    <row r="9" spans="1:9" x14ac:dyDescent="0.2">
      <c r="A9" s="16" t="s">
        <v>52</v>
      </c>
      <c r="B9" s="16"/>
      <c r="C9" s="16"/>
      <c r="D9" s="141" t="s">
        <v>154</v>
      </c>
      <c r="E9" s="141"/>
      <c r="F9" s="25" t="s">
        <v>60</v>
      </c>
      <c r="G9" s="141"/>
      <c r="H9" s="141"/>
      <c r="I9" s="14" t="s">
        <v>45</v>
      </c>
    </row>
    <row r="10" spans="1:9" x14ac:dyDescent="0.2">
      <c r="A10" s="16"/>
      <c r="B10" s="16"/>
      <c r="C10" s="16"/>
      <c r="D10" s="16"/>
      <c r="E10" s="16"/>
      <c r="F10" s="16"/>
      <c r="G10" s="16"/>
      <c r="H10" s="16"/>
    </row>
    <row r="11" spans="1:9" x14ac:dyDescent="0.2">
      <c r="A11" s="16" t="s">
        <v>44</v>
      </c>
      <c r="B11" s="16"/>
      <c r="C11" s="16"/>
      <c r="D11" s="17">
        <v>7</v>
      </c>
      <c r="E11" s="16"/>
      <c r="F11" s="16"/>
      <c r="G11" s="16"/>
      <c r="H11" s="16"/>
      <c r="I11" s="14" t="s">
        <v>45</v>
      </c>
    </row>
    <row r="12" spans="1:9" x14ac:dyDescent="0.2">
      <c r="A12" s="16"/>
      <c r="B12" s="16"/>
      <c r="C12" s="16"/>
      <c r="D12" s="16"/>
      <c r="E12" s="16"/>
      <c r="F12" s="16"/>
      <c r="G12" s="16"/>
      <c r="H12" s="16"/>
    </row>
    <row r="13" spans="1:9" x14ac:dyDescent="0.2">
      <c r="A13" s="16" t="s">
        <v>70</v>
      </c>
      <c r="B13" s="16"/>
      <c r="C13" s="16"/>
      <c r="D13" s="17" t="s">
        <v>46</v>
      </c>
      <c r="E13" s="16"/>
      <c r="F13" s="16"/>
      <c r="G13" s="16"/>
      <c r="H13" s="16"/>
      <c r="I13" s="14" t="s">
        <v>45</v>
      </c>
    </row>
    <row r="14" spans="1:9" x14ac:dyDescent="0.2">
      <c r="A14" s="16" t="s">
        <v>58</v>
      </c>
      <c r="B14" s="16"/>
      <c r="C14" s="16"/>
      <c r="D14" s="17" t="s">
        <v>47</v>
      </c>
      <c r="E14" s="16"/>
      <c r="F14" s="16"/>
      <c r="G14" s="16"/>
      <c r="H14" s="16"/>
      <c r="I14" s="14" t="s">
        <v>45</v>
      </c>
    </row>
    <row r="15" spans="1:9" x14ac:dyDescent="0.2">
      <c r="A15" s="16"/>
      <c r="B15" s="16"/>
      <c r="C15" s="16"/>
      <c r="D15" s="16"/>
      <c r="E15" s="16"/>
      <c r="F15" s="16"/>
      <c r="G15" s="16"/>
      <c r="H15" s="16"/>
    </row>
    <row r="16" spans="1:9" x14ac:dyDescent="0.2">
      <c r="A16" s="4" t="s">
        <v>63</v>
      </c>
      <c r="B16" s="4"/>
      <c r="C16" s="4"/>
      <c r="D16" s="4"/>
      <c r="E16" s="4"/>
      <c r="F16" s="4"/>
      <c r="G16" s="4"/>
      <c r="H16" s="4"/>
      <c r="I16" s="33" t="s">
        <v>143</v>
      </c>
    </row>
    <row r="17" spans="1:9" x14ac:dyDescent="0.2">
      <c r="A17" s="16"/>
      <c r="B17" s="16"/>
      <c r="C17" s="16"/>
      <c r="D17" s="16"/>
      <c r="E17" s="16"/>
      <c r="F17" s="16"/>
      <c r="G17" s="16"/>
      <c r="H17" s="16"/>
    </row>
    <row r="18" spans="1:9" x14ac:dyDescent="0.2">
      <c r="A18" s="19" t="s">
        <v>0</v>
      </c>
      <c r="B18" s="16"/>
      <c r="C18" s="16"/>
      <c r="D18" s="16"/>
      <c r="E18" s="16"/>
      <c r="F18" s="16"/>
      <c r="G18" s="16"/>
      <c r="H18" s="16"/>
    </row>
    <row r="19" spans="1:9" ht="8.1" customHeight="1" x14ac:dyDescent="0.2">
      <c r="A19" s="19"/>
      <c r="B19" s="16"/>
      <c r="C19" s="16"/>
      <c r="D19" s="16"/>
      <c r="E19" s="16"/>
      <c r="F19" s="16"/>
      <c r="G19" s="16"/>
      <c r="H19" s="16"/>
    </row>
    <row r="20" spans="1:9" ht="12.75" customHeight="1" x14ac:dyDescent="0.2">
      <c r="A20" s="16" t="s">
        <v>67</v>
      </c>
      <c r="B20" s="16"/>
      <c r="C20" s="16"/>
      <c r="D20" s="16"/>
      <c r="E20" s="16"/>
      <c r="F20" s="16"/>
      <c r="G20" s="16"/>
      <c r="H20" s="16"/>
    </row>
    <row r="21" spans="1:9" ht="12.75" customHeight="1" x14ac:dyDescent="0.2">
      <c r="A21" s="138" t="s">
        <v>126</v>
      </c>
      <c r="B21" s="138"/>
      <c r="C21" s="138"/>
      <c r="D21" s="138"/>
      <c r="E21" s="138"/>
      <c r="F21" s="138"/>
      <c r="G21" s="138"/>
      <c r="H21" s="138"/>
    </row>
    <row r="22" spans="1:9" ht="8.1" customHeight="1" x14ac:dyDescent="0.2">
      <c r="A22" s="24"/>
      <c r="B22" s="24"/>
      <c r="C22" s="24"/>
      <c r="D22" s="24"/>
      <c r="E22" s="24"/>
      <c r="F22" s="24"/>
      <c r="G22" s="24"/>
      <c r="H22" s="24"/>
    </row>
    <row r="23" spans="1:9" x14ac:dyDescent="0.2">
      <c r="A23" s="18" t="s">
        <v>66</v>
      </c>
      <c r="B23" s="18"/>
      <c r="C23" s="18"/>
      <c r="D23" s="18"/>
      <c r="E23" s="18"/>
      <c r="F23" s="18"/>
      <c r="G23" s="18"/>
      <c r="H23" s="18"/>
    </row>
    <row r="24" spans="1:9" ht="12.75" customHeight="1" x14ac:dyDescent="0.2">
      <c r="A24" s="138" t="s">
        <v>127</v>
      </c>
      <c r="B24" s="138"/>
      <c r="C24" s="138"/>
      <c r="D24" s="138"/>
      <c r="E24" s="138"/>
      <c r="F24" s="138"/>
      <c r="G24" s="138"/>
      <c r="H24" s="138"/>
      <c r="I24" s="20"/>
    </row>
    <row r="25" spans="1:9" ht="8.1" customHeight="1" x14ac:dyDescent="0.2">
      <c r="A25" s="16"/>
      <c r="B25" s="16"/>
      <c r="C25" s="18"/>
      <c r="D25" s="18"/>
      <c r="E25" s="18"/>
      <c r="F25" s="18"/>
      <c r="G25" s="18"/>
      <c r="H25" s="18"/>
    </row>
    <row r="26" spans="1:9" x14ac:dyDescent="0.2">
      <c r="A26" s="18" t="s">
        <v>69</v>
      </c>
      <c r="B26" s="16"/>
      <c r="C26" s="16"/>
      <c r="D26" s="16"/>
      <c r="E26" s="16"/>
      <c r="F26" s="16"/>
      <c r="G26" s="16"/>
      <c r="H26" s="16"/>
    </row>
    <row r="27" spans="1:9" ht="12.75" customHeight="1" x14ac:dyDescent="0.2">
      <c r="A27" s="138" t="s">
        <v>71</v>
      </c>
      <c r="B27" s="138"/>
      <c r="C27" s="138"/>
      <c r="D27" s="138"/>
      <c r="E27" s="138"/>
      <c r="F27" s="138"/>
      <c r="G27" s="138"/>
      <c r="H27" s="138"/>
      <c r="I27" s="20"/>
    </row>
    <row r="28" spans="1:9" ht="12.75" customHeight="1" x14ac:dyDescent="0.2">
      <c r="A28" s="138"/>
      <c r="B28" s="138"/>
      <c r="C28" s="138"/>
      <c r="D28" s="138"/>
      <c r="E28" s="138"/>
      <c r="F28" s="138"/>
      <c r="G28" s="138"/>
      <c r="H28" s="138"/>
    </row>
    <row r="29" spans="1:9" ht="12.75" customHeight="1" x14ac:dyDescent="0.2">
      <c r="A29" s="138"/>
      <c r="B29" s="138"/>
      <c r="C29" s="138"/>
      <c r="D29" s="138"/>
      <c r="E29" s="138"/>
      <c r="F29" s="138"/>
      <c r="G29" s="138"/>
      <c r="H29" s="138"/>
    </row>
    <row r="30" spans="1:9" ht="12.75" customHeight="1" x14ac:dyDescent="0.2">
      <c r="A30" s="138"/>
      <c r="B30" s="138"/>
      <c r="C30" s="138"/>
      <c r="D30" s="138"/>
      <c r="E30" s="138"/>
      <c r="F30" s="138"/>
      <c r="G30" s="138"/>
      <c r="H30" s="138"/>
    </row>
    <row r="31" spans="1:9" x14ac:dyDescent="0.2">
      <c r="A31" s="16"/>
      <c r="B31" s="16"/>
      <c r="C31" s="16"/>
      <c r="D31" s="16"/>
      <c r="E31" s="16"/>
      <c r="F31" s="16"/>
      <c r="G31" s="16"/>
      <c r="H31" s="16"/>
    </row>
    <row r="32" spans="1:9" x14ac:dyDescent="0.2">
      <c r="A32" s="19" t="s">
        <v>1</v>
      </c>
      <c r="B32" s="16"/>
      <c r="C32" s="16"/>
      <c r="D32" s="16"/>
      <c r="E32" s="16"/>
      <c r="F32" s="16"/>
      <c r="G32" s="16"/>
      <c r="H32" s="16"/>
    </row>
    <row r="33" spans="1:9" ht="8.1" customHeight="1" x14ac:dyDescent="0.2">
      <c r="A33" s="19"/>
      <c r="B33" s="16"/>
      <c r="C33" s="16"/>
      <c r="D33" s="16"/>
      <c r="E33" s="16"/>
      <c r="F33" s="16"/>
      <c r="G33" s="16"/>
      <c r="H33" s="16"/>
    </row>
    <row r="34" spans="1:9" x14ac:dyDescent="0.2">
      <c r="A34" s="16" t="s">
        <v>67</v>
      </c>
      <c r="B34" s="16"/>
      <c r="C34" s="16"/>
      <c r="D34" s="16"/>
      <c r="E34" s="16"/>
      <c r="F34" s="16"/>
      <c r="G34" s="16"/>
      <c r="H34" s="16"/>
    </row>
    <row r="35" spans="1:9" ht="12.75" customHeight="1" x14ac:dyDescent="0.2">
      <c r="A35" s="138" t="s">
        <v>128</v>
      </c>
      <c r="B35" s="138"/>
      <c r="C35" s="138"/>
      <c r="D35" s="138"/>
      <c r="E35" s="138"/>
      <c r="F35" s="138"/>
      <c r="G35" s="138"/>
      <c r="H35" s="138"/>
    </row>
    <row r="36" spans="1:9" ht="8.1" customHeight="1" x14ac:dyDescent="0.2">
      <c r="A36" s="24"/>
      <c r="B36" s="24"/>
      <c r="C36" s="24"/>
      <c r="D36" s="24"/>
      <c r="E36" s="24"/>
      <c r="F36" s="24"/>
      <c r="G36" s="24"/>
      <c r="H36" s="24"/>
    </row>
    <row r="37" spans="1:9" x14ac:dyDescent="0.2">
      <c r="A37" s="18" t="s">
        <v>66</v>
      </c>
      <c r="B37" s="18"/>
      <c r="C37" s="18"/>
      <c r="D37" s="18"/>
      <c r="E37" s="18"/>
      <c r="F37" s="18"/>
      <c r="G37" s="18"/>
      <c r="H37" s="18"/>
    </row>
    <row r="38" spans="1:9" ht="12.75" customHeight="1" x14ac:dyDescent="0.2">
      <c r="A38" s="138" t="s">
        <v>129</v>
      </c>
      <c r="B38" s="138"/>
      <c r="C38" s="138"/>
      <c r="D38" s="138"/>
      <c r="E38" s="138"/>
      <c r="F38" s="138"/>
      <c r="G38" s="138"/>
      <c r="H38" s="138"/>
      <c r="I38" s="20"/>
    </row>
    <row r="39" spans="1:9" ht="8.1" customHeight="1" x14ac:dyDescent="0.2">
      <c r="A39" s="16"/>
      <c r="B39" s="16"/>
      <c r="C39" s="18"/>
      <c r="D39" s="18"/>
      <c r="E39" s="18"/>
      <c r="F39" s="18"/>
      <c r="G39" s="18"/>
      <c r="H39" s="18"/>
    </row>
    <row r="40" spans="1:9" x14ac:dyDescent="0.2">
      <c r="A40" s="18" t="s">
        <v>69</v>
      </c>
      <c r="B40" s="16"/>
      <c r="C40" s="16"/>
      <c r="D40" s="16"/>
      <c r="E40" s="16"/>
      <c r="F40" s="16"/>
      <c r="G40" s="16"/>
      <c r="H40" s="16"/>
    </row>
    <row r="41" spans="1:9" ht="12.75" customHeight="1" x14ac:dyDescent="0.2">
      <c r="A41" s="138" t="s">
        <v>72</v>
      </c>
      <c r="B41" s="138"/>
      <c r="C41" s="138"/>
      <c r="D41" s="138"/>
      <c r="E41" s="138"/>
      <c r="F41" s="138"/>
      <c r="G41" s="138"/>
      <c r="H41" s="138"/>
      <c r="I41" s="20"/>
    </row>
    <row r="42" spans="1:9" ht="12.75" customHeight="1" x14ac:dyDescent="0.2">
      <c r="A42" s="138"/>
      <c r="B42" s="138"/>
      <c r="C42" s="138"/>
      <c r="D42" s="138"/>
      <c r="E42" s="138"/>
      <c r="F42" s="138"/>
      <c r="G42" s="138"/>
      <c r="H42" s="138"/>
    </row>
    <row r="43" spans="1:9" ht="12.75" customHeight="1" x14ac:dyDescent="0.2">
      <c r="A43" s="138"/>
      <c r="B43" s="138"/>
      <c r="C43" s="138"/>
      <c r="D43" s="138"/>
      <c r="E43" s="138"/>
      <c r="F43" s="138"/>
      <c r="G43" s="138"/>
      <c r="H43" s="138"/>
    </row>
    <row r="44" spans="1:9" ht="12.75" customHeight="1" x14ac:dyDescent="0.2">
      <c r="A44" s="138"/>
      <c r="B44" s="138"/>
      <c r="C44" s="138"/>
      <c r="D44" s="138"/>
      <c r="E44" s="138"/>
      <c r="F44" s="138"/>
      <c r="G44" s="138"/>
      <c r="H44" s="138"/>
    </row>
    <row r="45" spans="1:9" x14ac:dyDescent="0.2">
      <c r="A45" s="16"/>
      <c r="B45" s="16"/>
      <c r="C45" s="16"/>
      <c r="D45" s="16"/>
      <c r="E45" s="16"/>
      <c r="F45" s="16"/>
      <c r="G45" s="16"/>
      <c r="H45" s="16"/>
    </row>
    <row r="46" spans="1:9" x14ac:dyDescent="0.2">
      <c r="A46" s="19" t="s">
        <v>2</v>
      </c>
      <c r="B46" s="16"/>
      <c r="C46" s="16"/>
      <c r="D46" s="16"/>
      <c r="E46" s="16"/>
      <c r="F46" s="16"/>
      <c r="G46" s="16"/>
      <c r="H46" s="16"/>
    </row>
    <row r="47" spans="1:9" ht="8.1" customHeight="1" x14ac:dyDescent="0.2">
      <c r="A47" s="19"/>
      <c r="B47" s="16"/>
      <c r="C47" s="16"/>
      <c r="D47" s="16"/>
      <c r="E47" s="16"/>
      <c r="F47" s="16"/>
      <c r="G47" s="16"/>
      <c r="H47" s="16"/>
    </row>
    <row r="48" spans="1:9" x14ac:dyDescent="0.2">
      <c r="A48" s="16" t="s">
        <v>67</v>
      </c>
      <c r="B48" s="16"/>
      <c r="C48" s="16"/>
      <c r="D48" s="16"/>
      <c r="E48" s="16"/>
      <c r="F48" s="16"/>
      <c r="G48" s="16"/>
      <c r="H48" s="16"/>
    </row>
    <row r="49" spans="1:9" ht="12.75" customHeight="1" x14ac:dyDescent="0.2">
      <c r="A49" s="138" t="s">
        <v>130</v>
      </c>
      <c r="B49" s="138"/>
      <c r="C49" s="138"/>
      <c r="D49" s="138"/>
      <c r="E49" s="138"/>
      <c r="F49" s="138"/>
      <c r="G49" s="138"/>
      <c r="H49" s="138"/>
    </row>
    <row r="50" spans="1:9" ht="8.1" customHeight="1" x14ac:dyDescent="0.2">
      <c r="A50" s="24"/>
      <c r="B50" s="24"/>
      <c r="C50" s="24"/>
      <c r="D50" s="24"/>
      <c r="E50" s="24"/>
      <c r="F50" s="24"/>
      <c r="G50" s="24"/>
      <c r="H50" s="24"/>
    </row>
    <row r="51" spans="1:9" x14ac:dyDescent="0.2">
      <c r="A51" s="18" t="s">
        <v>66</v>
      </c>
      <c r="B51" s="18"/>
      <c r="C51" s="18"/>
      <c r="D51" s="18"/>
      <c r="E51" s="18"/>
      <c r="F51" s="18"/>
      <c r="G51" s="18"/>
      <c r="H51" s="18"/>
    </row>
    <row r="52" spans="1:9" ht="12.75" customHeight="1" x14ac:dyDescent="0.2">
      <c r="A52" s="138" t="s">
        <v>131</v>
      </c>
      <c r="B52" s="138"/>
      <c r="C52" s="138"/>
      <c r="D52" s="138"/>
      <c r="E52" s="138"/>
      <c r="F52" s="138"/>
      <c r="G52" s="138"/>
      <c r="H52" s="138"/>
      <c r="I52" s="20"/>
    </row>
    <row r="53" spans="1:9" ht="8.1" customHeight="1" x14ac:dyDescent="0.2">
      <c r="A53" s="16"/>
      <c r="B53" s="16"/>
      <c r="C53" s="18"/>
      <c r="D53" s="18"/>
      <c r="E53" s="18"/>
      <c r="F53" s="18"/>
      <c r="G53" s="18"/>
      <c r="H53" s="18"/>
    </row>
    <row r="54" spans="1:9" x14ac:dyDescent="0.2">
      <c r="A54" s="18" t="s">
        <v>69</v>
      </c>
      <c r="B54" s="16"/>
      <c r="C54" s="16"/>
      <c r="D54" s="16"/>
      <c r="E54" s="16"/>
      <c r="F54" s="16"/>
      <c r="G54" s="16"/>
      <c r="H54" s="16"/>
    </row>
    <row r="55" spans="1:9" ht="12.75" customHeight="1" x14ac:dyDescent="0.2">
      <c r="A55" s="138" t="s">
        <v>73</v>
      </c>
      <c r="B55" s="138"/>
      <c r="C55" s="138"/>
      <c r="D55" s="138"/>
      <c r="E55" s="138"/>
      <c r="F55" s="138"/>
      <c r="G55" s="138"/>
      <c r="H55" s="138"/>
      <c r="I55" s="20"/>
    </row>
    <row r="56" spans="1:9" ht="12.75" customHeight="1" x14ac:dyDescent="0.2">
      <c r="A56" s="138"/>
      <c r="B56" s="138"/>
      <c r="C56" s="138"/>
      <c r="D56" s="138"/>
      <c r="E56" s="138"/>
      <c r="F56" s="138"/>
      <c r="G56" s="138"/>
      <c r="H56" s="138"/>
    </row>
    <row r="57" spans="1:9" ht="12.75" customHeight="1" x14ac:dyDescent="0.2">
      <c r="A57" s="138"/>
      <c r="B57" s="138"/>
      <c r="C57" s="138"/>
      <c r="D57" s="138"/>
      <c r="E57" s="138"/>
      <c r="F57" s="138"/>
      <c r="G57" s="138"/>
      <c r="H57" s="138"/>
    </row>
    <row r="58" spans="1:9" ht="12.75" customHeight="1" x14ac:dyDescent="0.2">
      <c r="A58" s="138"/>
      <c r="B58" s="138"/>
      <c r="C58" s="138"/>
      <c r="D58" s="138"/>
      <c r="E58" s="138"/>
      <c r="F58" s="138"/>
      <c r="G58" s="138"/>
      <c r="H58" s="138"/>
    </row>
    <row r="59" spans="1:9" x14ac:dyDescent="0.2">
      <c r="A59" s="16"/>
      <c r="B59" s="16"/>
      <c r="C59" s="16"/>
      <c r="D59" s="16"/>
      <c r="E59" s="16"/>
      <c r="F59" s="16"/>
      <c r="G59" s="16"/>
      <c r="H59" s="16"/>
    </row>
    <row r="60" spans="1:9" x14ac:dyDescent="0.2">
      <c r="A60" s="19" t="s">
        <v>3</v>
      </c>
      <c r="B60" s="16"/>
      <c r="C60" s="16"/>
      <c r="D60" s="16"/>
      <c r="E60" s="16"/>
      <c r="F60" s="16"/>
      <c r="G60" s="16"/>
      <c r="H60" s="16"/>
    </row>
    <row r="61" spans="1:9" ht="8.1" customHeight="1" x14ac:dyDescent="0.2">
      <c r="A61" s="19"/>
      <c r="B61" s="16"/>
      <c r="C61" s="16"/>
      <c r="D61" s="16"/>
      <c r="E61" s="16"/>
      <c r="F61" s="16"/>
      <c r="G61" s="16"/>
      <c r="H61" s="16"/>
    </row>
    <row r="62" spans="1:9" x14ac:dyDescent="0.2">
      <c r="A62" s="16" t="s">
        <v>67</v>
      </c>
      <c r="B62" s="16"/>
      <c r="C62" s="16"/>
      <c r="D62" s="16"/>
      <c r="E62" s="16"/>
      <c r="F62" s="16"/>
      <c r="G62" s="16"/>
      <c r="H62" s="16"/>
    </row>
    <row r="63" spans="1:9" ht="12.75" customHeight="1" x14ac:dyDescent="0.2">
      <c r="A63" s="138" t="s">
        <v>132</v>
      </c>
      <c r="B63" s="138"/>
      <c r="C63" s="138"/>
      <c r="D63" s="138"/>
      <c r="E63" s="138"/>
      <c r="F63" s="138"/>
      <c r="G63" s="138"/>
      <c r="H63" s="138"/>
    </row>
    <row r="64" spans="1:9" ht="8.1" customHeight="1" x14ac:dyDescent="0.2">
      <c r="A64" s="24"/>
      <c r="B64" s="24"/>
      <c r="C64" s="24"/>
      <c r="D64" s="24"/>
      <c r="E64" s="24"/>
      <c r="F64" s="24"/>
      <c r="G64" s="24"/>
      <c r="H64" s="24"/>
    </row>
    <row r="65" spans="1:9" x14ac:dyDescent="0.2">
      <c r="A65" s="18" t="s">
        <v>66</v>
      </c>
      <c r="B65" s="18"/>
      <c r="C65" s="18"/>
      <c r="D65" s="18"/>
      <c r="E65" s="18"/>
      <c r="F65" s="18"/>
      <c r="G65" s="18"/>
      <c r="H65" s="18"/>
    </row>
    <row r="66" spans="1:9" ht="12.75" customHeight="1" x14ac:dyDescent="0.2">
      <c r="A66" s="138" t="s">
        <v>133</v>
      </c>
      <c r="B66" s="138"/>
      <c r="C66" s="138"/>
      <c r="D66" s="138"/>
      <c r="E66" s="138"/>
      <c r="F66" s="138"/>
      <c r="G66" s="138"/>
      <c r="H66" s="138"/>
      <c r="I66" s="20"/>
    </row>
    <row r="67" spans="1:9" ht="8.1" customHeight="1" x14ac:dyDescent="0.2">
      <c r="A67" s="16"/>
      <c r="B67" s="16"/>
      <c r="C67" s="18"/>
      <c r="D67" s="18"/>
      <c r="E67" s="18"/>
      <c r="F67" s="18"/>
      <c r="G67" s="18"/>
      <c r="H67" s="18"/>
    </row>
    <row r="68" spans="1:9" x14ac:dyDescent="0.2">
      <c r="A68" s="18" t="s">
        <v>69</v>
      </c>
      <c r="B68" s="16"/>
      <c r="C68" s="16"/>
      <c r="D68" s="16"/>
      <c r="E68" s="16"/>
      <c r="F68" s="16"/>
      <c r="G68" s="16"/>
      <c r="H68" s="16"/>
    </row>
    <row r="69" spans="1:9" ht="12.75" customHeight="1" x14ac:dyDescent="0.2">
      <c r="A69" s="138" t="s">
        <v>74</v>
      </c>
      <c r="B69" s="138"/>
      <c r="C69" s="138"/>
      <c r="D69" s="138"/>
      <c r="E69" s="138"/>
      <c r="F69" s="138"/>
      <c r="G69" s="138"/>
      <c r="H69" s="138"/>
      <c r="I69" s="20"/>
    </row>
    <row r="70" spans="1:9" ht="12.75" customHeight="1" x14ac:dyDescent="0.2">
      <c r="A70" s="138"/>
      <c r="B70" s="138"/>
      <c r="C70" s="138"/>
      <c r="D70" s="138"/>
      <c r="E70" s="138"/>
      <c r="F70" s="138"/>
      <c r="G70" s="138"/>
      <c r="H70" s="138"/>
    </row>
    <row r="71" spans="1:9" ht="12.75" customHeight="1" x14ac:dyDescent="0.2">
      <c r="A71" s="138"/>
      <c r="B71" s="138"/>
      <c r="C71" s="138"/>
      <c r="D71" s="138"/>
      <c r="E71" s="138"/>
      <c r="F71" s="138"/>
      <c r="G71" s="138"/>
      <c r="H71" s="138"/>
    </row>
    <row r="72" spans="1:9" ht="12.75" customHeight="1" x14ac:dyDescent="0.2">
      <c r="A72" s="138"/>
      <c r="B72" s="138"/>
      <c r="C72" s="138"/>
      <c r="D72" s="138"/>
      <c r="E72" s="138"/>
      <c r="F72" s="138"/>
      <c r="G72" s="138"/>
      <c r="H72" s="138"/>
    </row>
    <row r="73" spans="1:9" x14ac:dyDescent="0.2">
      <c r="A73" s="16"/>
      <c r="B73" s="16"/>
      <c r="C73" s="16"/>
      <c r="D73" s="16"/>
      <c r="E73" s="16"/>
      <c r="F73" s="16"/>
      <c r="G73" s="16"/>
      <c r="H73" s="16"/>
    </row>
    <row r="74" spans="1:9" x14ac:dyDescent="0.2">
      <c r="A74" s="19" t="s">
        <v>4</v>
      </c>
      <c r="B74" s="16"/>
      <c r="C74" s="16"/>
      <c r="D74" s="16"/>
      <c r="E74" s="16"/>
      <c r="F74" s="16"/>
      <c r="G74" s="16"/>
      <c r="H74" s="16"/>
    </row>
    <row r="75" spans="1:9" ht="8.1" customHeight="1" x14ac:dyDescent="0.2">
      <c r="A75" s="19"/>
      <c r="B75" s="16"/>
      <c r="C75" s="16"/>
      <c r="D75" s="16"/>
      <c r="E75" s="16"/>
      <c r="F75" s="16"/>
      <c r="G75" s="16"/>
      <c r="H75" s="16"/>
    </row>
    <row r="76" spans="1:9" x14ac:dyDescent="0.2">
      <c r="A76" s="16" t="s">
        <v>67</v>
      </c>
      <c r="B76" s="16"/>
      <c r="C76" s="16"/>
      <c r="D76" s="16"/>
      <c r="E76" s="16"/>
      <c r="F76" s="16"/>
      <c r="G76" s="16"/>
      <c r="H76" s="16"/>
    </row>
    <row r="77" spans="1:9" ht="12.75" customHeight="1" x14ac:dyDescent="0.2">
      <c r="A77" s="138" t="s">
        <v>134</v>
      </c>
      <c r="B77" s="138"/>
      <c r="C77" s="138"/>
      <c r="D77" s="138"/>
      <c r="E77" s="138"/>
      <c r="F77" s="138"/>
      <c r="G77" s="138"/>
      <c r="H77" s="138"/>
    </row>
    <row r="78" spans="1:9" ht="8.1" customHeight="1" x14ac:dyDescent="0.2">
      <c r="A78" s="24"/>
      <c r="B78" s="24"/>
      <c r="C78" s="24"/>
      <c r="D78" s="24"/>
      <c r="E78" s="24"/>
      <c r="F78" s="24"/>
      <c r="G78" s="24"/>
      <c r="H78" s="24"/>
    </row>
    <row r="79" spans="1:9" x14ac:dyDescent="0.2">
      <c r="A79" s="18" t="s">
        <v>66</v>
      </c>
      <c r="B79" s="18"/>
      <c r="C79" s="18"/>
      <c r="D79" s="18"/>
      <c r="E79" s="18"/>
      <c r="F79" s="18"/>
      <c r="G79" s="18"/>
      <c r="H79" s="18"/>
    </row>
    <row r="80" spans="1:9" ht="12.75" customHeight="1" x14ac:dyDescent="0.2">
      <c r="A80" s="138" t="s">
        <v>135</v>
      </c>
      <c r="B80" s="138"/>
      <c r="C80" s="138"/>
      <c r="D80" s="138"/>
      <c r="E80" s="138"/>
      <c r="F80" s="138"/>
      <c r="G80" s="138"/>
      <c r="H80" s="138"/>
      <c r="I80" s="20"/>
    </row>
    <row r="81" spans="1:9" ht="8.1" customHeight="1" x14ac:dyDescent="0.2">
      <c r="A81" s="16"/>
      <c r="B81" s="16"/>
      <c r="C81" s="18"/>
      <c r="D81" s="18"/>
      <c r="E81" s="18"/>
      <c r="F81" s="18"/>
      <c r="G81" s="18"/>
      <c r="H81" s="18"/>
    </row>
    <row r="82" spans="1:9" x14ac:dyDescent="0.2">
      <c r="A82" s="18" t="s">
        <v>69</v>
      </c>
      <c r="B82" s="16"/>
      <c r="C82" s="16"/>
      <c r="D82" s="16"/>
      <c r="E82" s="16"/>
      <c r="F82" s="16"/>
      <c r="G82" s="16"/>
      <c r="H82" s="16"/>
    </row>
    <row r="83" spans="1:9" ht="12.75" customHeight="1" x14ac:dyDescent="0.2">
      <c r="A83" s="138" t="s">
        <v>75</v>
      </c>
      <c r="B83" s="138"/>
      <c r="C83" s="138"/>
      <c r="D83" s="138"/>
      <c r="E83" s="138"/>
      <c r="F83" s="138"/>
      <c r="G83" s="138"/>
      <c r="H83" s="138"/>
      <c r="I83" s="20"/>
    </row>
    <row r="84" spans="1:9" ht="12.75" customHeight="1" x14ac:dyDescent="0.2">
      <c r="A84" s="138"/>
      <c r="B84" s="138"/>
      <c r="C84" s="138"/>
      <c r="D84" s="138"/>
      <c r="E84" s="138"/>
      <c r="F84" s="138"/>
      <c r="G84" s="138"/>
      <c r="H84" s="138"/>
    </row>
    <row r="85" spans="1:9" ht="12.75" customHeight="1" x14ac:dyDescent="0.2">
      <c r="A85" s="138"/>
      <c r="B85" s="138"/>
      <c r="C85" s="138"/>
      <c r="D85" s="138"/>
      <c r="E85" s="138"/>
      <c r="F85" s="138"/>
      <c r="G85" s="138"/>
      <c r="H85" s="138"/>
    </row>
    <row r="86" spans="1:9" ht="12.75" customHeight="1" x14ac:dyDescent="0.2">
      <c r="A86" s="138"/>
      <c r="B86" s="138"/>
      <c r="C86" s="138"/>
      <c r="D86" s="138"/>
      <c r="E86" s="138"/>
      <c r="F86" s="138"/>
      <c r="G86" s="138"/>
      <c r="H86" s="138"/>
    </row>
    <row r="87" spans="1:9" x14ac:dyDescent="0.2">
      <c r="A87" s="16"/>
      <c r="B87" s="16"/>
      <c r="C87" s="16"/>
      <c r="D87" s="16"/>
      <c r="E87" s="16"/>
      <c r="F87" s="16"/>
      <c r="G87" s="16"/>
      <c r="H87" s="16"/>
    </row>
    <row r="88" spans="1:9" x14ac:dyDescent="0.2">
      <c r="A88" s="19" t="s">
        <v>5</v>
      </c>
      <c r="B88" s="16"/>
      <c r="C88" s="16"/>
      <c r="D88" s="16"/>
      <c r="E88" s="16"/>
      <c r="F88" s="16"/>
      <c r="G88" s="16"/>
      <c r="H88" s="16"/>
    </row>
    <row r="89" spans="1:9" ht="8.1" customHeight="1" x14ac:dyDescent="0.2">
      <c r="A89" s="19"/>
      <c r="B89" s="16"/>
      <c r="C89" s="16"/>
      <c r="D89" s="16"/>
      <c r="E89" s="16"/>
      <c r="F89" s="16"/>
      <c r="G89" s="16"/>
      <c r="H89" s="16"/>
    </row>
    <row r="90" spans="1:9" x14ac:dyDescent="0.2">
      <c r="A90" s="16" t="s">
        <v>67</v>
      </c>
      <c r="B90" s="16"/>
      <c r="C90" s="16"/>
      <c r="D90" s="16"/>
      <c r="E90" s="16"/>
      <c r="F90" s="16"/>
      <c r="G90" s="16"/>
      <c r="H90" s="16"/>
    </row>
    <row r="91" spans="1:9" ht="12.75" customHeight="1" x14ac:dyDescent="0.2">
      <c r="A91" s="138" t="s">
        <v>136</v>
      </c>
      <c r="B91" s="138"/>
      <c r="C91" s="138"/>
      <c r="D91" s="138"/>
      <c r="E91" s="138"/>
      <c r="F91" s="138"/>
      <c r="G91" s="138"/>
      <c r="H91" s="138"/>
    </row>
    <row r="92" spans="1:9" ht="8.1" customHeight="1" x14ac:dyDescent="0.2">
      <c r="A92" s="24"/>
      <c r="B92" s="24"/>
      <c r="C92" s="24"/>
      <c r="D92" s="24"/>
      <c r="E92" s="24"/>
      <c r="F92" s="24"/>
      <c r="G92" s="24"/>
      <c r="H92" s="24"/>
    </row>
    <row r="93" spans="1:9" x14ac:dyDescent="0.2">
      <c r="A93" s="18" t="s">
        <v>66</v>
      </c>
      <c r="B93" s="18"/>
      <c r="C93" s="18"/>
      <c r="D93" s="18"/>
      <c r="E93" s="18"/>
      <c r="F93" s="18"/>
      <c r="G93" s="18"/>
      <c r="H93" s="18"/>
    </row>
    <row r="94" spans="1:9" ht="12.75" customHeight="1" x14ac:dyDescent="0.2">
      <c r="A94" s="138" t="s">
        <v>137</v>
      </c>
      <c r="B94" s="138"/>
      <c r="C94" s="138"/>
      <c r="D94" s="138"/>
      <c r="E94" s="138"/>
      <c r="F94" s="138"/>
      <c r="G94" s="138"/>
      <c r="H94" s="138"/>
      <c r="I94" s="20"/>
    </row>
    <row r="95" spans="1:9" ht="8.1" customHeight="1" x14ac:dyDescent="0.2">
      <c r="A95" s="16"/>
      <c r="B95" s="16"/>
      <c r="C95" s="18"/>
      <c r="D95" s="18"/>
      <c r="E95" s="18"/>
      <c r="F95" s="18"/>
      <c r="G95" s="18"/>
      <c r="H95" s="18"/>
    </row>
    <row r="96" spans="1:9" x14ac:dyDescent="0.2">
      <c r="A96" s="18" t="s">
        <v>69</v>
      </c>
      <c r="B96" s="16"/>
      <c r="C96" s="16"/>
      <c r="D96" s="16"/>
      <c r="E96" s="16"/>
      <c r="F96" s="16"/>
      <c r="G96" s="16"/>
      <c r="H96" s="16"/>
    </row>
    <row r="97" spans="1:15" ht="12.75" customHeight="1" x14ac:dyDescent="0.2">
      <c r="A97" s="138" t="s">
        <v>76</v>
      </c>
      <c r="B97" s="138"/>
      <c r="C97" s="138"/>
      <c r="D97" s="138"/>
      <c r="E97" s="138"/>
      <c r="F97" s="138"/>
      <c r="G97" s="138"/>
      <c r="H97" s="138"/>
      <c r="I97" s="20"/>
    </row>
    <row r="98" spans="1:15" ht="12.75" customHeight="1" x14ac:dyDescent="0.2">
      <c r="A98" s="138"/>
      <c r="B98" s="138"/>
      <c r="C98" s="138"/>
      <c r="D98" s="138"/>
      <c r="E98" s="138"/>
      <c r="F98" s="138"/>
      <c r="G98" s="138"/>
      <c r="H98" s="138"/>
    </row>
    <row r="99" spans="1:15" ht="12.75" customHeight="1" x14ac:dyDescent="0.2">
      <c r="A99" s="138"/>
      <c r="B99" s="138"/>
      <c r="C99" s="138"/>
      <c r="D99" s="138"/>
      <c r="E99" s="138"/>
      <c r="F99" s="138"/>
      <c r="G99" s="138"/>
      <c r="H99" s="138"/>
    </row>
    <row r="100" spans="1:15" ht="12.75" customHeight="1" x14ac:dyDescent="0.2">
      <c r="A100" s="138"/>
      <c r="B100" s="138"/>
      <c r="C100" s="138"/>
      <c r="D100" s="138"/>
      <c r="E100" s="138"/>
      <c r="F100" s="138"/>
      <c r="G100" s="138"/>
      <c r="H100" s="138"/>
    </row>
    <row r="101" spans="1:15" x14ac:dyDescent="0.2">
      <c r="A101" s="16"/>
      <c r="B101" s="16"/>
      <c r="C101" s="16"/>
      <c r="D101" s="16"/>
      <c r="E101" s="16"/>
      <c r="F101" s="16"/>
      <c r="G101" s="16"/>
      <c r="H101" s="16"/>
    </row>
    <row r="102" spans="1:15" x14ac:dyDescent="0.2">
      <c r="A102" s="19" t="s">
        <v>6</v>
      </c>
      <c r="B102" s="16"/>
      <c r="C102" s="16"/>
      <c r="D102" s="16"/>
      <c r="E102" s="16"/>
      <c r="F102" s="16"/>
      <c r="G102" s="16"/>
      <c r="H102" s="16"/>
    </row>
    <row r="103" spans="1:15" ht="8.1" customHeight="1" x14ac:dyDescent="0.2">
      <c r="A103" s="19"/>
      <c r="B103" s="16"/>
      <c r="C103" s="16"/>
      <c r="D103" s="16"/>
      <c r="E103" s="16"/>
      <c r="F103" s="16"/>
      <c r="G103" s="16"/>
      <c r="H103" s="16"/>
    </row>
    <row r="104" spans="1:15" x14ac:dyDescent="0.2">
      <c r="A104" s="16" t="s">
        <v>67</v>
      </c>
      <c r="B104" s="16"/>
      <c r="C104" s="16"/>
      <c r="D104" s="16"/>
      <c r="E104" s="16"/>
      <c r="F104" s="16"/>
      <c r="G104" s="16"/>
      <c r="H104" s="16"/>
    </row>
    <row r="105" spans="1:15" ht="12.75" customHeight="1" x14ac:dyDescent="0.2">
      <c r="A105" s="138" t="s">
        <v>138</v>
      </c>
      <c r="B105" s="138"/>
      <c r="C105" s="138"/>
      <c r="D105" s="138"/>
      <c r="E105" s="138"/>
      <c r="F105" s="138"/>
      <c r="G105" s="138"/>
      <c r="H105" s="138"/>
    </row>
    <row r="106" spans="1:15" ht="8.1" customHeight="1" x14ac:dyDescent="0.2">
      <c r="A106" s="24"/>
      <c r="B106" s="24"/>
      <c r="C106" s="24"/>
      <c r="D106" s="24"/>
      <c r="E106" s="24"/>
      <c r="F106" s="24"/>
      <c r="G106" s="24"/>
      <c r="H106" s="24"/>
    </row>
    <row r="107" spans="1:15" x14ac:dyDescent="0.2">
      <c r="A107" s="18" t="s">
        <v>66</v>
      </c>
      <c r="B107" s="18"/>
      <c r="C107" s="18"/>
      <c r="D107" s="18"/>
      <c r="E107" s="18"/>
      <c r="F107" s="18"/>
      <c r="G107" s="18"/>
      <c r="H107" s="18"/>
    </row>
    <row r="108" spans="1:15" ht="12.75" customHeight="1" x14ac:dyDescent="0.2">
      <c r="A108" s="138" t="s">
        <v>139</v>
      </c>
      <c r="B108" s="138"/>
      <c r="C108" s="138"/>
      <c r="D108" s="138"/>
      <c r="E108" s="138"/>
      <c r="F108" s="138"/>
      <c r="G108" s="138"/>
      <c r="H108" s="138"/>
      <c r="I108" s="20"/>
    </row>
    <row r="109" spans="1:15" ht="8.1" customHeight="1" x14ac:dyDescent="0.2">
      <c r="A109" s="16"/>
      <c r="B109" s="16"/>
      <c r="C109" s="18"/>
      <c r="D109" s="18"/>
      <c r="E109" s="18"/>
      <c r="F109" s="18"/>
      <c r="G109" s="18"/>
      <c r="H109" s="18"/>
    </row>
    <row r="110" spans="1:15" x14ac:dyDescent="0.2">
      <c r="A110" s="18" t="s">
        <v>69</v>
      </c>
      <c r="B110" s="16"/>
      <c r="C110" s="16"/>
      <c r="D110" s="16"/>
      <c r="E110" s="16"/>
      <c r="F110" s="16"/>
      <c r="G110" s="16"/>
      <c r="H110" s="16"/>
    </row>
    <row r="111" spans="1:15" ht="12.75" customHeight="1" x14ac:dyDescent="0.25">
      <c r="A111" s="138" t="s">
        <v>77</v>
      </c>
      <c r="B111" s="138"/>
      <c r="C111" s="138"/>
      <c r="D111" s="138"/>
      <c r="E111" s="138"/>
      <c r="F111" s="138"/>
      <c r="G111" s="138"/>
      <c r="H111" s="138"/>
      <c r="I111" s="20"/>
      <c r="O111" s="27"/>
    </row>
    <row r="112" spans="1:15" ht="12.75" customHeight="1" x14ac:dyDescent="0.2">
      <c r="A112" s="138"/>
      <c r="B112" s="138"/>
      <c r="C112" s="138"/>
      <c r="D112" s="138"/>
      <c r="E112" s="138"/>
      <c r="F112" s="138"/>
      <c r="G112" s="138"/>
      <c r="H112" s="138"/>
    </row>
    <row r="113" spans="1:9" ht="12.75" customHeight="1" x14ac:dyDescent="0.2">
      <c r="A113" s="138"/>
      <c r="B113" s="138"/>
      <c r="C113" s="138"/>
      <c r="D113" s="138"/>
      <c r="E113" s="138"/>
      <c r="F113" s="138"/>
      <c r="G113" s="138"/>
      <c r="H113" s="138"/>
    </row>
    <row r="114" spans="1:9" ht="12.75" customHeight="1" x14ac:dyDescent="0.2">
      <c r="A114" s="138"/>
      <c r="B114" s="138"/>
      <c r="C114" s="138"/>
      <c r="D114" s="138"/>
      <c r="E114" s="138"/>
      <c r="F114" s="138"/>
      <c r="G114" s="138"/>
      <c r="H114" s="138"/>
    </row>
    <row r="115" spans="1:9" ht="12.75" customHeight="1" x14ac:dyDescent="0.2">
      <c r="A115" s="16"/>
      <c r="B115" s="16"/>
      <c r="C115" s="16"/>
      <c r="D115" s="16"/>
      <c r="E115" s="16"/>
      <c r="F115" s="16"/>
      <c r="G115" s="16"/>
      <c r="H115" s="16"/>
    </row>
    <row r="116" spans="1:9" x14ac:dyDescent="0.2">
      <c r="A116" s="19" t="s">
        <v>65</v>
      </c>
      <c r="B116" s="16"/>
      <c r="C116" s="16"/>
      <c r="D116" s="16"/>
      <c r="E116" s="16"/>
      <c r="F116" s="16"/>
      <c r="G116" s="16"/>
      <c r="H116" s="16"/>
    </row>
    <row r="117" spans="1:9" ht="8.1" customHeight="1" x14ac:dyDescent="0.2">
      <c r="A117" s="19"/>
      <c r="B117" s="16"/>
      <c r="C117" s="16"/>
      <c r="D117" s="16"/>
      <c r="E117" s="16"/>
      <c r="F117" s="16"/>
      <c r="G117" s="16"/>
      <c r="H117" s="16"/>
    </row>
    <row r="118" spans="1:9" x14ac:dyDescent="0.2">
      <c r="A118" s="16" t="s">
        <v>67</v>
      </c>
      <c r="B118" s="16"/>
      <c r="C118" s="16"/>
      <c r="D118" s="16"/>
      <c r="E118" s="16"/>
      <c r="F118" s="16"/>
      <c r="G118" s="16"/>
      <c r="H118" s="16"/>
    </row>
    <row r="119" spans="1:9" ht="12.75" customHeight="1" x14ac:dyDescent="0.2">
      <c r="A119" s="138" t="s">
        <v>83</v>
      </c>
      <c r="B119" s="138"/>
      <c r="C119" s="138"/>
      <c r="D119" s="138"/>
      <c r="E119" s="138"/>
      <c r="F119" s="138"/>
      <c r="G119" s="138"/>
      <c r="H119" s="138"/>
    </row>
    <row r="120" spans="1:9" ht="8.1" customHeight="1" x14ac:dyDescent="0.2">
      <c r="A120" s="24"/>
      <c r="B120" s="24"/>
      <c r="C120" s="24"/>
      <c r="D120" s="24"/>
      <c r="E120" s="24"/>
      <c r="F120" s="24"/>
      <c r="G120" s="24"/>
      <c r="H120" s="24"/>
    </row>
    <row r="121" spans="1:9" x14ac:dyDescent="0.2">
      <c r="A121" s="18" t="s">
        <v>66</v>
      </c>
      <c r="B121" s="18"/>
      <c r="C121" s="18"/>
      <c r="D121" s="18"/>
      <c r="E121" s="18"/>
      <c r="F121" s="18"/>
      <c r="G121" s="18"/>
      <c r="H121" s="18"/>
    </row>
    <row r="122" spans="1:9" ht="12.75" customHeight="1" x14ac:dyDescent="0.2">
      <c r="A122" s="138" t="s">
        <v>84</v>
      </c>
      <c r="B122" s="138"/>
      <c r="C122" s="138"/>
      <c r="D122" s="138"/>
      <c r="E122" s="138"/>
      <c r="F122" s="138"/>
      <c r="G122" s="138"/>
      <c r="H122" s="138"/>
      <c r="I122" s="20"/>
    </row>
    <row r="123" spans="1:9" ht="8.1" customHeight="1" x14ac:dyDescent="0.2">
      <c r="A123" s="16"/>
      <c r="B123" s="16"/>
      <c r="C123" s="18"/>
      <c r="D123" s="18"/>
      <c r="E123" s="18"/>
      <c r="F123" s="18"/>
      <c r="G123" s="18"/>
      <c r="H123" s="18"/>
    </row>
    <row r="124" spans="1:9" x14ac:dyDescent="0.2">
      <c r="A124" s="18" t="s">
        <v>69</v>
      </c>
      <c r="B124" s="16"/>
      <c r="C124" s="16"/>
      <c r="D124" s="16"/>
      <c r="E124" s="16"/>
      <c r="F124" s="16"/>
      <c r="G124" s="16"/>
      <c r="H124" s="16"/>
    </row>
    <row r="125" spans="1:9" ht="12.75" customHeight="1" x14ac:dyDescent="0.2">
      <c r="A125" s="138" t="s">
        <v>78</v>
      </c>
      <c r="B125" s="138"/>
      <c r="C125" s="138"/>
      <c r="D125" s="138"/>
      <c r="E125" s="138"/>
      <c r="F125" s="138"/>
      <c r="G125" s="138"/>
      <c r="H125" s="138"/>
      <c r="I125" s="20"/>
    </row>
    <row r="126" spans="1:9" ht="12.75" customHeight="1" x14ac:dyDescent="0.2">
      <c r="A126" s="138"/>
      <c r="B126" s="138"/>
      <c r="C126" s="138"/>
      <c r="D126" s="138"/>
      <c r="E126" s="138"/>
      <c r="F126" s="138"/>
      <c r="G126" s="138"/>
      <c r="H126" s="138"/>
    </row>
    <row r="127" spans="1:9" ht="12.75" customHeight="1" x14ac:dyDescent="0.2">
      <c r="A127" s="138"/>
      <c r="B127" s="138"/>
      <c r="C127" s="138"/>
      <c r="D127" s="138"/>
      <c r="E127" s="138"/>
      <c r="F127" s="138"/>
      <c r="G127" s="138"/>
      <c r="H127" s="138"/>
    </row>
    <row r="128" spans="1:9" ht="12.75" customHeight="1" x14ac:dyDescent="0.2">
      <c r="A128" s="138"/>
      <c r="B128" s="138"/>
      <c r="C128" s="138"/>
      <c r="D128" s="138"/>
      <c r="E128" s="138"/>
      <c r="F128" s="138"/>
      <c r="G128" s="138"/>
      <c r="H128" s="138"/>
    </row>
    <row r="129" spans="1:9" x14ac:dyDescent="0.2">
      <c r="A129" s="16"/>
      <c r="B129" s="16"/>
      <c r="C129" s="16"/>
      <c r="D129" s="16"/>
      <c r="E129" s="16"/>
      <c r="F129" s="16"/>
      <c r="G129" s="16"/>
      <c r="H129" s="16"/>
    </row>
    <row r="130" spans="1:9" x14ac:dyDescent="0.2">
      <c r="A130" s="19" t="s">
        <v>7</v>
      </c>
      <c r="B130" s="16"/>
      <c r="C130" s="16"/>
      <c r="D130" s="16"/>
      <c r="E130" s="16"/>
      <c r="F130" s="16"/>
      <c r="G130" s="16"/>
      <c r="H130" s="16"/>
    </row>
    <row r="131" spans="1:9" ht="8.1" customHeight="1" x14ac:dyDescent="0.2">
      <c r="A131" s="19"/>
      <c r="B131" s="16"/>
      <c r="C131" s="16"/>
      <c r="D131" s="16"/>
      <c r="E131" s="16"/>
      <c r="F131" s="16"/>
      <c r="G131" s="16"/>
      <c r="H131" s="16"/>
    </row>
    <row r="132" spans="1:9" x14ac:dyDescent="0.2">
      <c r="A132" s="16" t="s">
        <v>67</v>
      </c>
      <c r="B132" s="16"/>
      <c r="C132" s="16"/>
      <c r="D132" s="16"/>
      <c r="E132" s="16"/>
      <c r="F132" s="16"/>
      <c r="G132" s="16"/>
      <c r="H132" s="16"/>
    </row>
    <row r="133" spans="1:9" ht="12.75" customHeight="1" x14ac:dyDescent="0.2">
      <c r="A133" s="138" t="s">
        <v>68</v>
      </c>
      <c r="B133" s="138"/>
      <c r="C133" s="138"/>
      <c r="D133" s="138"/>
      <c r="E133" s="138"/>
      <c r="F133" s="138"/>
      <c r="G133" s="138"/>
      <c r="H133" s="138"/>
    </row>
    <row r="134" spans="1:9" ht="8.1" customHeight="1" x14ac:dyDescent="0.2">
      <c r="A134" s="24"/>
      <c r="B134" s="24"/>
      <c r="C134" s="24"/>
      <c r="D134" s="24"/>
      <c r="E134" s="24"/>
      <c r="F134" s="24"/>
      <c r="G134" s="24"/>
      <c r="H134" s="24"/>
    </row>
    <row r="135" spans="1:9" x14ac:dyDescent="0.2">
      <c r="A135" s="18" t="s">
        <v>66</v>
      </c>
      <c r="B135" s="18"/>
      <c r="C135" s="18"/>
      <c r="D135" s="18"/>
      <c r="E135" s="18"/>
      <c r="F135" s="18"/>
      <c r="G135" s="18"/>
      <c r="H135" s="18"/>
    </row>
    <row r="136" spans="1:9" ht="12.75" customHeight="1" x14ac:dyDescent="0.2">
      <c r="A136" s="138" t="s">
        <v>85</v>
      </c>
      <c r="B136" s="138"/>
      <c r="C136" s="138"/>
      <c r="D136" s="138"/>
      <c r="E136" s="138"/>
      <c r="F136" s="138"/>
      <c r="G136" s="138"/>
      <c r="H136" s="138"/>
      <c r="I136" s="20"/>
    </row>
    <row r="137" spans="1:9" ht="8.1" customHeight="1" x14ac:dyDescent="0.2">
      <c r="A137" s="16"/>
      <c r="B137" s="16"/>
      <c r="C137" s="18"/>
      <c r="D137" s="18"/>
      <c r="E137" s="18"/>
      <c r="F137" s="18"/>
      <c r="G137" s="18"/>
      <c r="H137" s="18"/>
    </row>
    <row r="138" spans="1:9" x14ac:dyDescent="0.2">
      <c r="A138" s="18" t="s">
        <v>69</v>
      </c>
      <c r="B138" s="16"/>
      <c r="C138" s="16"/>
      <c r="D138" s="16"/>
      <c r="E138" s="16"/>
      <c r="F138" s="16"/>
      <c r="G138" s="16"/>
      <c r="H138" s="16"/>
    </row>
    <row r="139" spans="1:9" ht="12.75" customHeight="1" x14ac:dyDescent="0.2">
      <c r="A139" s="138" t="s">
        <v>79</v>
      </c>
      <c r="B139" s="138"/>
      <c r="C139" s="138"/>
      <c r="D139" s="138"/>
      <c r="E139" s="138"/>
      <c r="F139" s="138"/>
      <c r="G139" s="138"/>
      <c r="H139" s="138"/>
      <c r="I139" s="20"/>
    </row>
    <row r="140" spans="1:9" ht="12.75" customHeight="1" x14ac:dyDescent="0.2">
      <c r="A140" s="138"/>
      <c r="B140" s="138"/>
      <c r="C140" s="138"/>
      <c r="D140" s="138"/>
      <c r="E140" s="138"/>
      <c r="F140" s="138"/>
      <c r="G140" s="138"/>
      <c r="H140" s="138"/>
    </row>
    <row r="141" spans="1:9" ht="12.75" customHeight="1" x14ac:dyDescent="0.2">
      <c r="A141" s="138"/>
      <c r="B141" s="138"/>
      <c r="C141" s="138"/>
      <c r="D141" s="138"/>
      <c r="E141" s="138"/>
      <c r="F141" s="138"/>
      <c r="G141" s="138"/>
      <c r="H141" s="138"/>
    </row>
    <row r="142" spans="1:9" ht="12.75" customHeight="1" x14ac:dyDescent="0.2">
      <c r="A142" s="138"/>
      <c r="B142" s="138"/>
      <c r="C142" s="138"/>
      <c r="D142" s="138"/>
      <c r="E142" s="138"/>
      <c r="F142" s="138"/>
      <c r="G142" s="138"/>
      <c r="H142" s="138"/>
    </row>
    <row r="143" spans="1:9" x14ac:dyDescent="0.2">
      <c r="A143" s="16"/>
      <c r="B143" s="16"/>
      <c r="C143" s="16"/>
      <c r="D143" s="16"/>
      <c r="E143" s="16"/>
      <c r="F143" s="16"/>
      <c r="G143" s="16"/>
      <c r="H143" s="16"/>
    </row>
    <row r="144" spans="1:9" s="20" customFormat="1" x14ac:dyDescent="0.2">
      <c r="A144" s="4" t="s">
        <v>50</v>
      </c>
      <c r="B144" s="4"/>
      <c r="C144" s="4"/>
      <c r="D144" s="4"/>
      <c r="E144" s="4"/>
      <c r="F144" s="4"/>
      <c r="G144" s="4"/>
      <c r="H144" s="4"/>
    </row>
    <row r="146" spans="1:5" x14ac:dyDescent="0.2">
      <c r="A146" s="15" t="s">
        <v>154</v>
      </c>
      <c r="C146" s="15">
        <v>1</v>
      </c>
      <c r="E146" s="15" t="s">
        <v>0</v>
      </c>
    </row>
    <row r="147" spans="1:5" x14ac:dyDescent="0.2">
      <c r="A147" s="15" t="s">
        <v>89</v>
      </c>
      <c r="C147" s="15">
        <v>2</v>
      </c>
      <c r="E147" s="15" t="s">
        <v>1</v>
      </c>
    </row>
    <row r="148" spans="1:5" x14ac:dyDescent="0.2">
      <c r="A148" s="15" t="s">
        <v>60</v>
      </c>
      <c r="C148" s="15">
        <v>3</v>
      </c>
      <c r="E148" s="15" t="s">
        <v>2</v>
      </c>
    </row>
    <row r="149" spans="1:5" x14ac:dyDescent="0.2">
      <c r="C149" s="15">
        <v>4</v>
      </c>
      <c r="E149" s="15" t="s">
        <v>3</v>
      </c>
    </row>
    <row r="150" spans="1:5" x14ac:dyDescent="0.2">
      <c r="A150" s="15" t="s">
        <v>46</v>
      </c>
      <c r="C150" s="15">
        <v>5</v>
      </c>
      <c r="E150" s="15" t="s">
        <v>4</v>
      </c>
    </row>
    <row r="151" spans="1:5" x14ac:dyDescent="0.2">
      <c r="A151" s="15" t="s">
        <v>47</v>
      </c>
      <c r="C151" s="15">
        <v>6</v>
      </c>
      <c r="E151" s="15" t="s">
        <v>5</v>
      </c>
    </row>
    <row r="152" spans="1:5" x14ac:dyDescent="0.2">
      <c r="C152" s="15">
        <v>7</v>
      </c>
      <c r="E152" s="15" t="s">
        <v>6</v>
      </c>
    </row>
    <row r="153" spans="1:5" x14ac:dyDescent="0.2">
      <c r="C153" s="15">
        <v>8</v>
      </c>
      <c r="E153" s="15" t="s">
        <v>51</v>
      </c>
    </row>
    <row r="154" spans="1:5" x14ac:dyDescent="0.2">
      <c r="C154" s="15">
        <v>9</v>
      </c>
      <c r="E154" s="15" t="s">
        <v>7</v>
      </c>
    </row>
    <row r="156" spans="1:5" x14ac:dyDescent="0.2">
      <c r="A156" s="142" t="s">
        <v>48</v>
      </c>
      <c r="B156" s="21" t="s">
        <v>54</v>
      </c>
      <c r="C156" s="21" t="s">
        <v>55</v>
      </c>
    </row>
    <row r="157" spans="1:5" x14ac:dyDescent="0.2">
      <c r="A157" s="142"/>
      <c r="B157" s="21" t="s">
        <v>53</v>
      </c>
      <c r="C157" s="21" t="s">
        <v>53</v>
      </c>
    </row>
    <row r="158" spans="1:5" x14ac:dyDescent="0.2">
      <c r="A158" s="21">
        <v>1</v>
      </c>
      <c r="B158" s="21" t="str">
        <f>IF($D$11&lt;A158,"",IF($D$11=A158,"Triangle","Circle"))</f>
        <v>Circle</v>
      </c>
      <c r="C158" s="21" t="str">
        <f t="shared" ref="C158:C166" si="0">IF($D$11&lt;A158,"","Triangle")</f>
        <v>Triangle</v>
      </c>
      <c r="D158" s="21"/>
      <c r="E158" s="21"/>
    </row>
    <row r="159" spans="1:5" x14ac:dyDescent="0.2">
      <c r="A159" s="21">
        <v>2</v>
      </c>
      <c r="B159" s="21" t="str">
        <f t="shared" ref="B159:B166" si="1">IF($D$11&lt;A159,"",IF($D$11=A159,"Triangle","Circle"))</f>
        <v>Circle</v>
      </c>
      <c r="C159" s="21" t="str">
        <f t="shared" si="0"/>
        <v>Triangle</v>
      </c>
      <c r="D159" s="21"/>
      <c r="E159" s="21"/>
    </row>
    <row r="160" spans="1:5" x14ac:dyDescent="0.2">
      <c r="A160" s="21">
        <v>3</v>
      </c>
      <c r="B160" s="21" t="str">
        <f t="shared" si="1"/>
        <v>Circle</v>
      </c>
      <c r="C160" s="21" t="str">
        <f t="shared" si="0"/>
        <v>Triangle</v>
      </c>
      <c r="D160" s="21"/>
      <c r="E160" s="21"/>
    </row>
    <row r="161" spans="1:5" x14ac:dyDescent="0.2">
      <c r="A161" s="21">
        <v>4</v>
      </c>
      <c r="B161" s="21" t="str">
        <f t="shared" si="1"/>
        <v>Circle</v>
      </c>
      <c r="C161" s="21" t="str">
        <f t="shared" si="0"/>
        <v>Triangle</v>
      </c>
      <c r="D161" s="21"/>
      <c r="E161" s="21"/>
    </row>
    <row r="162" spans="1:5" x14ac:dyDescent="0.2">
      <c r="A162" s="21">
        <v>5</v>
      </c>
      <c r="B162" s="21" t="str">
        <f t="shared" si="1"/>
        <v>Circle</v>
      </c>
      <c r="C162" s="21" t="str">
        <f t="shared" si="0"/>
        <v>Triangle</v>
      </c>
      <c r="D162" s="21"/>
      <c r="E162" s="21"/>
    </row>
    <row r="163" spans="1:5" x14ac:dyDescent="0.2">
      <c r="A163" s="21">
        <v>6</v>
      </c>
      <c r="B163" s="21" t="str">
        <f t="shared" si="1"/>
        <v>Circle</v>
      </c>
      <c r="C163" s="21" t="str">
        <f t="shared" si="0"/>
        <v>Triangle</v>
      </c>
      <c r="D163" s="21"/>
      <c r="E163" s="21"/>
    </row>
    <row r="164" spans="1:5" x14ac:dyDescent="0.2">
      <c r="A164" s="21">
        <v>7</v>
      </c>
      <c r="B164" s="21" t="str">
        <f t="shared" si="1"/>
        <v>Triangle</v>
      </c>
      <c r="C164" s="21" t="str">
        <f t="shared" si="0"/>
        <v>Triangle</v>
      </c>
      <c r="D164" s="21"/>
      <c r="E164" s="21"/>
    </row>
    <row r="165" spans="1:5" x14ac:dyDescent="0.2">
      <c r="A165" s="21">
        <v>8</v>
      </c>
      <c r="B165" s="21" t="str">
        <f t="shared" si="1"/>
        <v/>
      </c>
      <c r="C165" s="21" t="str">
        <f t="shared" si="0"/>
        <v/>
      </c>
      <c r="D165" s="21"/>
      <c r="E165" s="21"/>
    </row>
    <row r="166" spans="1:5" x14ac:dyDescent="0.2">
      <c r="A166" s="21">
        <v>9</v>
      </c>
      <c r="B166" s="21" t="str">
        <f t="shared" si="1"/>
        <v/>
      </c>
      <c r="C166" s="21" t="str">
        <f t="shared" si="0"/>
        <v/>
      </c>
      <c r="D166" s="21"/>
      <c r="E166" s="21"/>
    </row>
    <row r="168" spans="1:5" x14ac:dyDescent="0.2">
      <c r="A168" s="21"/>
      <c r="B168" s="21" t="s">
        <v>81</v>
      </c>
      <c r="C168" s="21" t="s">
        <v>69</v>
      </c>
    </row>
    <row r="169" spans="1:5" x14ac:dyDescent="0.2">
      <c r="A169" s="21" t="s">
        <v>82</v>
      </c>
      <c r="B169" s="21">
        <v>75</v>
      </c>
      <c r="C169" s="21">
        <v>375</v>
      </c>
    </row>
  </sheetData>
  <mergeCells count="33">
    <mergeCell ref="A55:H58"/>
    <mergeCell ref="A66:H66"/>
    <mergeCell ref="A69:H72"/>
    <mergeCell ref="A80:H80"/>
    <mergeCell ref="A83:H86"/>
    <mergeCell ref="A63:H63"/>
    <mergeCell ref="A77:H77"/>
    <mergeCell ref="A91:H91"/>
    <mergeCell ref="A105:H105"/>
    <mergeCell ref="A156:A157"/>
    <mergeCell ref="A122:H122"/>
    <mergeCell ref="A125:H128"/>
    <mergeCell ref="A136:H136"/>
    <mergeCell ref="A139:H142"/>
    <mergeCell ref="A119:H119"/>
    <mergeCell ref="A133:H133"/>
    <mergeCell ref="A94:H94"/>
    <mergeCell ref="A97:H100"/>
    <mergeCell ref="A108:H108"/>
    <mergeCell ref="A111:H114"/>
    <mergeCell ref="A52:H52"/>
    <mergeCell ref="B1:D1"/>
    <mergeCell ref="B2:D2"/>
    <mergeCell ref="C3:H3"/>
    <mergeCell ref="A41:H44"/>
    <mergeCell ref="D9:E9"/>
    <mergeCell ref="A27:H30"/>
    <mergeCell ref="A24:H24"/>
    <mergeCell ref="A38:H38"/>
    <mergeCell ref="A21:H21"/>
    <mergeCell ref="A35:H35"/>
    <mergeCell ref="A49:H49"/>
    <mergeCell ref="G9:H9"/>
  </mergeCells>
  <conditionalFormatting sqref="F9:H9">
    <cfRule type="expression" dxfId="1680" priority="67">
      <formula>$D$9="Seismic Hazard"</formula>
    </cfRule>
    <cfRule type="expression" dxfId="1679" priority="68">
      <formula>$D$9="Hydrologic Hazard"</formula>
    </cfRule>
  </conditionalFormatting>
  <conditionalFormatting sqref="A32:H45">
    <cfRule type="expression" dxfId="1678" priority="16" stopIfTrue="1">
      <formula>$D$11&lt;2</formula>
    </cfRule>
  </conditionalFormatting>
  <conditionalFormatting sqref="A110:H114 A138:H142 A40:H44 A54:H58 A68:H72 A82:H86 A96:H100 A124:H128 A26:H30">
    <cfRule type="expression" dxfId="1677" priority="2" stopIfTrue="1">
      <formula>$D$14="No"</formula>
    </cfRule>
  </conditionalFormatting>
  <conditionalFormatting sqref="A46:H59">
    <cfRule type="expression" dxfId="1676" priority="14" stopIfTrue="1">
      <formula>$D$11&lt;3</formula>
    </cfRule>
  </conditionalFormatting>
  <conditionalFormatting sqref="A60:H73">
    <cfRule type="expression" dxfId="1675" priority="12" stopIfTrue="1">
      <formula>$D$11&lt;4</formula>
    </cfRule>
  </conditionalFormatting>
  <conditionalFormatting sqref="A74:H87">
    <cfRule type="expression" dxfId="1674" priority="9" stopIfTrue="1">
      <formula>$D$11&lt;5</formula>
    </cfRule>
  </conditionalFormatting>
  <conditionalFormatting sqref="A88:H101">
    <cfRule type="expression" dxfId="1673" priority="7" stopIfTrue="1">
      <formula>$D$11&lt;6</formula>
    </cfRule>
  </conditionalFormatting>
  <conditionalFormatting sqref="A102:H115">
    <cfRule type="expression" dxfId="1672" priority="8" stopIfTrue="1">
      <formula>$D$11&lt;7</formula>
    </cfRule>
  </conditionalFormatting>
  <conditionalFormatting sqref="A116:H129">
    <cfRule type="expression" dxfId="1671" priority="3" stopIfTrue="1">
      <formula>$D$11&lt;8</formula>
    </cfRule>
  </conditionalFormatting>
  <conditionalFormatting sqref="A130:H143">
    <cfRule type="expression" dxfId="1670" priority="1" stopIfTrue="1">
      <formula>$D$11&lt;9</formula>
    </cfRule>
  </conditionalFormatting>
  <conditionalFormatting sqref="A20:H21 A34:H35 A48:H49 A62:H63 A76:H77 A90:H91 A104:H105 A118:H119 A132:H133">
    <cfRule type="expression" dxfId="1669" priority="22">
      <formula>$D$13="No"</formula>
    </cfRule>
  </conditionalFormatting>
  <conditionalFormatting sqref="A27:H30">
    <cfRule type="expression" dxfId="1668" priority="18" stopIfTrue="1">
      <formula>$D$11&lt;2</formula>
    </cfRule>
  </conditionalFormatting>
  <dataValidations count="3">
    <dataValidation type="list" allowBlank="1" showInputMessage="1" showErrorMessage="1" sqref="D11" xr:uid="{11CBF4A3-4ADB-48CF-A016-167A8F057629}">
      <formula1>$C$146:$C$154</formula1>
    </dataValidation>
    <dataValidation type="list" allowBlank="1" showInputMessage="1" showErrorMessage="1" sqref="D9:E9" xr:uid="{A1B3158B-AC72-43C1-B417-765C9D431084}">
      <formula1>$A$146:$A$148</formula1>
    </dataValidation>
    <dataValidation type="list" allowBlank="1" showInputMessage="1" showErrorMessage="1" sqref="D13:D14" xr:uid="{D0D72A24-EC89-4478-A7AC-24228165B458}">
      <formula1>$A$150:$A$151</formula1>
    </dataValidation>
  </dataValidations>
  <pageMargins left="0.7" right="0.7" top="0.75" bottom="0.75" header="0.3" footer="0.3"/>
  <pageSetup orientation="portrait" r:id="rId1"/>
  <headerFooter>
    <oddFooter>&amp;LRMC Event Tree Toolbox
&amp;A&amp;RVersion 3.0
Page &amp;P of &amp;N</oddFooter>
  </headerFooter>
  <rowBreaks count="2" manualBreakCount="2">
    <brk id="59" max="7" man="1"/>
    <brk id="115" max="7"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2780D-9654-4FD2-8EB5-D30F10260B4F}">
  <sheetPr codeName="Sheet06">
    <pageSetUpPr fitToPage="1"/>
  </sheetPr>
  <dimension ref="A1:CB137"/>
  <sheetViews>
    <sheetView showGridLines="0" tabSelected="1" topLeftCell="A7" zoomScaleNormal="100" workbookViewId="0">
      <selection activeCell="AM45" sqref="AM45"/>
    </sheetView>
  </sheetViews>
  <sheetFormatPr defaultColWidth="11.28515625" defaultRowHeight="15" customHeight="1" x14ac:dyDescent="0.2"/>
  <cols>
    <col min="1" max="79" width="3" style="15" customWidth="1"/>
    <col min="80" max="16384" width="11.28515625" style="15"/>
  </cols>
  <sheetData>
    <row r="1" spans="1:80" ht="15" customHeight="1" x14ac:dyDescent="0.2">
      <c r="A1" s="147" t="s">
        <v>39</v>
      </c>
      <c r="B1" s="147"/>
      <c r="C1" s="147"/>
      <c r="D1" s="147"/>
      <c r="E1" s="139"/>
      <c r="F1" s="139"/>
      <c r="G1" s="139"/>
      <c r="H1" s="139"/>
      <c r="I1" s="139"/>
      <c r="J1" s="139"/>
      <c r="K1" s="139"/>
      <c r="L1" s="139"/>
      <c r="M1" s="139"/>
      <c r="N1" s="139"/>
      <c r="O1" s="139"/>
      <c r="P1" s="139"/>
      <c r="Q1" s="139"/>
      <c r="R1" s="139"/>
      <c r="S1" s="139"/>
      <c r="T1" s="139"/>
      <c r="U1" s="139"/>
      <c r="V1" s="139"/>
      <c r="W1" s="139"/>
      <c r="X1" s="139"/>
      <c r="Y1" s="139"/>
      <c r="Z1" s="139"/>
      <c r="AA1" s="139"/>
      <c r="AB1" s="139"/>
      <c r="AC1" s="139"/>
      <c r="AD1" s="139"/>
      <c r="AE1" s="139"/>
      <c r="AF1" s="149" t="s">
        <v>40</v>
      </c>
      <c r="AG1" s="149"/>
      <c r="AH1" s="149"/>
      <c r="AI1" s="139"/>
      <c r="AJ1" s="139"/>
      <c r="AK1" s="139"/>
      <c r="AL1" s="139"/>
      <c r="AM1" s="139"/>
      <c r="AN1" s="139"/>
      <c r="AO1" s="139"/>
      <c r="AP1" s="139"/>
      <c r="AQ1" s="139"/>
      <c r="AR1" s="139"/>
      <c r="AS1" s="139"/>
      <c r="AT1" s="139"/>
      <c r="AU1" s="139"/>
      <c r="AV1" s="139"/>
      <c r="AW1" s="139"/>
      <c r="AX1" s="139"/>
      <c r="AY1" s="139"/>
      <c r="AZ1" s="139"/>
      <c r="BA1" s="139"/>
      <c r="BB1" s="139"/>
      <c r="BC1" s="139"/>
      <c r="BD1" s="149" t="s">
        <v>41</v>
      </c>
      <c r="BE1" s="149"/>
      <c r="BF1" s="139"/>
      <c r="BG1" s="139"/>
      <c r="BH1" s="139"/>
      <c r="BI1" s="139"/>
      <c r="BJ1" s="139"/>
      <c r="BK1" s="139"/>
      <c r="BL1" s="139"/>
      <c r="BM1" s="139"/>
      <c r="BN1" s="139"/>
      <c r="BO1" s="139"/>
      <c r="BP1" s="139"/>
      <c r="BQ1" s="139"/>
      <c r="BR1" s="139"/>
      <c r="BS1" s="139"/>
      <c r="BT1" s="139"/>
      <c r="BU1" s="139"/>
      <c r="BV1" s="139"/>
      <c r="BW1" s="139"/>
      <c r="BX1" s="139"/>
      <c r="BY1" s="139"/>
      <c r="BZ1" s="139"/>
      <c r="CA1" s="139"/>
    </row>
    <row r="2" spans="1:80" ht="15" customHeight="1" x14ac:dyDescent="0.2">
      <c r="A2" s="147" t="s">
        <v>42</v>
      </c>
      <c r="B2" s="147"/>
      <c r="C2" s="147"/>
      <c r="D2" s="147"/>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50"/>
      <c r="AE2" s="150"/>
      <c r="AF2" s="149" t="s">
        <v>40</v>
      </c>
      <c r="AG2" s="149"/>
      <c r="AH2" s="149"/>
      <c r="AI2" s="150"/>
      <c r="AJ2" s="150"/>
      <c r="AK2" s="150"/>
      <c r="AL2" s="150"/>
      <c r="AM2" s="150"/>
      <c r="AN2" s="150"/>
      <c r="AO2" s="150"/>
      <c r="AP2" s="150"/>
      <c r="AQ2" s="150"/>
      <c r="AR2" s="150"/>
      <c r="AS2" s="150"/>
      <c r="AT2" s="150"/>
      <c r="AU2" s="150"/>
      <c r="AV2" s="150"/>
      <c r="AW2" s="150"/>
      <c r="AX2" s="150"/>
      <c r="AY2" s="150"/>
      <c r="AZ2" s="150"/>
      <c r="BA2" s="150"/>
      <c r="BB2" s="150"/>
      <c r="BC2" s="150"/>
      <c r="BD2" s="149" t="s">
        <v>41</v>
      </c>
      <c r="BE2" s="149"/>
      <c r="BF2" s="150"/>
      <c r="BG2" s="150"/>
      <c r="BH2" s="150"/>
      <c r="BI2" s="150"/>
      <c r="BJ2" s="150"/>
      <c r="BK2" s="150"/>
      <c r="BL2" s="150"/>
      <c r="BM2" s="150"/>
      <c r="BN2" s="150"/>
      <c r="BO2" s="150"/>
      <c r="BP2" s="150"/>
      <c r="BQ2" s="150"/>
      <c r="BR2" s="150"/>
      <c r="BS2" s="150"/>
      <c r="BT2" s="150"/>
      <c r="BU2" s="150"/>
      <c r="BV2" s="150"/>
      <c r="BW2" s="150"/>
      <c r="BX2" s="150"/>
      <c r="BY2" s="150"/>
      <c r="BZ2" s="150"/>
      <c r="CA2" s="150"/>
    </row>
    <row r="3" spans="1:80" ht="15" customHeight="1" x14ac:dyDescent="0.2">
      <c r="A3" s="148" t="s">
        <v>43</v>
      </c>
      <c r="B3" s="148"/>
      <c r="C3" s="148"/>
      <c r="D3" s="148"/>
      <c r="E3" s="148"/>
      <c r="F3" s="140"/>
      <c r="G3" s="140"/>
      <c r="H3" s="140"/>
      <c r="I3" s="140"/>
      <c r="J3" s="140"/>
      <c r="K3" s="140"/>
      <c r="L3" s="140"/>
      <c r="M3" s="140"/>
      <c r="N3" s="140"/>
      <c r="O3" s="140"/>
      <c r="P3" s="140"/>
      <c r="Q3" s="140"/>
      <c r="R3" s="140"/>
      <c r="S3" s="140"/>
      <c r="T3" s="140"/>
      <c r="U3" s="140"/>
      <c r="V3" s="140"/>
      <c r="W3" s="140"/>
      <c r="X3" s="140"/>
      <c r="Y3" s="140"/>
      <c r="Z3" s="140"/>
      <c r="AA3" s="140"/>
      <c r="AB3" s="140"/>
      <c r="AC3" s="140"/>
      <c r="AD3" s="140"/>
      <c r="AE3" s="140"/>
      <c r="AF3" s="140"/>
      <c r="AG3" s="140"/>
      <c r="AH3" s="140"/>
      <c r="AI3" s="140"/>
      <c r="AJ3" s="140"/>
      <c r="AK3" s="140"/>
      <c r="AL3" s="140"/>
      <c r="AM3" s="140"/>
      <c r="AN3" s="140"/>
      <c r="AO3" s="140"/>
      <c r="AP3" s="140"/>
      <c r="AQ3" s="140"/>
      <c r="AR3" s="140"/>
      <c r="AS3" s="140"/>
      <c r="AT3" s="140"/>
      <c r="AU3" s="140"/>
      <c r="AV3" s="140"/>
      <c r="AW3" s="140"/>
      <c r="AX3" s="140"/>
      <c r="AY3" s="140"/>
      <c r="AZ3" s="140"/>
      <c r="BA3" s="140"/>
      <c r="BB3" s="140"/>
      <c r="BC3" s="140"/>
      <c r="BD3" s="140"/>
      <c r="BE3" s="140"/>
      <c r="BF3" s="140"/>
      <c r="BG3" s="140"/>
      <c r="BH3" s="140"/>
      <c r="BI3" s="140"/>
      <c r="BJ3" s="140"/>
      <c r="BK3" s="140"/>
      <c r="BL3" s="140"/>
      <c r="BM3" s="140"/>
      <c r="BN3" s="140"/>
      <c r="BO3" s="140"/>
      <c r="BP3" s="140"/>
      <c r="BQ3" s="140"/>
      <c r="BR3" s="140"/>
      <c r="BS3" s="140"/>
      <c r="BT3" s="140"/>
      <c r="BU3" s="140"/>
      <c r="BV3" s="140"/>
      <c r="BW3" s="140"/>
      <c r="BX3" s="140"/>
      <c r="BY3" s="140"/>
      <c r="BZ3" s="140"/>
      <c r="CA3" s="140"/>
    </row>
    <row r="4" spans="1:80" ht="15" customHeight="1" x14ac:dyDescent="0.2">
      <c r="A4" s="16"/>
      <c r="B4" s="16"/>
      <c r="C4" s="16"/>
      <c r="D4" s="16"/>
      <c r="E4" s="16"/>
      <c r="F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c r="BZ4" s="16"/>
      <c r="CA4" s="16"/>
    </row>
    <row r="5" spans="1:80" ht="15" customHeight="1" x14ac:dyDescent="0.2">
      <c r="A5" s="144" t="s">
        <v>56</v>
      </c>
      <c r="B5" s="144"/>
      <c r="C5" s="144"/>
      <c r="D5" s="144"/>
      <c r="E5" s="144"/>
      <c r="F5" s="144"/>
      <c r="G5" s="144"/>
      <c r="H5" s="144"/>
      <c r="I5" s="144"/>
      <c r="J5" s="144"/>
      <c r="K5" s="144"/>
      <c r="L5" s="144"/>
      <c r="M5" s="144"/>
      <c r="N5" s="144"/>
      <c r="O5" s="144"/>
      <c r="P5" s="144"/>
      <c r="Q5" s="144"/>
      <c r="R5" s="144"/>
      <c r="S5" s="144"/>
      <c r="T5" s="144"/>
      <c r="U5" s="144"/>
      <c r="V5" s="144"/>
      <c r="W5" s="144"/>
      <c r="X5" s="144"/>
      <c r="Y5" s="144"/>
      <c r="Z5" s="144"/>
      <c r="AA5" s="144"/>
      <c r="AB5" s="144"/>
      <c r="AC5" s="144"/>
      <c r="AD5" s="144"/>
      <c r="AE5" s="144"/>
      <c r="AF5" s="144"/>
      <c r="AG5" s="144"/>
      <c r="AH5" s="144"/>
      <c r="AI5" s="144"/>
      <c r="AJ5" s="144"/>
      <c r="AK5" s="144"/>
      <c r="AL5" s="144"/>
      <c r="AM5" s="144"/>
      <c r="AN5" s="144"/>
      <c r="AO5" s="144"/>
      <c r="AP5" s="144"/>
      <c r="AQ5" s="144"/>
      <c r="AR5" s="144"/>
      <c r="AS5" s="144"/>
      <c r="AT5" s="144"/>
      <c r="AU5" s="144"/>
      <c r="AV5" s="144"/>
      <c r="AW5" s="144"/>
      <c r="AX5" s="144"/>
      <c r="AY5" s="144"/>
      <c r="AZ5" s="144"/>
      <c r="BA5" s="144"/>
      <c r="BB5" s="144"/>
      <c r="BC5" s="144"/>
      <c r="BD5" s="144"/>
      <c r="BE5" s="144"/>
      <c r="BF5" s="144"/>
      <c r="BG5" s="144"/>
      <c r="BH5" s="144"/>
      <c r="BI5" s="144"/>
      <c r="BJ5" s="144"/>
      <c r="BK5" s="144"/>
      <c r="BL5" s="144"/>
      <c r="BM5" s="144"/>
      <c r="BN5" s="144"/>
      <c r="BO5" s="144"/>
      <c r="BP5" s="144"/>
      <c r="BQ5" s="144"/>
      <c r="BR5" s="144"/>
      <c r="BS5" s="144"/>
      <c r="BT5" s="144"/>
      <c r="BU5" s="144"/>
      <c r="BV5" s="144"/>
      <c r="BW5" s="144"/>
      <c r="BX5" s="144"/>
      <c r="BY5" s="144"/>
      <c r="BZ5" s="144"/>
      <c r="CA5" s="144"/>
    </row>
    <row r="6" spans="1:80" ht="15" customHeight="1" x14ac:dyDescent="0.2">
      <c r="A6" s="225"/>
      <c r="B6" s="225"/>
      <c r="C6" s="225"/>
      <c r="D6" s="225"/>
      <c r="E6" s="225"/>
      <c r="F6" s="225"/>
      <c r="G6" s="225"/>
      <c r="H6" s="226"/>
      <c r="I6" s="226"/>
      <c r="J6" s="226"/>
      <c r="K6" s="226"/>
      <c r="L6" s="226"/>
      <c r="M6" s="226"/>
      <c r="N6" s="226"/>
      <c r="O6" s="226"/>
      <c r="P6" s="226"/>
      <c r="Q6" s="226"/>
      <c r="R6" s="226"/>
      <c r="S6" s="226"/>
      <c r="T6" s="226"/>
      <c r="U6" s="226"/>
      <c r="V6" s="226"/>
      <c r="W6" s="226"/>
      <c r="X6" s="226"/>
      <c r="Y6" s="226"/>
      <c r="Z6" s="226"/>
      <c r="AA6" s="226"/>
      <c r="AB6" s="226"/>
      <c r="AC6" s="226"/>
      <c r="AD6" s="226"/>
      <c r="AE6" s="226"/>
      <c r="AF6" s="226"/>
      <c r="AG6" s="226"/>
      <c r="AH6" s="226"/>
      <c r="AI6" s="226"/>
      <c r="AJ6" s="226"/>
      <c r="AK6" s="226"/>
      <c r="AL6" s="226"/>
      <c r="AM6" s="226"/>
      <c r="AN6" s="226"/>
      <c r="AO6" s="226"/>
      <c r="AP6" s="226"/>
      <c r="AQ6" s="226"/>
      <c r="AR6" s="226"/>
      <c r="AS6" s="226"/>
      <c r="AT6" s="226"/>
      <c r="AU6" s="226"/>
      <c r="AV6" s="226"/>
      <c r="AW6" s="226"/>
      <c r="AX6" s="226"/>
      <c r="AY6" s="226"/>
      <c r="AZ6" s="226"/>
      <c r="BA6" s="226"/>
      <c r="BB6" s="226"/>
      <c r="BC6" s="226"/>
      <c r="BD6" s="226"/>
      <c r="BE6" s="226"/>
      <c r="BF6" s="226"/>
      <c r="BG6" s="226"/>
      <c r="BH6" s="226"/>
      <c r="BI6" s="226"/>
      <c r="BJ6" s="226"/>
      <c r="BK6" s="226"/>
      <c r="BL6" s="226"/>
      <c r="BM6" s="226"/>
      <c r="BN6" s="226"/>
      <c r="BO6" s="226"/>
      <c r="BP6" s="226"/>
      <c r="BQ6" s="226"/>
      <c r="BR6" s="226"/>
      <c r="BS6" s="226"/>
      <c r="BT6" s="226"/>
      <c r="BU6" s="226"/>
      <c r="BV6" s="226"/>
      <c r="BW6" s="226"/>
      <c r="BX6" s="226"/>
      <c r="BY6" s="226"/>
      <c r="BZ6" s="226"/>
      <c r="CA6" s="226"/>
    </row>
    <row r="7" spans="1:80" ht="15" customHeight="1" x14ac:dyDescent="0.2">
      <c r="A7" s="225"/>
      <c r="B7" s="225"/>
      <c r="C7" s="225"/>
      <c r="D7" s="225"/>
      <c r="E7" s="225"/>
      <c r="F7" s="225"/>
      <c r="G7" s="225"/>
      <c r="H7" s="226"/>
      <c r="I7" s="226"/>
      <c r="J7" s="226"/>
      <c r="K7" s="226"/>
      <c r="L7" s="226"/>
      <c r="M7" s="226"/>
      <c r="N7" s="226"/>
      <c r="O7" s="226"/>
      <c r="P7" s="226"/>
      <c r="Q7" s="226"/>
      <c r="R7" s="226"/>
      <c r="S7" s="226"/>
      <c r="T7" s="226"/>
      <c r="U7" s="226"/>
      <c r="V7" s="226"/>
      <c r="W7" s="226"/>
      <c r="X7" s="226"/>
      <c r="Y7" s="226"/>
      <c r="Z7" s="226"/>
      <c r="AA7" s="226"/>
      <c r="AB7" s="226"/>
      <c r="AC7" s="226"/>
      <c r="AD7" s="226"/>
      <c r="AE7" s="226"/>
      <c r="AF7" s="226"/>
      <c r="AG7" s="226"/>
      <c r="AH7" s="226"/>
      <c r="AI7" s="226"/>
      <c r="AJ7" s="227"/>
      <c r="AK7" s="227"/>
      <c r="AL7" s="227"/>
      <c r="AM7" s="227"/>
      <c r="AN7" s="227"/>
      <c r="AO7" s="227"/>
      <c r="AP7" s="227"/>
      <c r="AQ7" s="225"/>
      <c r="AR7" s="228"/>
      <c r="AS7" s="228"/>
      <c r="AT7" s="228"/>
      <c r="AU7" s="228"/>
      <c r="AV7" s="228"/>
      <c r="AW7" s="228"/>
      <c r="AX7" s="228"/>
      <c r="AY7" s="228"/>
      <c r="AZ7" s="228"/>
      <c r="BA7" s="228"/>
      <c r="BB7" s="228"/>
      <c r="BC7" s="228"/>
      <c r="BD7" s="228"/>
      <c r="BE7" s="228"/>
      <c r="BF7" s="228"/>
      <c r="BG7" s="228"/>
      <c r="BH7" s="228"/>
      <c r="BI7" s="228"/>
      <c r="BJ7" s="228"/>
      <c r="BK7" s="228"/>
      <c r="BL7" s="228"/>
      <c r="BM7" s="228"/>
      <c r="BN7" s="228"/>
      <c r="BO7" s="228"/>
      <c r="BP7" s="228"/>
      <c r="BQ7" s="228"/>
      <c r="BR7" s="228"/>
      <c r="BS7" s="228"/>
      <c r="BT7" s="228"/>
      <c r="BU7" s="228"/>
      <c r="BV7" s="228"/>
      <c r="BW7" s="228"/>
      <c r="BX7" s="228"/>
      <c r="BY7" s="228"/>
      <c r="BZ7" s="228"/>
      <c r="CA7" s="226"/>
      <c r="CB7" s="20" t="s">
        <v>80</v>
      </c>
    </row>
    <row r="8" spans="1:80" ht="15" customHeight="1" x14ac:dyDescent="0.2">
      <c r="A8" s="225"/>
      <c r="B8" s="225"/>
      <c r="C8" s="225"/>
      <c r="D8" s="225"/>
      <c r="E8" s="225"/>
      <c r="F8" s="225"/>
      <c r="G8" s="225"/>
      <c r="H8" s="226"/>
      <c r="I8" s="226"/>
      <c r="J8" s="226"/>
      <c r="K8" s="226"/>
      <c r="L8" s="226"/>
      <c r="M8" s="226"/>
      <c r="N8" s="226"/>
      <c r="O8" s="226"/>
      <c r="P8" s="226"/>
      <c r="Q8" s="226"/>
      <c r="R8" s="226"/>
      <c r="S8" s="226"/>
      <c r="T8" s="226"/>
      <c r="U8" s="226"/>
      <c r="V8" s="226"/>
      <c r="W8" s="226"/>
      <c r="X8" s="226"/>
      <c r="Y8" s="226"/>
      <c r="Z8" s="226"/>
      <c r="AA8" s="226"/>
      <c r="AB8" s="226"/>
      <c r="AC8" s="226"/>
      <c r="AD8" s="226"/>
      <c r="AE8" s="226"/>
      <c r="AF8" s="226"/>
      <c r="AG8" s="226"/>
      <c r="AH8" s="226"/>
      <c r="AI8" s="226"/>
      <c r="AJ8" s="227"/>
      <c r="AK8" s="227"/>
      <c r="AL8" s="227"/>
      <c r="AM8" s="227"/>
      <c r="AN8" s="227"/>
      <c r="AO8" s="227"/>
      <c r="AP8" s="227"/>
      <c r="AQ8" s="228"/>
      <c r="AR8" s="228"/>
      <c r="AS8" s="228"/>
      <c r="AT8" s="228"/>
      <c r="AU8" s="228"/>
      <c r="AV8" s="228"/>
      <c r="AW8" s="228"/>
      <c r="AX8" s="228"/>
      <c r="AY8" s="228"/>
      <c r="AZ8" s="228"/>
      <c r="BA8" s="228"/>
      <c r="BB8" s="228"/>
      <c r="BC8" s="228"/>
      <c r="BD8" s="228"/>
      <c r="BE8" s="228"/>
      <c r="BF8" s="228"/>
      <c r="BG8" s="228"/>
      <c r="BH8" s="228"/>
      <c r="BI8" s="228"/>
      <c r="BJ8" s="228"/>
      <c r="BK8" s="228"/>
      <c r="BL8" s="228"/>
      <c r="BM8" s="228"/>
      <c r="BN8" s="228"/>
      <c r="BO8" s="228"/>
      <c r="BP8" s="228"/>
      <c r="BQ8" s="228"/>
      <c r="BR8" s="228"/>
      <c r="BS8" s="228"/>
      <c r="BT8" s="228"/>
      <c r="BU8" s="228"/>
      <c r="BV8" s="228"/>
      <c r="BW8" s="228"/>
      <c r="BX8" s="228"/>
      <c r="BY8" s="228"/>
      <c r="BZ8" s="228"/>
      <c r="CA8" s="226"/>
    </row>
    <row r="9" spans="1:80" ht="15" customHeight="1" x14ac:dyDescent="0.2">
      <c r="A9" s="225"/>
      <c r="B9" s="225"/>
      <c r="C9" s="225"/>
      <c r="D9" s="225"/>
      <c r="E9" s="225"/>
      <c r="F9" s="225"/>
      <c r="G9" s="225"/>
      <c r="H9" s="226"/>
      <c r="I9" s="226"/>
      <c r="J9" s="226"/>
      <c r="K9" s="226"/>
      <c r="L9" s="226"/>
      <c r="M9" s="226"/>
      <c r="N9" s="226"/>
      <c r="O9" s="226"/>
      <c r="P9" s="226"/>
      <c r="Q9" s="226"/>
      <c r="R9" s="226"/>
      <c r="S9" s="226"/>
      <c r="T9" s="226"/>
      <c r="U9" s="226"/>
      <c r="V9" s="226"/>
      <c r="W9" s="226"/>
      <c r="X9" s="226"/>
      <c r="Y9" s="226"/>
      <c r="Z9" s="226"/>
      <c r="AA9" s="226"/>
      <c r="AB9" s="226"/>
      <c r="AC9" s="226"/>
      <c r="AD9" s="226"/>
      <c r="AE9" s="226"/>
      <c r="AF9" s="226"/>
      <c r="AG9" s="226"/>
      <c r="AH9" s="226"/>
      <c r="AI9" s="226"/>
      <c r="AJ9" s="227"/>
      <c r="AK9" s="227"/>
      <c r="AL9" s="227"/>
      <c r="AM9" s="227"/>
      <c r="AN9" s="227"/>
      <c r="AO9" s="227"/>
      <c r="AP9" s="227"/>
      <c r="AQ9" s="225"/>
      <c r="AR9" s="228"/>
      <c r="AS9" s="228"/>
      <c r="AT9" s="228"/>
      <c r="AU9" s="228"/>
      <c r="AV9" s="228"/>
      <c r="AW9" s="228"/>
      <c r="AX9" s="228"/>
      <c r="AY9" s="228"/>
      <c r="AZ9" s="228"/>
      <c r="BA9" s="228"/>
      <c r="BB9" s="228"/>
      <c r="BC9" s="228"/>
      <c r="BD9" s="228"/>
      <c r="BE9" s="228"/>
      <c r="BF9" s="228"/>
      <c r="BG9" s="228"/>
      <c r="BH9" s="228"/>
      <c r="BI9" s="228"/>
      <c r="BJ9" s="228"/>
      <c r="BK9" s="228"/>
      <c r="BL9" s="228"/>
      <c r="BM9" s="228"/>
      <c r="BN9" s="228"/>
      <c r="BO9" s="228"/>
      <c r="BP9" s="228"/>
      <c r="BQ9" s="228"/>
      <c r="BR9" s="228"/>
      <c r="BS9" s="228"/>
      <c r="BT9" s="229"/>
      <c r="BU9" s="229"/>
      <c r="BV9" s="229"/>
      <c r="BW9" s="229"/>
      <c r="BX9" s="229"/>
      <c r="BY9" s="229"/>
      <c r="BZ9" s="229"/>
      <c r="CA9" s="226"/>
      <c r="CB9" s="20" t="s">
        <v>87</v>
      </c>
    </row>
    <row r="10" spans="1:80" ht="15" customHeight="1" x14ac:dyDescent="0.2">
      <c r="A10" s="225"/>
      <c r="B10" s="225"/>
      <c r="C10" s="225"/>
      <c r="D10" s="225"/>
      <c r="E10" s="225"/>
      <c r="F10" s="225"/>
      <c r="G10" s="225"/>
      <c r="H10" s="226"/>
      <c r="I10" s="226"/>
      <c r="J10" s="226"/>
      <c r="K10" s="226"/>
      <c r="L10" s="226"/>
      <c r="M10" s="226"/>
      <c r="N10" s="226"/>
      <c r="O10" s="226"/>
      <c r="P10" s="226"/>
      <c r="Q10" s="226"/>
      <c r="R10" s="226"/>
      <c r="S10" s="226"/>
      <c r="T10" s="226"/>
      <c r="U10" s="226"/>
      <c r="V10" s="226"/>
      <c r="W10" s="226"/>
      <c r="X10" s="226"/>
      <c r="Y10" s="226"/>
      <c r="Z10" s="226"/>
      <c r="AA10" s="226"/>
      <c r="AB10" s="226"/>
      <c r="AC10" s="226"/>
      <c r="AD10" s="226"/>
      <c r="AE10" s="226"/>
      <c r="AF10" s="226"/>
      <c r="AG10" s="226"/>
      <c r="AH10" s="226"/>
      <c r="AI10" s="226"/>
      <c r="AJ10" s="227"/>
      <c r="AK10" s="227"/>
      <c r="AL10" s="227"/>
      <c r="AM10" s="227"/>
      <c r="AN10" s="227"/>
      <c r="AO10" s="227"/>
      <c r="AP10" s="227"/>
      <c r="AQ10" s="228"/>
      <c r="AR10" s="228"/>
      <c r="AS10" s="228"/>
      <c r="AT10" s="228"/>
      <c r="AU10" s="228"/>
      <c r="AV10" s="228"/>
      <c r="AW10" s="228"/>
      <c r="AX10" s="228"/>
      <c r="AY10" s="228"/>
      <c r="AZ10" s="228"/>
      <c r="BA10" s="228"/>
      <c r="BB10" s="228"/>
      <c r="BC10" s="228"/>
      <c r="BD10" s="228"/>
      <c r="BE10" s="228"/>
      <c r="BF10" s="228"/>
      <c r="BG10" s="228"/>
      <c r="BH10" s="228"/>
      <c r="BI10" s="228"/>
      <c r="BJ10" s="228"/>
      <c r="BK10" s="228"/>
      <c r="BL10" s="228"/>
      <c r="BM10" s="228"/>
      <c r="BN10" s="228"/>
      <c r="BO10" s="228"/>
      <c r="BP10" s="228"/>
      <c r="BQ10" s="228"/>
      <c r="BR10" s="228"/>
      <c r="BS10" s="228"/>
      <c r="BT10" s="229"/>
      <c r="BU10" s="229"/>
      <c r="BV10" s="229"/>
      <c r="BW10" s="229"/>
      <c r="BX10" s="229"/>
      <c r="BY10" s="229"/>
      <c r="BZ10" s="229"/>
      <c r="CA10" s="226"/>
    </row>
    <row r="11" spans="1:80" ht="15" customHeight="1" x14ac:dyDescent="0.2">
      <c r="A11" s="225"/>
      <c r="B11" s="225"/>
      <c r="C11" s="225"/>
      <c r="D11" s="225"/>
      <c r="E11" s="225"/>
      <c r="F11" s="225"/>
      <c r="G11" s="225"/>
      <c r="H11" s="226"/>
      <c r="I11" s="226"/>
      <c r="J11" s="226"/>
      <c r="K11" s="226"/>
      <c r="L11" s="226"/>
      <c r="M11" s="226"/>
      <c r="N11" s="226"/>
      <c r="O11" s="226"/>
      <c r="P11" s="226"/>
      <c r="Q11" s="226"/>
      <c r="R11" s="226"/>
      <c r="S11" s="226"/>
      <c r="T11" s="226"/>
      <c r="U11" s="226"/>
      <c r="V11" s="226"/>
      <c r="W11" s="226"/>
      <c r="X11" s="226"/>
      <c r="Y11" s="226"/>
      <c r="Z11" s="226"/>
      <c r="AA11" s="226"/>
      <c r="AB11" s="226"/>
      <c r="AC11" s="226"/>
      <c r="AD11" s="226"/>
      <c r="AE11" s="226"/>
      <c r="AF11" s="226"/>
      <c r="AG11" s="226"/>
      <c r="AH11" s="226"/>
      <c r="AI11" s="226"/>
      <c r="AJ11" s="227"/>
      <c r="AK11" s="227"/>
      <c r="AL11" s="227"/>
      <c r="AM11" s="227"/>
      <c r="AN11" s="227"/>
      <c r="AO11" s="227"/>
      <c r="AP11" s="227"/>
      <c r="AQ11" s="225"/>
      <c r="AR11" s="228"/>
      <c r="AS11" s="228"/>
      <c r="AT11" s="228"/>
      <c r="AU11" s="228"/>
      <c r="AV11" s="228"/>
      <c r="AW11" s="228"/>
      <c r="AX11" s="228"/>
      <c r="AY11" s="228"/>
      <c r="AZ11" s="228"/>
      <c r="BA11" s="228"/>
      <c r="BB11" s="228"/>
      <c r="BC11" s="228"/>
      <c r="BD11" s="228"/>
      <c r="BE11" s="227"/>
      <c r="BF11" s="227"/>
      <c r="BG11" s="227"/>
      <c r="BH11" s="228"/>
      <c r="BI11" s="228"/>
      <c r="BJ11" s="228"/>
      <c r="BK11" s="228"/>
      <c r="BL11" s="228"/>
      <c r="BM11" s="228"/>
      <c r="BN11" s="228"/>
      <c r="BO11" s="228"/>
      <c r="BP11" s="228"/>
      <c r="BQ11" s="228"/>
      <c r="BR11" s="228"/>
      <c r="BS11" s="228"/>
      <c r="BT11" s="228"/>
      <c r="BU11" s="228"/>
      <c r="BV11" s="228"/>
      <c r="BW11" s="228"/>
      <c r="BX11" s="228"/>
      <c r="BY11" s="228"/>
      <c r="BZ11" s="226"/>
      <c r="CA11" s="226"/>
      <c r="CB11" s="20" t="s">
        <v>86</v>
      </c>
    </row>
    <row r="12" spans="1:80" ht="15" customHeight="1" x14ac:dyDescent="0.2">
      <c r="A12" s="225"/>
      <c r="B12" s="225"/>
      <c r="C12" s="225"/>
      <c r="D12" s="225"/>
      <c r="E12" s="225"/>
      <c r="F12" s="225"/>
      <c r="G12" s="225"/>
      <c r="H12" s="225"/>
      <c r="I12" s="225"/>
      <c r="J12" s="225"/>
      <c r="K12" s="225"/>
      <c r="L12" s="230"/>
      <c r="M12" s="230"/>
      <c r="N12" s="230"/>
      <c r="O12" s="230"/>
      <c r="P12" s="230"/>
      <c r="Q12" s="230"/>
      <c r="R12" s="230"/>
      <c r="S12" s="230"/>
      <c r="T12" s="230"/>
      <c r="U12" s="230"/>
      <c r="V12" s="230"/>
      <c r="W12" s="230"/>
      <c r="X12" s="230"/>
      <c r="Y12" s="230"/>
      <c r="Z12" s="230"/>
      <c r="AA12" s="230"/>
      <c r="AB12" s="230"/>
      <c r="AC12" s="230"/>
      <c r="AD12" s="230"/>
      <c r="AE12" s="230"/>
      <c r="AF12" s="230"/>
      <c r="AG12" s="230"/>
      <c r="AH12" s="230"/>
      <c r="AI12" s="230"/>
      <c r="AJ12" s="230"/>
      <c r="AK12" s="230"/>
      <c r="AL12" s="230"/>
      <c r="AM12" s="230"/>
      <c r="AN12" s="230"/>
      <c r="AO12" s="230"/>
      <c r="AP12" s="230"/>
      <c r="AQ12" s="228"/>
      <c r="AR12" s="228"/>
      <c r="AS12" s="228"/>
      <c r="AT12" s="228"/>
      <c r="AU12" s="228"/>
      <c r="AV12" s="228"/>
      <c r="AW12" s="228"/>
      <c r="AX12" s="228"/>
      <c r="AY12" s="228"/>
      <c r="AZ12" s="228"/>
      <c r="BA12" s="228"/>
      <c r="BB12" s="228"/>
      <c r="BC12" s="228"/>
      <c r="BD12" s="228"/>
      <c r="BE12" s="228"/>
      <c r="BF12" s="228"/>
      <c r="BG12" s="228"/>
      <c r="BH12" s="228"/>
      <c r="BI12" s="228"/>
      <c r="BJ12" s="228"/>
      <c r="BK12" s="228"/>
      <c r="BL12" s="228"/>
      <c r="BM12" s="229"/>
      <c r="BN12" s="229"/>
      <c r="BO12" s="229"/>
      <c r="BP12" s="229"/>
      <c r="BQ12" s="229"/>
      <c r="BR12" s="229"/>
      <c r="BS12" s="229"/>
      <c r="BT12" s="225"/>
      <c r="BU12" s="225"/>
      <c r="BV12" s="225"/>
      <c r="BW12" s="225"/>
      <c r="BX12" s="225"/>
      <c r="BY12" s="225"/>
      <c r="BZ12" s="225"/>
      <c r="CA12" s="225"/>
    </row>
    <row r="13" spans="1:80" ht="15" customHeight="1" x14ac:dyDescent="0.2">
      <c r="A13" s="225"/>
      <c r="B13" s="225"/>
      <c r="C13" s="225"/>
      <c r="D13" s="225"/>
      <c r="E13" s="225"/>
      <c r="F13" s="225"/>
      <c r="G13" s="225"/>
      <c r="H13" s="225"/>
      <c r="I13" s="225"/>
      <c r="J13" s="225"/>
      <c r="K13" s="225"/>
      <c r="L13" s="230"/>
      <c r="M13" s="230"/>
      <c r="N13" s="230"/>
      <c r="O13" s="230"/>
      <c r="P13" s="225"/>
      <c r="Q13" s="225"/>
      <c r="R13" s="230"/>
      <c r="S13" s="230"/>
      <c r="T13" s="230"/>
      <c r="U13" s="230"/>
      <c r="V13" s="230"/>
      <c r="W13" s="230"/>
      <c r="X13" s="230"/>
      <c r="Y13" s="230"/>
      <c r="Z13" s="230"/>
      <c r="AA13" s="230"/>
      <c r="AB13" s="230"/>
      <c r="AC13" s="230"/>
      <c r="AD13" s="230"/>
      <c r="AE13" s="230"/>
      <c r="AF13" s="230"/>
      <c r="AG13" s="230"/>
      <c r="AH13" s="230"/>
      <c r="AI13" s="230"/>
      <c r="AJ13" s="230"/>
      <c r="AK13" s="230"/>
      <c r="AL13" s="230"/>
      <c r="AM13" s="230"/>
      <c r="AN13" s="230"/>
      <c r="AO13" s="230"/>
      <c r="AP13" s="230"/>
      <c r="AQ13" s="228"/>
      <c r="AR13" s="228"/>
      <c r="AS13" s="228"/>
      <c r="AT13" s="228"/>
      <c r="AU13" s="228"/>
      <c r="AV13" s="228"/>
      <c r="AW13" s="228"/>
      <c r="AX13" s="228"/>
      <c r="AY13" s="228"/>
      <c r="AZ13" s="228"/>
      <c r="BA13" s="228"/>
      <c r="BB13" s="228"/>
      <c r="BC13" s="228"/>
      <c r="BD13" s="228"/>
      <c r="BE13" s="228"/>
      <c r="BF13" s="228"/>
      <c r="BG13" s="228"/>
      <c r="BH13" s="228"/>
      <c r="BI13" s="228"/>
      <c r="BJ13" s="228"/>
      <c r="BK13" s="228"/>
      <c r="BL13" s="228"/>
      <c r="BM13" s="229"/>
      <c r="BN13" s="229"/>
      <c r="BO13" s="229"/>
      <c r="BP13" s="229"/>
      <c r="BQ13" s="229"/>
      <c r="BR13" s="229"/>
      <c r="BS13" s="229"/>
      <c r="BT13" s="231"/>
      <c r="BU13" s="232"/>
      <c r="BV13" s="232"/>
      <c r="BW13" s="232"/>
      <c r="BX13" s="232"/>
      <c r="BY13" s="232"/>
      <c r="BZ13" s="232"/>
      <c r="CA13" s="225"/>
    </row>
    <row r="14" spans="1:80" ht="15" customHeight="1" x14ac:dyDescent="0.2">
      <c r="A14" s="225"/>
      <c r="B14" s="225"/>
      <c r="C14" s="225"/>
      <c r="D14" s="225"/>
      <c r="E14" s="225"/>
      <c r="F14" s="225"/>
      <c r="G14" s="225"/>
      <c r="H14" s="225"/>
      <c r="I14" s="225"/>
      <c r="J14" s="225"/>
      <c r="K14" s="225"/>
      <c r="L14" s="230"/>
      <c r="M14" s="230"/>
      <c r="N14" s="230"/>
      <c r="O14" s="230"/>
      <c r="P14" s="230"/>
      <c r="Q14" s="230"/>
      <c r="R14" s="230"/>
      <c r="S14" s="230"/>
      <c r="T14" s="230"/>
      <c r="U14" s="230"/>
      <c r="V14" s="230"/>
      <c r="W14" s="230"/>
      <c r="X14" s="230"/>
      <c r="Y14" s="230"/>
      <c r="Z14" s="230"/>
      <c r="AA14" s="230"/>
      <c r="AB14" s="230"/>
      <c r="AC14" s="230"/>
      <c r="AD14" s="230"/>
      <c r="AE14" s="230"/>
      <c r="AF14" s="230"/>
      <c r="AG14" s="230"/>
      <c r="AH14" s="230"/>
      <c r="AI14" s="230"/>
      <c r="AJ14" s="230"/>
      <c r="AK14" s="230"/>
      <c r="AL14" s="230"/>
      <c r="AM14" s="230"/>
      <c r="AN14" s="230"/>
      <c r="AO14" s="230"/>
      <c r="AP14" s="230"/>
      <c r="AQ14" s="228"/>
      <c r="AR14" s="228"/>
      <c r="AS14" s="228"/>
      <c r="AT14" s="228"/>
      <c r="AU14" s="228"/>
      <c r="AV14" s="228"/>
      <c r="AW14" s="228"/>
      <c r="AX14" s="228"/>
      <c r="AY14" s="228"/>
      <c r="AZ14" s="228"/>
      <c r="BA14" s="228"/>
      <c r="BB14" s="228"/>
      <c r="BC14" s="228"/>
      <c r="BD14" s="228"/>
      <c r="BE14" s="228"/>
      <c r="BF14" s="228"/>
      <c r="BG14" s="228"/>
      <c r="BH14" s="228"/>
      <c r="BI14" s="228"/>
      <c r="BJ14" s="228"/>
      <c r="BK14" s="228"/>
      <c r="BL14" s="228"/>
      <c r="BM14" s="228"/>
      <c r="BN14" s="228"/>
      <c r="BO14" s="228"/>
      <c r="BP14" s="228"/>
      <c r="BQ14" s="228"/>
      <c r="BR14" s="228"/>
      <c r="BS14" s="225"/>
      <c r="BT14" s="233"/>
      <c r="BU14" s="234"/>
      <c r="BV14" s="234"/>
      <c r="BW14" s="234"/>
      <c r="BX14" s="234"/>
      <c r="BY14" s="234"/>
      <c r="BZ14" s="234"/>
      <c r="CA14" s="225"/>
    </row>
    <row r="15" spans="1:80" ht="15" customHeight="1" x14ac:dyDescent="0.2">
      <c r="A15" s="225"/>
      <c r="B15" s="225"/>
      <c r="C15" s="225"/>
      <c r="D15" s="225"/>
      <c r="E15" s="225"/>
      <c r="F15" s="225"/>
      <c r="G15" s="225"/>
      <c r="H15" s="225"/>
      <c r="I15" s="225"/>
      <c r="J15" s="225"/>
      <c r="K15" s="225"/>
      <c r="L15" s="230"/>
      <c r="M15" s="230"/>
      <c r="N15" s="230"/>
      <c r="O15" s="230"/>
      <c r="P15" s="230"/>
      <c r="Q15" s="230"/>
      <c r="R15" s="230"/>
      <c r="S15" s="230"/>
      <c r="T15" s="230"/>
      <c r="U15" s="230"/>
      <c r="V15" s="230"/>
      <c r="W15" s="230"/>
      <c r="X15" s="230"/>
      <c r="Y15" s="230"/>
      <c r="Z15" s="230"/>
      <c r="AA15" s="230"/>
      <c r="AB15" s="230"/>
      <c r="AC15" s="230"/>
      <c r="AD15" s="230"/>
      <c r="AE15" s="230"/>
      <c r="AF15" s="230"/>
      <c r="AG15" s="230"/>
      <c r="AH15" s="230"/>
      <c r="AI15" s="230"/>
      <c r="AJ15" s="230"/>
      <c r="AK15" s="230"/>
      <c r="AL15" s="230"/>
      <c r="AM15" s="230"/>
      <c r="AN15" s="230"/>
      <c r="AO15" s="230"/>
      <c r="AP15" s="230"/>
      <c r="AQ15" s="228"/>
      <c r="AR15" s="228"/>
      <c r="AS15" s="228"/>
      <c r="AT15" s="228"/>
      <c r="AU15" s="228"/>
      <c r="AV15" s="228"/>
      <c r="AW15" s="228"/>
      <c r="AX15" s="228"/>
      <c r="AY15" s="228"/>
      <c r="AZ15" s="228"/>
      <c r="BA15" s="228"/>
      <c r="BB15" s="228"/>
      <c r="BC15" s="228"/>
      <c r="BD15" s="228"/>
      <c r="BE15" s="228"/>
      <c r="BF15" s="229"/>
      <c r="BG15" s="229"/>
      <c r="BH15" s="229"/>
      <c r="BI15" s="229"/>
      <c r="BJ15" s="229"/>
      <c r="BK15" s="229"/>
      <c r="BL15" s="229"/>
      <c r="BM15" s="225"/>
      <c r="BN15" s="225"/>
      <c r="BO15" s="225"/>
      <c r="BP15" s="225"/>
      <c r="BQ15" s="225"/>
      <c r="BR15" s="225"/>
      <c r="BS15" s="225"/>
      <c r="BT15" s="233"/>
      <c r="BU15" s="234"/>
      <c r="BV15" s="234"/>
      <c r="BW15" s="234"/>
      <c r="BX15" s="234"/>
      <c r="BY15" s="234"/>
      <c r="BZ15" s="234"/>
      <c r="CA15" s="225"/>
    </row>
    <row r="16" spans="1:80" ht="15" customHeight="1" x14ac:dyDescent="0.2">
      <c r="A16" s="225"/>
      <c r="B16" s="225"/>
      <c r="C16" s="225"/>
      <c r="D16" s="225"/>
      <c r="E16" s="225"/>
      <c r="F16" s="225"/>
      <c r="G16" s="225"/>
      <c r="H16" s="225"/>
      <c r="I16" s="225"/>
      <c r="J16" s="235"/>
      <c r="K16" s="235"/>
      <c r="L16" s="235"/>
      <c r="M16" s="235"/>
      <c r="N16" s="235"/>
      <c r="O16" s="235"/>
      <c r="P16" s="230"/>
      <c r="Q16" s="230"/>
      <c r="R16" s="230"/>
      <c r="S16" s="230"/>
      <c r="T16" s="230"/>
      <c r="U16" s="230"/>
      <c r="V16" s="230"/>
      <c r="W16" s="230"/>
      <c r="X16" s="230"/>
      <c r="Y16" s="230"/>
      <c r="Z16" s="230"/>
      <c r="AA16" s="230"/>
      <c r="AB16" s="230"/>
      <c r="AC16" s="230"/>
      <c r="AD16" s="230"/>
      <c r="AE16" s="230"/>
      <c r="AF16" s="230"/>
      <c r="AG16" s="230"/>
      <c r="AH16" s="230"/>
      <c r="AI16" s="230"/>
      <c r="AJ16" s="230"/>
      <c r="AK16" s="230"/>
      <c r="AL16" s="230"/>
      <c r="AM16" s="230"/>
      <c r="AN16" s="230"/>
      <c r="AO16" s="230"/>
      <c r="AP16" s="230"/>
      <c r="AQ16" s="228"/>
      <c r="AR16" s="228"/>
      <c r="AS16" s="228"/>
      <c r="AT16" s="228"/>
      <c r="AU16" s="228"/>
      <c r="AV16" s="228"/>
      <c r="AW16" s="228"/>
      <c r="AX16" s="225"/>
      <c r="AY16" s="228"/>
      <c r="AZ16" s="228"/>
      <c r="BA16" s="228"/>
      <c r="BB16" s="228"/>
      <c r="BC16" s="228"/>
      <c r="BD16" s="228"/>
      <c r="BE16" s="228"/>
      <c r="BF16" s="229"/>
      <c r="BG16" s="229"/>
      <c r="BH16" s="229"/>
      <c r="BI16" s="229"/>
      <c r="BJ16" s="229"/>
      <c r="BK16" s="229"/>
      <c r="BL16" s="229"/>
      <c r="BM16" s="231"/>
      <c r="BN16" s="232"/>
      <c r="BO16" s="232"/>
      <c r="BP16" s="232"/>
      <c r="BQ16" s="232"/>
      <c r="BR16" s="232"/>
      <c r="BS16" s="232"/>
      <c r="BT16" s="233"/>
      <c r="BU16" s="234"/>
      <c r="BV16" s="234"/>
      <c r="BW16" s="234"/>
      <c r="BX16" s="234"/>
      <c r="BY16" s="234"/>
      <c r="BZ16" s="234"/>
      <c r="CA16" s="225"/>
    </row>
    <row r="17" spans="1:79" ht="15" customHeight="1" x14ac:dyDescent="0.2">
      <c r="A17" s="225"/>
      <c r="B17" s="225"/>
      <c r="C17" s="225"/>
      <c r="D17" s="225"/>
      <c r="E17" s="225"/>
      <c r="F17" s="225"/>
      <c r="G17" s="225"/>
      <c r="H17" s="225"/>
      <c r="I17" s="225"/>
      <c r="J17" s="235"/>
      <c r="K17" s="235"/>
      <c r="L17" s="235"/>
      <c r="M17" s="235"/>
      <c r="N17" s="235"/>
      <c r="O17" s="235"/>
      <c r="P17" s="230"/>
      <c r="Q17" s="230"/>
      <c r="R17" s="230"/>
      <c r="S17" s="230"/>
      <c r="T17" s="230"/>
      <c r="U17" s="230"/>
      <c r="V17" s="230"/>
      <c r="W17" s="230"/>
      <c r="X17" s="230"/>
      <c r="Y17" s="230"/>
      <c r="Z17" s="230"/>
      <c r="AA17" s="230"/>
      <c r="AB17" s="230"/>
      <c r="AC17" s="230"/>
      <c r="AD17" s="230"/>
      <c r="AE17" s="230"/>
      <c r="AF17" s="230"/>
      <c r="AG17" s="230"/>
      <c r="AH17" s="230"/>
      <c r="AI17" s="230"/>
      <c r="AJ17" s="230"/>
      <c r="AK17" s="230"/>
      <c r="AL17" s="230"/>
      <c r="AM17" s="230"/>
      <c r="AN17" s="230"/>
      <c r="AO17" s="230"/>
      <c r="AP17" s="230"/>
      <c r="AQ17" s="228"/>
      <c r="AR17" s="228"/>
      <c r="AS17" s="228"/>
      <c r="AT17" s="228"/>
      <c r="AU17" s="228"/>
      <c r="AV17" s="228"/>
      <c r="AW17" s="228"/>
      <c r="AX17" s="228"/>
      <c r="AY17" s="228"/>
      <c r="AZ17" s="228"/>
      <c r="BA17" s="228"/>
      <c r="BB17" s="228"/>
      <c r="BC17" s="228"/>
      <c r="BD17" s="228"/>
      <c r="BE17" s="228"/>
      <c r="BF17" s="228"/>
      <c r="BG17" s="228"/>
      <c r="BH17" s="228"/>
      <c r="BI17" s="228"/>
      <c r="BJ17" s="228"/>
      <c r="BK17" s="228"/>
      <c r="BL17" s="225"/>
      <c r="BM17" s="233"/>
      <c r="BN17" s="234"/>
      <c r="BO17" s="234"/>
      <c r="BP17" s="234"/>
      <c r="BQ17" s="234"/>
      <c r="BR17" s="234"/>
      <c r="BS17" s="234"/>
      <c r="BT17" s="233"/>
      <c r="BU17" s="234"/>
      <c r="BV17" s="234"/>
      <c r="BW17" s="234"/>
      <c r="BX17" s="234"/>
      <c r="BY17" s="234"/>
      <c r="BZ17" s="234"/>
      <c r="CA17" s="225"/>
    </row>
    <row r="18" spans="1:79" ht="15" customHeight="1" x14ac:dyDescent="0.2">
      <c r="A18" s="225"/>
      <c r="B18" s="225"/>
      <c r="C18" s="225"/>
      <c r="D18" s="225"/>
      <c r="E18" s="225"/>
      <c r="F18" s="225"/>
      <c r="G18" s="225"/>
      <c r="H18" s="225"/>
      <c r="I18" s="225"/>
      <c r="J18" s="235"/>
      <c r="K18" s="235"/>
      <c r="L18" s="235"/>
      <c r="M18" s="235"/>
      <c r="N18" s="235"/>
      <c r="O18" s="235"/>
      <c r="P18" s="230"/>
      <c r="Q18" s="230"/>
      <c r="R18" s="230"/>
      <c r="S18" s="230"/>
      <c r="T18" s="230"/>
      <c r="U18" s="230"/>
      <c r="V18" s="230"/>
      <c r="W18" s="230"/>
      <c r="X18" s="230"/>
      <c r="Y18" s="230"/>
      <c r="Z18" s="230"/>
      <c r="AA18" s="230"/>
      <c r="AB18" s="230"/>
      <c r="AC18" s="230"/>
      <c r="AD18" s="230"/>
      <c r="AE18" s="230"/>
      <c r="AF18" s="230"/>
      <c r="AG18" s="230"/>
      <c r="AH18" s="230"/>
      <c r="AI18" s="230"/>
      <c r="AJ18" s="230"/>
      <c r="AK18" s="230"/>
      <c r="AL18" s="230"/>
      <c r="AM18" s="230"/>
      <c r="AN18" s="230"/>
      <c r="AO18" s="230"/>
      <c r="AP18" s="230"/>
      <c r="AQ18" s="228"/>
      <c r="AR18" s="228"/>
      <c r="AS18" s="228"/>
      <c r="AT18" s="228"/>
      <c r="AU18" s="228"/>
      <c r="AV18" s="228"/>
      <c r="AW18" s="228"/>
      <c r="AX18" s="228"/>
      <c r="AY18" s="228"/>
      <c r="AZ18" s="228"/>
      <c r="BA18" s="228"/>
      <c r="BB18" s="228"/>
      <c r="BC18" s="228"/>
      <c r="BD18" s="228"/>
      <c r="BE18" s="228"/>
      <c r="BF18" s="225"/>
      <c r="BG18" s="225"/>
      <c r="BH18" s="225"/>
      <c r="BI18" s="225"/>
      <c r="BJ18" s="225"/>
      <c r="BK18" s="225"/>
      <c r="BL18" s="225"/>
      <c r="BM18" s="233"/>
      <c r="BN18" s="234"/>
      <c r="BO18" s="234"/>
      <c r="BP18" s="234"/>
      <c r="BQ18" s="234"/>
      <c r="BR18" s="234"/>
      <c r="BS18" s="234"/>
      <c r="BT18" s="236"/>
      <c r="BU18" s="237"/>
      <c r="BV18" s="237"/>
      <c r="BW18" s="237"/>
      <c r="BX18" s="237"/>
      <c r="BY18" s="237"/>
      <c r="BZ18" s="237"/>
      <c r="CA18" s="225"/>
    </row>
    <row r="19" spans="1:79" ht="15" customHeight="1" x14ac:dyDescent="0.2">
      <c r="A19" s="225"/>
      <c r="B19" s="225"/>
      <c r="C19" s="225"/>
      <c r="D19" s="225"/>
      <c r="E19" s="225"/>
      <c r="F19" s="225"/>
      <c r="G19" s="225"/>
      <c r="H19" s="225"/>
      <c r="I19" s="225"/>
      <c r="J19" s="235"/>
      <c r="K19" s="225"/>
      <c r="L19" s="230"/>
      <c r="M19" s="230"/>
      <c r="N19" s="230"/>
      <c r="O19" s="230"/>
      <c r="P19" s="230"/>
      <c r="Q19" s="230"/>
      <c r="R19" s="230"/>
      <c r="S19" s="230"/>
      <c r="T19" s="230"/>
      <c r="U19" s="230"/>
      <c r="V19" s="230"/>
      <c r="W19" s="230"/>
      <c r="X19" s="230"/>
      <c r="Y19" s="230"/>
      <c r="Z19" s="230"/>
      <c r="AA19" s="230"/>
      <c r="AB19" s="230"/>
      <c r="AC19" s="230"/>
      <c r="AD19" s="230"/>
      <c r="AE19" s="230"/>
      <c r="AF19" s="230"/>
      <c r="AG19" s="230"/>
      <c r="AH19" s="230"/>
      <c r="AI19" s="230"/>
      <c r="AJ19" s="230"/>
      <c r="AK19" s="230"/>
      <c r="AL19" s="230"/>
      <c r="AM19" s="230"/>
      <c r="AN19" s="230"/>
      <c r="AO19" s="230"/>
      <c r="AP19" s="230"/>
      <c r="AQ19" s="228"/>
      <c r="AR19" s="228"/>
      <c r="AS19" s="228"/>
      <c r="AT19" s="228"/>
      <c r="AU19" s="228"/>
      <c r="AV19" s="228"/>
      <c r="AW19" s="228"/>
      <c r="AX19" s="228"/>
      <c r="AY19" s="228"/>
      <c r="AZ19" s="228"/>
      <c r="BA19" s="228"/>
      <c r="BB19" s="228"/>
      <c r="BC19" s="228"/>
      <c r="BD19" s="228"/>
      <c r="BE19" s="228"/>
      <c r="BF19" s="231"/>
      <c r="BG19" s="232"/>
      <c r="BH19" s="232"/>
      <c r="BI19" s="232"/>
      <c r="BJ19" s="232"/>
      <c r="BK19" s="232"/>
      <c r="BL19" s="232"/>
      <c r="BM19" s="233"/>
      <c r="BN19" s="234"/>
      <c r="BO19" s="234"/>
      <c r="BP19" s="234"/>
      <c r="BQ19" s="234"/>
      <c r="BR19" s="234"/>
      <c r="BS19" s="234"/>
      <c r="BT19" s="225"/>
      <c r="BU19" s="225"/>
      <c r="BV19" s="225"/>
      <c r="BW19" s="225"/>
      <c r="BX19" s="225"/>
      <c r="BY19" s="225"/>
      <c r="BZ19" s="225"/>
      <c r="CA19" s="225"/>
    </row>
    <row r="20" spans="1:79" ht="15" customHeight="1" x14ac:dyDescent="0.2">
      <c r="A20" s="225"/>
      <c r="B20" s="225"/>
      <c r="C20" s="225"/>
      <c r="D20" s="225"/>
      <c r="E20" s="225"/>
      <c r="F20" s="225"/>
      <c r="G20" s="225"/>
      <c r="H20" s="225"/>
      <c r="I20" s="225"/>
      <c r="J20" s="235"/>
      <c r="K20" s="230"/>
      <c r="L20" s="230"/>
      <c r="M20" s="230"/>
      <c r="N20" s="230"/>
      <c r="O20" s="230"/>
      <c r="P20" s="230"/>
      <c r="Q20" s="230"/>
      <c r="R20" s="230"/>
      <c r="S20" s="230"/>
      <c r="T20" s="230"/>
      <c r="U20" s="230"/>
      <c r="V20" s="230"/>
      <c r="W20" s="230"/>
      <c r="X20" s="230"/>
      <c r="Y20" s="230"/>
      <c r="Z20" s="230"/>
      <c r="AA20" s="230"/>
      <c r="AB20" s="230"/>
      <c r="AC20" s="230"/>
      <c r="AD20" s="230"/>
      <c r="AE20" s="230"/>
      <c r="AF20" s="230"/>
      <c r="AG20" s="230"/>
      <c r="AH20" s="230"/>
      <c r="AI20" s="230"/>
      <c r="AJ20" s="230"/>
      <c r="AK20" s="230"/>
      <c r="AL20" s="230"/>
      <c r="AM20" s="230"/>
      <c r="AN20" s="230"/>
      <c r="AO20" s="230"/>
      <c r="AP20" s="230"/>
      <c r="AQ20" s="230"/>
      <c r="AR20" s="230"/>
      <c r="AS20" s="230"/>
      <c r="AT20" s="230"/>
      <c r="AU20" s="230"/>
      <c r="AV20" s="230"/>
      <c r="AW20" s="230"/>
      <c r="AX20" s="230"/>
      <c r="AY20" s="230"/>
      <c r="AZ20" s="230"/>
      <c r="BA20" s="230"/>
      <c r="BB20" s="230"/>
      <c r="BC20" s="230"/>
      <c r="BD20" s="225"/>
      <c r="BE20" s="225"/>
      <c r="BF20" s="233"/>
      <c r="BG20" s="234"/>
      <c r="BH20" s="234"/>
      <c r="BI20" s="234"/>
      <c r="BJ20" s="234"/>
      <c r="BK20" s="234"/>
      <c r="BL20" s="234"/>
      <c r="BM20" s="233"/>
      <c r="BN20" s="234"/>
      <c r="BO20" s="234"/>
      <c r="BP20" s="234"/>
      <c r="BQ20" s="234"/>
      <c r="BR20" s="234"/>
      <c r="BS20" s="234"/>
      <c r="BT20" s="225"/>
      <c r="BU20" s="225"/>
      <c r="BV20" s="225"/>
      <c r="BW20" s="225"/>
      <c r="BX20" s="225"/>
      <c r="BY20" s="225"/>
      <c r="BZ20" s="225"/>
      <c r="CA20" s="225"/>
    </row>
    <row r="21" spans="1:79" ht="15" customHeight="1" x14ac:dyDescent="0.2">
      <c r="A21" s="225"/>
      <c r="B21" s="225"/>
      <c r="C21" s="225"/>
      <c r="D21" s="225"/>
      <c r="E21" s="225"/>
      <c r="F21" s="225"/>
      <c r="G21" s="225"/>
      <c r="H21" s="225"/>
      <c r="I21" s="225"/>
      <c r="J21" s="235"/>
      <c r="K21" s="230"/>
      <c r="L21" s="230"/>
      <c r="M21" s="230"/>
      <c r="N21" s="230"/>
      <c r="O21" s="230"/>
      <c r="P21" s="230"/>
      <c r="Q21" s="230"/>
      <c r="R21" s="230"/>
      <c r="S21" s="230"/>
      <c r="T21" s="230"/>
      <c r="U21" s="230"/>
      <c r="V21" s="230"/>
      <c r="W21" s="230"/>
      <c r="X21" s="230"/>
      <c r="Y21" s="230"/>
      <c r="Z21" s="230"/>
      <c r="AA21" s="230"/>
      <c r="AB21" s="230"/>
      <c r="AC21" s="230"/>
      <c r="AD21" s="230"/>
      <c r="AE21" s="230"/>
      <c r="AF21" s="230"/>
      <c r="AG21" s="230"/>
      <c r="AH21" s="230"/>
      <c r="AI21" s="230"/>
      <c r="AJ21" s="230"/>
      <c r="AK21" s="230"/>
      <c r="AL21" s="230"/>
      <c r="AM21" s="230"/>
      <c r="AN21" s="230"/>
      <c r="AO21" s="230"/>
      <c r="AP21" s="230"/>
      <c r="AQ21" s="230"/>
      <c r="AR21" s="234"/>
      <c r="AS21" s="234"/>
      <c r="AT21" s="234"/>
      <c r="AU21" s="234"/>
      <c r="AV21" s="234"/>
      <c r="AW21" s="234"/>
      <c r="AX21" s="234"/>
      <c r="AY21" s="225"/>
      <c r="AZ21" s="225"/>
      <c r="BA21" s="225"/>
      <c r="BB21" s="225"/>
      <c r="BC21" s="225"/>
      <c r="BD21" s="225"/>
      <c r="BE21" s="225"/>
      <c r="BF21" s="233"/>
      <c r="BG21" s="234"/>
      <c r="BH21" s="234"/>
      <c r="BI21" s="234"/>
      <c r="BJ21" s="234"/>
      <c r="BK21" s="234"/>
      <c r="BL21" s="234"/>
      <c r="BM21" s="236"/>
      <c r="BN21" s="237"/>
      <c r="BO21" s="237"/>
      <c r="BP21" s="237"/>
      <c r="BQ21" s="237"/>
      <c r="BR21" s="237"/>
      <c r="BS21" s="237"/>
      <c r="BT21" s="225"/>
      <c r="BU21" s="225"/>
      <c r="BV21" s="225"/>
      <c r="BW21" s="225"/>
      <c r="BX21" s="225"/>
      <c r="BY21" s="225"/>
      <c r="BZ21" s="225"/>
      <c r="CA21" s="225"/>
    </row>
    <row r="22" spans="1:79" ht="15" customHeight="1" x14ac:dyDescent="0.2">
      <c r="A22" s="225"/>
      <c r="B22" s="225"/>
      <c r="C22" s="225"/>
      <c r="D22" s="225"/>
      <c r="E22" s="225"/>
      <c r="F22" s="225"/>
      <c r="G22" s="225"/>
      <c r="H22" s="225"/>
      <c r="I22" s="225"/>
      <c r="J22" s="225"/>
      <c r="K22" s="230"/>
      <c r="L22" s="230"/>
      <c r="M22" s="230"/>
      <c r="N22" s="230"/>
      <c r="O22" s="230"/>
      <c r="P22" s="230"/>
      <c r="Q22" s="230"/>
      <c r="R22" s="230"/>
      <c r="S22" s="230"/>
      <c r="T22" s="230"/>
      <c r="U22" s="230"/>
      <c r="V22" s="230"/>
      <c r="W22" s="230"/>
      <c r="X22" s="230"/>
      <c r="Y22" s="230"/>
      <c r="Z22" s="230"/>
      <c r="AA22" s="230"/>
      <c r="AB22" s="230"/>
      <c r="AC22" s="230"/>
      <c r="AD22" s="230"/>
      <c r="AE22" s="230"/>
      <c r="AF22" s="230"/>
      <c r="AG22" s="230"/>
      <c r="AH22" s="230"/>
      <c r="AI22" s="230"/>
      <c r="AJ22" s="230"/>
      <c r="AK22" s="230"/>
      <c r="AL22" s="230"/>
      <c r="AM22" s="230"/>
      <c r="AN22" s="230"/>
      <c r="AO22" s="230"/>
      <c r="AP22" s="230"/>
      <c r="AQ22" s="230"/>
      <c r="AR22" s="234"/>
      <c r="AS22" s="234"/>
      <c r="AT22" s="234"/>
      <c r="AU22" s="234"/>
      <c r="AV22" s="234"/>
      <c r="AW22" s="234"/>
      <c r="AX22" s="234"/>
      <c r="AY22" s="231"/>
      <c r="AZ22" s="232"/>
      <c r="BA22" s="232"/>
      <c r="BB22" s="232"/>
      <c r="BC22" s="232"/>
      <c r="BD22" s="232"/>
      <c r="BE22" s="232"/>
      <c r="BF22" s="233"/>
      <c r="BG22" s="234"/>
      <c r="BH22" s="234"/>
      <c r="BI22" s="234"/>
      <c r="BJ22" s="234"/>
      <c r="BK22" s="234"/>
      <c r="BL22" s="234"/>
      <c r="BM22" s="225"/>
      <c r="BN22" s="225"/>
      <c r="BO22" s="225"/>
      <c r="BP22" s="225"/>
      <c r="BQ22" s="225"/>
      <c r="BR22" s="225"/>
      <c r="BS22" s="225"/>
      <c r="BT22" s="225"/>
      <c r="BU22" s="225"/>
      <c r="BV22" s="225"/>
      <c r="BW22" s="225"/>
      <c r="BX22" s="225"/>
      <c r="BY22" s="225"/>
      <c r="BZ22" s="225"/>
      <c r="CA22" s="225"/>
    </row>
    <row r="23" spans="1:79" ht="15" customHeight="1" x14ac:dyDescent="0.2">
      <c r="A23" s="225"/>
      <c r="B23" s="225"/>
      <c r="C23" s="225"/>
      <c r="D23" s="225"/>
      <c r="E23" s="225"/>
      <c r="F23" s="225"/>
      <c r="G23" s="225"/>
      <c r="H23" s="225"/>
      <c r="I23" s="225"/>
      <c r="J23" s="230"/>
      <c r="K23" s="230"/>
      <c r="L23" s="230"/>
      <c r="M23" s="230"/>
      <c r="N23" s="230"/>
      <c r="O23" s="230"/>
      <c r="P23" s="230"/>
      <c r="Q23" s="230"/>
      <c r="R23" s="230"/>
      <c r="S23" s="230"/>
      <c r="T23" s="230"/>
      <c r="U23" s="230"/>
      <c r="V23" s="230"/>
      <c r="W23" s="230"/>
      <c r="X23" s="230"/>
      <c r="Y23" s="230"/>
      <c r="Z23" s="230"/>
      <c r="AA23" s="230"/>
      <c r="AB23" s="230"/>
      <c r="AC23" s="230"/>
      <c r="AD23" s="230"/>
      <c r="AE23" s="230"/>
      <c r="AF23" s="230"/>
      <c r="AG23" s="230"/>
      <c r="AH23" s="230"/>
      <c r="AI23" s="230"/>
      <c r="AJ23" s="230"/>
      <c r="AK23" s="230"/>
      <c r="AL23" s="230"/>
      <c r="AM23" s="230"/>
      <c r="AN23" s="230"/>
      <c r="AO23" s="230"/>
      <c r="AP23" s="230"/>
      <c r="AQ23" s="230"/>
      <c r="AR23" s="230"/>
      <c r="AS23" s="230"/>
      <c r="AT23" s="230"/>
      <c r="AU23" s="230"/>
      <c r="AV23" s="225"/>
      <c r="AW23" s="225"/>
      <c r="AX23" s="225"/>
      <c r="AY23" s="233"/>
      <c r="AZ23" s="234"/>
      <c r="BA23" s="234"/>
      <c r="BB23" s="234"/>
      <c r="BC23" s="234"/>
      <c r="BD23" s="234"/>
      <c r="BE23" s="234"/>
      <c r="BF23" s="233"/>
      <c r="BG23" s="234"/>
      <c r="BH23" s="234"/>
      <c r="BI23" s="234"/>
      <c r="BJ23" s="234"/>
      <c r="BK23" s="234"/>
      <c r="BL23" s="234"/>
      <c r="BM23" s="225"/>
      <c r="BN23" s="225"/>
      <c r="BO23" s="225"/>
      <c r="BP23" s="225"/>
      <c r="BQ23" s="225"/>
      <c r="BR23" s="225"/>
      <c r="BS23" s="225"/>
      <c r="BT23" s="225"/>
      <c r="BU23" s="225"/>
      <c r="BV23" s="225"/>
      <c r="BW23" s="225"/>
      <c r="BX23" s="225"/>
      <c r="BY23" s="225"/>
      <c r="BZ23" s="225"/>
      <c r="CA23" s="225"/>
    </row>
    <row r="24" spans="1:79" ht="15" customHeight="1" x14ac:dyDescent="0.2">
      <c r="A24" s="225"/>
      <c r="B24" s="225"/>
      <c r="C24" s="225"/>
      <c r="D24" s="225"/>
      <c r="E24" s="225"/>
      <c r="F24" s="225"/>
      <c r="G24" s="225"/>
      <c r="H24" s="225"/>
      <c r="I24" s="225"/>
      <c r="J24" s="230"/>
      <c r="K24" s="230"/>
      <c r="L24" s="230"/>
      <c r="M24" s="230"/>
      <c r="N24" s="230"/>
      <c r="O24" s="230"/>
      <c r="P24" s="230"/>
      <c r="Q24" s="230"/>
      <c r="R24" s="230"/>
      <c r="S24" s="230"/>
      <c r="T24" s="230"/>
      <c r="U24" s="230"/>
      <c r="V24" s="230"/>
      <c r="W24" s="230"/>
      <c r="X24" s="230"/>
      <c r="Y24" s="230"/>
      <c r="Z24" s="230"/>
      <c r="AA24" s="230"/>
      <c r="AB24" s="230"/>
      <c r="AC24" s="230"/>
      <c r="AD24" s="230"/>
      <c r="AE24" s="230"/>
      <c r="AF24" s="230"/>
      <c r="AG24" s="230"/>
      <c r="AH24" s="230"/>
      <c r="AI24" s="230"/>
      <c r="AJ24" s="230"/>
      <c r="AK24" s="234"/>
      <c r="AL24" s="234"/>
      <c r="AM24" s="234"/>
      <c r="AN24" s="234"/>
      <c r="AO24" s="234"/>
      <c r="AP24" s="234"/>
      <c r="AQ24" s="234"/>
      <c r="AR24" s="225"/>
      <c r="AS24" s="225"/>
      <c r="AT24" s="225"/>
      <c r="AU24" s="225"/>
      <c r="AV24" s="225"/>
      <c r="AW24" s="225"/>
      <c r="AX24" s="225"/>
      <c r="AY24" s="233"/>
      <c r="AZ24" s="234"/>
      <c r="BA24" s="234"/>
      <c r="BB24" s="234"/>
      <c r="BC24" s="234"/>
      <c r="BD24" s="234"/>
      <c r="BE24" s="234"/>
      <c r="BF24" s="236"/>
      <c r="BG24" s="237"/>
      <c r="BH24" s="237"/>
      <c r="BI24" s="237"/>
      <c r="BJ24" s="237"/>
      <c r="BK24" s="237"/>
      <c r="BL24" s="237"/>
      <c r="BM24" s="225"/>
      <c r="BN24" s="225"/>
      <c r="BO24" s="225"/>
      <c r="BP24" s="225"/>
      <c r="BQ24" s="225"/>
      <c r="BR24" s="235"/>
      <c r="BS24" s="235"/>
      <c r="BT24" s="235"/>
      <c r="BU24" s="235"/>
      <c r="BV24" s="235"/>
      <c r="BW24" s="235"/>
      <c r="BX24" s="235"/>
      <c r="BY24" s="235"/>
      <c r="BZ24" s="235"/>
      <c r="CA24" s="225"/>
    </row>
    <row r="25" spans="1:79" ht="15" customHeight="1" x14ac:dyDescent="0.2">
      <c r="A25" s="225"/>
      <c r="B25" s="225"/>
      <c r="C25" s="225"/>
      <c r="D25" s="225"/>
      <c r="E25" s="225"/>
      <c r="F25" s="225"/>
      <c r="G25" s="225"/>
      <c r="H25" s="225"/>
      <c r="I25" s="225"/>
      <c r="J25" s="230"/>
      <c r="K25" s="230"/>
      <c r="L25" s="230"/>
      <c r="M25" s="230"/>
      <c r="N25" s="230"/>
      <c r="O25" s="230"/>
      <c r="P25" s="230"/>
      <c r="Q25" s="230"/>
      <c r="R25" s="230"/>
      <c r="S25" s="230"/>
      <c r="T25" s="230"/>
      <c r="U25" s="230"/>
      <c r="V25" s="230"/>
      <c r="W25" s="230"/>
      <c r="X25" s="230"/>
      <c r="Y25" s="230"/>
      <c r="Z25" s="230"/>
      <c r="AA25" s="230"/>
      <c r="AB25" s="230"/>
      <c r="AC25" s="230"/>
      <c r="AD25" s="230"/>
      <c r="AE25" s="230"/>
      <c r="AF25" s="230"/>
      <c r="AG25" s="230"/>
      <c r="AH25" s="230"/>
      <c r="AI25" s="225"/>
      <c r="AJ25" s="225"/>
      <c r="AK25" s="234"/>
      <c r="AL25" s="234"/>
      <c r="AM25" s="234"/>
      <c r="AN25" s="234"/>
      <c r="AO25" s="234"/>
      <c r="AP25" s="234"/>
      <c r="AQ25" s="234"/>
      <c r="AR25" s="231"/>
      <c r="AS25" s="232"/>
      <c r="AT25" s="232"/>
      <c r="AU25" s="232"/>
      <c r="AV25" s="232"/>
      <c r="AW25" s="232"/>
      <c r="AX25" s="232"/>
      <c r="AY25" s="233"/>
      <c r="AZ25" s="234"/>
      <c r="BA25" s="234"/>
      <c r="BB25" s="234"/>
      <c r="BC25" s="234"/>
      <c r="BD25" s="234"/>
      <c r="BE25" s="234"/>
      <c r="BF25" s="225"/>
      <c r="BG25" s="225"/>
      <c r="BH25" s="225"/>
      <c r="BI25" s="225"/>
      <c r="BJ25" s="225"/>
      <c r="BK25" s="225"/>
      <c r="BL25" s="225"/>
      <c r="BM25" s="225"/>
      <c r="BN25" s="225"/>
      <c r="BO25" s="225"/>
      <c r="BP25" s="225"/>
      <c r="BQ25" s="235"/>
      <c r="BR25" s="235"/>
      <c r="BS25" s="235"/>
      <c r="BT25" s="235"/>
      <c r="BU25" s="235"/>
      <c r="BV25" s="235"/>
      <c r="BW25" s="235"/>
      <c r="BX25" s="235"/>
      <c r="BY25" s="235"/>
      <c r="BZ25" s="235"/>
      <c r="CA25" s="225"/>
    </row>
    <row r="26" spans="1:79" ht="15" customHeight="1" x14ac:dyDescent="0.2">
      <c r="A26" s="225"/>
      <c r="B26" s="225"/>
      <c r="C26" s="225"/>
      <c r="D26" s="225"/>
      <c r="E26" s="225"/>
      <c r="F26" s="225"/>
      <c r="G26" s="225"/>
      <c r="H26" s="225"/>
      <c r="I26" s="230"/>
      <c r="J26" s="230"/>
      <c r="K26" s="230"/>
      <c r="L26" s="230"/>
      <c r="M26" s="230"/>
      <c r="N26" s="230"/>
      <c r="O26" s="230"/>
      <c r="P26" s="230"/>
      <c r="Q26" s="230"/>
      <c r="R26" s="230"/>
      <c r="S26" s="230"/>
      <c r="T26" s="230"/>
      <c r="U26" s="230"/>
      <c r="V26" s="230"/>
      <c r="W26" s="230"/>
      <c r="X26" s="230"/>
      <c r="Y26" s="230"/>
      <c r="Z26" s="230"/>
      <c r="AA26" s="230"/>
      <c r="AB26" s="230"/>
      <c r="AC26" s="230"/>
      <c r="AD26" s="230"/>
      <c r="AE26" s="230"/>
      <c r="AF26" s="230"/>
      <c r="AG26" s="230"/>
      <c r="AH26" s="230"/>
      <c r="AI26" s="225"/>
      <c r="AJ26" s="225"/>
      <c r="AK26" s="225"/>
      <c r="AL26" s="225"/>
      <c r="AM26" s="225"/>
      <c r="AN26" s="225"/>
      <c r="AO26" s="225"/>
      <c r="AP26" s="225"/>
      <c r="AQ26" s="225"/>
      <c r="AR26" s="233"/>
      <c r="AS26" s="234"/>
      <c r="AT26" s="234"/>
      <c r="AU26" s="234"/>
      <c r="AV26" s="234"/>
      <c r="AW26" s="234"/>
      <c r="AX26" s="234"/>
      <c r="AY26" s="233"/>
      <c r="AZ26" s="234"/>
      <c r="BA26" s="234"/>
      <c r="BB26" s="234"/>
      <c r="BC26" s="234"/>
      <c r="BD26" s="234"/>
      <c r="BE26" s="234"/>
      <c r="BF26" s="225"/>
      <c r="BG26" s="225"/>
      <c r="BH26" s="225"/>
      <c r="BI26" s="225"/>
      <c r="BJ26" s="225"/>
      <c r="BK26" s="225"/>
      <c r="BL26" s="225"/>
      <c r="BM26" s="225"/>
      <c r="BN26" s="225"/>
      <c r="BO26" s="225"/>
      <c r="BP26" s="225"/>
      <c r="BQ26" s="235"/>
      <c r="BR26" s="235"/>
      <c r="BS26" s="235"/>
      <c r="BT26" s="235"/>
      <c r="BU26" s="235"/>
      <c r="BV26" s="235"/>
      <c r="BW26" s="235"/>
      <c r="BX26" s="235"/>
      <c r="BY26" s="235"/>
      <c r="BZ26" s="235"/>
      <c r="CA26" s="225"/>
    </row>
    <row r="27" spans="1:79" ht="15" customHeight="1" x14ac:dyDescent="0.2">
      <c r="A27" s="225"/>
      <c r="B27" s="225"/>
      <c r="C27" s="225"/>
      <c r="D27" s="225"/>
      <c r="E27" s="225"/>
      <c r="F27" s="225"/>
      <c r="G27" s="225"/>
      <c r="H27" s="225"/>
      <c r="I27" s="230"/>
      <c r="J27" s="230"/>
      <c r="K27" s="230"/>
      <c r="L27" s="230"/>
      <c r="M27" s="230"/>
      <c r="N27" s="230"/>
      <c r="O27" s="230"/>
      <c r="P27" s="230"/>
      <c r="Q27" s="230"/>
      <c r="R27" s="230"/>
      <c r="S27" s="230"/>
      <c r="T27" s="230"/>
      <c r="U27" s="230"/>
      <c r="V27" s="230"/>
      <c r="W27" s="230"/>
      <c r="X27" s="230"/>
      <c r="Y27" s="230"/>
      <c r="Z27" s="230"/>
      <c r="AA27" s="230"/>
      <c r="AB27" s="230"/>
      <c r="AC27" s="230"/>
      <c r="AD27" s="234"/>
      <c r="AE27" s="234"/>
      <c r="AF27" s="234"/>
      <c r="AG27" s="234"/>
      <c r="AH27" s="234"/>
      <c r="AI27" s="234"/>
      <c r="AJ27" s="234"/>
      <c r="AK27" s="238"/>
      <c r="AL27" s="238"/>
      <c r="AM27" s="238"/>
      <c r="AN27" s="238"/>
      <c r="AO27" s="238"/>
      <c r="AP27" s="238"/>
      <c r="AQ27" s="238"/>
      <c r="AR27" s="233"/>
      <c r="AS27" s="234"/>
      <c r="AT27" s="234"/>
      <c r="AU27" s="234"/>
      <c r="AV27" s="234"/>
      <c r="AW27" s="234"/>
      <c r="AX27" s="234"/>
      <c r="AY27" s="236"/>
      <c r="AZ27" s="237"/>
      <c r="BA27" s="237"/>
      <c r="BB27" s="237"/>
      <c r="BC27" s="237"/>
      <c r="BD27" s="237"/>
      <c r="BE27" s="237"/>
      <c r="BF27" s="225"/>
      <c r="BG27" s="235"/>
      <c r="BH27" s="235"/>
      <c r="BI27" s="235"/>
      <c r="BJ27" s="235"/>
      <c r="BK27" s="235"/>
      <c r="BL27" s="235"/>
      <c r="BM27" s="235"/>
      <c r="BN27" s="235"/>
      <c r="BO27" s="235"/>
      <c r="BP27" s="235"/>
      <c r="BQ27" s="235"/>
      <c r="BR27" s="235"/>
      <c r="BS27" s="235"/>
      <c r="BT27" s="235"/>
      <c r="BU27" s="235"/>
      <c r="BV27" s="235"/>
      <c r="BW27" s="235"/>
      <c r="BX27" s="235"/>
      <c r="BY27" s="235"/>
      <c r="BZ27" s="235"/>
      <c r="CA27" s="235"/>
    </row>
    <row r="28" spans="1:79" ht="15" customHeight="1" x14ac:dyDescent="0.2">
      <c r="A28" s="225"/>
      <c r="B28" s="225"/>
      <c r="C28" s="225"/>
      <c r="D28" s="225"/>
      <c r="E28" s="225"/>
      <c r="F28" s="225"/>
      <c r="G28" s="225"/>
      <c r="H28" s="225"/>
      <c r="I28" s="230"/>
      <c r="J28" s="230"/>
      <c r="K28" s="230"/>
      <c r="L28" s="230"/>
      <c r="M28" s="230"/>
      <c r="N28" s="230"/>
      <c r="O28" s="230"/>
      <c r="P28" s="230"/>
      <c r="Q28" s="230"/>
      <c r="R28" s="230"/>
      <c r="S28" s="230"/>
      <c r="T28" s="230"/>
      <c r="U28" s="230"/>
      <c r="V28" s="230"/>
      <c r="W28" s="230"/>
      <c r="X28" s="230"/>
      <c r="Y28" s="230"/>
      <c r="Z28" s="230"/>
      <c r="AA28" s="230"/>
      <c r="AB28" s="230"/>
      <c r="AC28" s="230"/>
      <c r="AD28" s="234"/>
      <c r="AE28" s="234"/>
      <c r="AF28" s="234"/>
      <c r="AG28" s="234"/>
      <c r="AH28" s="234"/>
      <c r="AI28" s="234"/>
      <c r="AJ28" s="234"/>
      <c r="AK28" s="231"/>
      <c r="AL28" s="232"/>
      <c r="AM28" s="232"/>
      <c r="AN28" s="232"/>
      <c r="AO28" s="232"/>
      <c r="AP28" s="232"/>
      <c r="AQ28" s="232"/>
      <c r="AR28" s="233"/>
      <c r="AS28" s="234"/>
      <c r="AT28" s="234"/>
      <c r="AU28" s="234"/>
      <c r="AV28" s="234"/>
      <c r="AW28" s="234"/>
      <c r="AX28" s="234"/>
      <c r="AY28" s="225"/>
      <c r="AZ28" s="225"/>
      <c r="BA28" s="225"/>
      <c r="BB28" s="225"/>
      <c r="BC28" s="225"/>
      <c r="BD28" s="225"/>
      <c r="BE28" s="225"/>
      <c r="BF28" s="225"/>
      <c r="BG28" s="235"/>
      <c r="BH28" s="235"/>
      <c r="BI28" s="235"/>
      <c r="BJ28" s="235"/>
      <c r="BK28" s="235"/>
      <c r="BL28" s="235"/>
      <c r="BM28" s="235"/>
      <c r="BN28" s="235"/>
      <c r="BO28" s="235"/>
      <c r="BP28" s="235"/>
      <c r="BQ28" s="235"/>
      <c r="BR28" s="235"/>
      <c r="BS28" s="235"/>
      <c r="BT28" s="235"/>
      <c r="BU28" s="235"/>
      <c r="BV28" s="235"/>
      <c r="BW28" s="235"/>
      <c r="BX28" s="235"/>
      <c r="BY28" s="235"/>
      <c r="BZ28" s="235"/>
      <c r="CA28" s="235"/>
    </row>
    <row r="29" spans="1:79" ht="15" customHeight="1" x14ac:dyDescent="0.2">
      <c r="A29" s="225"/>
      <c r="B29" s="225"/>
      <c r="C29" s="225"/>
      <c r="D29" s="225"/>
      <c r="E29" s="225"/>
      <c r="F29" s="225"/>
      <c r="G29" s="225"/>
      <c r="H29" s="225"/>
      <c r="I29" s="230"/>
      <c r="J29" s="230"/>
      <c r="K29" s="230"/>
      <c r="L29" s="230"/>
      <c r="M29" s="230"/>
      <c r="N29" s="230"/>
      <c r="O29" s="230"/>
      <c r="P29" s="230"/>
      <c r="Q29" s="230"/>
      <c r="R29" s="230"/>
      <c r="S29" s="230"/>
      <c r="T29" s="230"/>
      <c r="U29" s="230"/>
      <c r="V29" s="230"/>
      <c r="W29" s="230"/>
      <c r="X29" s="230"/>
      <c r="Y29" s="230"/>
      <c r="Z29" s="230"/>
      <c r="AA29" s="230"/>
      <c r="AB29" s="230"/>
      <c r="AC29" s="230"/>
      <c r="AD29" s="230"/>
      <c r="AE29" s="230"/>
      <c r="AF29" s="230"/>
      <c r="AG29" s="230"/>
      <c r="AH29" s="230"/>
      <c r="AI29" s="225"/>
      <c r="AJ29" s="225"/>
      <c r="AK29" s="233"/>
      <c r="AL29" s="234"/>
      <c r="AM29" s="234"/>
      <c r="AN29" s="234"/>
      <c r="AO29" s="234"/>
      <c r="AP29" s="234"/>
      <c r="AQ29" s="234"/>
      <c r="AR29" s="233"/>
      <c r="AS29" s="234"/>
      <c r="AT29" s="234"/>
      <c r="AU29" s="234"/>
      <c r="AV29" s="234"/>
      <c r="AW29" s="234"/>
      <c r="AX29" s="234"/>
      <c r="AY29" s="225"/>
      <c r="AZ29" s="225"/>
      <c r="BA29" s="225"/>
      <c r="BB29" s="225"/>
      <c r="BC29" s="225"/>
      <c r="BD29" s="225"/>
      <c r="BE29" s="225"/>
      <c r="BF29" s="225"/>
      <c r="BG29" s="235"/>
      <c r="BH29" s="235"/>
      <c r="BI29" s="235"/>
      <c r="BJ29" s="235"/>
      <c r="BK29" s="235"/>
      <c r="BL29" s="235"/>
      <c r="BM29" s="235"/>
      <c r="BN29" s="235"/>
      <c r="BO29" s="235"/>
      <c r="BP29" s="235"/>
      <c r="BQ29" s="235"/>
      <c r="BR29" s="235"/>
      <c r="BS29" s="235"/>
      <c r="BT29" s="235"/>
      <c r="BU29" s="235"/>
      <c r="BV29" s="235"/>
      <c r="BW29" s="235"/>
      <c r="BX29" s="235"/>
      <c r="BY29" s="235"/>
      <c r="BZ29" s="235"/>
      <c r="CA29" s="235"/>
    </row>
    <row r="30" spans="1:79" ht="15" customHeight="1" x14ac:dyDescent="0.2">
      <c r="A30" s="225"/>
      <c r="B30" s="225"/>
      <c r="C30" s="225"/>
      <c r="D30" s="225"/>
      <c r="E30" s="225"/>
      <c r="F30" s="225"/>
      <c r="G30" s="225"/>
      <c r="H30" s="225"/>
      <c r="I30" s="230"/>
      <c r="J30" s="230"/>
      <c r="K30" s="230"/>
      <c r="L30" s="230"/>
      <c r="M30" s="230"/>
      <c r="N30" s="230"/>
      <c r="O30" s="230"/>
      <c r="P30" s="230"/>
      <c r="Q30" s="230"/>
      <c r="R30" s="230"/>
      <c r="S30" s="230"/>
      <c r="T30" s="230"/>
      <c r="U30" s="230"/>
      <c r="V30" s="230"/>
      <c r="W30" s="234"/>
      <c r="X30" s="234"/>
      <c r="Y30" s="234"/>
      <c r="Z30" s="234"/>
      <c r="AA30" s="234"/>
      <c r="AB30" s="234"/>
      <c r="AC30" s="234"/>
      <c r="AD30" s="225"/>
      <c r="AE30" s="225"/>
      <c r="AF30" s="225"/>
      <c r="AG30" s="225"/>
      <c r="AH30" s="225"/>
      <c r="AI30" s="225"/>
      <c r="AJ30" s="225"/>
      <c r="AK30" s="233"/>
      <c r="AL30" s="234"/>
      <c r="AM30" s="234"/>
      <c r="AN30" s="234"/>
      <c r="AO30" s="234"/>
      <c r="AP30" s="234"/>
      <c r="AQ30" s="234"/>
      <c r="AR30" s="236"/>
      <c r="AS30" s="237"/>
      <c r="AT30" s="237"/>
      <c r="AU30" s="237"/>
      <c r="AV30" s="237"/>
      <c r="AW30" s="237"/>
      <c r="AX30" s="237"/>
      <c r="AY30" s="225"/>
      <c r="AZ30" s="225"/>
      <c r="BA30" s="225"/>
      <c r="BB30" s="225"/>
      <c r="BC30" s="225"/>
      <c r="BD30" s="235"/>
      <c r="BE30" s="235"/>
      <c r="BF30" s="235"/>
      <c r="BG30" s="235"/>
      <c r="BH30" s="235"/>
      <c r="BI30" s="235"/>
      <c r="BJ30" s="235"/>
      <c r="BK30" s="235"/>
      <c r="BL30" s="235"/>
      <c r="BM30" s="235"/>
      <c r="BN30" s="235"/>
      <c r="BO30" s="235"/>
      <c r="BP30" s="235"/>
      <c r="BQ30" s="235"/>
      <c r="BR30" s="235"/>
      <c r="BS30" s="235"/>
      <c r="BT30" s="235"/>
      <c r="BU30" s="235"/>
      <c r="BV30" s="235"/>
      <c r="BW30" s="235"/>
      <c r="BX30" s="235"/>
      <c r="BY30" s="235"/>
      <c r="BZ30" s="235"/>
      <c r="CA30" s="235"/>
    </row>
    <row r="31" spans="1:79" ht="15" customHeight="1" x14ac:dyDescent="0.2">
      <c r="A31" s="225"/>
      <c r="B31" s="225"/>
      <c r="C31" s="225"/>
      <c r="D31" s="225"/>
      <c r="E31" s="225"/>
      <c r="F31" s="225"/>
      <c r="G31" s="225"/>
      <c r="H31" s="225"/>
      <c r="I31" s="230"/>
      <c r="J31" s="230"/>
      <c r="K31" s="230"/>
      <c r="L31" s="230"/>
      <c r="M31" s="230"/>
      <c r="N31" s="230"/>
      <c r="O31" s="230"/>
      <c r="P31" s="230"/>
      <c r="Q31" s="230"/>
      <c r="R31" s="230"/>
      <c r="S31" s="230"/>
      <c r="T31" s="230"/>
      <c r="U31" s="230"/>
      <c r="V31" s="230"/>
      <c r="W31" s="234"/>
      <c r="X31" s="234"/>
      <c r="Y31" s="234"/>
      <c r="Z31" s="234"/>
      <c r="AA31" s="234"/>
      <c r="AB31" s="234"/>
      <c r="AC31" s="234"/>
      <c r="AD31" s="231"/>
      <c r="AE31" s="232"/>
      <c r="AF31" s="232"/>
      <c r="AG31" s="232"/>
      <c r="AH31" s="232"/>
      <c r="AI31" s="232"/>
      <c r="AJ31" s="232"/>
      <c r="AK31" s="233"/>
      <c r="AL31" s="234"/>
      <c r="AM31" s="234"/>
      <c r="AN31" s="234"/>
      <c r="AO31" s="234"/>
      <c r="AP31" s="234"/>
      <c r="AQ31" s="234"/>
      <c r="AR31" s="225"/>
      <c r="AS31" s="225"/>
      <c r="AT31" s="225"/>
      <c r="AU31" s="225"/>
      <c r="AV31" s="225"/>
      <c r="AW31" s="225"/>
      <c r="AX31" s="225"/>
      <c r="AY31" s="225"/>
      <c r="AZ31" s="225"/>
      <c r="BA31" s="225"/>
      <c r="BB31" s="225"/>
      <c r="BC31" s="235"/>
      <c r="BD31" s="235"/>
      <c r="BE31" s="235"/>
      <c r="BF31" s="235"/>
      <c r="BG31" s="235"/>
      <c r="BH31" s="235"/>
      <c r="BI31" s="235"/>
      <c r="BJ31" s="235"/>
      <c r="BK31" s="235"/>
      <c r="BL31" s="235"/>
      <c r="BM31" s="235"/>
      <c r="BN31" s="235"/>
      <c r="BO31" s="235"/>
      <c r="BP31" s="235"/>
      <c r="BQ31" s="235"/>
      <c r="BR31" s="235"/>
      <c r="BS31" s="235"/>
      <c r="BT31" s="235"/>
      <c r="BU31" s="235"/>
      <c r="BV31" s="235"/>
      <c r="BW31" s="235"/>
      <c r="BX31" s="235"/>
      <c r="BY31" s="235"/>
      <c r="BZ31" s="235"/>
      <c r="CA31" s="235"/>
    </row>
    <row r="32" spans="1:79" ht="15" customHeight="1" x14ac:dyDescent="0.2">
      <c r="A32" s="225"/>
      <c r="B32" s="225"/>
      <c r="C32" s="225"/>
      <c r="D32" s="225"/>
      <c r="E32" s="225"/>
      <c r="F32" s="225"/>
      <c r="G32" s="225"/>
      <c r="H32" s="225"/>
      <c r="I32" s="230"/>
      <c r="J32" s="230"/>
      <c r="K32" s="230"/>
      <c r="L32" s="230"/>
      <c r="M32" s="230"/>
      <c r="N32" s="230"/>
      <c r="O32" s="230"/>
      <c r="P32" s="230"/>
      <c r="Q32" s="230"/>
      <c r="R32" s="230"/>
      <c r="S32" s="230"/>
      <c r="T32" s="230"/>
      <c r="U32" s="230"/>
      <c r="V32" s="230"/>
      <c r="W32" s="230"/>
      <c r="X32" s="230"/>
      <c r="Y32" s="230"/>
      <c r="Z32" s="230"/>
      <c r="AA32" s="230"/>
      <c r="AB32" s="230"/>
      <c r="AC32" s="225"/>
      <c r="AD32" s="233"/>
      <c r="AE32" s="234"/>
      <c r="AF32" s="234"/>
      <c r="AG32" s="234"/>
      <c r="AH32" s="234"/>
      <c r="AI32" s="234"/>
      <c r="AJ32" s="234"/>
      <c r="AK32" s="233"/>
      <c r="AL32" s="234"/>
      <c r="AM32" s="234"/>
      <c r="AN32" s="234"/>
      <c r="AO32" s="234"/>
      <c r="AP32" s="234"/>
      <c r="AQ32" s="234"/>
      <c r="AR32" s="225"/>
      <c r="AS32" s="225"/>
      <c r="AT32" s="225"/>
      <c r="AU32" s="225"/>
      <c r="AV32" s="225"/>
      <c r="AW32" s="225"/>
      <c r="AX32" s="225"/>
      <c r="AY32" s="225"/>
      <c r="AZ32" s="225"/>
      <c r="BA32" s="225"/>
      <c r="BB32" s="225"/>
      <c r="BC32" s="235"/>
      <c r="BD32" s="235"/>
      <c r="BE32" s="235"/>
      <c r="BF32" s="235"/>
      <c r="BG32" s="235"/>
      <c r="BH32" s="235"/>
      <c r="BI32" s="235"/>
      <c r="BJ32" s="235"/>
      <c r="BK32" s="235"/>
      <c r="BL32" s="235"/>
      <c r="BM32" s="235"/>
      <c r="BN32" s="235"/>
      <c r="BO32" s="235"/>
      <c r="BP32" s="235"/>
      <c r="BQ32" s="235"/>
      <c r="BR32" s="235"/>
      <c r="BS32" s="235"/>
      <c r="BT32" s="235"/>
      <c r="BU32" s="235"/>
      <c r="BV32" s="235"/>
      <c r="BW32" s="235"/>
      <c r="BX32" s="235"/>
      <c r="BY32" s="235"/>
      <c r="BZ32" s="235"/>
      <c r="CA32" s="235"/>
    </row>
    <row r="33" spans="1:79" ht="15" customHeight="1" x14ac:dyDescent="0.2">
      <c r="A33" s="225"/>
      <c r="B33" s="225"/>
      <c r="C33" s="225"/>
      <c r="D33" s="225"/>
      <c r="E33" s="225"/>
      <c r="F33" s="225"/>
      <c r="G33" s="225"/>
      <c r="H33" s="225"/>
      <c r="I33" s="225"/>
      <c r="J33" s="225"/>
      <c r="K33" s="225"/>
      <c r="L33" s="225"/>
      <c r="M33" s="225"/>
      <c r="N33" s="225"/>
      <c r="O33" s="225"/>
      <c r="P33" s="234"/>
      <c r="Q33" s="234"/>
      <c r="R33" s="234"/>
      <c r="S33" s="234"/>
      <c r="T33" s="234"/>
      <c r="U33" s="234"/>
      <c r="V33" s="234"/>
      <c r="W33" s="225"/>
      <c r="X33" s="225"/>
      <c r="Y33" s="225"/>
      <c r="Z33" s="225"/>
      <c r="AA33" s="225"/>
      <c r="AB33" s="225"/>
      <c r="AC33" s="225"/>
      <c r="AD33" s="233"/>
      <c r="AE33" s="234"/>
      <c r="AF33" s="234"/>
      <c r="AG33" s="234"/>
      <c r="AH33" s="234"/>
      <c r="AI33" s="234"/>
      <c r="AJ33" s="234"/>
      <c r="AK33" s="236"/>
      <c r="AL33" s="237"/>
      <c r="AM33" s="237"/>
      <c r="AN33" s="237"/>
      <c r="AO33" s="237"/>
      <c r="AP33" s="237"/>
      <c r="AQ33" s="237"/>
      <c r="AR33" s="225"/>
      <c r="AS33" s="225"/>
      <c r="AT33" s="225"/>
      <c r="AU33" s="235"/>
      <c r="AV33" s="235"/>
      <c r="AW33" s="235"/>
      <c r="AX33" s="235"/>
      <c r="AY33" s="235"/>
      <c r="AZ33" s="235"/>
      <c r="BA33" s="235"/>
      <c r="BB33" s="235"/>
      <c r="BC33" s="235"/>
      <c r="BD33" s="235"/>
      <c r="BE33" s="235"/>
      <c r="BF33" s="235"/>
      <c r="BG33" s="235"/>
      <c r="BH33" s="235"/>
      <c r="BI33" s="235"/>
      <c r="BJ33" s="235"/>
      <c r="BK33" s="235"/>
      <c r="BL33" s="235"/>
      <c r="BM33" s="235"/>
      <c r="BN33" s="235"/>
      <c r="BO33" s="225"/>
      <c r="BP33" s="225"/>
      <c r="BQ33" s="235"/>
      <c r="BR33" s="235"/>
      <c r="BS33" s="235"/>
      <c r="BT33" s="235"/>
      <c r="BU33" s="235"/>
      <c r="BV33" s="235"/>
      <c r="BW33" s="235"/>
      <c r="BX33" s="235"/>
      <c r="BY33" s="235"/>
      <c r="BZ33" s="235"/>
      <c r="CA33" s="225"/>
    </row>
    <row r="34" spans="1:79" ht="15" customHeight="1" x14ac:dyDescent="0.2">
      <c r="A34" s="225"/>
      <c r="B34" s="225"/>
      <c r="C34" s="225"/>
      <c r="D34" s="225"/>
      <c r="E34" s="225"/>
      <c r="F34" s="225"/>
      <c r="G34" s="225"/>
      <c r="H34" s="225"/>
      <c r="I34" s="225"/>
      <c r="J34" s="225"/>
      <c r="K34" s="225"/>
      <c r="L34" s="225"/>
      <c r="M34" s="225"/>
      <c r="N34" s="225"/>
      <c r="O34" s="225"/>
      <c r="P34" s="234"/>
      <c r="Q34" s="234"/>
      <c r="R34" s="234"/>
      <c r="S34" s="234"/>
      <c r="T34" s="234"/>
      <c r="U34" s="234"/>
      <c r="V34" s="234"/>
      <c r="W34" s="231"/>
      <c r="X34" s="232"/>
      <c r="Y34" s="232"/>
      <c r="Z34" s="232"/>
      <c r="AA34" s="232"/>
      <c r="AB34" s="232"/>
      <c r="AC34" s="232"/>
      <c r="AD34" s="233"/>
      <c r="AE34" s="234"/>
      <c r="AF34" s="234"/>
      <c r="AG34" s="234"/>
      <c r="AH34" s="234"/>
      <c r="AI34" s="234"/>
      <c r="AJ34" s="234"/>
      <c r="AK34" s="225"/>
      <c r="AL34" s="225"/>
      <c r="AM34" s="225"/>
      <c r="AN34" s="225"/>
      <c r="AO34" s="225"/>
      <c r="AP34" s="225"/>
      <c r="AQ34" s="225"/>
      <c r="AR34" s="225"/>
      <c r="AS34" s="225"/>
      <c r="AT34" s="235"/>
      <c r="AU34" s="235"/>
      <c r="AV34" s="235"/>
      <c r="AW34" s="235"/>
      <c r="AX34" s="235"/>
      <c r="AY34" s="235"/>
      <c r="AZ34" s="235"/>
      <c r="BA34" s="235"/>
      <c r="BB34" s="235"/>
      <c r="BC34" s="235"/>
      <c r="BD34" s="235"/>
      <c r="BE34" s="235"/>
      <c r="BF34" s="235"/>
      <c r="BG34" s="235"/>
      <c r="BH34" s="235"/>
      <c r="BI34" s="235"/>
      <c r="BJ34" s="235"/>
      <c r="BK34" s="235"/>
      <c r="BL34" s="235"/>
      <c r="BM34" s="235"/>
      <c r="BN34" s="235"/>
      <c r="BO34" s="235"/>
      <c r="BP34" s="235"/>
      <c r="BQ34" s="235"/>
      <c r="BR34" s="235"/>
      <c r="BS34" s="235"/>
      <c r="BT34" s="235"/>
      <c r="BU34" s="235"/>
      <c r="BV34" s="235"/>
      <c r="BW34" s="235"/>
      <c r="BX34" s="235"/>
      <c r="BY34" s="235"/>
      <c r="BZ34" s="235"/>
      <c r="CA34" s="225"/>
    </row>
    <row r="35" spans="1:79" ht="15" customHeight="1" x14ac:dyDescent="0.2">
      <c r="A35" s="225"/>
      <c r="B35" s="225"/>
      <c r="C35" s="225"/>
      <c r="D35" s="225"/>
      <c r="E35" s="225"/>
      <c r="F35" s="225"/>
      <c r="G35" s="225"/>
      <c r="H35" s="225"/>
      <c r="I35" s="225"/>
      <c r="J35" s="225"/>
      <c r="K35" s="225"/>
      <c r="L35" s="225"/>
      <c r="M35" s="225"/>
      <c r="N35" s="225"/>
      <c r="O35" s="225"/>
      <c r="P35" s="225"/>
      <c r="Q35" s="225"/>
      <c r="R35" s="225"/>
      <c r="S35" s="225"/>
      <c r="T35" s="225"/>
      <c r="U35" s="225"/>
      <c r="V35" s="225"/>
      <c r="W35" s="233"/>
      <c r="X35" s="234"/>
      <c r="Y35" s="234"/>
      <c r="Z35" s="234"/>
      <c r="AA35" s="234"/>
      <c r="AB35" s="234"/>
      <c r="AC35" s="234"/>
      <c r="AD35" s="233"/>
      <c r="AE35" s="234"/>
      <c r="AF35" s="234"/>
      <c r="AG35" s="234"/>
      <c r="AH35" s="234"/>
      <c r="AI35" s="234"/>
      <c r="AJ35" s="234"/>
      <c r="AK35" s="225"/>
      <c r="AL35" s="225"/>
      <c r="AM35" s="225"/>
      <c r="AN35" s="235"/>
      <c r="AO35" s="235"/>
      <c r="AP35" s="235"/>
      <c r="AQ35" s="235"/>
      <c r="AR35" s="235"/>
      <c r="AS35" s="235"/>
      <c r="AT35" s="235"/>
      <c r="AU35" s="235"/>
      <c r="AV35" s="235"/>
      <c r="AW35" s="235"/>
      <c r="AX35" s="235"/>
      <c r="AY35" s="235"/>
      <c r="AZ35" s="235"/>
      <c r="BA35" s="235"/>
      <c r="BB35" s="235"/>
      <c r="BC35" s="235"/>
      <c r="BD35" s="235"/>
      <c r="BE35" s="235"/>
      <c r="BF35" s="235"/>
      <c r="BG35" s="235"/>
      <c r="BH35" s="235"/>
      <c r="BI35" s="235"/>
      <c r="BJ35" s="235"/>
      <c r="BK35" s="235"/>
      <c r="BL35" s="235"/>
      <c r="BM35" s="235"/>
      <c r="BN35" s="235"/>
      <c r="BO35" s="235"/>
      <c r="BP35" s="235"/>
      <c r="BQ35" s="235"/>
      <c r="BR35" s="235"/>
      <c r="BS35" s="235"/>
      <c r="BT35" s="235"/>
      <c r="BU35" s="235"/>
      <c r="BV35" s="235"/>
      <c r="BW35" s="235"/>
      <c r="BX35" s="235"/>
      <c r="BY35" s="235"/>
      <c r="BZ35" s="235"/>
      <c r="CA35" s="225"/>
    </row>
    <row r="36" spans="1:79" ht="15" customHeight="1" x14ac:dyDescent="0.2">
      <c r="A36" s="225"/>
      <c r="B36" s="239" t="str">
        <f>IF('Event Tree Input'!D9="Seismic Hazard","Seismic Hazard","")</f>
        <v/>
      </c>
      <c r="C36" s="239"/>
      <c r="D36" s="239"/>
      <c r="E36" s="239"/>
      <c r="F36" s="239"/>
      <c r="G36" s="239"/>
      <c r="H36" s="239"/>
      <c r="I36" s="240" t="str">
        <f>IF('Event Tree Input'!D9="Hydrologic Hazard","Hydrologic Hazard",IF('Event Tree Input'!D9="Seismic Hazard","Coincident Stage",IF('Event Tree Input'!D9="Other",IF(ISBLANK('Event Tree Input'!G9),"",'Event Tree Input'!G9))))</f>
        <v>Hydrologic Hazard</v>
      </c>
      <c r="J36" s="240"/>
      <c r="K36" s="240"/>
      <c r="L36" s="240"/>
      <c r="M36" s="240"/>
      <c r="N36" s="240"/>
      <c r="O36" s="240"/>
      <c r="P36" s="225"/>
      <c r="Q36" s="225"/>
      <c r="R36" s="225"/>
      <c r="S36" s="225"/>
      <c r="T36" s="225"/>
      <c r="U36" s="225"/>
      <c r="V36" s="225"/>
      <c r="W36" s="233"/>
      <c r="X36" s="234"/>
      <c r="Y36" s="234"/>
      <c r="Z36" s="234"/>
      <c r="AA36" s="234"/>
      <c r="AB36" s="234"/>
      <c r="AC36" s="234"/>
      <c r="AD36" s="236"/>
      <c r="AE36" s="237"/>
      <c r="AF36" s="237"/>
      <c r="AG36" s="237"/>
      <c r="AH36" s="237"/>
      <c r="AI36" s="237"/>
      <c r="AJ36" s="237"/>
      <c r="AK36" s="225"/>
      <c r="AL36" s="225"/>
      <c r="AM36" s="235"/>
      <c r="AN36" s="235"/>
      <c r="AO36" s="225"/>
      <c r="AP36" s="235"/>
      <c r="AQ36" s="235"/>
      <c r="AR36" s="235"/>
      <c r="AS36" s="235"/>
      <c r="AT36" s="235"/>
      <c r="AU36" s="235"/>
      <c r="AV36" s="235"/>
      <c r="AW36" s="235"/>
      <c r="AX36" s="235"/>
      <c r="AY36" s="235"/>
      <c r="AZ36" s="235"/>
      <c r="BA36" s="235"/>
      <c r="BB36" s="235"/>
      <c r="BC36" s="235"/>
      <c r="BD36" s="235"/>
      <c r="BE36" s="235"/>
      <c r="BF36" s="235"/>
      <c r="BG36" s="235"/>
      <c r="BH36" s="235"/>
      <c r="BI36" s="235"/>
      <c r="BJ36" s="235"/>
      <c r="BK36" s="235"/>
      <c r="BL36" s="235"/>
      <c r="BM36" s="235"/>
      <c r="BN36" s="235"/>
      <c r="BO36" s="235"/>
      <c r="BP36" s="235"/>
      <c r="BQ36" s="235"/>
      <c r="BR36" s="235"/>
      <c r="BS36" s="235"/>
      <c r="BT36" s="235"/>
      <c r="BU36" s="235"/>
      <c r="BV36" s="235"/>
      <c r="BW36" s="235"/>
      <c r="BX36" s="235"/>
      <c r="BY36" s="235"/>
      <c r="BZ36" s="235"/>
      <c r="CA36" s="225"/>
    </row>
    <row r="37" spans="1:79" ht="15" customHeight="1" x14ac:dyDescent="0.2">
      <c r="A37" s="225"/>
      <c r="B37" s="239"/>
      <c r="C37" s="239"/>
      <c r="D37" s="239"/>
      <c r="E37" s="239"/>
      <c r="F37" s="239"/>
      <c r="G37" s="239"/>
      <c r="H37" s="239"/>
      <c r="I37" s="240"/>
      <c r="J37" s="240"/>
      <c r="K37" s="240"/>
      <c r="L37" s="240"/>
      <c r="M37" s="240"/>
      <c r="N37" s="240"/>
      <c r="O37" s="240"/>
      <c r="P37" s="231"/>
      <c r="Q37" s="232"/>
      <c r="R37" s="232"/>
      <c r="S37" s="232"/>
      <c r="T37" s="232"/>
      <c r="U37" s="232"/>
      <c r="V37" s="232"/>
      <c r="W37" s="233"/>
      <c r="X37" s="234"/>
      <c r="Y37" s="234"/>
      <c r="Z37" s="234"/>
      <c r="AA37" s="234"/>
      <c r="AB37" s="234"/>
      <c r="AC37" s="234"/>
      <c r="AD37" s="225"/>
      <c r="AE37" s="225"/>
      <c r="AF37" s="225"/>
      <c r="AG37" s="225"/>
      <c r="AH37" s="225"/>
      <c r="AI37" s="225"/>
      <c r="AJ37" s="225"/>
      <c r="AK37" s="225"/>
      <c r="AL37" s="225"/>
      <c r="AM37" s="235"/>
      <c r="AN37" s="235"/>
      <c r="AO37" s="235"/>
      <c r="AP37" s="235"/>
      <c r="AQ37" s="235"/>
      <c r="AR37" s="235"/>
      <c r="AS37" s="235"/>
      <c r="AT37" s="235"/>
      <c r="AU37" s="235"/>
      <c r="AV37" s="235"/>
      <c r="AW37" s="235"/>
      <c r="AX37" s="235"/>
      <c r="AY37" s="235"/>
      <c r="AZ37" s="235"/>
      <c r="BA37" s="235"/>
      <c r="BB37" s="235"/>
      <c r="BC37" s="235"/>
      <c r="BD37" s="235"/>
      <c r="BE37" s="235"/>
      <c r="BF37" s="235"/>
      <c r="BG37" s="235"/>
      <c r="BH37" s="235"/>
      <c r="BI37" s="235"/>
      <c r="BJ37" s="235"/>
      <c r="BK37" s="235"/>
      <c r="BL37" s="235"/>
      <c r="BM37" s="235"/>
      <c r="BN37" s="235"/>
      <c r="BO37" s="235"/>
      <c r="BP37" s="235"/>
      <c r="BQ37" s="235"/>
      <c r="BR37" s="235"/>
      <c r="BS37" s="235"/>
      <c r="BT37" s="225"/>
      <c r="BU37" s="225"/>
      <c r="BV37" s="225"/>
      <c r="BW37" s="225"/>
      <c r="BX37" s="225"/>
      <c r="BY37" s="225"/>
      <c r="BZ37" s="225"/>
      <c r="CA37" s="225"/>
    </row>
    <row r="38" spans="1:79" ht="15" customHeight="1" x14ac:dyDescent="0.2">
      <c r="A38" s="225"/>
      <c r="B38" s="225"/>
      <c r="C38" s="225"/>
      <c r="D38" s="225"/>
      <c r="E38" s="225"/>
      <c r="F38" s="225"/>
      <c r="G38" s="225"/>
      <c r="H38" s="225"/>
      <c r="I38" s="225"/>
      <c r="J38" s="225"/>
      <c r="K38" s="225"/>
      <c r="L38" s="225"/>
      <c r="M38" s="225"/>
      <c r="N38" s="225"/>
      <c r="O38" s="225"/>
      <c r="P38" s="233"/>
      <c r="Q38" s="234"/>
      <c r="R38" s="234"/>
      <c r="S38" s="234"/>
      <c r="T38" s="234"/>
      <c r="U38" s="234"/>
      <c r="V38" s="234"/>
      <c r="W38" s="233"/>
      <c r="X38" s="234"/>
      <c r="Y38" s="234"/>
      <c r="Z38" s="234"/>
      <c r="AA38" s="234"/>
      <c r="AB38" s="234"/>
      <c r="AC38" s="234"/>
      <c r="AD38" s="225"/>
      <c r="AE38" s="225"/>
      <c r="AF38" s="225"/>
      <c r="AG38" s="225"/>
      <c r="AH38" s="225"/>
      <c r="AI38" s="225"/>
      <c r="AJ38" s="225"/>
      <c r="AK38" s="225"/>
      <c r="AL38" s="225"/>
      <c r="AM38" s="235"/>
      <c r="AN38" s="235"/>
      <c r="AO38" s="235"/>
      <c r="AP38" s="235"/>
      <c r="AQ38" s="235"/>
      <c r="AR38" s="235"/>
      <c r="AS38" s="235"/>
      <c r="AT38" s="235"/>
      <c r="AU38" s="235"/>
      <c r="AV38" s="235"/>
      <c r="AW38" s="235"/>
      <c r="AX38" s="235"/>
      <c r="AY38" s="235"/>
      <c r="AZ38" s="235"/>
      <c r="BA38" s="235"/>
      <c r="BB38" s="235"/>
      <c r="BC38" s="235"/>
      <c r="BD38" s="235"/>
      <c r="BE38" s="235"/>
      <c r="BF38" s="235"/>
      <c r="BG38" s="235"/>
      <c r="BH38" s="235"/>
      <c r="BI38" s="235"/>
      <c r="BJ38" s="235"/>
      <c r="BK38" s="235"/>
      <c r="BL38" s="235"/>
      <c r="BM38" s="235"/>
      <c r="BN38" s="235"/>
      <c r="BO38" s="235"/>
      <c r="BP38" s="235"/>
      <c r="BQ38" s="235"/>
      <c r="BR38" s="235"/>
      <c r="BS38" s="235"/>
      <c r="BT38" s="225"/>
      <c r="BU38" s="225"/>
      <c r="BV38" s="225"/>
      <c r="BW38" s="225"/>
      <c r="BX38" s="225"/>
      <c r="BY38" s="225"/>
      <c r="BZ38" s="225"/>
      <c r="CA38" s="225"/>
    </row>
    <row r="39" spans="1:79" ht="15" customHeight="1" x14ac:dyDescent="0.2">
      <c r="A39" s="225"/>
      <c r="B39" s="225"/>
      <c r="C39" s="225"/>
      <c r="D39" s="225"/>
      <c r="E39" s="225"/>
      <c r="F39" s="225"/>
      <c r="G39" s="225"/>
      <c r="H39" s="225"/>
      <c r="I39" s="238"/>
      <c r="J39" s="238"/>
      <c r="K39" s="238"/>
      <c r="L39" s="238"/>
      <c r="M39" s="238"/>
      <c r="N39" s="238"/>
      <c r="O39" s="238"/>
      <c r="P39" s="233"/>
      <c r="Q39" s="234"/>
      <c r="R39" s="234"/>
      <c r="S39" s="234"/>
      <c r="T39" s="234"/>
      <c r="U39" s="234"/>
      <c r="V39" s="234"/>
      <c r="W39" s="236"/>
      <c r="X39" s="237"/>
      <c r="Y39" s="237"/>
      <c r="Z39" s="237"/>
      <c r="AA39" s="237"/>
      <c r="AB39" s="237"/>
      <c r="AC39" s="237"/>
      <c r="AD39" s="225"/>
      <c r="AE39" s="225"/>
      <c r="AF39" s="225"/>
      <c r="AG39" s="225"/>
      <c r="AH39" s="225"/>
      <c r="AI39" s="225"/>
      <c r="AJ39" s="225"/>
      <c r="AK39" s="225"/>
      <c r="AL39" s="225"/>
      <c r="AM39" s="235"/>
      <c r="AN39" s="235"/>
      <c r="AO39" s="235"/>
      <c r="AP39" s="235"/>
      <c r="AQ39" s="235"/>
      <c r="AR39" s="235"/>
      <c r="AS39" s="235"/>
      <c r="AT39" s="235"/>
      <c r="AU39" s="235"/>
      <c r="AV39" s="235"/>
      <c r="AW39" s="235"/>
      <c r="AX39" s="235"/>
      <c r="AY39" s="235"/>
      <c r="AZ39" s="235"/>
      <c r="BA39" s="235"/>
      <c r="BB39" s="235"/>
      <c r="BC39" s="235"/>
      <c r="BD39" s="235"/>
      <c r="BE39" s="235"/>
      <c r="BF39" s="235"/>
      <c r="BG39" s="235"/>
      <c r="BH39" s="235"/>
      <c r="BI39" s="235"/>
      <c r="BJ39" s="235"/>
      <c r="BK39" s="235"/>
      <c r="BL39" s="235"/>
      <c r="BM39" s="235"/>
      <c r="BN39" s="235"/>
      <c r="BO39" s="225"/>
      <c r="BP39" s="225"/>
      <c r="BQ39" s="225"/>
      <c r="BR39" s="225"/>
      <c r="BS39" s="225"/>
      <c r="BT39" s="225"/>
      <c r="BU39" s="225"/>
      <c r="BV39" s="225"/>
      <c r="BW39" s="225"/>
      <c r="BX39" s="225"/>
      <c r="BY39" s="225"/>
      <c r="BZ39" s="225"/>
      <c r="CA39" s="225"/>
    </row>
    <row r="40" spans="1:79" ht="15" customHeight="1" x14ac:dyDescent="0.2">
      <c r="A40" s="225"/>
      <c r="B40" s="225"/>
      <c r="C40" s="225"/>
      <c r="D40" s="225"/>
      <c r="E40" s="225"/>
      <c r="F40" s="225"/>
      <c r="G40" s="225"/>
      <c r="H40" s="225"/>
      <c r="I40" s="225"/>
      <c r="J40" s="225"/>
      <c r="K40" s="225"/>
      <c r="L40" s="225"/>
      <c r="M40" s="225"/>
      <c r="N40" s="225"/>
      <c r="O40" s="225"/>
      <c r="P40" s="233"/>
      <c r="Q40" s="234"/>
      <c r="R40" s="234"/>
      <c r="S40" s="234"/>
      <c r="T40" s="234"/>
      <c r="U40" s="234"/>
      <c r="V40" s="234"/>
      <c r="W40" s="225"/>
      <c r="X40" s="225"/>
      <c r="Y40" s="225"/>
      <c r="Z40" s="225"/>
      <c r="AA40" s="225"/>
      <c r="AB40" s="225"/>
      <c r="AC40" s="225"/>
      <c r="AD40" s="225"/>
      <c r="AE40" s="225"/>
      <c r="AF40" s="235"/>
      <c r="AG40" s="235"/>
      <c r="AH40" s="235"/>
      <c r="AI40" s="235"/>
      <c r="AJ40" s="235"/>
      <c r="AK40" s="235"/>
      <c r="AL40" s="235"/>
      <c r="AM40" s="235"/>
      <c r="AN40" s="235"/>
      <c r="AO40" s="235"/>
      <c r="AP40" s="235"/>
      <c r="AQ40" s="235"/>
      <c r="AR40" s="235"/>
      <c r="AS40" s="235"/>
      <c r="AT40" s="235"/>
      <c r="AU40" s="235"/>
      <c r="AV40" s="235"/>
      <c r="AW40" s="235"/>
      <c r="AX40" s="235"/>
      <c r="AY40" s="235"/>
      <c r="AZ40" s="235"/>
      <c r="BA40" s="235"/>
      <c r="BB40" s="235"/>
      <c r="BC40" s="235"/>
      <c r="BD40" s="235"/>
      <c r="BE40" s="235"/>
      <c r="BF40" s="235"/>
      <c r="BG40" s="235"/>
      <c r="BH40" s="235"/>
      <c r="BI40" s="235"/>
      <c r="BJ40" s="235"/>
      <c r="BK40" s="235"/>
      <c r="BL40" s="235"/>
      <c r="BM40" s="235"/>
      <c r="BN40" s="235"/>
      <c r="BO40" s="225"/>
      <c r="BP40" s="225"/>
      <c r="BQ40" s="225"/>
      <c r="BR40" s="225"/>
      <c r="BS40" s="225"/>
      <c r="BT40" s="225"/>
      <c r="BU40" s="225"/>
      <c r="BV40" s="225"/>
      <c r="BW40" s="225"/>
      <c r="BX40" s="225"/>
      <c r="BY40" s="225"/>
      <c r="BZ40" s="225"/>
      <c r="CA40" s="225"/>
    </row>
    <row r="41" spans="1:79" ht="15" customHeight="1" x14ac:dyDescent="0.2">
      <c r="A41" s="225"/>
      <c r="B41" s="225"/>
      <c r="C41" s="225"/>
      <c r="D41" s="225"/>
      <c r="E41" s="225"/>
      <c r="F41" s="225"/>
      <c r="G41" s="225"/>
      <c r="H41" s="225"/>
      <c r="I41" s="225"/>
      <c r="J41" s="225"/>
      <c r="K41" s="225"/>
      <c r="L41" s="225"/>
      <c r="M41" s="225"/>
      <c r="N41" s="225"/>
      <c r="O41" s="225"/>
      <c r="P41" s="233"/>
      <c r="Q41" s="234"/>
      <c r="R41" s="234"/>
      <c r="S41" s="234"/>
      <c r="T41" s="234"/>
      <c r="U41" s="234"/>
      <c r="V41" s="234"/>
      <c r="W41" s="225"/>
      <c r="X41" s="225"/>
      <c r="Y41" s="225"/>
      <c r="Z41" s="225"/>
      <c r="AA41" s="225"/>
      <c r="AB41" s="225"/>
      <c r="AC41" s="225"/>
      <c r="AD41" s="225"/>
      <c r="AE41" s="225"/>
      <c r="AF41" s="235"/>
      <c r="AG41" s="235"/>
      <c r="AH41" s="235"/>
      <c r="AI41" s="235"/>
      <c r="AJ41" s="235"/>
      <c r="AK41" s="235"/>
      <c r="AL41" s="235"/>
      <c r="AM41" s="235"/>
      <c r="AN41" s="235"/>
      <c r="AO41" s="235"/>
      <c r="AP41" s="235"/>
      <c r="AQ41" s="235"/>
      <c r="AR41" s="235"/>
      <c r="AS41" s="235"/>
      <c r="AT41" s="235"/>
      <c r="AU41" s="235"/>
      <c r="AV41" s="235"/>
      <c r="AW41" s="235"/>
      <c r="AX41" s="235"/>
      <c r="AY41" s="235"/>
      <c r="AZ41" s="235"/>
      <c r="BA41" s="235"/>
      <c r="BB41" s="235"/>
      <c r="BC41" s="235"/>
      <c r="BD41" s="235"/>
      <c r="BE41" s="235"/>
      <c r="BF41" s="235"/>
      <c r="BG41" s="235"/>
      <c r="BH41" s="235"/>
      <c r="BI41" s="235"/>
      <c r="BJ41" s="235"/>
      <c r="BK41" s="235"/>
      <c r="BL41" s="235"/>
      <c r="BM41" s="235"/>
      <c r="BN41" s="235"/>
      <c r="BO41" s="225"/>
      <c r="BP41" s="225"/>
      <c r="BQ41" s="225"/>
      <c r="BR41" s="225"/>
      <c r="BS41" s="225"/>
      <c r="BT41" s="225"/>
      <c r="BU41" s="225"/>
      <c r="BV41" s="225"/>
      <c r="BW41" s="225"/>
      <c r="BX41" s="225"/>
      <c r="BY41" s="225"/>
      <c r="BZ41" s="225"/>
      <c r="CA41" s="225"/>
    </row>
    <row r="42" spans="1:79" ht="15" customHeight="1" x14ac:dyDescent="0.2">
      <c r="A42" s="225"/>
      <c r="B42" s="225"/>
      <c r="C42" s="225"/>
      <c r="D42" s="225"/>
      <c r="E42" s="225"/>
      <c r="F42" s="225"/>
      <c r="G42" s="225"/>
      <c r="H42" s="225"/>
      <c r="I42" s="225"/>
      <c r="J42" s="225"/>
      <c r="K42" s="225"/>
      <c r="L42" s="225"/>
      <c r="M42" s="225"/>
      <c r="N42" s="225"/>
      <c r="O42" s="225"/>
      <c r="P42" s="236"/>
      <c r="Q42" s="237"/>
      <c r="R42" s="237"/>
      <c r="S42" s="237"/>
      <c r="T42" s="237"/>
      <c r="U42" s="237"/>
      <c r="V42" s="237"/>
      <c r="W42" s="225"/>
      <c r="X42" s="225"/>
      <c r="Y42" s="225"/>
      <c r="Z42" s="225"/>
      <c r="AA42" s="235"/>
      <c r="AB42" s="235"/>
      <c r="AC42" s="235"/>
      <c r="AD42" s="235"/>
      <c r="AE42" s="235"/>
      <c r="AF42" s="235"/>
      <c r="AG42" s="235"/>
      <c r="AH42" s="235"/>
      <c r="AI42" s="235"/>
      <c r="AJ42" s="235"/>
      <c r="AK42" s="235"/>
      <c r="AL42" s="235"/>
      <c r="AM42" s="235"/>
      <c r="AN42" s="235"/>
      <c r="AO42" s="235"/>
      <c r="AP42" s="235"/>
      <c r="AQ42" s="235"/>
      <c r="AR42" s="235"/>
      <c r="AS42" s="235"/>
      <c r="AT42" s="235"/>
      <c r="AU42" s="235"/>
      <c r="AV42" s="235"/>
      <c r="AW42" s="235"/>
      <c r="AX42" s="235"/>
      <c r="AY42" s="235"/>
      <c r="AZ42" s="235"/>
      <c r="BA42" s="235"/>
      <c r="BB42" s="235"/>
      <c r="BC42" s="235"/>
      <c r="BD42" s="235"/>
      <c r="BE42" s="235"/>
      <c r="BF42" s="235"/>
      <c r="BG42" s="235"/>
      <c r="BH42" s="235"/>
      <c r="BI42" s="235"/>
      <c r="BJ42" s="235"/>
      <c r="BK42" s="235"/>
      <c r="BL42" s="235"/>
      <c r="BM42" s="235"/>
      <c r="BN42" s="235"/>
      <c r="BO42" s="225"/>
      <c r="BP42" s="225"/>
      <c r="BQ42" s="225"/>
      <c r="BR42" s="225"/>
      <c r="BS42" s="225"/>
      <c r="BT42" s="225"/>
      <c r="BU42" s="225"/>
      <c r="BV42" s="225"/>
      <c r="BW42" s="225"/>
      <c r="BX42" s="225"/>
      <c r="BY42" s="225"/>
      <c r="BZ42" s="225"/>
      <c r="CA42" s="225"/>
    </row>
    <row r="43" spans="1:79" ht="15" customHeight="1" x14ac:dyDescent="0.2">
      <c r="A43" s="225"/>
      <c r="B43" s="225"/>
      <c r="C43" s="225"/>
      <c r="D43" s="225"/>
      <c r="E43" s="225"/>
      <c r="F43" s="225"/>
      <c r="G43" s="225"/>
      <c r="H43" s="225"/>
      <c r="I43" s="225"/>
      <c r="J43" s="225"/>
      <c r="K43" s="225"/>
      <c r="L43" s="225"/>
      <c r="M43" s="225"/>
      <c r="N43" s="225"/>
      <c r="O43" s="225"/>
      <c r="P43" s="225"/>
      <c r="Q43" s="225"/>
      <c r="R43" s="225"/>
      <c r="S43" s="225"/>
      <c r="T43" s="225"/>
      <c r="U43" s="225"/>
      <c r="V43" s="241"/>
      <c r="W43" s="225"/>
      <c r="X43" s="225"/>
      <c r="Y43" s="235"/>
      <c r="Z43" s="235"/>
      <c r="AA43" s="235"/>
      <c r="AB43" s="235"/>
      <c r="AC43" s="235"/>
      <c r="AD43" s="235"/>
      <c r="AE43" s="235"/>
      <c r="AF43" s="235"/>
      <c r="AG43" s="235"/>
      <c r="AH43" s="235"/>
      <c r="AI43" s="235"/>
      <c r="AJ43" s="235"/>
      <c r="AK43" s="235"/>
      <c r="AL43" s="235"/>
      <c r="AM43" s="235"/>
      <c r="AN43" s="235"/>
      <c r="AO43" s="235"/>
      <c r="AP43" s="235"/>
      <c r="AQ43" s="235"/>
      <c r="AR43" s="235"/>
      <c r="AS43" s="235"/>
      <c r="AT43" s="235"/>
      <c r="AU43" s="235"/>
      <c r="AV43" s="235"/>
      <c r="AW43" s="235"/>
      <c r="AX43" s="235"/>
      <c r="AY43" s="235"/>
      <c r="AZ43" s="235"/>
      <c r="BA43" s="235"/>
      <c r="BB43" s="235"/>
      <c r="BC43" s="235"/>
      <c r="BD43" s="235"/>
      <c r="BE43" s="235"/>
      <c r="BF43" s="225"/>
      <c r="BG43" s="225"/>
      <c r="BH43" s="225"/>
      <c r="BI43" s="225"/>
      <c r="BJ43" s="225"/>
      <c r="BK43" s="225"/>
      <c r="BL43" s="225"/>
      <c r="BM43" s="225"/>
      <c r="BN43" s="225"/>
      <c r="BO43" s="225"/>
      <c r="BP43" s="225"/>
      <c r="BQ43" s="225"/>
      <c r="BR43" s="225"/>
      <c r="BS43" s="225"/>
      <c r="BT43" s="225"/>
      <c r="BU43" s="225"/>
      <c r="BV43" s="225"/>
      <c r="BW43" s="225"/>
      <c r="BX43" s="225"/>
      <c r="BY43" s="225"/>
      <c r="BZ43" s="225"/>
      <c r="CA43" s="225"/>
    </row>
    <row r="44" spans="1:79" ht="15" customHeight="1" x14ac:dyDescent="0.2">
      <c r="A44" s="225"/>
      <c r="B44" s="225"/>
      <c r="C44" s="225"/>
      <c r="D44" s="225"/>
      <c r="E44" s="225"/>
      <c r="F44" s="225"/>
      <c r="G44" s="225"/>
      <c r="H44" s="225"/>
      <c r="I44" s="225"/>
      <c r="J44" s="225"/>
      <c r="K44" s="225"/>
      <c r="L44" s="225"/>
      <c r="M44" s="225"/>
      <c r="N44" s="225"/>
      <c r="O44" s="225"/>
      <c r="P44" s="225"/>
      <c r="Q44" s="225"/>
      <c r="R44" s="225"/>
      <c r="S44" s="235"/>
      <c r="T44" s="235"/>
      <c r="U44" s="235"/>
      <c r="V44" s="235"/>
      <c r="W44" s="235"/>
      <c r="X44" s="235"/>
      <c r="Y44" s="235"/>
      <c r="Z44" s="235"/>
      <c r="AA44" s="235"/>
      <c r="AB44" s="235"/>
      <c r="AC44" s="235"/>
      <c r="AD44" s="235"/>
      <c r="AE44" s="235"/>
      <c r="AF44" s="235"/>
      <c r="AG44" s="235"/>
      <c r="AH44" s="235"/>
      <c r="AI44" s="235"/>
      <c r="AJ44" s="235"/>
      <c r="AK44" s="235"/>
      <c r="AL44" s="235"/>
      <c r="AM44" s="235"/>
      <c r="AN44" s="235"/>
      <c r="AO44" s="235"/>
      <c r="AP44" s="235"/>
      <c r="AQ44" s="235"/>
      <c r="AR44" s="235"/>
      <c r="AS44" s="235"/>
      <c r="AT44" s="235"/>
      <c r="AU44" s="235"/>
      <c r="AV44" s="235"/>
      <c r="AW44" s="235"/>
      <c r="AX44" s="235"/>
      <c r="AY44" s="235"/>
      <c r="AZ44" s="235"/>
      <c r="BA44" s="235"/>
      <c r="BB44" s="235"/>
      <c r="BC44" s="235"/>
      <c r="BD44" s="235"/>
      <c r="BE44" s="235"/>
      <c r="BF44" s="225"/>
      <c r="BG44" s="225"/>
      <c r="BH44" s="225"/>
      <c r="BI44" s="225"/>
      <c r="BJ44" s="225"/>
      <c r="BK44" s="225"/>
      <c r="BL44" s="225"/>
      <c r="BM44" s="225"/>
      <c r="BN44" s="225"/>
      <c r="BO44" s="225"/>
      <c r="BP44" s="225"/>
      <c r="BQ44" s="225"/>
      <c r="BR44" s="225"/>
      <c r="BS44" s="225"/>
      <c r="BT44" s="225"/>
      <c r="BU44" s="225"/>
      <c r="BV44" s="225"/>
      <c r="BW44" s="225"/>
      <c r="BX44" s="225"/>
      <c r="BY44" s="225"/>
      <c r="BZ44" s="225"/>
      <c r="CA44" s="225"/>
    </row>
    <row r="45" spans="1:79" ht="15" customHeight="1" x14ac:dyDescent="0.2">
      <c r="A45" s="225"/>
      <c r="B45" s="225"/>
      <c r="C45" s="225"/>
      <c r="D45" s="225"/>
      <c r="E45" s="225"/>
      <c r="F45" s="225"/>
      <c r="G45" s="225"/>
      <c r="H45" s="225"/>
      <c r="I45" s="225"/>
      <c r="J45" s="225"/>
      <c r="K45" s="225"/>
      <c r="L45" s="225"/>
      <c r="M45" s="225"/>
      <c r="N45" s="225"/>
      <c r="O45" s="225"/>
      <c r="P45" s="225"/>
      <c r="Q45" s="225"/>
      <c r="R45" s="235"/>
      <c r="S45" s="235"/>
      <c r="T45" s="235"/>
      <c r="U45" s="235"/>
      <c r="V45" s="235"/>
      <c r="W45" s="235"/>
      <c r="X45" s="235"/>
      <c r="Y45" s="235"/>
      <c r="Z45" s="235"/>
      <c r="AA45" s="235"/>
      <c r="AB45" s="235"/>
      <c r="AC45" s="235"/>
      <c r="AD45" s="235"/>
      <c r="AE45" s="235"/>
      <c r="AF45" s="235"/>
      <c r="AG45" s="235"/>
      <c r="AH45" s="235"/>
      <c r="AI45" s="235"/>
      <c r="AJ45" s="235"/>
      <c r="AK45" s="235"/>
      <c r="AL45" s="235"/>
      <c r="AM45" s="235"/>
      <c r="AN45" s="235"/>
      <c r="AO45" s="235"/>
      <c r="AP45" s="235"/>
      <c r="AQ45" s="235"/>
      <c r="AR45" s="235"/>
      <c r="AS45" s="235"/>
      <c r="AT45" s="235"/>
      <c r="AU45" s="235"/>
      <c r="AV45" s="235"/>
      <c r="AW45" s="235"/>
      <c r="AX45" s="235"/>
      <c r="AY45" s="235"/>
      <c r="AZ45" s="235"/>
      <c r="BA45" s="235"/>
      <c r="BB45" s="235"/>
      <c r="BC45" s="235"/>
      <c r="BD45" s="235"/>
      <c r="BE45" s="225"/>
      <c r="BF45" s="225"/>
      <c r="BG45" s="225"/>
      <c r="BH45" s="225"/>
      <c r="BI45" s="225"/>
      <c r="BJ45" s="225"/>
      <c r="BK45" s="225"/>
      <c r="BL45" s="225"/>
      <c r="BM45" s="225"/>
      <c r="BN45" s="225"/>
      <c r="BO45" s="225"/>
      <c r="BP45" s="225"/>
      <c r="BQ45" s="225"/>
      <c r="BR45" s="225"/>
      <c r="BS45" s="225"/>
      <c r="BT45" s="225"/>
      <c r="BU45" s="225"/>
      <c r="BV45" s="225"/>
      <c r="BW45" s="225"/>
      <c r="BX45" s="225"/>
      <c r="BY45" s="225"/>
      <c r="BZ45" s="225"/>
      <c r="CA45" s="225"/>
    </row>
    <row r="46" spans="1:79" ht="15" customHeight="1" x14ac:dyDescent="0.2">
      <c r="A46" s="225"/>
      <c r="B46" s="225"/>
      <c r="C46" s="225"/>
      <c r="D46" s="225"/>
      <c r="E46" s="225"/>
      <c r="F46" s="225"/>
      <c r="G46" s="225"/>
      <c r="H46" s="225"/>
      <c r="I46" s="225"/>
      <c r="J46" s="225"/>
      <c r="K46" s="225"/>
      <c r="L46" s="225"/>
      <c r="M46" s="225"/>
      <c r="N46" s="225"/>
      <c r="O46" s="225"/>
      <c r="P46" s="225"/>
      <c r="Q46" s="225"/>
      <c r="R46" s="235"/>
      <c r="S46" s="235"/>
      <c r="T46" s="235"/>
      <c r="U46" s="235"/>
      <c r="V46" s="235"/>
      <c r="W46" s="235"/>
      <c r="X46" s="235"/>
      <c r="Y46" s="235"/>
      <c r="Z46" s="235"/>
      <c r="AA46" s="235"/>
      <c r="AB46" s="235"/>
      <c r="AC46" s="235"/>
      <c r="AD46" s="235"/>
      <c r="AE46" s="235"/>
      <c r="AF46" s="235"/>
      <c r="AG46" s="235"/>
      <c r="AH46" s="235"/>
      <c r="AI46" s="235"/>
      <c r="AJ46" s="235"/>
      <c r="AK46" s="235"/>
      <c r="AL46" s="235"/>
      <c r="AM46" s="235"/>
      <c r="AN46" s="235"/>
      <c r="AO46" s="235"/>
      <c r="AP46" s="235"/>
      <c r="AQ46" s="235"/>
      <c r="AR46" s="235"/>
      <c r="AS46" s="235"/>
      <c r="AT46" s="235"/>
      <c r="AU46" s="235"/>
      <c r="AV46" s="235"/>
      <c r="AW46" s="235"/>
      <c r="AX46" s="235"/>
      <c r="AY46" s="235"/>
      <c r="AZ46" s="235"/>
      <c r="BA46" s="225"/>
      <c r="BB46" s="225"/>
      <c r="BC46" s="225"/>
      <c r="BD46" s="225"/>
      <c r="BE46" s="225"/>
      <c r="BF46" s="225"/>
      <c r="BG46" s="225"/>
      <c r="BH46" s="225"/>
      <c r="BI46" s="225"/>
      <c r="BJ46" s="225"/>
      <c r="BK46" s="225"/>
      <c r="BL46" s="225"/>
      <c r="BM46" s="225"/>
      <c r="BN46" s="225"/>
      <c r="BO46" s="225"/>
      <c r="BP46" s="225"/>
      <c r="BQ46" s="225"/>
      <c r="BR46" s="225"/>
      <c r="BS46" s="225"/>
      <c r="BT46" s="225"/>
      <c r="BU46" s="225"/>
      <c r="BV46" s="225"/>
      <c r="BW46" s="225"/>
      <c r="BX46" s="225"/>
      <c r="BY46" s="225"/>
      <c r="BZ46" s="225"/>
      <c r="CA46" s="225"/>
    </row>
    <row r="47" spans="1:79" ht="15" customHeight="1" x14ac:dyDescent="0.2">
      <c r="A47" s="225"/>
      <c r="B47" s="225"/>
      <c r="C47" s="225"/>
      <c r="D47" s="225"/>
      <c r="E47" s="225"/>
      <c r="F47" s="225"/>
      <c r="G47" s="225"/>
      <c r="H47" s="225"/>
      <c r="I47" s="225"/>
      <c r="J47" s="225"/>
      <c r="K47" s="225"/>
      <c r="L47" s="225"/>
      <c r="M47" s="225"/>
      <c r="N47" s="225"/>
      <c r="O47" s="225"/>
      <c r="P47" s="225"/>
      <c r="Q47" s="225"/>
      <c r="R47" s="235"/>
      <c r="S47" s="235"/>
      <c r="T47" s="235"/>
      <c r="U47" s="235"/>
      <c r="V47" s="235"/>
      <c r="W47" s="235"/>
      <c r="X47" s="235"/>
      <c r="Y47" s="235"/>
      <c r="Z47" s="235"/>
      <c r="AA47" s="235"/>
      <c r="AB47" s="235"/>
      <c r="AC47" s="235"/>
      <c r="AD47" s="235"/>
      <c r="AE47" s="235"/>
      <c r="AF47" s="235"/>
      <c r="AG47" s="235"/>
      <c r="AH47" s="235"/>
      <c r="AI47" s="235"/>
      <c r="AJ47" s="235"/>
      <c r="AK47" s="235"/>
      <c r="AL47" s="235"/>
      <c r="AM47" s="235"/>
      <c r="AN47" s="235"/>
      <c r="AO47" s="235"/>
      <c r="AP47" s="235"/>
      <c r="AQ47" s="235"/>
      <c r="AR47" s="235"/>
      <c r="AS47" s="235"/>
      <c r="AT47" s="235"/>
      <c r="AU47" s="235"/>
      <c r="AV47" s="235"/>
      <c r="AW47" s="235"/>
      <c r="AX47" s="235"/>
      <c r="AY47" s="235"/>
      <c r="AZ47" s="225"/>
      <c r="BA47" s="225"/>
      <c r="BB47" s="225"/>
      <c r="BC47" s="225"/>
      <c r="BD47" s="225"/>
      <c r="BE47" s="225"/>
      <c r="BF47" s="225"/>
      <c r="BG47" s="225"/>
      <c r="BH47" s="225"/>
      <c r="BI47" s="225"/>
      <c r="BJ47" s="225"/>
      <c r="BK47" s="225"/>
      <c r="BL47" s="225"/>
      <c r="BM47" s="225"/>
      <c r="BN47" s="225"/>
      <c r="BO47" s="225"/>
      <c r="BP47" s="225"/>
      <c r="BQ47" s="225"/>
      <c r="BR47" s="225"/>
      <c r="BS47" s="225"/>
      <c r="BT47" s="225"/>
      <c r="BU47" s="225"/>
      <c r="BV47" s="225"/>
      <c r="BW47" s="225"/>
      <c r="BX47" s="225"/>
      <c r="BY47" s="225"/>
      <c r="BZ47" s="225"/>
      <c r="CA47" s="225"/>
    </row>
    <row r="48" spans="1:79" ht="15" customHeight="1" x14ac:dyDescent="0.2">
      <c r="A48" s="225"/>
      <c r="B48" s="225"/>
      <c r="C48" s="225"/>
      <c r="D48" s="225"/>
      <c r="E48" s="225"/>
      <c r="F48" s="225"/>
      <c r="G48" s="225"/>
      <c r="H48" s="225"/>
      <c r="I48" s="225"/>
      <c r="J48" s="225"/>
      <c r="K48" s="225"/>
      <c r="L48" s="225"/>
      <c r="M48" s="225"/>
      <c r="N48" s="225"/>
      <c r="O48" s="225"/>
      <c r="P48" s="225"/>
      <c r="Q48" s="225"/>
      <c r="R48" s="235"/>
      <c r="S48" s="235"/>
      <c r="T48" s="235"/>
      <c r="U48" s="235"/>
      <c r="V48" s="235"/>
      <c r="W48" s="235"/>
      <c r="X48" s="235"/>
      <c r="Y48" s="235"/>
      <c r="Z48" s="235"/>
      <c r="AA48" s="235"/>
      <c r="AB48" s="235"/>
      <c r="AC48" s="235"/>
      <c r="AD48" s="235"/>
      <c r="AE48" s="235"/>
      <c r="AF48" s="235"/>
      <c r="AG48" s="235"/>
      <c r="AH48" s="235"/>
      <c r="AI48" s="235"/>
      <c r="AJ48" s="235"/>
      <c r="AK48" s="235"/>
      <c r="AL48" s="235"/>
      <c r="AM48" s="235"/>
      <c r="AN48" s="235"/>
      <c r="AO48" s="235"/>
      <c r="AP48" s="235"/>
      <c r="AQ48" s="235"/>
      <c r="AR48" s="235"/>
      <c r="AS48" s="235"/>
      <c r="AT48" s="235"/>
      <c r="AU48" s="235"/>
      <c r="AV48" s="235"/>
      <c r="AW48" s="235"/>
      <c r="AX48" s="235"/>
      <c r="AY48" s="235"/>
      <c r="AZ48" s="225"/>
      <c r="BA48" s="225"/>
      <c r="BB48" s="225"/>
      <c r="BC48" s="225"/>
      <c r="BD48" s="225"/>
      <c r="BE48" s="225"/>
      <c r="BF48" s="225"/>
      <c r="BG48" s="225"/>
      <c r="BH48" s="225"/>
      <c r="BI48" s="225"/>
      <c r="BJ48" s="225"/>
      <c r="BK48" s="225"/>
      <c r="BL48" s="225"/>
      <c r="BM48" s="225"/>
      <c r="BN48" s="225"/>
      <c r="BO48" s="225"/>
      <c r="BP48" s="225"/>
      <c r="BQ48" s="225"/>
      <c r="BR48" s="225"/>
      <c r="BS48" s="225"/>
      <c r="BT48" s="225"/>
      <c r="BU48" s="225"/>
      <c r="BV48" s="225"/>
      <c r="BW48" s="225"/>
      <c r="BX48" s="225"/>
      <c r="BY48" s="225"/>
      <c r="BZ48" s="225"/>
      <c r="CA48" s="225"/>
    </row>
    <row r="49" spans="1:79" ht="15" customHeight="1" x14ac:dyDescent="0.2">
      <c r="A49" s="225"/>
      <c r="B49" s="225"/>
      <c r="C49" s="225"/>
      <c r="D49" s="225"/>
      <c r="E49" s="225"/>
      <c r="F49" s="225"/>
      <c r="G49" s="225"/>
      <c r="H49" s="225"/>
      <c r="I49" s="225"/>
      <c r="J49" s="225"/>
      <c r="K49" s="225"/>
      <c r="L49" s="225"/>
      <c r="M49" s="225"/>
      <c r="N49" s="225"/>
      <c r="O49" s="225"/>
      <c r="P49" s="225"/>
      <c r="Q49" s="225"/>
      <c r="R49" s="235"/>
      <c r="S49" s="235"/>
      <c r="T49" s="235"/>
      <c r="U49" s="235"/>
      <c r="V49" s="235"/>
      <c r="W49" s="235"/>
      <c r="X49" s="235"/>
      <c r="Y49" s="235"/>
      <c r="Z49" s="235"/>
      <c r="AA49" s="235"/>
      <c r="AB49" s="235"/>
      <c r="AC49" s="235"/>
      <c r="AD49" s="235"/>
      <c r="AE49" s="235"/>
      <c r="AF49" s="235"/>
      <c r="AG49" s="235"/>
      <c r="AH49" s="235"/>
      <c r="AI49" s="235"/>
      <c r="AJ49" s="235"/>
      <c r="AK49" s="235"/>
      <c r="AL49" s="235"/>
      <c r="AM49" s="235"/>
      <c r="AN49" s="235"/>
      <c r="AO49" s="235"/>
      <c r="AP49" s="235"/>
      <c r="AQ49" s="235"/>
      <c r="AR49" s="235"/>
      <c r="AS49" s="235"/>
      <c r="AT49" s="235"/>
      <c r="AU49" s="235"/>
      <c r="AV49" s="235"/>
      <c r="AW49" s="235"/>
      <c r="AX49" s="235"/>
      <c r="AY49" s="235"/>
      <c r="AZ49" s="225"/>
      <c r="BA49" s="225"/>
      <c r="BB49" s="225"/>
      <c r="BC49" s="225"/>
      <c r="BD49" s="225"/>
      <c r="BE49" s="225"/>
      <c r="BF49" s="225"/>
      <c r="BG49" s="225"/>
      <c r="BH49" s="225"/>
      <c r="BI49" s="225"/>
      <c r="BJ49" s="225"/>
      <c r="BK49" s="225"/>
      <c r="BL49" s="225"/>
      <c r="BM49" s="225"/>
      <c r="BN49" s="225"/>
      <c r="BO49" s="225"/>
      <c r="BP49" s="225"/>
      <c r="BQ49" s="225"/>
      <c r="BR49" s="225"/>
      <c r="BS49" s="225"/>
      <c r="BT49" s="225"/>
      <c r="BU49" s="225"/>
      <c r="BV49" s="225"/>
      <c r="BW49" s="225"/>
      <c r="BX49" s="225"/>
      <c r="BY49" s="225"/>
      <c r="BZ49" s="225"/>
      <c r="CA49" s="225"/>
    </row>
    <row r="50" spans="1:79" ht="15" customHeight="1" x14ac:dyDescent="0.2">
      <c r="A50" s="225"/>
      <c r="B50" s="225"/>
      <c r="C50" s="225"/>
      <c r="D50" s="225"/>
      <c r="E50" s="225"/>
      <c r="F50" s="225"/>
      <c r="G50" s="225"/>
      <c r="H50" s="225"/>
      <c r="I50" s="225"/>
      <c r="J50" s="225"/>
      <c r="K50" s="225"/>
      <c r="L50" s="225"/>
      <c r="M50" s="225"/>
      <c r="N50" s="225"/>
      <c r="O50" s="225"/>
      <c r="P50" s="225"/>
      <c r="Q50" s="225"/>
      <c r="R50" s="235"/>
      <c r="S50" s="235"/>
      <c r="T50" s="235"/>
      <c r="U50" s="235"/>
      <c r="V50" s="235"/>
      <c r="W50" s="235"/>
      <c r="X50" s="235"/>
      <c r="Y50" s="235"/>
      <c r="Z50" s="235"/>
      <c r="AA50" s="235"/>
      <c r="AB50" s="235"/>
      <c r="AC50" s="235"/>
      <c r="AD50" s="235"/>
      <c r="AE50" s="235"/>
      <c r="AF50" s="235"/>
      <c r="AG50" s="235"/>
      <c r="AH50" s="235"/>
      <c r="AI50" s="235"/>
      <c r="AJ50" s="235"/>
      <c r="AK50" s="235"/>
      <c r="AL50" s="235"/>
      <c r="AM50" s="235"/>
      <c r="AN50" s="235"/>
      <c r="AO50" s="235"/>
      <c r="AP50" s="235"/>
      <c r="AQ50" s="235"/>
      <c r="AR50" s="235"/>
      <c r="AS50" s="235"/>
      <c r="AT50" s="235"/>
      <c r="AU50" s="235"/>
      <c r="AV50" s="242"/>
      <c r="AW50" s="235"/>
      <c r="AX50" s="235"/>
      <c r="AY50" s="235"/>
      <c r="AZ50" s="225"/>
      <c r="BA50" s="225"/>
      <c r="BB50" s="225"/>
      <c r="BC50" s="225"/>
      <c r="BD50" s="225"/>
      <c r="BE50" s="225"/>
      <c r="BF50" s="225"/>
      <c r="BG50" s="225"/>
      <c r="BH50" s="225"/>
      <c r="BI50" s="225"/>
      <c r="BJ50" s="225"/>
      <c r="BK50" s="225"/>
      <c r="BL50" s="225"/>
      <c r="BM50" s="225"/>
      <c r="BN50" s="225"/>
      <c r="BO50" s="225"/>
      <c r="BP50" s="225"/>
      <c r="BQ50" s="225"/>
      <c r="BR50" s="225"/>
      <c r="BS50" s="225"/>
      <c r="BT50" s="225"/>
      <c r="BU50" s="225"/>
      <c r="BV50" s="225"/>
      <c r="BW50" s="225"/>
      <c r="BX50" s="225"/>
      <c r="BY50" s="225"/>
      <c r="BZ50" s="225"/>
      <c r="CA50" s="225"/>
    </row>
    <row r="51" spans="1:79" ht="15" customHeight="1" x14ac:dyDescent="0.2">
      <c r="A51" s="225"/>
      <c r="B51" s="225"/>
      <c r="C51" s="225"/>
      <c r="D51" s="225"/>
      <c r="E51" s="225"/>
      <c r="F51" s="225"/>
      <c r="G51" s="225"/>
      <c r="H51" s="225"/>
      <c r="I51" s="225"/>
      <c r="J51" s="225"/>
      <c r="K51" s="225"/>
      <c r="L51" s="225"/>
      <c r="M51" s="225"/>
      <c r="N51" s="225"/>
      <c r="O51" s="225"/>
      <c r="P51" s="225"/>
      <c r="Q51" s="225"/>
      <c r="R51" s="225"/>
      <c r="S51" s="225"/>
      <c r="T51" s="225"/>
      <c r="U51" s="225"/>
      <c r="V51" s="225"/>
      <c r="W51" s="225"/>
      <c r="X51" s="225"/>
      <c r="Y51" s="225"/>
      <c r="Z51" s="235"/>
      <c r="AA51" s="235"/>
      <c r="AB51" s="235"/>
      <c r="AC51" s="235"/>
      <c r="AD51" s="235"/>
      <c r="AE51" s="235"/>
      <c r="AF51" s="235"/>
      <c r="AG51" s="235"/>
      <c r="AH51" s="235"/>
      <c r="AI51" s="235"/>
      <c r="AJ51" s="235"/>
      <c r="AK51" s="235"/>
      <c r="AL51" s="235"/>
      <c r="AM51" s="235"/>
      <c r="AN51" s="235"/>
      <c r="AO51" s="235"/>
      <c r="AP51" s="235"/>
      <c r="AQ51" s="235"/>
      <c r="AR51" s="225"/>
      <c r="AS51" s="225"/>
      <c r="AT51" s="225"/>
      <c r="AU51" s="225"/>
      <c r="AV51" s="225"/>
      <c r="AW51" s="225"/>
      <c r="AX51" s="225"/>
      <c r="AY51" s="225"/>
      <c r="AZ51" s="225"/>
      <c r="BA51" s="225"/>
      <c r="BB51" s="225"/>
      <c r="BC51" s="225"/>
      <c r="BD51" s="225"/>
      <c r="BE51" s="225"/>
      <c r="BF51" s="225"/>
      <c r="BG51" s="225"/>
      <c r="BH51" s="225"/>
      <c r="BI51" s="225"/>
      <c r="BJ51" s="225"/>
      <c r="BK51" s="225"/>
      <c r="BL51" s="225"/>
      <c r="BM51" s="225"/>
      <c r="BN51" s="225"/>
      <c r="BO51" s="225"/>
      <c r="BP51" s="225"/>
      <c r="BQ51" s="225"/>
      <c r="BR51" s="225"/>
      <c r="BS51" s="225"/>
      <c r="BT51" s="225"/>
      <c r="BU51" s="225"/>
      <c r="BV51" s="225"/>
      <c r="BW51" s="225"/>
      <c r="BX51" s="225"/>
      <c r="BY51" s="225"/>
      <c r="BZ51" s="225"/>
      <c r="CA51" s="225"/>
    </row>
    <row r="52" spans="1:79" ht="15" customHeight="1" x14ac:dyDescent="0.2">
      <c r="A52" s="225"/>
      <c r="B52" s="225"/>
      <c r="C52" s="225"/>
      <c r="D52" s="225"/>
      <c r="E52" s="225"/>
      <c r="F52" s="225"/>
      <c r="G52" s="225"/>
      <c r="H52" s="225"/>
      <c r="I52" s="225"/>
      <c r="J52" s="225"/>
      <c r="K52" s="225"/>
      <c r="L52" s="225"/>
      <c r="M52" s="225"/>
      <c r="N52" s="225"/>
      <c r="O52" s="225"/>
      <c r="P52" s="225"/>
      <c r="Q52" s="225"/>
      <c r="R52" s="225"/>
      <c r="S52" s="225"/>
      <c r="T52" s="225"/>
      <c r="U52" s="225"/>
      <c r="V52" s="225"/>
      <c r="W52" s="225"/>
      <c r="X52" s="225"/>
      <c r="Y52" s="225"/>
      <c r="Z52" s="235"/>
      <c r="AA52" s="235"/>
      <c r="AB52" s="235"/>
      <c r="AC52" s="235"/>
      <c r="AD52" s="235"/>
      <c r="AE52" s="235"/>
      <c r="AF52" s="235"/>
      <c r="AG52" s="235"/>
      <c r="AH52" s="235"/>
      <c r="AI52" s="235"/>
      <c r="AJ52" s="235"/>
      <c r="AK52" s="235"/>
      <c r="AL52" s="235"/>
      <c r="AM52" s="235"/>
      <c r="AN52" s="235"/>
      <c r="AO52" s="235"/>
      <c r="AP52" s="235"/>
      <c r="AQ52" s="235"/>
      <c r="AR52" s="225"/>
      <c r="AS52" s="225"/>
      <c r="AT52" s="225"/>
      <c r="AU52" s="225"/>
      <c r="AV52" s="225"/>
      <c r="AW52" s="225"/>
      <c r="AX52" s="225"/>
      <c r="AY52" s="225"/>
      <c r="AZ52" s="225"/>
      <c r="BA52" s="225"/>
      <c r="BB52" s="225"/>
      <c r="BC52" s="225"/>
      <c r="BD52" s="225"/>
      <c r="BE52" s="225"/>
      <c r="BF52" s="225"/>
      <c r="BG52" s="225"/>
      <c r="BH52" s="225"/>
      <c r="BI52" s="225"/>
      <c r="BJ52" s="225"/>
      <c r="BK52" s="225"/>
      <c r="BL52" s="225"/>
      <c r="BM52" s="225"/>
      <c r="BN52" s="225"/>
      <c r="BO52" s="225"/>
      <c r="BP52" s="225"/>
      <c r="BQ52" s="225"/>
      <c r="BR52" s="225"/>
      <c r="BS52" s="225"/>
      <c r="BT52" s="225"/>
      <c r="BU52" s="225"/>
      <c r="BV52" s="225"/>
      <c r="BW52" s="225"/>
      <c r="BX52" s="225"/>
      <c r="BY52" s="225"/>
      <c r="BZ52" s="225"/>
      <c r="CA52" s="225"/>
    </row>
    <row r="53" spans="1:79" s="20" customFormat="1" ht="15" customHeight="1" x14ac:dyDescent="0.2">
      <c r="A53" s="145" t="s">
        <v>50</v>
      </c>
      <c r="B53" s="145"/>
      <c r="C53" s="145"/>
      <c r="D53" s="145"/>
      <c r="E53" s="145"/>
      <c r="F53" s="145"/>
      <c r="G53" s="145"/>
      <c r="H53" s="145"/>
      <c r="I53" s="145"/>
      <c r="J53" s="145"/>
      <c r="K53" s="145"/>
      <c r="L53" s="145"/>
      <c r="M53" s="145"/>
      <c r="N53" s="145"/>
      <c r="O53" s="145"/>
      <c r="P53" s="145"/>
      <c r="Q53" s="145"/>
      <c r="R53" s="145"/>
      <c r="S53" s="145"/>
      <c r="T53" s="145"/>
      <c r="U53" s="145"/>
      <c r="V53" s="145"/>
      <c r="W53" s="145"/>
      <c r="X53" s="145"/>
      <c r="Y53" s="145"/>
      <c r="Z53" s="145"/>
      <c r="AA53" s="145"/>
      <c r="AB53" s="145"/>
      <c r="AC53" s="145"/>
      <c r="AD53" s="145"/>
      <c r="AE53" s="145"/>
      <c r="AF53" s="145"/>
      <c r="AG53" s="145"/>
      <c r="AH53" s="145"/>
      <c r="AI53" s="145"/>
      <c r="AJ53" s="145"/>
      <c r="AK53" s="145"/>
      <c r="AL53" s="145"/>
      <c r="AM53" s="145"/>
      <c r="AN53" s="145"/>
      <c r="AO53" s="145"/>
      <c r="AP53" s="145"/>
      <c r="AQ53" s="145"/>
      <c r="AR53" s="145"/>
      <c r="AS53" s="145"/>
      <c r="AT53" s="145"/>
      <c r="AU53" s="145"/>
      <c r="AV53" s="145"/>
      <c r="AW53" s="145"/>
      <c r="AX53" s="145"/>
      <c r="AY53" s="145"/>
      <c r="AZ53" s="145"/>
      <c r="BA53" s="145"/>
      <c r="BB53" s="145"/>
      <c r="BC53" s="145"/>
      <c r="BD53" s="145"/>
      <c r="BE53" s="145"/>
      <c r="BF53" s="145"/>
      <c r="BG53" s="145"/>
      <c r="BH53" s="145"/>
      <c r="BI53" s="145"/>
      <c r="BJ53" s="145"/>
      <c r="BK53" s="145"/>
      <c r="BL53" s="145"/>
      <c r="BM53" s="145"/>
      <c r="BN53" s="145"/>
      <c r="BO53" s="145"/>
      <c r="BP53" s="145"/>
      <c r="BQ53" s="145"/>
      <c r="BR53" s="145"/>
      <c r="BS53" s="145"/>
      <c r="BT53" s="145"/>
      <c r="BU53" s="145"/>
      <c r="BV53" s="145"/>
      <c r="BW53" s="145"/>
      <c r="BX53" s="145"/>
      <c r="BY53" s="145"/>
      <c r="BZ53" s="145"/>
      <c r="CA53" s="145"/>
    </row>
    <row r="55" spans="1:79" ht="15" customHeight="1" x14ac:dyDescent="0.2">
      <c r="A55" s="146" t="s">
        <v>89</v>
      </c>
      <c r="B55" s="146"/>
      <c r="C55" s="146"/>
      <c r="D55" s="146"/>
      <c r="E55" s="146"/>
      <c r="F55" s="146" t="str">
        <f>IF('Event Tree Input'!D9="Seismic Hazard","Yes","No")</f>
        <v>No</v>
      </c>
      <c r="G55" s="146"/>
      <c r="I55" s="142" t="s">
        <v>48</v>
      </c>
      <c r="J55" s="142"/>
      <c r="K55" s="146" t="s">
        <v>54</v>
      </c>
      <c r="L55" s="146"/>
      <c r="M55" s="146"/>
      <c r="N55" s="146" t="s">
        <v>55</v>
      </c>
      <c r="O55" s="146"/>
      <c r="P55" s="146"/>
    </row>
    <row r="56" spans="1:79" ht="15" customHeight="1" x14ac:dyDescent="0.2">
      <c r="I56" s="142"/>
      <c r="J56" s="142"/>
      <c r="K56" s="146" t="s">
        <v>53</v>
      </c>
      <c r="L56" s="146"/>
      <c r="M56" s="146"/>
      <c r="N56" s="146" t="s">
        <v>53</v>
      </c>
      <c r="O56" s="146"/>
      <c r="P56" s="146"/>
      <c r="S56" s="146" t="s">
        <v>48</v>
      </c>
      <c r="T56" s="146"/>
      <c r="U56" s="146" t="s">
        <v>59</v>
      </c>
      <c r="V56" s="146"/>
      <c r="W56" s="146"/>
      <c r="X56" s="146" t="s">
        <v>61</v>
      </c>
      <c r="Y56" s="146"/>
      <c r="Z56" s="146"/>
    </row>
    <row r="57" spans="1:79" ht="15" customHeight="1" x14ac:dyDescent="0.2">
      <c r="I57" s="146">
        <v>1</v>
      </c>
      <c r="J57" s="146"/>
      <c r="K57" s="146" t="str">
        <f>'Event Tree Input'!B158</f>
        <v>Circle</v>
      </c>
      <c r="L57" s="146"/>
      <c r="M57" s="146"/>
      <c r="N57" s="146" t="str">
        <f>'Event Tree Input'!C158</f>
        <v>Triangle</v>
      </c>
      <c r="O57" s="146"/>
      <c r="P57" s="146"/>
      <c r="S57" s="146">
        <v>1</v>
      </c>
      <c r="T57" s="146"/>
      <c r="U57" s="146" t="str">
        <f>IF('Event Tree Input'!$D$14="No","No",IF(AND('Event Tree Input'!$D$14="Yes",'Event Tree Input'!$D$11&gt;=S57),"Yes","No"))</f>
        <v>No</v>
      </c>
      <c r="V57" s="146"/>
      <c r="W57" s="146"/>
      <c r="X57" s="146" t="str">
        <f>'Event Tree Input'!$D$13</f>
        <v>Yes</v>
      </c>
      <c r="Y57" s="146"/>
      <c r="Z57" s="146"/>
    </row>
    <row r="58" spans="1:79" ht="15" customHeight="1" x14ac:dyDescent="0.2">
      <c r="I58" s="146">
        <v>2</v>
      </c>
      <c r="J58" s="146"/>
      <c r="K58" s="146" t="str">
        <f>'Event Tree Input'!B159</f>
        <v>Circle</v>
      </c>
      <c r="L58" s="146"/>
      <c r="M58" s="146"/>
      <c r="N58" s="146" t="str">
        <f>'Event Tree Input'!C159</f>
        <v>Triangle</v>
      </c>
      <c r="O58" s="146"/>
      <c r="P58" s="146"/>
      <c r="S58" s="146">
        <v>2</v>
      </c>
      <c r="T58" s="146"/>
      <c r="U58" s="146" t="str">
        <f>IF('Event Tree Input'!$D$14="No","No",IF(AND('Event Tree Input'!$D$14="Yes",'Event Tree Input'!$D$11&gt;=S58),"Yes","No"))</f>
        <v>No</v>
      </c>
      <c r="V58" s="146"/>
      <c r="W58" s="146"/>
      <c r="X58" s="146" t="str">
        <f>'Event Tree Input'!$D$13</f>
        <v>Yes</v>
      </c>
      <c r="Y58" s="146"/>
      <c r="Z58" s="146"/>
    </row>
    <row r="59" spans="1:79" ht="15" customHeight="1" x14ac:dyDescent="0.2">
      <c r="I59" s="146">
        <v>3</v>
      </c>
      <c r="J59" s="146"/>
      <c r="K59" s="146" t="str">
        <f>'Event Tree Input'!B160</f>
        <v>Circle</v>
      </c>
      <c r="L59" s="146"/>
      <c r="M59" s="146"/>
      <c r="N59" s="146" t="str">
        <f>'Event Tree Input'!C160</f>
        <v>Triangle</v>
      </c>
      <c r="O59" s="146"/>
      <c r="P59" s="146"/>
      <c r="S59" s="146">
        <v>3</v>
      </c>
      <c r="T59" s="146"/>
      <c r="U59" s="146" t="str">
        <f>IF('Event Tree Input'!$D$14="No","No",IF(AND('Event Tree Input'!$D$14="Yes",'Event Tree Input'!$D$11&gt;=S59),"Yes","No"))</f>
        <v>No</v>
      </c>
      <c r="V59" s="146"/>
      <c r="W59" s="146"/>
      <c r="X59" s="146" t="str">
        <f>'Event Tree Input'!$D$13</f>
        <v>Yes</v>
      </c>
      <c r="Y59" s="146"/>
      <c r="Z59" s="146"/>
    </row>
    <row r="60" spans="1:79" ht="15" customHeight="1" x14ac:dyDescent="0.2">
      <c r="I60" s="146">
        <v>4</v>
      </c>
      <c r="J60" s="146"/>
      <c r="K60" s="146" t="str">
        <f>'Event Tree Input'!B161</f>
        <v>Circle</v>
      </c>
      <c r="L60" s="146"/>
      <c r="M60" s="146"/>
      <c r="N60" s="146" t="str">
        <f>'Event Tree Input'!C161</f>
        <v>Triangle</v>
      </c>
      <c r="O60" s="146"/>
      <c r="P60" s="146"/>
      <c r="S60" s="146">
        <v>4</v>
      </c>
      <c r="T60" s="146"/>
      <c r="U60" s="146" t="str">
        <f>IF('Event Tree Input'!$D$14="No","No",IF(AND('Event Tree Input'!$D$14="Yes",'Event Tree Input'!$D$11&gt;=S60),"Yes","No"))</f>
        <v>No</v>
      </c>
      <c r="V60" s="146"/>
      <c r="W60" s="146"/>
      <c r="X60" s="146" t="str">
        <f>'Event Tree Input'!$D$13</f>
        <v>Yes</v>
      </c>
      <c r="Y60" s="146"/>
      <c r="Z60" s="146"/>
    </row>
    <row r="61" spans="1:79" ht="15" customHeight="1" x14ac:dyDescent="0.2">
      <c r="I61" s="146">
        <v>5</v>
      </c>
      <c r="J61" s="146"/>
      <c r="K61" s="146" t="str">
        <f>'Event Tree Input'!B162</f>
        <v>Circle</v>
      </c>
      <c r="L61" s="146"/>
      <c r="M61" s="146"/>
      <c r="N61" s="146" t="str">
        <f>'Event Tree Input'!C162</f>
        <v>Triangle</v>
      </c>
      <c r="O61" s="146"/>
      <c r="P61" s="146"/>
      <c r="S61" s="146">
        <v>5</v>
      </c>
      <c r="T61" s="146"/>
      <c r="U61" s="146" t="str">
        <f>IF('Event Tree Input'!$D$14="No","No",IF(AND('Event Tree Input'!$D$14="Yes",'Event Tree Input'!$D$11&gt;=S61),"Yes","No"))</f>
        <v>No</v>
      </c>
      <c r="V61" s="146"/>
      <c r="W61" s="146"/>
      <c r="X61" s="146" t="str">
        <f>'Event Tree Input'!$D$13</f>
        <v>Yes</v>
      </c>
      <c r="Y61" s="146"/>
      <c r="Z61" s="146"/>
    </row>
    <row r="62" spans="1:79" ht="15" customHeight="1" x14ac:dyDescent="0.2">
      <c r="I62" s="146">
        <v>6</v>
      </c>
      <c r="J62" s="146"/>
      <c r="K62" s="146" t="str">
        <f>'Event Tree Input'!B163</f>
        <v>Circle</v>
      </c>
      <c r="L62" s="146"/>
      <c r="M62" s="146"/>
      <c r="N62" s="146" t="str">
        <f>'Event Tree Input'!C163</f>
        <v>Triangle</v>
      </c>
      <c r="O62" s="146"/>
      <c r="P62" s="146"/>
      <c r="S62" s="146">
        <v>6</v>
      </c>
      <c r="T62" s="146"/>
      <c r="U62" s="146" t="str">
        <f>IF('Event Tree Input'!$D$14="No","No",IF(AND('Event Tree Input'!$D$14="Yes",'Event Tree Input'!$D$11&gt;=S62),"Yes","No"))</f>
        <v>No</v>
      </c>
      <c r="V62" s="146"/>
      <c r="W62" s="146"/>
      <c r="X62" s="146" t="str">
        <f>'Event Tree Input'!$D$13</f>
        <v>Yes</v>
      </c>
      <c r="Y62" s="146"/>
      <c r="Z62" s="146"/>
    </row>
    <row r="63" spans="1:79" ht="15" customHeight="1" x14ac:dyDescent="0.2">
      <c r="I63" s="146">
        <v>7</v>
      </c>
      <c r="J63" s="146"/>
      <c r="K63" s="146" t="str">
        <f>'Event Tree Input'!B164</f>
        <v>Triangle</v>
      </c>
      <c r="L63" s="146"/>
      <c r="M63" s="146"/>
      <c r="N63" s="146" t="str">
        <f>'Event Tree Input'!C164</f>
        <v>Triangle</v>
      </c>
      <c r="O63" s="146"/>
      <c r="P63" s="146"/>
      <c r="S63" s="146">
        <v>7</v>
      </c>
      <c r="T63" s="146"/>
      <c r="U63" s="146" t="str">
        <f>IF('Event Tree Input'!$D$14="No","No",IF(AND('Event Tree Input'!$D$14="Yes",'Event Tree Input'!$D$11&gt;=S63),"Yes","No"))</f>
        <v>No</v>
      </c>
      <c r="V63" s="146"/>
      <c r="W63" s="146"/>
      <c r="X63" s="146" t="str">
        <f>'Event Tree Input'!$D$13</f>
        <v>Yes</v>
      </c>
      <c r="Y63" s="146"/>
      <c r="Z63" s="146"/>
    </row>
    <row r="64" spans="1:79" ht="15" customHeight="1" x14ac:dyDescent="0.2">
      <c r="I64" s="146">
        <v>8</v>
      </c>
      <c r="J64" s="146"/>
      <c r="K64" s="146" t="str">
        <f>'Event Tree Input'!B165</f>
        <v/>
      </c>
      <c r="L64" s="146"/>
      <c r="M64" s="146"/>
      <c r="N64" s="146" t="str">
        <f>'Event Tree Input'!C165</f>
        <v/>
      </c>
      <c r="O64" s="146"/>
      <c r="P64" s="146"/>
      <c r="S64" s="146">
        <v>8</v>
      </c>
      <c r="T64" s="146"/>
      <c r="U64" s="146" t="str">
        <f>IF('Event Tree Input'!$D$14="No","No",IF(AND('Event Tree Input'!$D$14="Yes",'Event Tree Input'!$D$11&gt;=S64),"Yes","No"))</f>
        <v>No</v>
      </c>
      <c r="V64" s="146"/>
      <c r="W64" s="146"/>
      <c r="X64" s="146" t="str">
        <f>'Event Tree Input'!$D$13</f>
        <v>Yes</v>
      </c>
      <c r="Y64" s="146"/>
      <c r="Z64" s="146"/>
    </row>
    <row r="65" spans="2:26" ht="15" customHeight="1" x14ac:dyDescent="0.2">
      <c r="I65" s="146">
        <v>9</v>
      </c>
      <c r="J65" s="146"/>
      <c r="K65" s="146" t="str">
        <f>'Event Tree Input'!B166</f>
        <v/>
      </c>
      <c r="L65" s="146"/>
      <c r="M65" s="146"/>
      <c r="N65" s="146" t="str">
        <f>'Event Tree Input'!C166</f>
        <v/>
      </c>
      <c r="O65" s="146"/>
      <c r="P65" s="146"/>
      <c r="S65" s="146">
        <v>9</v>
      </c>
      <c r="T65" s="146"/>
      <c r="U65" s="146" t="str">
        <f>IF('Event Tree Input'!$D$14="No","No",IF(AND('Event Tree Input'!$D$14="Yes",'Event Tree Input'!$D$11&gt;=S65),"Yes","No"))</f>
        <v>No</v>
      </c>
      <c r="V65" s="146"/>
      <c r="W65" s="146"/>
      <c r="X65" s="146" t="str">
        <f>'Event Tree Input'!$D$13</f>
        <v>Yes</v>
      </c>
      <c r="Y65" s="146"/>
      <c r="Z65" s="146"/>
    </row>
    <row r="67" spans="2:26" ht="15" customHeight="1" x14ac:dyDescent="0.2">
      <c r="B67" s="15" t="s">
        <v>71</v>
      </c>
      <c r="M67" s="26"/>
      <c r="N67" s="26"/>
      <c r="O67" s="26"/>
    </row>
    <row r="68" spans="2:26" ht="15" customHeight="1" x14ac:dyDescent="0.2">
      <c r="B68" s="143" t="str">
        <f>'Event Tree Input'!A27</f>
        <v>Node 1 Callout</v>
      </c>
      <c r="C68" s="143"/>
      <c r="D68" s="143"/>
      <c r="E68" s="143"/>
      <c r="F68" s="143"/>
      <c r="G68" s="143"/>
      <c r="H68" s="143"/>
      <c r="I68" s="143"/>
      <c r="J68" s="143"/>
      <c r="K68" s="143"/>
      <c r="L68" s="143"/>
      <c r="M68" s="143"/>
      <c r="N68" s="143"/>
      <c r="O68" s="143"/>
      <c r="P68" s="143"/>
      <c r="Q68" s="143"/>
      <c r="R68" s="143"/>
      <c r="S68" s="143"/>
      <c r="T68" s="143"/>
      <c r="U68" s="143"/>
      <c r="V68" s="143"/>
      <c r="W68" s="28"/>
    </row>
    <row r="69" spans="2:26" ht="15" customHeight="1" x14ac:dyDescent="0.2">
      <c r="B69" s="143"/>
      <c r="C69" s="143"/>
      <c r="D69" s="143"/>
      <c r="E69" s="143"/>
      <c r="F69" s="143"/>
      <c r="G69" s="143"/>
      <c r="H69" s="143"/>
      <c r="I69" s="143"/>
      <c r="J69" s="143"/>
      <c r="K69" s="143"/>
      <c r="L69" s="143"/>
      <c r="M69" s="143"/>
      <c r="N69" s="143"/>
      <c r="O69" s="143"/>
      <c r="P69" s="143"/>
      <c r="Q69" s="143"/>
      <c r="R69" s="143"/>
      <c r="S69" s="143"/>
      <c r="T69" s="143"/>
      <c r="U69" s="143"/>
      <c r="V69" s="143"/>
      <c r="W69" s="28"/>
    </row>
    <row r="70" spans="2:26" ht="15" customHeight="1" x14ac:dyDescent="0.2">
      <c r="B70" s="143"/>
      <c r="C70" s="143"/>
      <c r="D70" s="143"/>
      <c r="E70" s="143"/>
      <c r="F70" s="143"/>
      <c r="G70" s="143"/>
      <c r="H70" s="143"/>
      <c r="I70" s="143"/>
      <c r="J70" s="143"/>
      <c r="K70" s="143"/>
      <c r="L70" s="143"/>
      <c r="M70" s="143"/>
      <c r="N70" s="143"/>
      <c r="O70" s="143"/>
      <c r="P70" s="143"/>
      <c r="Q70" s="143"/>
      <c r="R70" s="143"/>
      <c r="S70" s="143"/>
      <c r="T70" s="143"/>
      <c r="U70" s="143"/>
      <c r="V70" s="143"/>
      <c r="W70" s="28"/>
      <c r="X70" s="29"/>
      <c r="Y70" s="28"/>
    </row>
    <row r="71" spans="2:26" ht="15" customHeight="1" x14ac:dyDescent="0.2">
      <c r="B71" s="143"/>
      <c r="C71" s="143"/>
      <c r="D71" s="143"/>
      <c r="E71" s="143"/>
      <c r="F71" s="143"/>
      <c r="G71" s="143"/>
      <c r="H71" s="143"/>
      <c r="I71" s="143"/>
      <c r="J71" s="143"/>
      <c r="K71" s="143"/>
      <c r="L71" s="143"/>
      <c r="M71" s="143"/>
      <c r="N71" s="143"/>
      <c r="O71" s="143"/>
      <c r="P71" s="143"/>
      <c r="Q71" s="143"/>
      <c r="R71" s="143"/>
      <c r="S71" s="143"/>
      <c r="T71" s="143"/>
      <c r="U71" s="143"/>
      <c r="V71" s="143"/>
      <c r="W71" s="28"/>
      <c r="X71" s="29"/>
      <c r="Y71" s="28"/>
    </row>
    <row r="72" spans="2:26" ht="15" customHeight="1" x14ac:dyDescent="0.2">
      <c r="B72" s="143"/>
      <c r="C72" s="143"/>
      <c r="D72" s="143"/>
      <c r="E72" s="143"/>
      <c r="F72" s="143"/>
      <c r="G72" s="143"/>
      <c r="H72" s="143"/>
      <c r="I72" s="143"/>
      <c r="J72" s="143"/>
      <c r="K72" s="143"/>
      <c r="L72" s="143"/>
      <c r="M72" s="143"/>
      <c r="N72" s="143"/>
      <c r="O72" s="143"/>
      <c r="P72" s="143"/>
      <c r="Q72" s="143"/>
      <c r="R72" s="143"/>
      <c r="S72" s="143"/>
      <c r="T72" s="143"/>
      <c r="U72" s="143"/>
      <c r="V72" s="143"/>
      <c r="W72" s="28"/>
      <c r="X72" s="29"/>
      <c r="Y72" s="28"/>
    </row>
    <row r="73" spans="2:26" ht="15" customHeight="1" x14ac:dyDescent="0.2">
      <c r="B73" s="143"/>
      <c r="C73" s="143"/>
      <c r="D73" s="143"/>
      <c r="E73" s="143"/>
      <c r="F73" s="143"/>
      <c r="G73" s="143"/>
      <c r="H73" s="143"/>
      <c r="I73" s="143"/>
      <c r="J73" s="143"/>
      <c r="K73" s="143"/>
      <c r="L73" s="143"/>
      <c r="M73" s="143"/>
      <c r="N73" s="143"/>
      <c r="O73" s="143"/>
      <c r="P73" s="143"/>
      <c r="Q73" s="143"/>
      <c r="R73" s="143"/>
      <c r="S73" s="143"/>
      <c r="T73" s="143"/>
      <c r="U73" s="143"/>
      <c r="V73" s="143"/>
      <c r="W73" s="28"/>
      <c r="X73" s="29"/>
      <c r="Y73" s="28"/>
    </row>
    <row r="74" spans="2:26" ht="15" customHeight="1" x14ac:dyDescent="0.2">
      <c r="B74" s="28"/>
      <c r="C74" s="28"/>
      <c r="D74" s="28"/>
      <c r="E74" s="28"/>
      <c r="F74" s="28"/>
      <c r="G74" s="28"/>
      <c r="H74" s="28"/>
      <c r="I74" s="28"/>
      <c r="J74" s="28"/>
      <c r="K74" s="28"/>
      <c r="L74" s="28"/>
      <c r="M74" s="28"/>
      <c r="N74" s="28"/>
      <c r="O74" s="28"/>
      <c r="P74" s="28"/>
      <c r="Q74" s="28"/>
      <c r="R74" s="28"/>
      <c r="S74" s="28"/>
      <c r="T74" s="28"/>
      <c r="U74" s="28"/>
      <c r="V74" s="28"/>
      <c r="W74" s="28"/>
      <c r="X74" s="29"/>
      <c r="Y74" s="28"/>
    </row>
    <row r="75" spans="2:26" ht="15" customHeight="1" x14ac:dyDescent="0.2">
      <c r="B75" s="15" t="s">
        <v>72</v>
      </c>
      <c r="M75" s="26"/>
      <c r="N75" s="26"/>
      <c r="O75" s="26"/>
      <c r="W75" s="28"/>
      <c r="X75" s="28"/>
      <c r="Y75" s="28"/>
    </row>
    <row r="76" spans="2:26" ht="15" customHeight="1" x14ac:dyDescent="0.2">
      <c r="B76" s="143" t="str">
        <f>'Event Tree Input'!A41</f>
        <v>Node 2 Callout</v>
      </c>
      <c r="C76" s="143"/>
      <c r="D76" s="143"/>
      <c r="E76" s="143"/>
      <c r="F76" s="143"/>
      <c r="G76" s="143"/>
      <c r="H76" s="143"/>
      <c r="I76" s="143"/>
      <c r="J76" s="143"/>
      <c r="K76" s="143"/>
      <c r="L76" s="143"/>
      <c r="M76" s="143"/>
      <c r="N76" s="143"/>
      <c r="O76" s="143"/>
      <c r="P76" s="143"/>
      <c r="Q76" s="143"/>
      <c r="R76" s="143"/>
      <c r="S76" s="143"/>
      <c r="T76" s="143"/>
      <c r="U76" s="143"/>
      <c r="V76" s="143"/>
    </row>
    <row r="77" spans="2:26" ht="15" customHeight="1" x14ac:dyDescent="0.2">
      <c r="B77" s="143"/>
      <c r="C77" s="143"/>
      <c r="D77" s="143"/>
      <c r="E77" s="143"/>
      <c r="F77" s="143"/>
      <c r="G77" s="143"/>
      <c r="H77" s="143"/>
      <c r="I77" s="143"/>
      <c r="J77" s="143"/>
      <c r="K77" s="143"/>
      <c r="L77" s="143"/>
      <c r="M77" s="143"/>
      <c r="N77" s="143"/>
      <c r="O77" s="143"/>
      <c r="P77" s="143"/>
      <c r="Q77" s="143"/>
      <c r="R77" s="143"/>
      <c r="S77" s="143"/>
      <c r="T77" s="143"/>
      <c r="U77" s="143"/>
      <c r="V77" s="143"/>
      <c r="W77" s="29"/>
      <c r="X77" s="29"/>
    </row>
    <row r="78" spans="2:26" ht="15" customHeight="1" x14ac:dyDescent="0.2">
      <c r="B78" s="143"/>
      <c r="C78" s="143"/>
      <c r="D78" s="143"/>
      <c r="E78" s="143"/>
      <c r="F78" s="143"/>
      <c r="G78" s="143"/>
      <c r="H78" s="143"/>
      <c r="I78" s="143"/>
      <c r="J78" s="143"/>
      <c r="K78" s="143"/>
      <c r="L78" s="143"/>
      <c r="M78" s="143"/>
      <c r="N78" s="143"/>
      <c r="O78" s="143"/>
      <c r="P78" s="143"/>
      <c r="Q78" s="143"/>
      <c r="R78" s="143"/>
      <c r="S78" s="143"/>
      <c r="T78" s="143"/>
      <c r="U78" s="143"/>
      <c r="V78" s="143"/>
      <c r="W78" s="29"/>
      <c r="X78" s="29"/>
    </row>
    <row r="79" spans="2:26" ht="15" customHeight="1" x14ac:dyDescent="0.2">
      <c r="B79" s="143"/>
      <c r="C79" s="143"/>
      <c r="D79" s="143"/>
      <c r="E79" s="143"/>
      <c r="F79" s="143"/>
      <c r="G79" s="143"/>
      <c r="H79" s="143"/>
      <c r="I79" s="143"/>
      <c r="J79" s="143"/>
      <c r="K79" s="143"/>
      <c r="L79" s="143"/>
      <c r="M79" s="143"/>
      <c r="N79" s="143"/>
      <c r="O79" s="143"/>
      <c r="P79" s="143"/>
      <c r="Q79" s="143"/>
      <c r="R79" s="143"/>
      <c r="S79" s="143"/>
      <c r="T79" s="143"/>
      <c r="U79" s="143"/>
      <c r="V79" s="143"/>
      <c r="W79" s="29"/>
      <c r="X79" s="29"/>
    </row>
    <row r="80" spans="2:26" ht="15" customHeight="1" x14ac:dyDescent="0.2">
      <c r="B80" s="143"/>
      <c r="C80" s="143"/>
      <c r="D80" s="143"/>
      <c r="E80" s="143"/>
      <c r="F80" s="143"/>
      <c r="G80" s="143"/>
      <c r="H80" s="143"/>
      <c r="I80" s="143"/>
      <c r="J80" s="143"/>
      <c r="K80" s="143"/>
      <c r="L80" s="143"/>
      <c r="M80" s="143"/>
      <c r="N80" s="143"/>
      <c r="O80" s="143"/>
      <c r="P80" s="143"/>
      <c r="Q80" s="143"/>
      <c r="R80" s="143"/>
      <c r="S80" s="143"/>
      <c r="T80" s="143"/>
      <c r="U80" s="143"/>
      <c r="V80" s="143"/>
      <c r="W80" s="29"/>
      <c r="X80" s="29"/>
    </row>
    <row r="81" spans="2:24" ht="15" customHeight="1" x14ac:dyDescent="0.2">
      <c r="B81" s="143"/>
      <c r="C81" s="143"/>
      <c r="D81" s="143"/>
      <c r="E81" s="143"/>
      <c r="F81" s="143"/>
      <c r="G81" s="143"/>
      <c r="H81" s="143"/>
      <c r="I81" s="143"/>
      <c r="J81" s="143"/>
      <c r="K81" s="143"/>
      <c r="L81" s="143"/>
      <c r="M81" s="143"/>
      <c r="N81" s="143"/>
      <c r="O81" s="143"/>
      <c r="P81" s="143"/>
      <c r="Q81" s="143"/>
      <c r="R81" s="143"/>
      <c r="S81" s="143"/>
      <c r="T81" s="143"/>
      <c r="U81" s="143"/>
      <c r="V81" s="143"/>
      <c r="W81" s="29"/>
      <c r="X81" s="29"/>
    </row>
    <row r="83" spans="2:24" ht="15" customHeight="1" x14ac:dyDescent="0.2">
      <c r="B83" s="15" t="s">
        <v>73</v>
      </c>
      <c r="M83" s="26"/>
      <c r="N83" s="26"/>
      <c r="O83" s="26"/>
    </row>
    <row r="84" spans="2:24" ht="15" customHeight="1" x14ac:dyDescent="0.2">
      <c r="B84" s="143" t="str">
        <f>'Event Tree Input'!A55</f>
        <v>Node 3 Callout</v>
      </c>
      <c r="C84" s="143"/>
      <c r="D84" s="143"/>
      <c r="E84" s="143"/>
      <c r="F84" s="143"/>
      <c r="G84" s="143"/>
      <c r="H84" s="143"/>
      <c r="I84" s="143"/>
      <c r="J84" s="143"/>
      <c r="K84" s="143"/>
      <c r="L84" s="143"/>
      <c r="M84" s="143"/>
      <c r="N84" s="143"/>
      <c r="O84" s="143"/>
      <c r="P84" s="143"/>
      <c r="Q84" s="143"/>
      <c r="R84" s="143"/>
      <c r="S84" s="143"/>
      <c r="T84" s="143"/>
      <c r="U84" s="143"/>
      <c r="V84" s="143"/>
    </row>
    <row r="85" spans="2:24" ht="15" customHeight="1" x14ac:dyDescent="0.2">
      <c r="B85" s="143"/>
      <c r="C85" s="143"/>
      <c r="D85" s="143"/>
      <c r="E85" s="143"/>
      <c r="F85" s="143"/>
      <c r="G85" s="143"/>
      <c r="H85" s="143"/>
      <c r="I85" s="143"/>
      <c r="J85" s="143"/>
      <c r="K85" s="143"/>
      <c r="L85" s="143"/>
      <c r="M85" s="143"/>
      <c r="N85" s="143"/>
      <c r="O85" s="143"/>
      <c r="P85" s="143"/>
      <c r="Q85" s="143"/>
      <c r="R85" s="143"/>
      <c r="S85" s="143"/>
      <c r="T85" s="143"/>
      <c r="U85" s="143"/>
      <c r="V85" s="143"/>
    </row>
    <row r="86" spans="2:24" ht="15" customHeight="1" x14ac:dyDescent="0.2">
      <c r="B86" s="143"/>
      <c r="C86" s="143"/>
      <c r="D86" s="143"/>
      <c r="E86" s="143"/>
      <c r="F86" s="143"/>
      <c r="G86" s="143"/>
      <c r="H86" s="143"/>
      <c r="I86" s="143"/>
      <c r="J86" s="143"/>
      <c r="K86" s="143"/>
      <c r="L86" s="143"/>
      <c r="M86" s="143"/>
      <c r="N86" s="143"/>
      <c r="O86" s="143"/>
      <c r="P86" s="143"/>
      <c r="Q86" s="143"/>
      <c r="R86" s="143"/>
      <c r="S86" s="143"/>
      <c r="T86" s="143"/>
      <c r="U86" s="143"/>
      <c r="V86" s="143"/>
    </row>
    <row r="87" spans="2:24" ht="15" customHeight="1" x14ac:dyDescent="0.2">
      <c r="B87" s="143"/>
      <c r="C87" s="143"/>
      <c r="D87" s="143"/>
      <c r="E87" s="143"/>
      <c r="F87" s="143"/>
      <c r="G87" s="143"/>
      <c r="H87" s="143"/>
      <c r="I87" s="143"/>
      <c r="J87" s="143"/>
      <c r="K87" s="143"/>
      <c r="L87" s="143"/>
      <c r="M87" s="143"/>
      <c r="N87" s="143"/>
      <c r="O87" s="143"/>
      <c r="P87" s="143"/>
      <c r="Q87" s="143"/>
      <c r="R87" s="143"/>
      <c r="S87" s="143"/>
      <c r="T87" s="143"/>
      <c r="U87" s="143"/>
      <c r="V87" s="143"/>
    </row>
    <row r="88" spans="2:24" ht="15" customHeight="1" x14ac:dyDescent="0.2">
      <c r="B88" s="143"/>
      <c r="C88" s="143"/>
      <c r="D88" s="143"/>
      <c r="E88" s="143"/>
      <c r="F88" s="143"/>
      <c r="G88" s="143"/>
      <c r="H88" s="143"/>
      <c r="I88" s="143"/>
      <c r="J88" s="143"/>
      <c r="K88" s="143"/>
      <c r="L88" s="143"/>
      <c r="M88" s="143"/>
      <c r="N88" s="143"/>
      <c r="O88" s="143"/>
      <c r="P88" s="143"/>
      <c r="Q88" s="143"/>
      <c r="R88" s="143"/>
      <c r="S88" s="143"/>
      <c r="T88" s="143"/>
      <c r="U88" s="143"/>
      <c r="V88" s="143"/>
    </row>
    <row r="89" spans="2:24" ht="15" customHeight="1" x14ac:dyDescent="0.2">
      <c r="B89" s="143"/>
      <c r="C89" s="143"/>
      <c r="D89" s="143"/>
      <c r="E89" s="143"/>
      <c r="F89" s="143"/>
      <c r="G89" s="143"/>
      <c r="H89" s="143"/>
      <c r="I89" s="143"/>
      <c r="J89" s="143"/>
      <c r="K89" s="143"/>
      <c r="L89" s="143"/>
      <c r="M89" s="143"/>
      <c r="N89" s="143"/>
      <c r="O89" s="143"/>
      <c r="P89" s="143"/>
      <c r="Q89" s="143"/>
      <c r="R89" s="143"/>
      <c r="S89" s="143"/>
      <c r="T89" s="143"/>
      <c r="U89" s="143"/>
      <c r="V89" s="143"/>
    </row>
    <row r="91" spans="2:24" ht="15" customHeight="1" x14ac:dyDescent="0.2">
      <c r="B91" s="15" t="s">
        <v>74</v>
      </c>
      <c r="M91" s="26"/>
      <c r="N91" s="26"/>
      <c r="O91" s="26"/>
    </row>
    <row r="92" spans="2:24" ht="15" customHeight="1" x14ac:dyDescent="0.2">
      <c r="B92" s="143" t="str">
        <f>'Event Tree Input'!A69</f>
        <v>Node 4 Callout</v>
      </c>
      <c r="C92" s="143"/>
      <c r="D92" s="143"/>
      <c r="E92" s="143"/>
      <c r="F92" s="143"/>
      <c r="G92" s="143"/>
      <c r="H92" s="143"/>
      <c r="I92" s="143"/>
      <c r="J92" s="143"/>
      <c r="K92" s="143"/>
      <c r="L92" s="143"/>
      <c r="M92" s="143"/>
      <c r="N92" s="143"/>
      <c r="O92" s="143"/>
      <c r="P92" s="143"/>
      <c r="Q92" s="143"/>
      <c r="R92" s="143"/>
      <c r="S92" s="143"/>
      <c r="T92" s="143"/>
      <c r="U92" s="143"/>
      <c r="V92" s="143"/>
    </row>
    <row r="93" spans="2:24" ht="15" customHeight="1" x14ac:dyDescent="0.2">
      <c r="B93" s="143"/>
      <c r="C93" s="143"/>
      <c r="D93" s="143"/>
      <c r="E93" s="143"/>
      <c r="F93" s="143"/>
      <c r="G93" s="143"/>
      <c r="H93" s="143"/>
      <c r="I93" s="143"/>
      <c r="J93" s="143"/>
      <c r="K93" s="143"/>
      <c r="L93" s="143"/>
      <c r="M93" s="143"/>
      <c r="N93" s="143"/>
      <c r="O93" s="143"/>
      <c r="P93" s="143"/>
      <c r="Q93" s="143"/>
      <c r="R93" s="143"/>
      <c r="S93" s="143"/>
      <c r="T93" s="143"/>
      <c r="U93" s="143"/>
      <c r="V93" s="143"/>
    </row>
    <row r="94" spans="2:24" ht="15" customHeight="1" x14ac:dyDescent="0.2">
      <c r="B94" s="143"/>
      <c r="C94" s="143"/>
      <c r="D94" s="143"/>
      <c r="E94" s="143"/>
      <c r="F94" s="143"/>
      <c r="G94" s="143"/>
      <c r="H94" s="143"/>
      <c r="I94" s="143"/>
      <c r="J94" s="143"/>
      <c r="K94" s="143"/>
      <c r="L94" s="143"/>
      <c r="M94" s="143"/>
      <c r="N94" s="143"/>
      <c r="O94" s="143"/>
      <c r="P94" s="143"/>
      <c r="Q94" s="143"/>
      <c r="R94" s="143"/>
      <c r="S94" s="143"/>
      <c r="T94" s="143"/>
      <c r="U94" s="143"/>
      <c r="V94" s="143"/>
    </row>
    <row r="95" spans="2:24" ht="15" customHeight="1" x14ac:dyDescent="0.2">
      <c r="B95" s="143"/>
      <c r="C95" s="143"/>
      <c r="D95" s="143"/>
      <c r="E95" s="143"/>
      <c r="F95" s="143"/>
      <c r="G95" s="143"/>
      <c r="H95" s="143"/>
      <c r="I95" s="143"/>
      <c r="J95" s="143"/>
      <c r="K95" s="143"/>
      <c r="L95" s="143"/>
      <c r="M95" s="143"/>
      <c r="N95" s="143"/>
      <c r="O95" s="143"/>
      <c r="P95" s="143"/>
      <c r="Q95" s="143"/>
      <c r="R95" s="143"/>
      <c r="S95" s="143"/>
      <c r="T95" s="143"/>
      <c r="U95" s="143"/>
      <c r="V95" s="143"/>
    </row>
    <row r="96" spans="2:24" ht="15" customHeight="1" x14ac:dyDescent="0.2">
      <c r="B96" s="143"/>
      <c r="C96" s="143"/>
      <c r="D96" s="143"/>
      <c r="E96" s="143"/>
      <c r="F96" s="143"/>
      <c r="G96" s="143"/>
      <c r="H96" s="143"/>
      <c r="I96" s="143"/>
      <c r="J96" s="143"/>
      <c r="K96" s="143"/>
      <c r="L96" s="143"/>
      <c r="M96" s="143"/>
      <c r="N96" s="143"/>
      <c r="O96" s="143"/>
      <c r="P96" s="143"/>
      <c r="Q96" s="143"/>
      <c r="R96" s="143"/>
      <c r="S96" s="143"/>
      <c r="T96" s="143"/>
      <c r="U96" s="143"/>
      <c r="V96" s="143"/>
    </row>
    <row r="97" spans="2:22" ht="15" customHeight="1" x14ac:dyDescent="0.2">
      <c r="B97" s="143"/>
      <c r="C97" s="143"/>
      <c r="D97" s="143"/>
      <c r="E97" s="143"/>
      <c r="F97" s="143"/>
      <c r="G97" s="143"/>
      <c r="H97" s="143"/>
      <c r="I97" s="143"/>
      <c r="J97" s="143"/>
      <c r="K97" s="143"/>
      <c r="L97" s="143"/>
      <c r="M97" s="143"/>
      <c r="N97" s="143"/>
      <c r="O97" s="143"/>
      <c r="P97" s="143"/>
      <c r="Q97" s="143"/>
      <c r="R97" s="143"/>
      <c r="S97" s="143"/>
      <c r="T97" s="143"/>
      <c r="U97" s="143"/>
      <c r="V97" s="143"/>
    </row>
    <row r="99" spans="2:22" ht="15" customHeight="1" x14ac:dyDescent="0.2">
      <c r="B99" s="15" t="s">
        <v>75</v>
      </c>
      <c r="M99" s="26"/>
      <c r="N99" s="26"/>
      <c r="O99" s="26"/>
    </row>
    <row r="100" spans="2:22" ht="15" customHeight="1" x14ac:dyDescent="0.2">
      <c r="B100" s="143" t="str">
        <f>'Event Tree Input'!A83</f>
        <v>Node 5 Callout</v>
      </c>
      <c r="C100" s="143"/>
      <c r="D100" s="143"/>
      <c r="E100" s="143"/>
      <c r="F100" s="143"/>
      <c r="G100" s="143"/>
      <c r="H100" s="143"/>
      <c r="I100" s="143"/>
      <c r="J100" s="143"/>
      <c r="K100" s="143"/>
      <c r="L100" s="143"/>
      <c r="M100" s="143"/>
      <c r="N100" s="143"/>
      <c r="O100" s="143"/>
      <c r="P100" s="143"/>
      <c r="Q100" s="143"/>
      <c r="R100" s="143"/>
      <c r="S100" s="143"/>
      <c r="T100" s="143"/>
      <c r="U100" s="143"/>
      <c r="V100" s="143"/>
    </row>
    <row r="101" spans="2:22" ht="15" customHeight="1" x14ac:dyDescent="0.2">
      <c r="B101" s="143"/>
      <c r="C101" s="143"/>
      <c r="D101" s="143"/>
      <c r="E101" s="143"/>
      <c r="F101" s="143"/>
      <c r="G101" s="143"/>
      <c r="H101" s="143"/>
      <c r="I101" s="143"/>
      <c r="J101" s="143"/>
      <c r="K101" s="143"/>
      <c r="L101" s="143"/>
      <c r="M101" s="143"/>
      <c r="N101" s="143"/>
      <c r="O101" s="143"/>
      <c r="P101" s="143"/>
      <c r="Q101" s="143"/>
      <c r="R101" s="143"/>
      <c r="S101" s="143"/>
      <c r="T101" s="143"/>
      <c r="U101" s="143"/>
      <c r="V101" s="143"/>
    </row>
    <row r="102" spans="2:22" ht="15" customHeight="1" x14ac:dyDescent="0.2">
      <c r="B102" s="143"/>
      <c r="C102" s="143"/>
      <c r="D102" s="143"/>
      <c r="E102" s="143"/>
      <c r="F102" s="143"/>
      <c r="G102" s="143"/>
      <c r="H102" s="143"/>
      <c r="I102" s="143"/>
      <c r="J102" s="143"/>
      <c r="K102" s="143"/>
      <c r="L102" s="143"/>
      <c r="M102" s="143"/>
      <c r="N102" s="143"/>
      <c r="O102" s="143"/>
      <c r="P102" s="143"/>
      <c r="Q102" s="143"/>
      <c r="R102" s="143"/>
      <c r="S102" s="143"/>
      <c r="T102" s="143"/>
      <c r="U102" s="143"/>
      <c r="V102" s="143"/>
    </row>
    <row r="103" spans="2:22" ht="15" customHeight="1" x14ac:dyDescent="0.2">
      <c r="B103" s="143"/>
      <c r="C103" s="143"/>
      <c r="D103" s="143"/>
      <c r="E103" s="143"/>
      <c r="F103" s="143"/>
      <c r="G103" s="143"/>
      <c r="H103" s="143"/>
      <c r="I103" s="143"/>
      <c r="J103" s="143"/>
      <c r="K103" s="143"/>
      <c r="L103" s="143"/>
      <c r="M103" s="143"/>
      <c r="N103" s="143"/>
      <c r="O103" s="143"/>
      <c r="P103" s="143"/>
      <c r="Q103" s="143"/>
      <c r="R103" s="143"/>
      <c r="S103" s="143"/>
      <c r="T103" s="143"/>
      <c r="U103" s="143"/>
      <c r="V103" s="143"/>
    </row>
    <row r="104" spans="2:22" ht="15" customHeight="1" x14ac:dyDescent="0.2">
      <c r="B104" s="143"/>
      <c r="C104" s="143"/>
      <c r="D104" s="143"/>
      <c r="E104" s="143"/>
      <c r="F104" s="143"/>
      <c r="G104" s="143"/>
      <c r="H104" s="143"/>
      <c r="I104" s="143"/>
      <c r="J104" s="143"/>
      <c r="K104" s="143"/>
      <c r="L104" s="143"/>
      <c r="M104" s="143"/>
      <c r="N104" s="143"/>
      <c r="O104" s="143"/>
      <c r="P104" s="143"/>
      <c r="Q104" s="143"/>
      <c r="R104" s="143"/>
      <c r="S104" s="143"/>
      <c r="T104" s="143"/>
      <c r="U104" s="143"/>
      <c r="V104" s="143"/>
    </row>
    <row r="105" spans="2:22" ht="15" customHeight="1" x14ac:dyDescent="0.2">
      <c r="B105" s="143"/>
      <c r="C105" s="143"/>
      <c r="D105" s="143"/>
      <c r="E105" s="143"/>
      <c r="F105" s="143"/>
      <c r="G105" s="143"/>
      <c r="H105" s="143"/>
      <c r="I105" s="143"/>
      <c r="J105" s="143"/>
      <c r="K105" s="143"/>
      <c r="L105" s="143"/>
      <c r="M105" s="143"/>
      <c r="N105" s="143"/>
      <c r="O105" s="143"/>
      <c r="P105" s="143"/>
      <c r="Q105" s="143"/>
      <c r="R105" s="143"/>
      <c r="S105" s="143"/>
      <c r="T105" s="143"/>
      <c r="U105" s="143"/>
      <c r="V105" s="143"/>
    </row>
    <row r="107" spans="2:22" ht="15" customHeight="1" x14ac:dyDescent="0.2">
      <c r="B107" s="15" t="s">
        <v>76</v>
      </c>
      <c r="M107" s="26"/>
      <c r="N107" s="26"/>
      <c r="O107" s="26"/>
    </row>
    <row r="108" spans="2:22" ht="15" customHeight="1" x14ac:dyDescent="0.2">
      <c r="B108" s="143" t="str">
        <f>'Event Tree Input'!A97</f>
        <v>Node 6 Callout</v>
      </c>
      <c r="C108" s="143"/>
      <c r="D108" s="143"/>
      <c r="E108" s="143"/>
      <c r="F108" s="143"/>
      <c r="G108" s="143"/>
      <c r="H108" s="143"/>
      <c r="I108" s="143"/>
      <c r="J108" s="143"/>
      <c r="K108" s="143"/>
      <c r="L108" s="143"/>
      <c r="M108" s="143"/>
      <c r="N108" s="143"/>
      <c r="O108" s="143"/>
      <c r="P108" s="143"/>
      <c r="Q108" s="143"/>
      <c r="R108" s="143"/>
      <c r="S108" s="143"/>
      <c r="T108" s="143"/>
      <c r="U108" s="143"/>
      <c r="V108" s="143"/>
    </row>
    <row r="109" spans="2:22" ht="15" customHeight="1" x14ac:dyDescent="0.2">
      <c r="B109" s="143"/>
      <c r="C109" s="143"/>
      <c r="D109" s="143"/>
      <c r="E109" s="143"/>
      <c r="F109" s="143"/>
      <c r="G109" s="143"/>
      <c r="H109" s="143"/>
      <c r="I109" s="143"/>
      <c r="J109" s="143"/>
      <c r="K109" s="143"/>
      <c r="L109" s="143"/>
      <c r="M109" s="143"/>
      <c r="N109" s="143"/>
      <c r="O109" s="143"/>
      <c r="P109" s="143"/>
      <c r="Q109" s="143"/>
      <c r="R109" s="143"/>
      <c r="S109" s="143"/>
      <c r="T109" s="143"/>
      <c r="U109" s="143"/>
      <c r="V109" s="143"/>
    </row>
    <row r="110" spans="2:22" ht="15" customHeight="1" x14ac:dyDescent="0.2">
      <c r="B110" s="143"/>
      <c r="C110" s="143"/>
      <c r="D110" s="143"/>
      <c r="E110" s="143"/>
      <c r="F110" s="143"/>
      <c r="G110" s="143"/>
      <c r="H110" s="143"/>
      <c r="I110" s="143"/>
      <c r="J110" s="143"/>
      <c r="K110" s="143"/>
      <c r="L110" s="143"/>
      <c r="M110" s="143"/>
      <c r="N110" s="143"/>
      <c r="O110" s="143"/>
      <c r="P110" s="143"/>
      <c r="Q110" s="143"/>
      <c r="R110" s="143"/>
      <c r="S110" s="143"/>
      <c r="T110" s="143"/>
      <c r="U110" s="143"/>
      <c r="V110" s="143"/>
    </row>
    <row r="111" spans="2:22" ht="15" customHeight="1" x14ac:dyDescent="0.2">
      <c r="B111" s="143"/>
      <c r="C111" s="143"/>
      <c r="D111" s="143"/>
      <c r="E111" s="143"/>
      <c r="F111" s="143"/>
      <c r="G111" s="143"/>
      <c r="H111" s="143"/>
      <c r="I111" s="143"/>
      <c r="J111" s="143"/>
      <c r="K111" s="143"/>
      <c r="L111" s="143"/>
      <c r="M111" s="143"/>
      <c r="N111" s="143"/>
      <c r="O111" s="143"/>
      <c r="P111" s="143"/>
      <c r="Q111" s="143"/>
      <c r="R111" s="143"/>
      <c r="S111" s="143"/>
      <c r="T111" s="143"/>
      <c r="U111" s="143"/>
      <c r="V111" s="143"/>
    </row>
    <row r="112" spans="2:22" ht="15" customHeight="1" x14ac:dyDescent="0.2">
      <c r="B112" s="143"/>
      <c r="C112" s="143"/>
      <c r="D112" s="143"/>
      <c r="E112" s="143"/>
      <c r="F112" s="143"/>
      <c r="G112" s="143"/>
      <c r="H112" s="143"/>
      <c r="I112" s="143"/>
      <c r="J112" s="143"/>
      <c r="K112" s="143"/>
      <c r="L112" s="143"/>
      <c r="M112" s="143"/>
      <c r="N112" s="143"/>
      <c r="O112" s="143"/>
      <c r="P112" s="143"/>
      <c r="Q112" s="143"/>
      <c r="R112" s="143"/>
      <c r="S112" s="143"/>
      <c r="T112" s="143"/>
      <c r="U112" s="143"/>
      <c r="V112" s="143"/>
    </row>
    <row r="113" spans="2:22" ht="15" customHeight="1" x14ac:dyDescent="0.2">
      <c r="B113" s="143"/>
      <c r="C113" s="143"/>
      <c r="D113" s="143"/>
      <c r="E113" s="143"/>
      <c r="F113" s="143"/>
      <c r="G113" s="143"/>
      <c r="H113" s="143"/>
      <c r="I113" s="143"/>
      <c r="J113" s="143"/>
      <c r="K113" s="143"/>
      <c r="L113" s="143"/>
      <c r="M113" s="143"/>
      <c r="N113" s="143"/>
      <c r="O113" s="143"/>
      <c r="P113" s="143"/>
      <c r="Q113" s="143"/>
      <c r="R113" s="143"/>
      <c r="S113" s="143"/>
      <c r="T113" s="143"/>
      <c r="U113" s="143"/>
      <c r="V113" s="143"/>
    </row>
    <row r="115" spans="2:22" ht="15" customHeight="1" x14ac:dyDescent="0.2">
      <c r="B115" s="15" t="s">
        <v>77</v>
      </c>
      <c r="M115" s="26"/>
      <c r="N115" s="26"/>
      <c r="O115" s="26"/>
    </row>
    <row r="116" spans="2:22" ht="15" customHeight="1" x14ac:dyDescent="0.2">
      <c r="B116" s="143" t="str">
        <f>'Event Tree Input'!A111</f>
        <v>Node 7 Callout</v>
      </c>
      <c r="C116" s="143"/>
      <c r="D116" s="143"/>
      <c r="E116" s="143"/>
      <c r="F116" s="143"/>
      <c r="G116" s="143"/>
      <c r="H116" s="143"/>
      <c r="I116" s="143"/>
      <c r="J116" s="143"/>
      <c r="K116" s="143"/>
      <c r="L116" s="143"/>
      <c r="M116" s="143"/>
      <c r="N116" s="143"/>
      <c r="O116" s="143"/>
      <c r="P116" s="143"/>
      <c r="Q116" s="143"/>
      <c r="R116" s="143"/>
      <c r="S116" s="143"/>
      <c r="T116" s="143"/>
      <c r="U116" s="143"/>
      <c r="V116" s="143"/>
    </row>
    <row r="117" spans="2:22" ht="15" customHeight="1" x14ac:dyDescent="0.2">
      <c r="B117" s="143"/>
      <c r="C117" s="143"/>
      <c r="D117" s="143"/>
      <c r="E117" s="143"/>
      <c r="F117" s="143"/>
      <c r="G117" s="143"/>
      <c r="H117" s="143"/>
      <c r="I117" s="143"/>
      <c r="J117" s="143"/>
      <c r="K117" s="143"/>
      <c r="L117" s="143"/>
      <c r="M117" s="143"/>
      <c r="N117" s="143"/>
      <c r="O117" s="143"/>
      <c r="P117" s="143"/>
      <c r="Q117" s="143"/>
      <c r="R117" s="143"/>
      <c r="S117" s="143"/>
      <c r="T117" s="143"/>
      <c r="U117" s="143"/>
      <c r="V117" s="143"/>
    </row>
    <row r="118" spans="2:22" ht="15" customHeight="1" x14ac:dyDescent="0.2">
      <c r="B118" s="143"/>
      <c r="C118" s="143"/>
      <c r="D118" s="143"/>
      <c r="E118" s="143"/>
      <c r="F118" s="143"/>
      <c r="G118" s="143"/>
      <c r="H118" s="143"/>
      <c r="I118" s="143"/>
      <c r="J118" s="143"/>
      <c r="K118" s="143"/>
      <c r="L118" s="143"/>
      <c r="M118" s="143"/>
      <c r="N118" s="143"/>
      <c r="O118" s="143"/>
      <c r="P118" s="143"/>
      <c r="Q118" s="143"/>
      <c r="R118" s="143"/>
      <c r="S118" s="143"/>
      <c r="T118" s="143"/>
      <c r="U118" s="143"/>
      <c r="V118" s="143"/>
    </row>
    <row r="119" spans="2:22" ht="15" customHeight="1" x14ac:dyDescent="0.2">
      <c r="B119" s="143"/>
      <c r="C119" s="143"/>
      <c r="D119" s="143"/>
      <c r="E119" s="143"/>
      <c r="F119" s="143"/>
      <c r="G119" s="143"/>
      <c r="H119" s="143"/>
      <c r="I119" s="143"/>
      <c r="J119" s="143"/>
      <c r="K119" s="143"/>
      <c r="L119" s="143"/>
      <c r="M119" s="143"/>
      <c r="N119" s="143"/>
      <c r="O119" s="143"/>
      <c r="P119" s="143"/>
      <c r="Q119" s="143"/>
      <c r="R119" s="143"/>
      <c r="S119" s="143"/>
      <c r="T119" s="143"/>
      <c r="U119" s="143"/>
      <c r="V119" s="143"/>
    </row>
    <row r="120" spans="2:22" ht="15" customHeight="1" x14ac:dyDescent="0.2">
      <c r="B120" s="143"/>
      <c r="C120" s="143"/>
      <c r="D120" s="143"/>
      <c r="E120" s="143"/>
      <c r="F120" s="143"/>
      <c r="G120" s="143"/>
      <c r="H120" s="143"/>
      <c r="I120" s="143"/>
      <c r="J120" s="143"/>
      <c r="K120" s="143"/>
      <c r="L120" s="143"/>
      <c r="M120" s="143"/>
      <c r="N120" s="143"/>
      <c r="O120" s="143"/>
      <c r="P120" s="143"/>
      <c r="Q120" s="143"/>
      <c r="R120" s="143"/>
      <c r="S120" s="143"/>
      <c r="T120" s="143"/>
      <c r="U120" s="143"/>
      <c r="V120" s="143"/>
    </row>
    <row r="121" spans="2:22" ht="15" customHeight="1" x14ac:dyDescent="0.2">
      <c r="B121" s="143"/>
      <c r="C121" s="143"/>
      <c r="D121" s="143"/>
      <c r="E121" s="143"/>
      <c r="F121" s="143"/>
      <c r="G121" s="143"/>
      <c r="H121" s="143"/>
      <c r="I121" s="143"/>
      <c r="J121" s="143"/>
      <c r="K121" s="143"/>
      <c r="L121" s="143"/>
      <c r="M121" s="143"/>
      <c r="N121" s="143"/>
      <c r="O121" s="143"/>
      <c r="P121" s="143"/>
      <c r="Q121" s="143"/>
      <c r="R121" s="143"/>
      <c r="S121" s="143"/>
      <c r="T121" s="143"/>
      <c r="U121" s="143"/>
      <c r="V121" s="143"/>
    </row>
    <row r="123" spans="2:22" ht="15" customHeight="1" x14ac:dyDescent="0.2">
      <c r="B123" s="15" t="s">
        <v>78</v>
      </c>
      <c r="M123" s="26"/>
      <c r="N123" s="26"/>
      <c r="O123" s="26"/>
    </row>
    <row r="124" spans="2:22" ht="15" customHeight="1" x14ac:dyDescent="0.2">
      <c r="B124" s="143" t="str">
        <f>'Event Tree Input'!A125</f>
        <v>Node 8 Callout</v>
      </c>
      <c r="C124" s="143"/>
      <c r="D124" s="143"/>
      <c r="E124" s="143"/>
      <c r="F124" s="143"/>
      <c r="G124" s="143"/>
      <c r="H124" s="143"/>
      <c r="I124" s="143"/>
      <c r="J124" s="143"/>
      <c r="K124" s="143"/>
      <c r="L124" s="143"/>
      <c r="M124" s="143"/>
      <c r="N124" s="143"/>
      <c r="O124" s="143"/>
      <c r="P124" s="143"/>
      <c r="Q124" s="143"/>
      <c r="R124" s="143"/>
      <c r="S124" s="143"/>
      <c r="T124" s="143"/>
      <c r="U124" s="143"/>
      <c r="V124" s="143"/>
    </row>
    <row r="125" spans="2:22" ht="15" customHeight="1" x14ac:dyDescent="0.2">
      <c r="B125" s="143"/>
      <c r="C125" s="143"/>
      <c r="D125" s="143"/>
      <c r="E125" s="143"/>
      <c r="F125" s="143"/>
      <c r="G125" s="143"/>
      <c r="H125" s="143"/>
      <c r="I125" s="143"/>
      <c r="J125" s="143"/>
      <c r="K125" s="143"/>
      <c r="L125" s="143"/>
      <c r="M125" s="143"/>
      <c r="N125" s="143"/>
      <c r="O125" s="143"/>
      <c r="P125" s="143"/>
      <c r="Q125" s="143"/>
      <c r="R125" s="143"/>
      <c r="S125" s="143"/>
      <c r="T125" s="143"/>
      <c r="U125" s="143"/>
      <c r="V125" s="143"/>
    </row>
    <row r="126" spans="2:22" ht="15" customHeight="1" x14ac:dyDescent="0.2">
      <c r="B126" s="143"/>
      <c r="C126" s="143"/>
      <c r="D126" s="143"/>
      <c r="E126" s="143"/>
      <c r="F126" s="143"/>
      <c r="G126" s="143"/>
      <c r="H126" s="143"/>
      <c r="I126" s="143"/>
      <c r="J126" s="143"/>
      <c r="K126" s="143"/>
      <c r="L126" s="143"/>
      <c r="M126" s="143"/>
      <c r="N126" s="143"/>
      <c r="O126" s="143"/>
      <c r="P126" s="143"/>
      <c r="Q126" s="143"/>
      <c r="R126" s="143"/>
      <c r="S126" s="143"/>
      <c r="T126" s="143"/>
      <c r="U126" s="143"/>
      <c r="V126" s="143"/>
    </row>
    <row r="127" spans="2:22" ht="15" customHeight="1" x14ac:dyDescent="0.2">
      <c r="B127" s="143"/>
      <c r="C127" s="143"/>
      <c r="D127" s="143"/>
      <c r="E127" s="143"/>
      <c r="F127" s="143"/>
      <c r="G127" s="143"/>
      <c r="H127" s="143"/>
      <c r="I127" s="143"/>
      <c r="J127" s="143"/>
      <c r="K127" s="143"/>
      <c r="L127" s="143"/>
      <c r="M127" s="143"/>
      <c r="N127" s="143"/>
      <c r="O127" s="143"/>
      <c r="P127" s="143"/>
      <c r="Q127" s="143"/>
      <c r="R127" s="143"/>
      <c r="S127" s="143"/>
      <c r="T127" s="143"/>
      <c r="U127" s="143"/>
      <c r="V127" s="143"/>
    </row>
    <row r="128" spans="2:22" ht="15" customHeight="1" x14ac:dyDescent="0.2">
      <c r="B128" s="143"/>
      <c r="C128" s="143"/>
      <c r="D128" s="143"/>
      <c r="E128" s="143"/>
      <c r="F128" s="143"/>
      <c r="G128" s="143"/>
      <c r="H128" s="143"/>
      <c r="I128" s="143"/>
      <c r="J128" s="143"/>
      <c r="K128" s="143"/>
      <c r="L128" s="143"/>
      <c r="M128" s="143"/>
      <c r="N128" s="143"/>
      <c r="O128" s="143"/>
      <c r="P128" s="143"/>
      <c r="Q128" s="143"/>
      <c r="R128" s="143"/>
      <c r="S128" s="143"/>
      <c r="T128" s="143"/>
      <c r="U128" s="143"/>
      <c r="V128" s="143"/>
    </row>
    <row r="129" spans="2:22" ht="15" customHeight="1" x14ac:dyDescent="0.2">
      <c r="B129" s="143"/>
      <c r="C129" s="143"/>
      <c r="D129" s="143"/>
      <c r="E129" s="143"/>
      <c r="F129" s="143"/>
      <c r="G129" s="143"/>
      <c r="H129" s="143"/>
      <c r="I129" s="143"/>
      <c r="J129" s="143"/>
      <c r="K129" s="143"/>
      <c r="L129" s="143"/>
      <c r="M129" s="143"/>
      <c r="N129" s="143"/>
      <c r="O129" s="143"/>
      <c r="P129" s="143"/>
      <c r="Q129" s="143"/>
      <c r="R129" s="143"/>
      <c r="S129" s="143"/>
      <c r="T129" s="143"/>
      <c r="U129" s="143"/>
      <c r="V129" s="143"/>
    </row>
    <row r="131" spans="2:22" ht="15" customHeight="1" x14ac:dyDescent="0.2">
      <c r="B131" s="15" t="s">
        <v>79</v>
      </c>
      <c r="M131" s="26"/>
      <c r="N131" s="26"/>
      <c r="O131" s="26"/>
    </row>
    <row r="132" spans="2:22" ht="15" customHeight="1" x14ac:dyDescent="0.2">
      <c r="B132" s="143" t="str">
        <f>'Event Tree Input'!A139</f>
        <v>Node 9 Callout</v>
      </c>
      <c r="C132" s="143"/>
      <c r="D132" s="143"/>
      <c r="E132" s="143"/>
      <c r="F132" s="143"/>
      <c r="G132" s="143"/>
      <c r="H132" s="143"/>
      <c r="I132" s="143"/>
      <c r="J132" s="143"/>
      <c r="K132" s="143"/>
      <c r="L132" s="143"/>
      <c r="M132" s="143"/>
      <c r="N132" s="143"/>
      <c r="O132" s="143"/>
      <c r="P132" s="143"/>
      <c r="Q132" s="143"/>
      <c r="R132" s="143"/>
      <c r="S132" s="143"/>
      <c r="T132" s="143"/>
      <c r="U132" s="143"/>
      <c r="V132" s="143"/>
    </row>
    <row r="133" spans="2:22" ht="15" customHeight="1" x14ac:dyDescent="0.2">
      <c r="B133" s="143"/>
      <c r="C133" s="143"/>
      <c r="D133" s="143"/>
      <c r="E133" s="143"/>
      <c r="F133" s="143"/>
      <c r="G133" s="143"/>
      <c r="H133" s="143"/>
      <c r="I133" s="143"/>
      <c r="J133" s="143"/>
      <c r="K133" s="143"/>
      <c r="L133" s="143"/>
      <c r="M133" s="143"/>
      <c r="N133" s="143"/>
      <c r="O133" s="143"/>
      <c r="P133" s="143"/>
      <c r="Q133" s="143"/>
      <c r="R133" s="143"/>
      <c r="S133" s="143"/>
      <c r="T133" s="143"/>
      <c r="U133" s="143"/>
      <c r="V133" s="143"/>
    </row>
    <row r="134" spans="2:22" ht="15" customHeight="1" x14ac:dyDescent="0.2">
      <c r="B134" s="143"/>
      <c r="C134" s="143"/>
      <c r="D134" s="143"/>
      <c r="E134" s="143"/>
      <c r="F134" s="143"/>
      <c r="G134" s="143"/>
      <c r="H134" s="143"/>
      <c r="I134" s="143"/>
      <c r="J134" s="143"/>
      <c r="K134" s="143"/>
      <c r="L134" s="143"/>
      <c r="M134" s="143"/>
      <c r="N134" s="143"/>
      <c r="O134" s="143"/>
      <c r="P134" s="143"/>
      <c r="Q134" s="143"/>
      <c r="R134" s="143"/>
      <c r="S134" s="143"/>
      <c r="T134" s="143"/>
      <c r="U134" s="143"/>
      <c r="V134" s="143"/>
    </row>
    <row r="135" spans="2:22" ht="15" customHeight="1" x14ac:dyDescent="0.2">
      <c r="B135" s="143"/>
      <c r="C135" s="143"/>
      <c r="D135" s="143"/>
      <c r="E135" s="143"/>
      <c r="F135" s="143"/>
      <c r="G135" s="143"/>
      <c r="H135" s="143"/>
      <c r="I135" s="143"/>
      <c r="J135" s="143"/>
      <c r="K135" s="143"/>
      <c r="L135" s="143"/>
      <c r="M135" s="143"/>
      <c r="N135" s="143"/>
      <c r="O135" s="143"/>
      <c r="P135" s="143"/>
      <c r="Q135" s="143"/>
      <c r="R135" s="143"/>
      <c r="S135" s="143"/>
      <c r="T135" s="143"/>
      <c r="U135" s="143"/>
      <c r="V135" s="143"/>
    </row>
    <row r="136" spans="2:22" ht="15" customHeight="1" x14ac:dyDescent="0.2">
      <c r="B136" s="143"/>
      <c r="C136" s="143"/>
      <c r="D136" s="143"/>
      <c r="E136" s="143"/>
      <c r="F136" s="143"/>
      <c r="G136" s="143"/>
      <c r="H136" s="143"/>
      <c r="I136" s="143"/>
      <c r="J136" s="143"/>
      <c r="K136" s="143"/>
      <c r="L136" s="143"/>
      <c r="M136" s="143"/>
      <c r="N136" s="143"/>
      <c r="O136" s="143"/>
      <c r="P136" s="143"/>
      <c r="Q136" s="143"/>
      <c r="R136" s="143"/>
      <c r="S136" s="143"/>
      <c r="T136" s="143"/>
      <c r="U136" s="143"/>
      <c r="V136" s="143"/>
    </row>
    <row r="137" spans="2:22" ht="15" customHeight="1" x14ac:dyDescent="0.2">
      <c r="B137" s="143"/>
      <c r="C137" s="143"/>
      <c r="D137" s="143"/>
      <c r="E137" s="143"/>
      <c r="F137" s="143"/>
      <c r="G137" s="143"/>
      <c r="H137" s="143"/>
      <c r="I137" s="143"/>
      <c r="J137" s="143"/>
      <c r="K137" s="143"/>
      <c r="L137" s="143"/>
      <c r="M137" s="143"/>
      <c r="N137" s="143"/>
      <c r="O137" s="143"/>
      <c r="P137" s="143"/>
      <c r="Q137" s="143"/>
      <c r="R137" s="143"/>
      <c r="S137" s="143"/>
      <c r="T137" s="143"/>
      <c r="U137" s="143"/>
      <c r="V137" s="143"/>
    </row>
  </sheetData>
  <mergeCells count="90">
    <mergeCell ref="A1:D1"/>
    <mergeCell ref="A2:D2"/>
    <mergeCell ref="A3:E3"/>
    <mergeCell ref="AF1:AH1"/>
    <mergeCell ref="AF2:AH2"/>
    <mergeCell ref="E1:AE1"/>
    <mergeCell ref="E2:AE2"/>
    <mergeCell ref="F3:CA3"/>
    <mergeCell ref="AI1:BC1"/>
    <mergeCell ref="AI2:BC2"/>
    <mergeCell ref="BF1:CA1"/>
    <mergeCell ref="BF2:CA2"/>
    <mergeCell ref="BD1:BE1"/>
    <mergeCell ref="BD2:BE2"/>
    <mergeCell ref="B116:V121"/>
    <mergeCell ref="B124:V129"/>
    <mergeCell ref="B132:V137"/>
    <mergeCell ref="B76:V81"/>
    <mergeCell ref="B84:V89"/>
    <mergeCell ref="B92:V97"/>
    <mergeCell ref="B100:V105"/>
    <mergeCell ref="B108:V113"/>
    <mergeCell ref="S65:T65"/>
    <mergeCell ref="U65:W65"/>
    <mergeCell ref="N65:P65"/>
    <mergeCell ref="N62:P62"/>
    <mergeCell ref="N63:P63"/>
    <mergeCell ref="N64:P64"/>
    <mergeCell ref="X62:Z62"/>
    <mergeCell ref="U62:W62"/>
    <mergeCell ref="X63:Z63"/>
    <mergeCell ref="X64:Z64"/>
    <mergeCell ref="X65:Z65"/>
    <mergeCell ref="U63:W63"/>
    <mergeCell ref="N59:P59"/>
    <mergeCell ref="N60:P60"/>
    <mergeCell ref="N61:P61"/>
    <mergeCell ref="I61:J61"/>
    <mergeCell ref="K55:M55"/>
    <mergeCell ref="K59:M59"/>
    <mergeCell ref="K60:M60"/>
    <mergeCell ref="K61:M61"/>
    <mergeCell ref="I57:J57"/>
    <mergeCell ref="I58:J58"/>
    <mergeCell ref="I59:J59"/>
    <mergeCell ref="K57:M57"/>
    <mergeCell ref="S57:T57"/>
    <mergeCell ref="I36:O37"/>
    <mergeCell ref="K58:M58"/>
    <mergeCell ref="I55:J56"/>
    <mergeCell ref="N58:P58"/>
    <mergeCell ref="S56:T56"/>
    <mergeCell ref="I65:J65"/>
    <mergeCell ref="K65:M65"/>
    <mergeCell ref="K62:M62"/>
    <mergeCell ref="K63:M63"/>
    <mergeCell ref="K64:M64"/>
    <mergeCell ref="I62:J62"/>
    <mergeCell ref="U56:W56"/>
    <mergeCell ref="U57:W57"/>
    <mergeCell ref="I63:J63"/>
    <mergeCell ref="I64:J64"/>
    <mergeCell ref="S59:T59"/>
    <mergeCell ref="S60:T60"/>
    <mergeCell ref="S61:T61"/>
    <mergeCell ref="S62:T62"/>
    <mergeCell ref="U64:W64"/>
    <mergeCell ref="U59:W59"/>
    <mergeCell ref="U60:W60"/>
    <mergeCell ref="U61:W61"/>
    <mergeCell ref="S63:T63"/>
    <mergeCell ref="S64:T64"/>
    <mergeCell ref="U58:W58"/>
    <mergeCell ref="S58:T58"/>
    <mergeCell ref="B68:V73"/>
    <mergeCell ref="A5:CA5"/>
    <mergeCell ref="A53:CA53"/>
    <mergeCell ref="F55:G55"/>
    <mergeCell ref="A55:E55"/>
    <mergeCell ref="I60:J60"/>
    <mergeCell ref="X58:Z58"/>
    <mergeCell ref="X59:Z59"/>
    <mergeCell ref="X60:Z60"/>
    <mergeCell ref="N55:P55"/>
    <mergeCell ref="K56:M56"/>
    <mergeCell ref="N56:P56"/>
    <mergeCell ref="N57:P57"/>
    <mergeCell ref="X61:Z61"/>
    <mergeCell ref="X56:Z56"/>
    <mergeCell ref="X57:Z57"/>
  </mergeCells>
  <pageMargins left="0.7" right="0.7" top="0.75" bottom="0.75" header="0.3" footer="0.3"/>
  <pageSetup scale="51" orientation="landscape" r:id="rId1"/>
  <headerFooter>
    <oddFooter>&amp;LRMC Event Tree Toolbox
&amp;A&amp;RVersion 3.0
Page &amp;P of &amp;N</oddFooter>
  </headerFooter>
  <colBreaks count="1" manualBreakCount="1">
    <brk id="7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06.Transparent_ET_Background">
                <anchor moveWithCells="1" sizeWithCells="1">
                  <from>
                    <xdr:col>79</xdr:col>
                    <xdr:colOff>38100</xdr:colOff>
                    <xdr:row>11</xdr:row>
                    <xdr:rowOff>180975</xdr:rowOff>
                  </from>
                  <to>
                    <xdr:col>80</xdr:col>
                    <xdr:colOff>619125</xdr:colOff>
                    <xdr:row>14</xdr:row>
                    <xdr:rowOff>114300</xdr:rowOff>
                  </to>
                </anchor>
              </controlPr>
            </control>
          </mc:Choice>
        </mc:AlternateContent>
        <mc:AlternateContent xmlns:mc="http://schemas.openxmlformats.org/markup-compatibility/2006">
          <mc:Choice Requires="x14">
            <control shapeId="2050" r:id="rId5" name="Button 2">
              <controlPr defaultSize="0" print="0" autoFill="0" autoPict="0" macro="[0]!Sheet06.White_ET_Background">
                <anchor moveWithCells="1" sizeWithCells="1">
                  <from>
                    <xdr:col>79</xdr:col>
                    <xdr:colOff>38100</xdr:colOff>
                    <xdr:row>15</xdr:row>
                    <xdr:rowOff>9525</xdr:rowOff>
                  </from>
                  <to>
                    <xdr:col>80</xdr:col>
                    <xdr:colOff>619125</xdr:colOff>
                    <xdr:row>17</xdr:row>
                    <xdr:rowOff>133350</xdr:rowOff>
                  </to>
                </anchor>
              </controlPr>
            </control>
          </mc:Choice>
        </mc:AlternateContent>
        <mc:AlternateContent xmlns:mc="http://schemas.openxmlformats.org/markup-compatibility/2006">
          <mc:Choice Requires="x14">
            <control shapeId="2051" r:id="rId6" name="Button 3">
              <controlPr defaultSize="0" print="0" autoFill="0" autoPict="0" macro="[0]!ExportSelectionAsHiResPng">
                <anchor moveWithCells="1" sizeWithCells="1">
                  <from>
                    <xdr:col>79</xdr:col>
                    <xdr:colOff>38100</xdr:colOff>
                    <xdr:row>20</xdr:row>
                    <xdr:rowOff>9525</xdr:rowOff>
                  </from>
                  <to>
                    <xdr:col>80</xdr:col>
                    <xdr:colOff>619125</xdr:colOff>
                    <xdr:row>22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2D9AB60F-178B-442E-95B0-3E8070E32E69}">
            <xm:f>'Event Tree Input'!$D$11&lt;9</xm:f>
            <x14:dxf>
              <border>
                <left/>
                <right/>
                <top/>
                <bottom/>
                <vertical/>
                <horizontal/>
              </border>
            </x14:dxf>
          </x14:cfRule>
          <xm:sqref>BT12:BZ12 BT19:BZ19 BT13:BU13 BT14:BT18</xm:sqref>
        </x14:conditionalFormatting>
        <x14:conditionalFormatting xmlns:xm="http://schemas.microsoft.com/office/excel/2006/main">
          <x14:cfRule type="expression" priority="8" id="{95993CE9-E0BC-4C66-ADF2-5585FC697679}">
            <xm:f>'Event Tree Input'!$D$11&lt;8</xm:f>
            <x14:dxf>
              <border>
                <left/>
                <right/>
                <top/>
                <bottom/>
                <vertical/>
                <horizontal/>
              </border>
            </x14:dxf>
          </x14:cfRule>
          <xm:sqref>BM15:BS15 BM22:BS22 BM16:BN16 BM17:BM21</xm:sqref>
        </x14:conditionalFormatting>
        <x14:conditionalFormatting xmlns:xm="http://schemas.microsoft.com/office/excel/2006/main">
          <x14:cfRule type="expression" priority="7" id="{471E27D4-AA9E-4E48-A209-383647B92C70}">
            <xm:f>'Event Tree Input'!$D$11&lt;7</xm:f>
            <x14:dxf>
              <border>
                <left/>
                <right/>
                <top/>
                <bottom/>
                <vertical/>
                <horizontal/>
              </border>
            </x14:dxf>
          </x14:cfRule>
          <xm:sqref>BF18:BL18 BF25:BL25 BF19:BG19 BF20:BF24</xm:sqref>
        </x14:conditionalFormatting>
        <x14:conditionalFormatting xmlns:xm="http://schemas.microsoft.com/office/excel/2006/main">
          <x14:cfRule type="expression" priority="6" id="{86118574-C779-4D54-A418-76053363427F}">
            <xm:f>'Event Tree Input'!$D$11&lt;6</xm:f>
            <x14:dxf>
              <border>
                <left/>
                <right/>
                <top/>
                <bottom/>
                <vertical/>
                <horizontal/>
              </border>
            </x14:dxf>
          </x14:cfRule>
          <xm:sqref>AY21:BE21 AY28:BE28 AY22:AZ22 AY23:AY27</xm:sqref>
        </x14:conditionalFormatting>
        <x14:conditionalFormatting xmlns:xm="http://schemas.microsoft.com/office/excel/2006/main">
          <x14:cfRule type="expression" priority="5" id="{DDE9C9C1-D1BA-40B4-B77B-5CBED1EB305D}">
            <xm:f>'Event Tree Input'!$D$11&lt;5</xm:f>
            <x14:dxf>
              <border>
                <left/>
                <right/>
                <top/>
                <bottom/>
                <vertical/>
                <horizontal/>
              </border>
            </x14:dxf>
          </x14:cfRule>
          <xm:sqref>AR24:AX24 AR31:AX31 AR25:AS25 AR26:AR30</xm:sqref>
        </x14:conditionalFormatting>
        <x14:conditionalFormatting xmlns:xm="http://schemas.microsoft.com/office/excel/2006/main">
          <x14:cfRule type="expression" priority="4" id="{7747D35C-F5F4-4212-A851-AB1C2710FACD}">
            <xm:f>'Event Tree Input'!$D$11&lt;4</xm:f>
            <x14:dxf>
              <border>
                <left/>
                <right/>
                <top/>
                <bottom/>
                <vertical/>
                <horizontal/>
              </border>
            </x14:dxf>
          </x14:cfRule>
          <xm:sqref>AK27:AQ27 AK34:AQ34 AK28:AL28 AK29:AK33</xm:sqref>
        </x14:conditionalFormatting>
        <x14:conditionalFormatting xmlns:xm="http://schemas.microsoft.com/office/excel/2006/main">
          <x14:cfRule type="expression" priority="3" id="{C28095E2-94F4-4F41-81FD-EA8881CF7778}">
            <xm:f>'Event Tree Input'!$D$11&lt;3</xm:f>
            <x14:dxf>
              <border>
                <left/>
                <right/>
                <top/>
                <bottom/>
                <vertical/>
                <horizontal/>
              </border>
            </x14:dxf>
          </x14:cfRule>
          <xm:sqref>AD30:AJ30 AD37:AJ37 AD31:AE31 AD32:AD36</xm:sqref>
        </x14:conditionalFormatting>
        <x14:conditionalFormatting xmlns:xm="http://schemas.microsoft.com/office/excel/2006/main">
          <x14:cfRule type="expression" priority="2" id="{B6CAEA3F-0270-48EB-9D71-422032B374F1}">
            <xm:f>'Event Tree Input'!$D$11&lt;2</xm:f>
            <x14:dxf>
              <border>
                <left/>
                <right/>
                <top/>
                <bottom/>
                <vertical/>
                <horizontal/>
              </border>
            </x14:dxf>
          </x14:cfRule>
          <xm:sqref>W33:AC33 W40:AC40 W34:X34 W35:W39</xm:sqref>
        </x14:conditionalFormatting>
        <x14:conditionalFormatting xmlns:xm="http://schemas.microsoft.com/office/excel/2006/main">
          <x14:cfRule type="expression" priority="1" id="{191CA392-050A-4C26-B51D-6604DA129D01}">
            <xm:f>'Event Tree Input'!$D$9="Seismic Hazard"</xm:f>
            <x14:dxf>
              <border>
                <bottom style="thin">
                  <color auto="1"/>
                </bottom>
                <vertical/>
                <horizontal/>
              </border>
            </x14:dxf>
          </x14:cfRule>
          <xm:sqref>B39:H39</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D3DD-6C69-4B58-B2FE-945063346994}">
  <sheetPr codeName="Sheet12">
    <pageSetUpPr fitToPage="1"/>
  </sheetPr>
  <dimension ref="A1:V159"/>
  <sheetViews>
    <sheetView zoomScaleNormal="100" workbookViewId="0"/>
  </sheetViews>
  <sheetFormatPr defaultColWidth="9.140625" defaultRowHeight="12.75" customHeight="1" x14ac:dyDescent="0.2"/>
  <cols>
    <col min="1" max="34" width="11.28515625" style="64" customWidth="1"/>
    <col min="35" max="16384" width="9.140625" style="64"/>
  </cols>
  <sheetData>
    <row r="1" spans="1:22" s="15" customFormat="1" ht="12.75" customHeight="1" x14ac:dyDescent="0.2">
      <c r="A1" s="78" t="s">
        <v>39</v>
      </c>
      <c r="B1" s="139"/>
      <c r="C1" s="139"/>
      <c r="D1" s="139"/>
      <c r="E1" s="79" t="s">
        <v>40</v>
      </c>
      <c r="F1" s="80"/>
      <c r="G1" s="81" t="s">
        <v>41</v>
      </c>
      <c r="H1" s="82"/>
    </row>
    <row r="2" spans="1:22" s="15" customFormat="1" ht="12.75" customHeight="1" x14ac:dyDescent="0.2">
      <c r="A2" s="78" t="s">
        <v>42</v>
      </c>
      <c r="B2" s="139"/>
      <c r="C2" s="139"/>
      <c r="D2" s="139"/>
      <c r="E2" s="79" t="s">
        <v>40</v>
      </c>
      <c r="F2" s="80"/>
      <c r="G2" s="81" t="s">
        <v>41</v>
      </c>
      <c r="H2" s="82"/>
      <c r="J2" s="118"/>
      <c r="K2" s="118"/>
      <c r="L2" s="118"/>
      <c r="M2" s="118"/>
    </row>
    <row r="3" spans="1:22" s="15" customFormat="1" ht="12.75" customHeight="1" x14ac:dyDescent="0.2">
      <c r="A3" s="83" t="s">
        <v>43</v>
      </c>
      <c r="B3" s="18"/>
      <c r="C3" s="140"/>
      <c r="D3" s="140"/>
      <c r="E3" s="140"/>
      <c r="F3" s="140"/>
      <c r="G3" s="140"/>
      <c r="H3" s="140"/>
    </row>
    <row r="4" spans="1:22" s="15" customFormat="1" ht="12.75" customHeight="1" x14ac:dyDescent="0.2">
      <c r="A4" s="16"/>
      <c r="B4" s="16"/>
      <c r="C4" s="16"/>
      <c r="D4" s="16"/>
      <c r="E4" s="16"/>
      <c r="F4" s="16"/>
      <c r="G4" s="16"/>
      <c r="H4" s="16"/>
    </row>
    <row r="5" spans="1:22" s="15" customFormat="1" ht="12.75" customHeight="1" x14ac:dyDescent="0.2">
      <c r="A5" s="4" t="s">
        <v>141</v>
      </c>
      <c r="B5" s="4"/>
      <c r="C5" s="4"/>
      <c r="D5" s="4"/>
      <c r="E5" s="4"/>
      <c r="F5" s="4"/>
      <c r="G5" s="4"/>
      <c r="H5" s="4"/>
    </row>
    <row r="6" spans="1:22" s="15" customFormat="1" ht="12.75" customHeight="1" x14ac:dyDescent="0.2">
      <c r="A6" s="23"/>
      <c r="B6" s="23"/>
      <c r="C6" s="23"/>
      <c r="D6" s="23"/>
      <c r="E6" s="23"/>
      <c r="F6" s="23"/>
      <c r="G6" s="23"/>
      <c r="H6" s="23"/>
    </row>
    <row r="7" spans="1:22" s="15" customFormat="1" ht="12.75" customHeight="1" x14ac:dyDescent="0.2">
      <c r="A7" s="4" t="s">
        <v>180</v>
      </c>
      <c r="B7" s="4"/>
      <c r="C7" s="4"/>
      <c r="D7" s="4"/>
      <c r="E7" s="4"/>
      <c r="F7" s="4"/>
      <c r="G7" s="4"/>
      <c r="H7" s="4"/>
    </row>
    <row r="8" spans="1:22" s="15" customFormat="1" ht="12.75" customHeight="1" x14ac:dyDescent="0.2">
      <c r="A8" s="16"/>
      <c r="B8" s="23"/>
      <c r="C8" s="23"/>
      <c r="D8" s="23"/>
      <c r="E8" s="23"/>
      <c r="F8" s="23"/>
      <c r="G8" s="23"/>
      <c r="H8" s="23"/>
    </row>
    <row r="9" spans="1:22" s="15" customFormat="1" ht="12.75" customHeight="1" x14ac:dyDescent="0.2">
      <c r="A9" s="23" t="s">
        <v>244</v>
      </c>
      <c r="B9" s="23"/>
      <c r="C9" s="23"/>
      <c r="D9" s="185" t="s">
        <v>154</v>
      </c>
      <c r="E9" s="185"/>
      <c r="F9" s="185"/>
      <c r="G9" s="23"/>
      <c r="H9" s="23"/>
      <c r="I9" s="14" t="s">
        <v>45</v>
      </c>
    </row>
    <row r="10" spans="1:22" s="15" customFormat="1" ht="12.75" customHeight="1" x14ac:dyDescent="0.2">
      <c r="B10" s="23"/>
      <c r="C10" s="23"/>
      <c r="D10" s="23"/>
      <c r="E10" s="23"/>
      <c r="F10" s="23"/>
      <c r="G10" s="23"/>
      <c r="H10" s="23"/>
    </row>
    <row r="11" spans="1:22" s="15" customFormat="1" ht="12.75" customHeight="1" x14ac:dyDescent="0.2">
      <c r="A11" s="19" t="s">
        <v>174</v>
      </c>
      <c r="B11" s="23"/>
      <c r="C11" s="23"/>
      <c r="D11" s="23"/>
      <c r="E11" s="23"/>
      <c r="F11" s="23"/>
      <c r="G11" s="23"/>
      <c r="H11" s="23"/>
    </row>
    <row r="12" spans="1:22" s="15" customFormat="1" ht="12.75" customHeight="1" x14ac:dyDescent="0.2">
      <c r="A12" s="16"/>
      <c r="B12" s="16"/>
      <c r="C12" s="16"/>
      <c r="D12" s="16"/>
      <c r="E12" s="16"/>
      <c r="F12" s="16"/>
      <c r="G12" s="16"/>
      <c r="H12" s="23"/>
    </row>
    <row r="13" spans="1:22" s="15" customFormat="1" ht="12.75" customHeight="1" x14ac:dyDescent="0.2">
      <c r="A13" s="23" t="s">
        <v>188</v>
      </c>
      <c r="B13" s="23"/>
      <c r="C13" s="23"/>
      <c r="D13" s="185" t="s">
        <v>223</v>
      </c>
      <c r="E13" s="185"/>
      <c r="F13" s="185"/>
      <c r="G13" s="16"/>
      <c r="H13" s="23"/>
      <c r="I13" s="77" t="s">
        <v>245</v>
      </c>
    </row>
    <row r="14" spans="1:22" s="15" customFormat="1" ht="12.75" customHeight="1" x14ac:dyDescent="0.2">
      <c r="A14" s="23" t="s">
        <v>155</v>
      </c>
      <c r="B14" s="23"/>
      <c r="C14" s="23"/>
      <c r="D14" s="185" t="s">
        <v>169</v>
      </c>
      <c r="E14" s="185"/>
      <c r="F14" s="185"/>
      <c r="G14" s="23"/>
      <c r="H14" s="23"/>
      <c r="I14" s="14" t="s">
        <v>45</v>
      </c>
    </row>
    <row r="15" spans="1:22" s="15" customFormat="1" ht="12.75" customHeight="1" x14ac:dyDescent="0.2">
      <c r="A15" s="23"/>
      <c r="B15" s="23"/>
      <c r="C15" s="23"/>
      <c r="D15" s="23"/>
      <c r="E15" s="23"/>
      <c r="F15" s="23"/>
      <c r="G15" s="23"/>
      <c r="H15" s="23"/>
      <c r="Q15" s="21"/>
      <c r="R15" s="21"/>
      <c r="T15" s="60"/>
      <c r="V15" s="60"/>
    </row>
    <row r="16" spans="1:22" s="15" customFormat="1" ht="12.75" customHeight="1" x14ac:dyDescent="0.2">
      <c r="A16" s="19" t="s">
        <v>175</v>
      </c>
      <c r="B16" s="23"/>
      <c r="C16" s="23"/>
      <c r="D16" s="23"/>
      <c r="E16" s="23"/>
      <c r="F16" s="23"/>
      <c r="G16" s="23"/>
      <c r="H16" s="23"/>
    </row>
    <row r="17" spans="1:22" s="15" customFormat="1" ht="12.75" customHeight="1" x14ac:dyDescent="0.2">
      <c r="A17" s="16"/>
      <c r="B17" s="16"/>
      <c r="C17" s="16"/>
      <c r="D17" s="16"/>
      <c r="E17" s="16"/>
      <c r="F17" s="16"/>
      <c r="G17" s="16"/>
      <c r="H17" s="23"/>
      <c r="I17" s="14"/>
    </row>
    <row r="18" spans="1:22" s="15" customFormat="1" ht="12.75" customHeight="1" x14ac:dyDescent="0.2">
      <c r="A18" s="23" t="s">
        <v>189</v>
      </c>
      <c r="B18" s="23"/>
      <c r="C18" s="23"/>
      <c r="D18" s="186" t="e">
        <f>IF(D9="Seismic Hazard","Seismic Hazard",NA())</f>
        <v>#N/A</v>
      </c>
      <c r="E18" s="186"/>
      <c r="F18" s="186"/>
      <c r="G18" s="16"/>
      <c r="H18" s="23"/>
      <c r="I18" s="77" t="s">
        <v>246</v>
      </c>
    </row>
    <row r="19" spans="1:22" s="15" customFormat="1" ht="12.75" customHeight="1" x14ac:dyDescent="0.2">
      <c r="A19" s="23" t="s">
        <v>156</v>
      </c>
      <c r="B19" s="23"/>
      <c r="C19" s="23"/>
      <c r="D19" s="185" t="s">
        <v>171</v>
      </c>
      <c r="E19" s="185"/>
      <c r="F19" s="185"/>
      <c r="G19" s="23"/>
      <c r="H19" s="23"/>
      <c r="I19" s="14" t="s">
        <v>45</v>
      </c>
    </row>
    <row r="20" spans="1:22" s="15" customFormat="1" ht="12.75" customHeight="1" x14ac:dyDescent="0.2">
      <c r="A20" s="23"/>
      <c r="B20" s="23"/>
      <c r="C20" s="23"/>
      <c r="D20" s="23"/>
      <c r="E20" s="23"/>
      <c r="F20" s="23"/>
      <c r="G20" s="23"/>
      <c r="H20" s="23"/>
      <c r="Q20" s="21"/>
      <c r="R20" s="21"/>
      <c r="T20" s="60"/>
      <c r="V20" s="60"/>
    </row>
    <row r="21" spans="1:22" s="15" customFormat="1" ht="12.75" customHeight="1" x14ac:dyDescent="0.2">
      <c r="A21" s="23"/>
      <c r="B21" s="23"/>
      <c r="C21" s="23"/>
      <c r="D21" s="23"/>
      <c r="E21" s="23"/>
      <c r="F21" s="23"/>
      <c r="G21" s="23"/>
      <c r="H21" s="23"/>
      <c r="Q21" s="21"/>
      <c r="R21" s="21"/>
      <c r="T21" s="60"/>
      <c r="V21" s="60"/>
    </row>
    <row r="22" spans="1:22" s="15" customFormat="1" ht="12.75" customHeight="1" x14ac:dyDescent="0.2">
      <c r="A22" s="4" t="s">
        <v>313</v>
      </c>
      <c r="B22" s="4"/>
      <c r="C22" s="4"/>
      <c r="D22" s="4"/>
      <c r="E22" s="4"/>
      <c r="F22" s="4"/>
      <c r="G22" s="4"/>
      <c r="H22" s="4"/>
      <c r="Q22" s="21"/>
      <c r="R22" s="21"/>
      <c r="T22" s="60"/>
      <c r="V22" s="60"/>
    </row>
    <row r="23" spans="1:22" s="15" customFormat="1" ht="12.75" customHeight="1" x14ac:dyDescent="0.2">
      <c r="A23" s="23"/>
      <c r="B23" s="23"/>
      <c r="C23" s="23"/>
      <c r="D23" s="23"/>
      <c r="E23" s="23"/>
      <c r="F23" s="23"/>
      <c r="G23" s="23"/>
      <c r="H23" s="23"/>
      <c r="Q23" s="21"/>
      <c r="R23" s="21"/>
      <c r="T23" s="60"/>
      <c r="V23" s="60"/>
    </row>
    <row r="24" spans="1:22" s="15" customFormat="1" ht="12.75" customHeight="1" x14ac:dyDescent="0.2">
      <c r="A24" s="23" t="s">
        <v>209</v>
      </c>
      <c r="B24" s="23"/>
      <c r="C24" s="23"/>
      <c r="D24" s="187" t="s">
        <v>210</v>
      </c>
      <c r="E24" s="187"/>
      <c r="F24" s="23"/>
      <c r="G24" s="23"/>
      <c r="H24" s="23"/>
      <c r="I24" s="14" t="s">
        <v>45</v>
      </c>
      <c r="P24" s="21"/>
      <c r="R24" s="49"/>
    </row>
    <row r="25" spans="1:22" s="15" customFormat="1" ht="12.75" customHeight="1" x14ac:dyDescent="0.2">
      <c r="A25" s="23" t="s">
        <v>249</v>
      </c>
      <c r="B25" s="23"/>
      <c r="C25" s="23"/>
      <c r="D25" s="66">
        <v>3</v>
      </c>
      <c r="E25" s="23"/>
      <c r="F25" s="23"/>
      <c r="G25" s="23"/>
      <c r="H25" s="23"/>
      <c r="I25" s="14" t="s">
        <v>45</v>
      </c>
      <c r="T25" s="60"/>
      <c r="V25" s="60"/>
    </row>
    <row r="26" spans="1:22" s="15" customFormat="1" ht="12.75" customHeight="1" x14ac:dyDescent="0.2">
      <c r="A26" s="23"/>
      <c r="B26" s="23"/>
      <c r="C26" s="23"/>
      <c r="D26" s="23"/>
      <c r="E26" s="23"/>
      <c r="F26" s="23"/>
      <c r="G26" s="23"/>
      <c r="H26" s="23"/>
      <c r="T26" s="60"/>
      <c r="V26" s="60"/>
    </row>
    <row r="27" spans="1:22" s="15" customFormat="1" ht="12.75" customHeight="1" x14ac:dyDescent="0.2">
      <c r="A27" s="134" t="s">
        <v>250</v>
      </c>
      <c r="B27" s="134"/>
      <c r="C27" s="134"/>
      <c r="D27" s="16"/>
      <c r="E27" s="16"/>
      <c r="F27" s="18"/>
      <c r="G27" s="183" t="s">
        <v>216</v>
      </c>
      <c r="H27" s="177"/>
      <c r="M27" s="33"/>
      <c r="T27" s="60"/>
      <c r="V27" s="60"/>
    </row>
    <row r="28" spans="1:22" s="15" customFormat="1" ht="12.75" customHeight="1" x14ac:dyDescent="0.2">
      <c r="A28" s="134"/>
      <c r="B28" s="134"/>
      <c r="C28" s="134"/>
      <c r="D28" s="16"/>
      <c r="E28" s="16"/>
      <c r="F28" s="16"/>
      <c r="G28" s="183"/>
      <c r="H28" s="177"/>
      <c r="M28" s="33"/>
      <c r="T28" s="60"/>
      <c r="V28" s="60"/>
    </row>
    <row r="29" spans="1:22" s="15" customFormat="1" ht="12.75" customHeight="1" x14ac:dyDescent="0.2">
      <c r="A29" s="23" t="s">
        <v>157</v>
      </c>
      <c r="B29" s="185" t="s">
        <v>230</v>
      </c>
      <c r="C29" s="185"/>
      <c r="D29" s="185"/>
      <c r="E29" s="185"/>
      <c r="F29" s="16"/>
      <c r="G29" s="107">
        <v>0.1225</v>
      </c>
      <c r="H29" s="94"/>
      <c r="M29" s="33"/>
      <c r="T29" s="60"/>
      <c r="V29" s="60"/>
    </row>
    <row r="30" spans="1:22" s="15" customFormat="1" ht="12.75" customHeight="1" x14ac:dyDescent="0.2">
      <c r="A30" s="23" t="s">
        <v>158</v>
      </c>
      <c r="B30" s="185" t="s">
        <v>231</v>
      </c>
      <c r="C30" s="185"/>
      <c r="D30" s="185"/>
      <c r="E30" s="185"/>
      <c r="F30" s="16"/>
      <c r="G30" s="108">
        <v>0.45500000000000002</v>
      </c>
      <c r="H30" s="94"/>
      <c r="M30" s="33"/>
      <c r="T30" s="60"/>
      <c r="V30" s="60"/>
    </row>
    <row r="31" spans="1:22" s="15" customFormat="1" ht="12.75" customHeight="1" x14ac:dyDescent="0.2">
      <c r="A31" s="23" t="s">
        <v>159</v>
      </c>
      <c r="B31" s="185" t="s">
        <v>232</v>
      </c>
      <c r="C31" s="185"/>
      <c r="D31" s="185"/>
      <c r="E31" s="185"/>
      <c r="F31" s="16"/>
      <c r="G31" s="108">
        <v>0.42249999999999999</v>
      </c>
      <c r="H31" s="94"/>
    </row>
    <row r="32" spans="1:22" s="15" customFormat="1" ht="12.75" customHeight="1" x14ac:dyDescent="0.2">
      <c r="A32" s="23" t="s">
        <v>160</v>
      </c>
      <c r="B32" s="185"/>
      <c r="C32" s="185"/>
      <c r="D32" s="185"/>
      <c r="E32" s="185"/>
      <c r="F32" s="16"/>
      <c r="G32" s="108"/>
      <c r="H32" s="94"/>
      <c r="T32" s="60"/>
    </row>
    <row r="33" spans="1:21" s="15" customFormat="1" ht="12.75" customHeight="1" x14ac:dyDescent="0.2">
      <c r="A33" s="23" t="s">
        <v>161</v>
      </c>
      <c r="B33" s="185"/>
      <c r="C33" s="185"/>
      <c r="D33" s="185"/>
      <c r="E33" s="185"/>
      <c r="F33" s="40"/>
      <c r="G33" s="109"/>
      <c r="H33" s="94"/>
      <c r="T33" s="60"/>
    </row>
    <row r="34" spans="1:21" s="15" customFormat="1" ht="12.75" customHeight="1" x14ac:dyDescent="0.2">
      <c r="A34" s="23"/>
      <c r="B34" s="23"/>
      <c r="C34" s="23"/>
      <c r="D34" s="23"/>
      <c r="E34" s="23"/>
      <c r="F34" s="23"/>
      <c r="G34" s="23"/>
      <c r="H34" s="23"/>
    </row>
    <row r="35" spans="1:21" s="15" customFormat="1" ht="12.75" customHeight="1" x14ac:dyDescent="0.2">
      <c r="A35" s="23"/>
      <c r="B35" s="23"/>
      <c r="C35" s="23"/>
      <c r="D35" s="23"/>
      <c r="E35" s="23"/>
      <c r="F35" s="23"/>
      <c r="G35" s="119" t="s">
        <v>317</v>
      </c>
      <c r="H35" s="23"/>
    </row>
    <row r="36" spans="1:21" s="15" customFormat="1" ht="12.75" customHeight="1" x14ac:dyDescent="0.2">
      <c r="A36" s="23"/>
      <c r="B36" s="23"/>
      <c r="C36" s="23"/>
      <c r="D36" s="23"/>
      <c r="E36" s="23"/>
      <c r="F36" s="23"/>
      <c r="G36" s="23"/>
      <c r="H36" s="23"/>
    </row>
    <row r="37" spans="1:21" s="15" customFormat="1" ht="12.75" customHeight="1" x14ac:dyDescent="0.2">
      <c r="A37" s="16" t="s">
        <v>309</v>
      </c>
      <c r="B37" s="22"/>
      <c r="C37" s="22"/>
      <c r="D37" s="22"/>
      <c r="E37" s="16"/>
      <c r="F37" s="16"/>
      <c r="G37" s="23"/>
      <c r="H37" s="23"/>
    </row>
    <row r="38" spans="1:21" s="15" customFormat="1" ht="12.75" customHeight="1" x14ac:dyDescent="0.2">
      <c r="A38" s="16" t="s">
        <v>310</v>
      </c>
      <c r="B38" s="22"/>
      <c r="C38" s="22"/>
      <c r="D38" s="22"/>
      <c r="E38" s="16"/>
      <c r="F38" s="16"/>
      <c r="G38" s="23"/>
      <c r="H38" s="23"/>
    </row>
    <row r="39" spans="1:21" s="15" customFormat="1" ht="12.75" customHeight="1" x14ac:dyDescent="0.2">
      <c r="A39" s="16"/>
      <c r="B39" s="22"/>
      <c r="C39" s="22"/>
      <c r="D39" s="22"/>
      <c r="E39" s="16"/>
      <c r="F39" s="16"/>
      <c r="G39" s="23"/>
      <c r="H39" s="23"/>
    </row>
    <row r="40" spans="1:21" s="15" customFormat="1" ht="12.75" customHeight="1" x14ac:dyDescent="0.2">
      <c r="A40" s="16" t="s">
        <v>311</v>
      </c>
      <c r="B40" s="22"/>
      <c r="C40" s="192" t="s">
        <v>305</v>
      </c>
      <c r="D40" s="192"/>
      <c r="E40" s="192"/>
      <c r="F40" s="192"/>
      <c r="G40" s="23"/>
      <c r="H40" s="23"/>
      <c r="I40" s="14" t="s">
        <v>45</v>
      </c>
    </row>
    <row r="41" spans="1:21" s="15" customFormat="1" ht="12.75" customHeight="1" x14ac:dyDescent="0.2">
      <c r="A41" s="16"/>
      <c r="B41" s="22"/>
      <c r="C41" s="22"/>
      <c r="D41" s="22"/>
      <c r="E41" s="16"/>
      <c r="F41" s="16"/>
      <c r="G41" s="23"/>
      <c r="H41" s="23"/>
    </row>
    <row r="42" spans="1:21" s="15" customFormat="1" ht="12.75" customHeight="1" x14ac:dyDescent="0.2">
      <c r="A42" s="23" t="s">
        <v>285</v>
      </c>
      <c r="B42" s="23"/>
      <c r="C42" s="23"/>
      <c r="D42" s="95" t="s">
        <v>46</v>
      </c>
      <c r="E42" s="23"/>
      <c r="F42" s="23"/>
      <c r="G42" s="23"/>
      <c r="H42" s="23"/>
      <c r="I42" s="14" t="s">
        <v>45</v>
      </c>
    </row>
    <row r="43" spans="1:21" s="15" customFormat="1" ht="12.75" customHeight="1" x14ac:dyDescent="0.2">
      <c r="A43" s="16"/>
      <c r="B43" s="22"/>
      <c r="C43" s="22"/>
      <c r="D43" s="22"/>
      <c r="E43" s="16"/>
      <c r="F43" s="16"/>
      <c r="G43" s="23"/>
      <c r="H43" s="23"/>
    </row>
    <row r="44" spans="1:21" s="15" customFormat="1" ht="12.75" customHeight="1" x14ac:dyDescent="0.2">
      <c r="A44" s="16" t="s">
        <v>314</v>
      </c>
      <c r="B44" s="22"/>
      <c r="C44" s="22"/>
      <c r="D44" s="22"/>
      <c r="E44" s="16"/>
      <c r="F44" s="16"/>
      <c r="G44" s="23"/>
      <c r="H44" s="23"/>
    </row>
    <row r="45" spans="1:21" s="15" customFormat="1" ht="12.75" customHeight="1" x14ac:dyDescent="0.2">
      <c r="A45" s="23"/>
      <c r="B45" s="23"/>
      <c r="C45" s="23"/>
      <c r="D45" s="23"/>
      <c r="E45" s="23"/>
      <c r="F45" s="23"/>
      <c r="G45" s="23"/>
      <c r="H45" s="23"/>
    </row>
    <row r="46" spans="1:21" s="15" customFormat="1" ht="12.75" customHeight="1" x14ac:dyDescent="0.2">
      <c r="A46" s="4" t="s">
        <v>315</v>
      </c>
      <c r="B46" s="4"/>
      <c r="C46" s="4"/>
      <c r="D46" s="4"/>
      <c r="E46" s="4"/>
      <c r="F46" s="4"/>
      <c r="G46" s="4"/>
      <c r="H46" s="4"/>
      <c r="T46" s="60"/>
      <c r="U46" s="91"/>
    </row>
    <row r="47" spans="1:21" s="15" customFormat="1" ht="12.75" customHeight="1" x14ac:dyDescent="0.2">
      <c r="A47" s="23"/>
      <c r="B47" s="23"/>
      <c r="C47" s="23"/>
      <c r="D47" s="23"/>
      <c r="E47" s="23"/>
      <c r="F47" s="23"/>
      <c r="G47" s="23"/>
      <c r="H47" s="23"/>
      <c r="M47" s="33"/>
    </row>
    <row r="48" spans="1:21" s="15" customFormat="1" ht="12.75" customHeight="1" x14ac:dyDescent="0.2">
      <c r="A48" s="23" t="s">
        <v>162</v>
      </c>
      <c r="B48" s="23"/>
      <c r="C48" s="23"/>
      <c r="D48" s="66">
        <v>2</v>
      </c>
      <c r="E48" s="23"/>
      <c r="F48" s="23"/>
      <c r="G48" s="23"/>
      <c r="H48" s="23"/>
      <c r="I48" s="14" t="s">
        <v>45</v>
      </c>
      <c r="M48" s="33"/>
    </row>
    <row r="49" spans="1:17" s="15" customFormat="1" ht="12.75" customHeight="1" x14ac:dyDescent="0.2">
      <c r="A49" s="23"/>
      <c r="B49" s="23"/>
      <c r="C49" s="23"/>
      <c r="D49" s="23"/>
      <c r="E49" s="23"/>
      <c r="F49" s="23"/>
      <c r="G49" s="23"/>
      <c r="H49" s="23"/>
      <c r="M49" s="33"/>
    </row>
    <row r="50" spans="1:17" s="15" customFormat="1" ht="12.75" customHeight="1" x14ac:dyDescent="0.2">
      <c r="A50" s="190" t="s">
        <v>177</v>
      </c>
      <c r="B50" s="162" t="s">
        <v>178</v>
      </c>
      <c r="C50" s="163"/>
      <c r="D50" s="164"/>
      <c r="E50" s="178" t="s">
        <v>247</v>
      </c>
      <c r="F50" s="179"/>
      <c r="G50" s="171" t="s">
        <v>248</v>
      </c>
      <c r="H50" s="172"/>
      <c r="M50" s="33"/>
    </row>
    <row r="51" spans="1:17" s="15" customFormat="1" ht="12.75" customHeight="1" thickBot="1" x14ac:dyDescent="0.25">
      <c r="A51" s="191"/>
      <c r="B51" s="165"/>
      <c r="C51" s="166"/>
      <c r="D51" s="167"/>
      <c r="E51" s="180"/>
      <c r="F51" s="181"/>
      <c r="G51" s="173"/>
      <c r="H51" s="174"/>
      <c r="M51" s="33"/>
    </row>
    <row r="52" spans="1:17" s="15" customFormat="1" ht="12.75" customHeight="1" thickTop="1" x14ac:dyDescent="0.2">
      <c r="A52" s="92" t="s">
        <v>191</v>
      </c>
      <c r="B52" s="159" t="s">
        <v>191</v>
      </c>
      <c r="C52" s="160"/>
      <c r="D52" s="161"/>
      <c r="E52" s="175" t="str">
        <f>IF(ISBLANK(D14),"",D14)</f>
        <v>Stage</v>
      </c>
      <c r="F52" s="184"/>
      <c r="G52" s="175" t="str">
        <f>IF(OR(D9="Hydrologic Hazard",ISBLANK(D19)),"",D19)</f>
        <v/>
      </c>
      <c r="H52" s="176"/>
      <c r="I52" s="14"/>
      <c r="M52" s="33"/>
    </row>
    <row r="53" spans="1:17" s="15" customFormat="1" ht="12.75" customHeight="1" x14ac:dyDescent="0.2">
      <c r="A53" s="93" t="s">
        <v>163</v>
      </c>
      <c r="B53" s="168" t="s">
        <v>320</v>
      </c>
      <c r="C53" s="169"/>
      <c r="D53" s="170"/>
      <c r="E53" s="157" t="s">
        <v>241</v>
      </c>
      <c r="F53" s="182"/>
      <c r="G53" s="157"/>
      <c r="H53" s="158"/>
      <c r="I53" s="14" t="s">
        <v>45</v>
      </c>
      <c r="L53" s="33"/>
      <c r="M53" s="33"/>
    </row>
    <row r="54" spans="1:17" s="15" customFormat="1" ht="12.75" customHeight="1" x14ac:dyDescent="0.2">
      <c r="A54" s="93" t="s">
        <v>164</v>
      </c>
      <c r="B54" s="168" t="s">
        <v>240</v>
      </c>
      <c r="C54" s="169"/>
      <c r="D54" s="170"/>
      <c r="E54" s="157" t="s">
        <v>169</v>
      </c>
      <c r="F54" s="182"/>
      <c r="G54" s="157"/>
      <c r="H54" s="158"/>
      <c r="I54" s="14" t="s">
        <v>45</v>
      </c>
      <c r="L54" s="33"/>
      <c r="M54" s="33"/>
    </row>
    <row r="55" spans="1:17" s="15" customFormat="1" ht="12.75" customHeight="1" x14ac:dyDescent="0.2">
      <c r="A55" s="93" t="s">
        <v>165</v>
      </c>
      <c r="B55" s="168"/>
      <c r="C55" s="169"/>
      <c r="D55" s="170"/>
      <c r="E55" s="157"/>
      <c r="F55" s="182"/>
      <c r="G55" s="157"/>
      <c r="H55" s="158"/>
      <c r="I55" s="14" t="s">
        <v>45</v>
      </c>
      <c r="L55" s="33"/>
      <c r="M55" s="33"/>
    </row>
    <row r="56" spans="1:17" s="15" customFormat="1" ht="12.75" customHeight="1" x14ac:dyDescent="0.2">
      <c r="A56" s="93" t="s">
        <v>166</v>
      </c>
      <c r="B56" s="168"/>
      <c r="C56" s="169"/>
      <c r="D56" s="170"/>
      <c r="E56" s="157"/>
      <c r="F56" s="182"/>
      <c r="G56" s="157"/>
      <c r="H56" s="158"/>
      <c r="I56" s="14" t="s">
        <v>45</v>
      </c>
      <c r="L56" s="33"/>
      <c r="M56" s="33"/>
    </row>
    <row r="57" spans="1:17" s="15" customFormat="1" ht="12.75" customHeight="1" x14ac:dyDescent="0.2">
      <c r="A57" s="93" t="s">
        <v>167</v>
      </c>
      <c r="B57" s="168"/>
      <c r="C57" s="169"/>
      <c r="D57" s="170"/>
      <c r="E57" s="157"/>
      <c r="F57" s="182"/>
      <c r="G57" s="157"/>
      <c r="H57" s="158"/>
      <c r="I57" s="14" t="s">
        <v>45</v>
      </c>
      <c r="L57" s="33"/>
      <c r="M57" s="33"/>
    </row>
    <row r="58" spans="1:17" s="15" customFormat="1" ht="12.75" customHeight="1" x14ac:dyDescent="0.2">
      <c r="A58" s="93" t="s">
        <v>168</v>
      </c>
      <c r="B58" s="168"/>
      <c r="C58" s="169"/>
      <c r="D58" s="170"/>
      <c r="E58" s="157"/>
      <c r="F58" s="182"/>
      <c r="G58" s="157"/>
      <c r="H58" s="158"/>
      <c r="I58" s="14" t="s">
        <v>45</v>
      </c>
      <c r="L58" s="33"/>
      <c r="M58" s="33"/>
    </row>
    <row r="59" spans="1:17" s="15" customFormat="1" ht="12.75" customHeight="1" x14ac:dyDescent="0.2">
      <c r="A59" s="93" t="s">
        <v>184</v>
      </c>
      <c r="B59" s="168"/>
      <c r="C59" s="169"/>
      <c r="D59" s="170"/>
      <c r="E59" s="157"/>
      <c r="F59" s="182"/>
      <c r="G59" s="157"/>
      <c r="H59" s="158"/>
      <c r="I59" s="14" t="s">
        <v>45</v>
      </c>
      <c r="M59" s="33"/>
    </row>
    <row r="60" spans="1:17" s="15" customFormat="1" ht="12.75" customHeight="1" x14ac:dyDescent="0.2">
      <c r="A60" s="93" t="s">
        <v>185</v>
      </c>
      <c r="B60" s="168"/>
      <c r="C60" s="169"/>
      <c r="D60" s="170"/>
      <c r="E60" s="157"/>
      <c r="F60" s="182"/>
      <c r="G60" s="157"/>
      <c r="H60" s="158"/>
      <c r="I60" s="14" t="s">
        <v>45</v>
      </c>
      <c r="M60" s="33"/>
    </row>
    <row r="61" spans="1:17" s="15" customFormat="1" ht="12.75" customHeight="1" x14ac:dyDescent="0.2">
      <c r="A61" s="93" t="s">
        <v>186</v>
      </c>
      <c r="B61" s="168"/>
      <c r="C61" s="169"/>
      <c r="D61" s="170"/>
      <c r="E61" s="157"/>
      <c r="F61" s="182"/>
      <c r="G61" s="157"/>
      <c r="H61" s="158"/>
      <c r="I61" s="14" t="s">
        <v>45</v>
      </c>
      <c r="J61" s="20"/>
      <c r="K61" s="20"/>
      <c r="L61" s="20"/>
      <c r="M61" s="20"/>
      <c r="N61" s="20"/>
      <c r="O61" s="20"/>
      <c r="P61" s="20"/>
      <c r="Q61" s="20"/>
    </row>
    <row r="62" spans="1:17" s="15" customFormat="1" ht="12.75" customHeight="1" x14ac:dyDescent="0.2">
      <c r="A62" s="93" t="s">
        <v>187</v>
      </c>
      <c r="B62" s="168"/>
      <c r="C62" s="169"/>
      <c r="D62" s="170"/>
      <c r="E62" s="157"/>
      <c r="F62" s="182"/>
      <c r="G62" s="157"/>
      <c r="H62" s="158"/>
      <c r="I62" s="14" t="s">
        <v>45</v>
      </c>
      <c r="M62" s="33"/>
    </row>
    <row r="63" spans="1:17" s="15" customFormat="1" ht="12.75" customHeight="1" x14ac:dyDescent="0.2">
      <c r="A63" s="23"/>
      <c r="B63" s="23"/>
      <c r="C63" s="23"/>
      <c r="D63" s="23"/>
      <c r="E63" s="23"/>
      <c r="F63" s="23"/>
      <c r="G63" s="23"/>
      <c r="H63" s="23"/>
      <c r="M63" s="33"/>
    </row>
    <row r="64" spans="1:17" s="15" customFormat="1" ht="12.75" customHeight="1" x14ac:dyDescent="0.2">
      <c r="A64" s="4" t="s">
        <v>307</v>
      </c>
      <c r="B64" s="4"/>
      <c r="C64" s="4"/>
      <c r="D64" s="4"/>
      <c r="E64" s="4"/>
      <c r="F64" s="4"/>
      <c r="G64" s="4"/>
      <c r="H64" s="4"/>
      <c r="M64" s="33"/>
    </row>
    <row r="65" spans="1:13" s="15" customFormat="1" ht="12.75" customHeight="1" x14ac:dyDescent="0.2">
      <c r="A65" s="23"/>
      <c r="B65" s="23"/>
      <c r="C65" s="23"/>
      <c r="D65" s="23"/>
      <c r="E65" s="23"/>
      <c r="F65" s="23"/>
      <c r="G65" s="23"/>
      <c r="H65" s="23"/>
      <c r="M65" s="33"/>
    </row>
    <row r="66" spans="1:13" s="15" customFormat="1" ht="12.75" customHeight="1" x14ac:dyDescent="0.2">
      <c r="A66" s="61" t="s">
        <v>176</v>
      </c>
      <c r="B66" s="34"/>
      <c r="C66" s="34"/>
      <c r="D66" s="34"/>
      <c r="E66" s="34"/>
      <c r="F66" s="34"/>
      <c r="G66" s="34"/>
      <c r="H66" s="34"/>
    </row>
    <row r="67" spans="1:13" s="15" customFormat="1" ht="12.75" customHeight="1" x14ac:dyDescent="0.2">
      <c r="A67" s="62"/>
      <c r="B67" s="34"/>
      <c r="C67" s="34"/>
      <c r="D67" s="62"/>
      <c r="E67" s="62"/>
      <c r="F67" s="62"/>
      <c r="G67" s="62"/>
      <c r="H67" s="34"/>
    </row>
    <row r="68" spans="1:13" s="15" customFormat="1" ht="12.75" customHeight="1" x14ac:dyDescent="0.2">
      <c r="A68" s="23" t="s">
        <v>157</v>
      </c>
      <c r="B68" s="186" t="s">
        <v>212</v>
      </c>
      <c r="C68" s="186"/>
      <c r="D68" s="70"/>
      <c r="E68" s="72" t="s">
        <v>216</v>
      </c>
      <c r="F68" s="66">
        <v>0.45</v>
      </c>
      <c r="G68" s="188" t="s">
        <v>229</v>
      </c>
      <c r="H68" s="188"/>
      <c r="I68" s="14" t="s">
        <v>226</v>
      </c>
    </row>
    <row r="69" spans="1:13" s="15" customFormat="1" ht="12.75" customHeight="1" x14ac:dyDescent="0.2">
      <c r="A69" s="23" t="s">
        <v>158</v>
      </c>
      <c r="B69" s="195" t="s">
        <v>213</v>
      </c>
      <c r="C69" s="195"/>
      <c r="D69" s="70"/>
      <c r="E69" s="72" t="s">
        <v>216</v>
      </c>
      <c r="F69" s="66">
        <v>0.55000000000000004</v>
      </c>
      <c r="G69" s="188"/>
      <c r="H69" s="188"/>
      <c r="I69" s="14" t="s">
        <v>227</v>
      </c>
    </row>
    <row r="70" spans="1:13" s="15" customFormat="1" ht="12.75" customHeight="1" x14ac:dyDescent="0.2">
      <c r="A70" s="62"/>
      <c r="B70" s="34"/>
      <c r="C70" s="34"/>
      <c r="D70" s="62"/>
      <c r="E70" s="62"/>
      <c r="F70" s="62"/>
      <c r="G70" s="62"/>
      <c r="H70" s="62"/>
      <c r="I70" s="14"/>
    </row>
    <row r="71" spans="1:13" s="15" customFormat="1" ht="12.75" customHeight="1" x14ac:dyDescent="0.2">
      <c r="A71" s="62"/>
      <c r="B71" s="34"/>
      <c r="C71" s="34"/>
      <c r="D71" s="62"/>
      <c r="E71" s="62"/>
      <c r="F71" s="62"/>
      <c r="G71" s="62"/>
      <c r="H71" s="62"/>
      <c r="I71" s="14"/>
    </row>
    <row r="72" spans="1:13" s="15" customFormat="1" ht="12.75" customHeight="1" x14ac:dyDescent="0.2">
      <c r="A72" s="61" t="s">
        <v>182</v>
      </c>
      <c r="B72" s="34"/>
      <c r="C72" s="34"/>
      <c r="D72" s="62"/>
      <c r="E72" s="62"/>
      <c r="F72" s="62"/>
      <c r="G72" s="62"/>
      <c r="H72" s="62"/>
      <c r="I72" s="14"/>
    </row>
    <row r="73" spans="1:13" s="15" customFormat="1" ht="12.75" customHeight="1" x14ac:dyDescent="0.2">
      <c r="A73" s="62"/>
      <c r="B73" s="34"/>
      <c r="C73" s="34"/>
      <c r="D73" s="62"/>
      <c r="E73" s="62"/>
      <c r="F73" s="62"/>
      <c r="G73" s="62"/>
      <c r="H73" s="62"/>
      <c r="I73" s="14"/>
    </row>
    <row r="74" spans="1:13" s="15" customFormat="1" ht="12.75" customHeight="1" x14ac:dyDescent="0.2">
      <c r="A74" s="23" t="s">
        <v>157</v>
      </c>
      <c r="B74" s="189" t="s">
        <v>214</v>
      </c>
      <c r="C74" s="189"/>
      <c r="D74" s="189"/>
      <c r="E74" s="189"/>
      <c r="F74" s="62"/>
      <c r="G74" s="62"/>
      <c r="H74" s="62"/>
      <c r="I74" s="14"/>
    </row>
    <row r="75" spans="1:13" s="15" customFormat="1" ht="12.75" customHeight="1" x14ac:dyDescent="0.2">
      <c r="A75" s="23" t="s">
        <v>158</v>
      </c>
      <c r="B75" s="189" t="s">
        <v>215</v>
      </c>
      <c r="C75" s="189"/>
      <c r="D75" s="189"/>
      <c r="E75" s="189"/>
      <c r="F75" s="62"/>
      <c r="G75" s="62"/>
      <c r="H75" s="62"/>
      <c r="I75" s="14"/>
    </row>
    <row r="76" spans="1:13" s="15" customFormat="1" ht="12.75" customHeight="1" x14ac:dyDescent="0.2">
      <c r="A76" s="62"/>
      <c r="B76" s="34"/>
      <c r="C76" s="34"/>
      <c r="D76" s="62"/>
      <c r="E76" s="62"/>
      <c r="F76" s="62"/>
      <c r="G76" s="62"/>
      <c r="H76" s="62"/>
      <c r="I76" s="14"/>
    </row>
    <row r="77" spans="1:13" s="15" customFormat="1" ht="12.75" customHeight="1" x14ac:dyDescent="0.2">
      <c r="A77" s="62"/>
      <c r="B77" s="34"/>
      <c r="C77" s="34"/>
      <c r="D77" s="62"/>
      <c r="E77" s="62"/>
      <c r="F77" s="62"/>
      <c r="G77" s="62"/>
      <c r="H77" s="62"/>
      <c r="I77" s="14"/>
    </row>
    <row r="78" spans="1:13" s="15" customFormat="1" ht="12.75" customHeight="1" x14ac:dyDescent="0.2">
      <c r="A78" s="4" t="s">
        <v>308</v>
      </c>
      <c r="B78" s="4"/>
      <c r="C78" s="4"/>
      <c r="D78" s="4"/>
      <c r="E78" s="4"/>
      <c r="F78" s="4"/>
      <c r="G78" s="4"/>
      <c r="H78" s="4"/>
      <c r="I78" s="14"/>
    </row>
    <row r="79" spans="1:13" s="15" customFormat="1" ht="12.75" customHeight="1" x14ac:dyDescent="0.2">
      <c r="A79" s="62"/>
      <c r="B79" s="34"/>
      <c r="C79" s="34"/>
      <c r="D79" s="62"/>
      <c r="E79" s="62"/>
      <c r="F79" s="62"/>
      <c r="G79" s="62"/>
      <c r="H79" s="62"/>
      <c r="I79" s="14"/>
    </row>
    <row r="80" spans="1:13" s="15" customFormat="1" ht="12.75" customHeight="1" x14ac:dyDescent="0.2">
      <c r="A80" s="63" t="s">
        <v>207</v>
      </c>
      <c r="B80" s="34"/>
      <c r="C80" s="34"/>
      <c r="D80" s="16"/>
      <c r="E80" s="194" t="s">
        <v>154</v>
      </c>
      <c r="F80" s="194"/>
      <c r="G80" s="62"/>
      <c r="H80" s="62"/>
      <c r="I80" s="33" t="s">
        <v>238</v>
      </c>
    </row>
    <row r="81" spans="1:13" s="15" customFormat="1" ht="12.75" customHeight="1" x14ac:dyDescent="0.2">
      <c r="A81" s="63" t="s">
        <v>234</v>
      </c>
      <c r="B81" s="34"/>
      <c r="C81" s="34"/>
      <c r="D81" s="16"/>
      <c r="E81" s="193" t="s">
        <v>223</v>
      </c>
      <c r="F81" s="193"/>
      <c r="G81" s="62"/>
      <c r="H81" s="62"/>
      <c r="I81" s="77" t="s">
        <v>228</v>
      </c>
    </row>
    <row r="82" spans="1:13" s="15" customFormat="1" ht="12.75" customHeight="1" x14ac:dyDescent="0.2">
      <c r="A82" s="63" t="s">
        <v>235</v>
      </c>
      <c r="B82" s="34"/>
      <c r="C82" s="34"/>
      <c r="D82" s="16"/>
      <c r="E82" s="185" t="s">
        <v>169</v>
      </c>
      <c r="F82" s="185"/>
      <c r="G82" s="62"/>
      <c r="H82" s="62"/>
      <c r="I82" s="14" t="s">
        <v>45</v>
      </c>
    </row>
    <row r="83" spans="1:13" s="15" customFormat="1" ht="12.75" customHeight="1" x14ac:dyDescent="0.2">
      <c r="A83" s="63" t="s">
        <v>224</v>
      </c>
      <c r="B83" s="34"/>
      <c r="C83" s="34"/>
      <c r="D83" s="34"/>
      <c r="E83" s="169" t="s">
        <v>206</v>
      </c>
      <c r="F83" s="169"/>
      <c r="G83" s="62"/>
      <c r="H83" s="62"/>
      <c r="I83" s="14" t="s">
        <v>225</v>
      </c>
    </row>
    <row r="84" spans="1:13" s="15" customFormat="1" ht="12.75" customHeight="1" x14ac:dyDescent="0.2">
      <c r="A84" s="62"/>
      <c r="B84" s="34"/>
      <c r="C84" s="34"/>
      <c r="D84" s="62"/>
      <c r="E84" s="62"/>
      <c r="F84" s="62"/>
      <c r="G84" s="62"/>
      <c r="H84" s="62"/>
      <c r="I84" s="14"/>
    </row>
    <row r="85" spans="1:13" s="15" customFormat="1" ht="12.75" customHeight="1" x14ac:dyDescent="0.2">
      <c r="A85" s="4" t="s">
        <v>50</v>
      </c>
      <c r="B85" s="4"/>
      <c r="C85" s="4"/>
      <c r="D85" s="4"/>
      <c r="E85" s="4"/>
      <c r="F85" s="4"/>
      <c r="G85" s="4"/>
      <c r="H85" s="4"/>
      <c r="I85" s="20"/>
    </row>
    <row r="86" spans="1:13" s="15" customFormat="1" ht="12.75" customHeight="1" x14ac:dyDescent="0.2">
      <c r="A86" s="64"/>
      <c r="B86" s="64"/>
      <c r="C86" s="64"/>
      <c r="D86" s="64"/>
      <c r="E86" s="64"/>
      <c r="F86" s="64"/>
      <c r="G86" s="64"/>
      <c r="H86" s="64"/>
      <c r="I86" s="64"/>
      <c r="M86" s="21"/>
    </row>
    <row r="87" spans="1:13" s="15" customFormat="1" ht="12.75" customHeight="1" x14ac:dyDescent="0.2">
      <c r="A87" s="64" t="s">
        <v>154</v>
      </c>
      <c r="B87" s="64"/>
      <c r="C87" s="64" t="s">
        <v>169</v>
      </c>
      <c r="D87" s="64"/>
      <c r="E87" s="64" t="s">
        <v>46</v>
      </c>
      <c r="F87" s="64"/>
      <c r="G87" s="15" t="s">
        <v>242</v>
      </c>
      <c r="H87" s="21" t="b">
        <f>IF(AND(D9="Hydrologic Hazard",D24&lt;&gt;"None"),TRUE,FALSE)</f>
        <v>1</v>
      </c>
      <c r="I87" s="64"/>
      <c r="M87" s="21"/>
    </row>
    <row r="88" spans="1:13" s="20" customFormat="1" ht="12.75" customHeight="1" x14ac:dyDescent="0.2">
      <c r="A88" s="64" t="s">
        <v>89</v>
      </c>
      <c r="B88" s="64"/>
      <c r="C88" s="64" t="s">
        <v>173</v>
      </c>
      <c r="D88" s="64"/>
      <c r="E88" s="64" t="s">
        <v>47</v>
      </c>
      <c r="F88" s="64"/>
      <c r="G88" s="64"/>
      <c r="H88" s="21"/>
      <c r="I88" s="64"/>
    </row>
    <row r="89" spans="1:13" ht="12.75" customHeight="1" x14ac:dyDescent="0.2">
      <c r="A89" s="64" t="s">
        <v>60</v>
      </c>
      <c r="C89" s="64" t="s">
        <v>171</v>
      </c>
      <c r="H89" s="21"/>
    </row>
    <row r="90" spans="1:13" ht="12.75" customHeight="1" x14ac:dyDescent="0.2">
      <c r="C90" s="64" t="s">
        <v>172</v>
      </c>
      <c r="H90" s="21"/>
    </row>
    <row r="91" spans="1:13" ht="12.75" customHeight="1" x14ac:dyDescent="0.2">
      <c r="H91" s="21"/>
    </row>
    <row r="92" spans="1:13" ht="12.75" customHeight="1" x14ac:dyDescent="0.2">
      <c r="H92" s="21"/>
    </row>
    <row r="93" spans="1:13" ht="12.75" customHeight="1" x14ac:dyDescent="0.2">
      <c r="A93" s="64">
        <v>1</v>
      </c>
      <c r="C93" s="64" t="s">
        <v>169</v>
      </c>
      <c r="E93" s="64" t="s">
        <v>169</v>
      </c>
      <c r="G93" s="15" t="s">
        <v>305</v>
      </c>
      <c r="H93" s="21"/>
    </row>
    <row r="94" spans="1:13" ht="12.75" customHeight="1" x14ac:dyDescent="0.2">
      <c r="A94" s="64">
        <v>2</v>
      </c>
      <c r="C94" s="64" t="s">
        <v>179</v>
      </c>
      <c r="E94" s="64" t="s">
        <v>206</v>
      </c>
      <c r="G94" s="15" t="s">
        <v>306</v>
      </c>
      <c r="H94" s="21"/>
    </row>
    <row r="95" spans="1:13" ht="12.75" customHeight="1" x14ac:dyDescent="0.2">
      <c r="A95" s="64">
        <v>3</v>
      </c>
      <c r="C95" s="64" t="s">
        <v>241</v>
      </c>
      <c r="E95" s="64" t="s">
        <v>170</v>
      </c>
      <c r="H95" s="21"/>
    </row>
    <row r="96" spans="1:13" ht="12.75" customHeight="1" x14ac:dyDescent="0.2">
      <c r="A96" s="64">
        <v>4</v>
      </c>
      <c r="C96" s="64" t="s">
        <v>170</v>
      </c>
      <c r="E96" s="64" t="s">
        <v>171</v>
      </c>
      <c r="H96" s="21"/>
    </row>
    <row r="97" spans="1:8" ht="12.75" customHeight="1" x14ac:dyDescent="0.2">
      <c r="A97" s="64">
        <v>5</v>
      </c>
      <c r="C97" s="64" t="s">
        <v>171</v>
      </c>
      <c r="E97" s="64" t="s">
        <v>172</v>
      </c>
      <c r="H97" s="21"/>
    </row>
    <row r="98" spans="1:8" ht="12.75" customHeight="1" x14ac:dyDescent="0.2">
      <c r="A98" s="64">
        <v>6</v>
      </c>
      <c r="C98" s="64" t="s">
        <v>172</v>
      </c>
    </row>
    <row r="99" spans="1:8" ht="12.75" customHeight="1" x14ac:dyDescent="0.2">
      <c r="A99" s="64">
        <v>7</v>
      </c>
    </row>
    <row r="100" spans="1:8" ht="12.75" customHeight="1" x14ac:dyDescent="0.2">
      <c r="A100" s="64">
        <v>8</v>
      </c>
    </row>
    <row r="101" spans="1:8" ht="12.75" customHeight="1" x14ac:dyDescent="0.2">
      <c r="A101" s="64">
        <v>9</v>
      </c>
    </row>
    <row r="102" spans="1:8" ht="12.75" customHeight="1" x14ac:dyDescent="0.2">
      <c r="A102" s="64">
        <v>10</v>
      </c>
    </row>
    <row r="104" spans="1:8" ht="12.75" customHeight="1" x14ac:dyDescent="0.2">
      <c r="A104" s="64" t="s">
        <v>62</v>
      </c>
    </row>
    <row r="105" spans="1:8" ht="12.75" customHeight="1" x14ac:dyDescent="0.2">
      <c r="A105" s="64" t="s">
        <v>210</v>
      </c>
    </row>
    <row r="106" spans="1:8" ht="12.75" customHeight="1" x14ac:dyDescent="0.2">
      <c r="A106" s="64" t="s">
        <v>211</v>
      </c>
    </row>
    <row r="107" spans="1:8" ht="12.75" customHeight="1" x14ac:dyDescent="0.2">
      <c r="C107" s="15"/>
      <c r="D107" s="15"/>
      <c r="E107" s="15"/>
      <c r="F107" s="15"/>
      <c r="G107" s="15"/>
      <c r="H107" s="15"/>
    </row>
    <row r="108" spans="1:8" ht="12.75" customHeight="1" x14ac:dyDescent="0.2">
      <c r="A108" s="64" t="s">
        <v>312</v>
      </c>
      <c r="C108" s="15"/>
      <c r="D108" s="15"/>
      <c r="E108" s="15"/>
      <c r="F108" s="15"/>
      <c r="G108" s="15"/>
      <c r="H108" s="15"/>
    </row>
    <row r="109" spans="1:8" ht="12.75" customHeight="1" x14ac:dyDescent="0.2">
      <c r="A109" s="33" t="str" cm="1">
        <f t="array" ref="A109">IF($H$87=FALSE,"",IF(ISBLANK(D25),"",INDEX($A$111:$B$115,$D$25,2)))</f>
        <v xml:space="preserve">
•  0 Spillway Gates Inoperable:
   0.1225
•  1 Spillway Gate Inoperable:
   0.455
•  2 Spillway Gates Inoperable:
   0.4225</v>
      </c>
    </row>
    <row r="111" spans="1:8" ht="12.75" customHeight="1" x14ac:dyDescent="0.2">
      <c r="A111" s="64">
        <v>1</v>
      </c>
      <c r="B111" s="64" t="str">
        <f>CHAR(10) &amp; CHAR(149) &amp; "  " &amp; $B$29 &amp; ":" &amp; CHAR(10) &amp; "   " &amp; $G$29</f>
        <v xml:space="preserve">
•  0 Spillway Gates Inoperable:
   0.1225</v>
      </c>
    </row>
    <row r="112" spans="1:8" ht="12.75" customHeight="1" x14ac:dyDescent="0.2">
      <c r="A112" s="64">
        <v>2</v>
      </c>
      <c r="B112" s="64" t="str">
        <f>CHAR(10) &amp; CHAR(149) &amp; "  " &amp; $B$29 &amp; ":" &amp; CHAR(10) &amp; "   " &amp; $G$29 &amp; CHAR(10) &amp; CHAR(149) &amp; "  " &amp; $B$30 &amp; ":" &amp; CHAR(10) &amp; "   " &amp; $G$30</f>
        <v xml:space="preserve">
•  0 Spillway Gates Inoperable:
   0.1225
•  1 Spillway Gate Inoperable:
   0.455</v>
      </c>
    </row>
    <row r="113" spans="1:9" ht="12.75" customHeight="1" x14ac:dyDescent="0.2">
      <c r="A113" s="64">
        <v>3</v>
      </c>
      <c r="B113" s="64" t="str">
        <f>CHAR(10) &amp; CHAR(149) &amp; "  " &amp; $B$29 &amp; ":" &amp; CHAR(10) &amp; "   " &amp; $G$29 &amp; CHAR(10) &amp; CHAR(149) &amp; "  " &amp; $B$30 &amp; ":" &amp; CHAR(10) &amp; "   " &amp; $G$30 &amp; CHAR(10) &amp; CHAR(149) &amp; "  " &amp; $B$31 &amp; ":" &amp; CHAR(10) &amp; "   " &amp; $G$31</f>
        <v xml:space="preserve">
•  0 Spillway Gates Inoperable:
   0.1225
•  1 Spillway Gate Inoperable:
   0.455
•  2 Spillway Gates Inoperable:
   0.4225</v>
      </c>
    </row>
    <row r="114" spans="1:9" ht="12.75" customHeight="1" x14ac:dyDescent="0.2">
      <c r="A114" s="65">
        <v>4</v>
      </c>
      <c r="B114" s="64" t="str">
        <f>CHAR(10) &amp; CHAR(149) &amp; "  " &amp; $B$29 &amp; ":" &amp; CHAR(10) &amp; "   " &amp; $G$29 &amp; CHAR(10) &amp; CHAR(149) &amp; "  " &amp; $B$30 &amp; ":" &amp; CHAR(10) &amp; "   " &amp; $G$30 &amp; CHAR(10) &amp; CHAR(149) &amp; "  " &amp; $B$31 &amp; ":" &amp; CHAR(10) &amp; "   " &amp; $G$31 &amp; CHAR(10) &amp; CHAR(149) &amp; "  " &amp; $B$32 &amp; ":" &amp; CHAR(10) &amp; "   " &amp; $G$32</f>
        <v xml:space="preserve">
•  0 Spillway Gates Inoperable:
   0.1225
•  1 Spillway Gate Inoperable:
   0.455
•  2 Spillway Gates Inoperable:
   0.4225
•  :
   </v>
      </c>
    </row>
    <row r="115" spans="1:9" ht="12.75" customHeight="1" x14ac:dyDescent="0.2">
      <c r="A115" s="65">
        <v>5</v>
      </c>
      <c r="B115" s="64" t="str">
        <f>CHAR(10) &amp; CHAR(149) &amp; "  " &amp; $B$29 &amp; ":" &amp; CHAR(10) &amp; "   " &amp; $G$29 &amp; CHAR(10) &amp; CHAR(149) &amp; "  " &amp; $B$30 &amp; ":" &amp; CHAR(10) &amp; "   " &amp; $G$30 &amp; CHAR(10) &amp; CHAR(149) &amp; "  " &amp; $B$31 &amp; ":" &amp; CHAR(10) &amp; "   " &amp; $G$31 &amp; CHAR(10) &amp; CHAR(149) &amp; "  " &amp; $B$32 &amp; ":" &amp; CHAR(10) &amp; "   " &amp; $G$32 &amp; CHAR(10) &amp; CHAR(149) &amp; "  " &amp; $B$33 &amp; ":" &amp; CHAR(10) &amp; "   " &amp; $G$33</f>
        <v xml:space="preserve">
•  0 Spillway Gates Inoperable:
   0.1225
•  1 Spillway Gate Inoperable:
   0.455
•  2 Spillway Gates Inoperable:
   0.4225
•  :
•  :
   </v>
      </c>
    </row>
    <row r="117" spans="1:9" ht="12.75" customHeight="1" x14ac:dyDescent="0.2">
      <c r="A117" s="151" t="s">
        <v>300</v>
      </c>
      <c r="B117" s="151"/>
      <c r="C117" s="151"/>
    </row>
    <row r="118" spans="1:9" ht="12.75" customHeight="1" x14ac:dyDescent="0.2">
      <c r="A118" s="67" t="s">
        <v>301</v>
      </c>
      <c r="B118" s="67" t="s">
        <v>302</v>
      </c>
      <c r="C118" s="67" t="str">
        <f>IF(H87=TRUE,"P16","I16")</f>
        <v>P16</v>
      </c>
    </row>
    <row r="119" spans="1:9" ht="12.75" customHeight="1" x14ac:dyDescent="0.2">
      <c r="A119" s="67" t="s">
        <v>301</v>
      </c>
      <c r="B119" s="73" t="s">
        <v>303</v>
      </c>
      <c r="C119" s="73" t="s">
        <v>304</v>
      </c>
    </row>
    <row r="120" spans="1:9" ht="12.75" customHeight="1" x14ac:dyDescent="0.2">
      <c r="A120" s="67" t="s">
        <v>150</v>
      </c>
      <c r="B120" s="67" t="s">
        <v>302</v>
      </c>
      <c r="C120" s="67" t="str">
        <f>IF(OR($D$9="",$D$48=""),$E$128,INDEX($E$128:$F$137,MATCH($D$48,$A$128:$A$137,0),MATCH($D$9,$E$126:$F$126,0)))</f>
        <v>W52</v>
      </c>
    </row>
    <row r="121" spans="1:9" ht="12.75" customHeight="1" x14ac:dyDescent="0.2">
      <c r="A121" s="67" t="s">
        <v>150</v>
      </c>
      <c r="B121" s="67" t="s">
        <v>303</v>
      </c>
      <c r="C121" s="67" t="str" cm="1">
        <f t="array" ref="C121">INDEX($H$142:$K$151,$D$48,IF($D$9="Seismic Hazard",4,IF($D$24="None",1,IF($D$42="No",2,3))))</f>
        <v>AD52</v>
      </c>
    </row>
    <row r="123" spans="1:9" ht="12.75" customHeight="1" x14ac:dyDescent="0.2">
      <c r="A123" s="64" t="str">
        <f>"Composite life loss consequences contain the following weights: " &amp; CHAR(10) &amp; CHAR(149) &amp; "  " &amp; B68 &amp; ": " &amp; IF(ISBLANK(F68),"#NA - no exposure weight specified",F68) &amp; CHAR(10) &amp; CHAR(149) &amp; "  " &amp; B69 &amp; ": " &amp; IF(ISBLANK(F69),"#NA - no exposure weight specified",F69) &amp; CHAR(10) &amp; CHAR(10) &amp; "Economic costs are not weighted by exposure."</f>
        <v>Composite life loss consequences contain the following weights: 
•  Day Exposure: 0.45
•  Night Exposure: 0.55
Economic costs are not weighted by exposure.</v>
      </c>
    </row>
    <row r="125" spans="1:9" ht="12.75" customHeight="1" x14ac:dyDescent="0.2">
      <c r="B125" s="156" t="s">
        <v>219</v>
      </c>
      <c r="C125" s="156"/>
      <c r="D125" s="153" t="s">
        <v>218</v>
      </c>
      <c r="E125" s="156" t="s">
        <v>294</v>
      </c>
      <c r="F125" s="156"/>
    </row>
    <row r="126" spans="1:9" ht="12.75" customHeight="1" x14ac:dyDescent="0.2">
      <c r="A126" s="152" t="s">
        <v>217</v>
      </c>
      <c r="B126" s="152" t="s">
        <v>220</v>
      </c>
      <c r="C126" s="152" t="s">
        <v>221</v>
      </c>
      <c r="D126" s="154"/>
      <c r="E126" s="152" t="s">
        <v>154</v>
      </c>
      <c r="F126" s="152" t="s">
        <v>89</v>
      </c>
      <c r="G126" s="111"/>
      <c r="H126" s="111"/>
      <c r="I126" s="111"/>
    </row>
    <row r="127" spans="1:9" ht="12.75" customHeight="1" x14ac:dyDescent="0.2">
      <c r="A127" s="152"/>
      <c r="B127" s="152"/>
      <c r="C127" s="152"/>
      <c r="D127" s="155"/>
      <c r="E127" s="152"/>
      <c r="F127" s="152"/>
      <c r="G127" s="111"/>
      <c r="H127" s="111"/>
      <c r="I127" s="111"/>
    </row>
    <row r="128" spans="1:9" ht="12.75" customHeight="1" x14ac:dyDescent="0.2">
      <c r="A128" s="67">
        <v>1</v>
      </c>
      <c r="B128" s="73" t="s">
        <v>199</v>
      </c>
      <c r="C128" s="73" t="s">
        <v>103</v>
      </c>
      <c r="D128" s="73">
        <v>47</v>
      </c>
      <c r="E128" s="73" t="str">
        <f>_xlfn.CONCAT(B128,D128)</f>
        <v>W47</v>
      </c>
      <c r="F128" s="73" t="str">
        <f>_xlfn.CONCAT(C128,D128)</f>
        <v>AD47</v>
      </c>
    </row>
    <row r="129" spans="1:11" ht="12.75" customHeight="1" x14ac:dyDescent="0.2">
      <c r="A129" s="73">
        <v>2</v>
      </c>
      <c r="B129" s="73" t="s">
        <v>199</v>
      </c>
      <c r="C129" s="73" t="s">
        <v>103</v>
      </c>
      <c r="D129" s="73">
        <v>52</v>
      </c>
      <c r="E129" s="73" t="str">
        <f t="shared" ref="E129:E137" si="0">_xlfn.CONCAT(B129,D129)</f>
        <v>W52</v>
      </c>
      <c r="F129" s="73" t="str">
        <f t="shared" ref="F129:F137" si="1">_xlfn.CONCAT(C129,D129)</f>
        <v>AD52</v>
      </c>
    </row>
    <row r="130" spans="1:11" ht="12.75" customHeight="1" x14ac:dyDescent="0.2">
      <c r="A130" s="73">
        <v>3</v>
      </c>
      <c r="B130" s="73" t="s">
        <v>199</v>
      </c>
      <c r="C130" s="73" t="s">
        <v>103</v>
      </c>
      <c r="D130" s="73">
        <v>57</v>
      </c>
      <c r="E130" s="73" t="str">
        <f t="shared" si="0"/>
        <v>W57</v>
      </c>
      <c r="F130" s="73" t="str">
        <f t="shared" si="1"/>
        <v>AD57</v>
      </c>
    </row>
    <row r="131" spans="1:11" ht="12.75" customHeight="1" x14ac:dyDescent="0.2">
      <c r="A131" s="73">
        <v>4</v>
      </c>
      <c r="B131" s="73" t="s">
        <v>199</v>
      </c>
      <c r="C131" s="73" t="s">
        <v>103</v>
      </c>
      <c r="D131" s="73">
        <v>62</v>
      </c>
      <c r="E131" s="73" t="str">
        <f t="shared" si="0"/>
        <v>W62</v>
      </c>
      <c r="F131" s="73" t="str">
        <f t="shared" si="1"/>
        <v>AD62</v>
      </c>
    </row>
    <row r="132" spans="1:11" ht="12.75" customHeight="1" x14ac:dyDescent="0.2">
      <c r="A132" s="73">
        <v>5</v>
      </c>
      <c r="B132" s="73" t="s">
        <v>199</v>
      </c>
      <c r="C132" s="73" t="s">
        <v>103</v>
      </c>
      <c r="D132" s="73">
        <v>67</v>
      </c>
      <c r="E132" s="73" t="str">
        <f t="shared" si="0"/>
        <v>W67</v>
      </c>
      <c r="F132" s="73" t="str">
        <f t="shared" si="1"/>
        <v>AD67</v>
      </c>
    </row>
    <row r="133" spans="1:11" ht="12.75" customHeight="1" x14ac:dyDescent="0.2">
      <c r="A133" s="73">
        <v>6</v>
      </c>
      <c r="B133" s="73" t="s">
        <v>199</v>
      </c>
      <c r="C133" s="73" t="s">
        <v>103</v>
      </c>
      <c r="D133" s="73">
        <v>72</v>
      </c>
      <c r="E133" s="73" t="str">
        <f t="shared" si="0"/>
        <v>W72</v>
      </c>
      <c r="F133" s="73" t="str">
        <f t="shared" si="1"/>
        <v>AD72</v>
      </c>
    </row>
    <row r="134" spans="1:11" ht="12.75" customHeight="1" x14ac:dyDescent="0.2">
      <c r="A134" s="73">
        <v>7</v>
      </c>
      <c r="B134" s="73" t="s">
        <v>199</v>
      </c>
      <c r="C134" s="73" t="s">
        <v>103</v>
      </c>
      <c r="D134" s="73">
        <v>77</v>
      </c>
      <c r="E134" s="73" t="str">
        <f t="shared" si="0"/>
        <v>W77</v>
      </c>
      <c r="F134" s="73" t="str">
        <f t="shared" si="1"/>
        <v>AD77</v>
      </c>
    </row>
    <row r="135" spans="1:11" ht="12.75" customHeight="1" x14ac:dyDescent="0.2">
      <c r="A135" s="73">
        <v>8</v>
      </c>
      <c r="B135" s="73" t="s">
        <v>199</v>
      </c>
      <c r="C135" s="73" t="s">
        <v>103</v>
      </c>
      <c r="D135" s="73">
        <v>82</v>
      </c>
      <c r="E135" s="73" t="str">
        <f t="shared" si="0"/>
        <v>W82</v>
      </c>
      <c r="F135" s="73" t="str">
        <f t="shared" si="1"/>
        <v>AD82</v>
      </c>
    </row>
    <row r="136" spans="1:11" ht="12.75" customHeight="1" x14ac:dyDescent="0.2">
      <c r="A136" s="73">
        <v>9</v>
      </c>
      <c r="B136" s="73" t="s">
        <v>199</v>
      </c>
      <c r="C136" s="73" t="s">
        <v>103</v>
      </c>
      <c r="D136" s="73">
        <v>87</v>
      </c>
      <c r="E136" s="73" t="str">
        <f t="shared" si="0"/>
        <v>W87</v>
      </c>
      <c r="F136" s="73" t="str">
        <f t="shared" si="1"/>
        <v>AD87</v>
      </c>
    </row>
    <row r="137" spans="1:11" ht="12.75" customHeight="1" x14ac:dyDescent="0.2">
      <c r="A137" s="73">
        <v>10</v>
      </c>
      <c r="B137" s="73" t="s">
        <v>199</v>
      </c>
      <c r="C137" s="73" t="s">
        <v>103</v>
      </c>
      <c r="D137" s="73">
        <v>92</v>
      </c>
      <c r="E137" s="73" t="str">
        <f t="shared" si="0"/>
        <v>W92</v>
      </c>
      <c r="F137" s="73" t="str">
        <f t="shared" si="1"/>
        <v>AD92</v>
      </c>
    </row>
    <row r="139" spans="1:11" ht="12.75" customHeight="1" x14ac:dyDescent="0.2">
      <c r="A139" s="65"/>
      <c r="B139" s="151" t="s">
        <v>219</v>
      </c>
      <c r="C139" s="151"/>
      <c r="D139" s="151" t="s">
        <v>297</v>
      </c>
      <c r="E139" s="151"/>
      <c r="F139" s="151"/>
      <c r="G139" s="151"/>
      <c r="H139" s="151" t="s">
        <v>295</v>
      </c>
      <c r="I139" s="151"/>
      <c r="J139" s="151"/>
      <c r="K139" s="151"/>
    </row>
    <row r="140" spans="1:11" ht="12.75" customHeight="1" x14ac:dyDescent="0.2">
      <c r="A140" s="152" t="s">
        <v>217</v>
      </c>
      <c r="B140" s="152" t="s">
        <v>220</v>
      </c>
      <c r="C140" s="152" t="s">
        <v>221</v>
      </c>
      <c r="D140" s="152" t="s">
        <v>296</v>
      </c>
      <c r="E140" s="152" t="s">
        <v>299</v>
      </c>
      <c r="F140" s="152" t="s">
        <v>298</v>
      </c>
      <c r="G140" s="152" t="s">
        <v>89</v>
      </c>
      <c r="H140" s="152" t="s">
        <v>296</v>
      </c>
      <c r="I140" s="152" t="s">
        <v>299</v>
      </c>
      <c r="J140" s="152" t="s">
        <v>298</v>
      </c>
      <c r="K140" s="152" t="s">
        <v>89</v>
      </c>
    </row>
    <row r="141" spans="1:11" ht="12.75" customHeight="1" x14ac:dyDescent="0.2">
      <c r="A141" s="152"/>
      <c r="B141" s="152"/>
      <c r="C141" s="152"/>
      <c r="D141" s="152"/>
      <c r="E141" s="152"/>
      <c r="F141" s="152"/>
      <c r="G141" s="152"/>
      <c r="H141" s="152"/>
      <c r="I141" s="152"/>
      <c r="J141" s="152"/>
      <c r="K141" s="152"/>
    </row>
    <row r="142" spans="1:11" ht="12.75" customHeight="1" x14ac:dyDescent="0.2">
      <c r="A142" s="67">
        <v>1</v>
      </c>
      <c r="B142" s="67" t="s">
        <v>199</v>
      </c>
      <c r="C142" s="67" t="s">
        <v>103</v>
      </c>
      <c r="D142" s="73">
        <v>47</v>
      </c>
      <c r="E142" s="67">
        <f>D142+(5*($D$25-1)*($A142+1))</f>
        <v>67</v>
      </c>
      <c r="F142" s="67">
        <f>D142</f>
        <v>47</v>
      </c>
      <c r="G142" s="67">
        <f>D142</f>
        <v>47</v>
      </c>
      <c r="H142" s="73" t="str">
        <f>_xlfn.CONCAT(B142,D142)</f>
        <v>W47</v>
      </c>
      <c r="I142" s="67" t="str">
        <f>_xlfn.CONCAT(C142,E142)</f>
        <v>AD67</v>
      </c>
      <c r="J142" s="67" t="str">
        <f>_xlfn.CONCAT(C142,F142)</f>
        <v>AD47</v>
      </c>
      <c r="K142" s="67" t="str">
        <f>_xlfn.CONCAT(C142,G142)</f>
        <v>AD47</v>
      </c>
    </row>
    <row r="143" spans="1:11" ht="12.75" customHeight="1" x14ac:dyDescent="0.2">
      <c r="A143" s="67">
        <v>2</v>
      </c>
      <c r="B143" s="67" t="s">
        <v>199</v>
      </c>
      <c r="C143" s="67" t="s">
        <v>103</v>
      </c>
      <c r="D143" s="73">
        <v>52</v>
      </c>
      <c r="E143" s="67">
        <f t="shared" ref="E143:E151" si="2">D143+(5*($D$25-1)*($A143+1))</f>
        <v>82</v>
      </c>
      <c r="F143" s="67">
        <f t="shared" ref="F143:F151" si="3">D143</f>
        <v>52</v>
      </c>
      <c r="G143" s="67">
        <f t="shared" ref="G143:G151" si="4">D143</f>
        <v>52</v>
      </c>
      <c r="H143" s="73" t="str">
        <f t="shared" ref="H143:H151" si="5">_xlfn.CONCAT(B143,D143)</f>
        <v>W52</v>
      </c>
      <c r="I143" s="67" t="str">
        <f t="shared" ref="I143:I151" si="6">_xlfn.CONCAT(C143,E143)</f>
        <v>AD82</v>
      </c>
      <c r="J143" s="67" t="str">
        <f t="shared" ref="J143:J151" si="7">_xlfn.CONCAT(C143,F143)</f>
        <v>AD52</v>
      </c>
      <c r="K143" s="67" t="str">
        <f t="shared" ref="K143:K151" si="8">_xlfn.CONCAT(C143,G143)</f>
        <v>AD52</v>
      </c>
    </row>
    <row r="144" spans="1:11" ht="12.75" customHeight="1" x14ac:dyDescent="0.2">
      <c r="A144" s="67">
        <v>3</v>
      </c>
      <c r="B144" s="67" t="s">
        <v>199</v>
      </c>
      <c r="C144" s="67" t="s">
        <v>103</v>
      </c>
      <c r="D144" s="73">
        <v>57</v>
      </c>
      <c r="E144" s="67">
        <f t="shared" si="2"/>
        <v>97</v>
      </c>
      <c r="F144" s="67">
        <f t="shared" si="3"/>
        <v>57</v>
      </c>
      <c r="G144" s="67">
        <f t="shared" si="4"/>
        <v>57</v>
      </c>
      <c r="H144" s="73" t="str">
        <f t="shared" si="5"/>
        <v>W57</v>
      </c>
      <c r="I144" s="67" t="str">
        <f t="shared" si="6"/>
        <v>AD97</v>
      </c>
      <c r="J144" s="67" t="str">
        <f t="shared" si="7"/>
        <v>AD57</v>
      </c>
      <c r="K144" s="67" t="str">
        <f t="shared" si="8"/>
        <v>AD57</v>
      </c>
    </row>
    <row r="145" spans="1:18" ht="12.75" customHeight="1" x14ac:dyDescent="0.2">
      <c r="A145" s="67">
        <v>4</v>
      </c>
      <c r="B145" s="67" t="s">
        <v>199</v>
      </c>
      <c r="C145" s="67" t="s">
        <v>103</v>
      </c>
      <c r="D145" s="73">
        <v>62</v>
      </c>
      <c r="E145" s="67">
        <f t="shared" si="2"/>
        <v>112</v>
      </c>
      <c r="F145" s="67">
        <f t="shared" si="3"/>
        <v>62</v>
      </c>
      <c r="G145" s="67">
        <f t="shared" si="4"/>
        <v>62</v>
      </c>
      <c r="H145" s="73" t="str">
        <f t="shared" si="5"/>
        <v>W62</v>
      </c>
      <c r="I145" s="67" t="str">
        <f t="shared" si="6"/>
        <v>AD112</v>
      </c>
      <c r="J145" s="67" t="str">
        <f t="shared" si="7"/>
        <v>AD62</v>
      </c>
      <c r="K145" s="67" t="str">
        <f t="shared" si="8"/>
        <v>AD62</v>
      </c>
    </row>
    <row r="146" spans="1:18" ht="12.75" customHeight="1" x14ac:dyDescent="0.2">
      <c r="A146" s="67">
        <v>5</v>
      </c>
      <c r="B146" s="67" t="s">
        <v>199</v>
      </c>
      <c r="C146" s="67" t="s">
        <v>103</v>
      </c>
      <c r="D146" s="73">
        <v>67</v>
      </c>
      <c r="E146" s="67">
        <f t="shared" si="2"/>
        <v>127</v>
      </c>
      <c r="F146" s="67">
        <f t="shared" si="3"/>
        <v>67</v>
      </c>
      <c r="G146" s="67">
        <f t="shared" si="4"/>
        <v>67</v>
      </c>
      <c r="H146" s="73" t="str">
        <f t="shared" si="5"/>
        <v>W67</v>
      </c>
      <c r="I146" s="67" t="str">
        <f t="shared" si="6"/>
        <v>AD127</v>
      </c>
      <c r="J146" s="67" t="str">
        <f t="shared" si="7"/>
        <v>AD67</v>
      </c>
      <c r="K146" s="67" t="str">
        <f t="shared" si="8"/>
        <v>AD67</v>
      </c>
    </row>
    <row r="147" spans="1:18" ht="12.75" customHeight="1" x14ac:dyDescent="0.2">
      <c r="A147" s="67">
        <v>6</v>
      </c>
      <c r="B147" s="67" t="s">
        <v>199</v>
      </c>
      <c r="C147" s="67" t="s">
        <v>103</v>
      </c>
      <c r="D147" s="73">
        <v>72</v>
      </c>
      <c r="E147" s="67">
        <f t="shared" si="2"/>
        <v>142</v>
      </c>
      <c r="F147" s="67">
        <f t="shared" si="3"/>
        <v>72</v>
      </c>
      <c r="G147" s="67">
        <f t="shared" si="4"/>
        <v>72</v>
      </c>
      <c r="H147" s="73" t="str">
        <f t="shared" si="5"/>
        <v>W72</v>
      </c>
      <c r="I147" s="67" t="str">
        <f t="shared" si="6"/>
        <v>AD142</v>
      </c>
      <c r="J147" s="67" t="str">
        <f t="shared" si="7"/>
        <v>AD72</v>
      </c>
      <c r="K147" s="67" t="str">
        <f t="shared" si="8"/>
        <v>AD72</v>
      </c>
      <c r="P147" s="26"/>
      <c r="Q147" s="15"/>
      <c r="R147" s="15"/>
    </row>
    <row r="148" spans="1:18" ht="12.75" customHeight="1" x14ac:dyDescent="0.2">
      <c r="A148" s="67">
        <v>7</v>
      </c>
      <c r="B148" s="67" t="s">
        <v>199</v>
      </c>
      <c r="C148" s="67" t="s">
        <v>103</v>
      </c>
      <c r="D148" s="73">
        <v>77</v>
      </c>
      <c r="E148" s="67">
        <f t="shared" si="2"/>
        <v>157</v>
      </c>
      <c r="F148" s="67">
        <f t="shared" si="3"/>
        <v>77</v>
      </c>
      <c r="G148" s="67">
        <f t="shared" si="4"/>
        <v>77</v>
      </c>
      <c r="H148" s="73" t="str">
        <f t="shared" si="5"/>
        <v>W77</v>
      </c>
      <c r="I148" s="67" t="str">
        <f t="shared" si="6"/>
        <v>AD157</v>
      </c>
      <c r="J148" s="67" t="str">
        <f t="shared" si="7"/>
        <v>AD77</v>
      </c>
      <c r="K148" s="67" t="str">
        <f t="shared" si="8"/>
        <v>AD77</v>
      </c>
      <c r="P148" s="26"/>
      <c r="Q148" s="111"/>
      <c r="R148" s="111"/>
    </row>
    <row r="149" spans="1:18" ht="12.75" customHeight="1" x14ac:dyDescent="0.2">
      <c r="A149" s="67">
        <v>8</v>
      </c>
      <c r="B149" s="67" t="s">
        <v>199</v>
      </c>
      <c r="C149" s="67" t="s">
        <v>103</v>
      </c>
      <c r="D149" s="73">
        <v>82</v>
      </c>
      <c r="E149" s="67">
        <f t="shared" si="2"/>
        <v>172</v>
      </c>
      <c r="F149" s="67">
        <f t="shared" si="3"/>
        <v>82</v>
      </c>
      <c r="G149" s="67">
        <f t="shared" si="4"/>
        <v>82</v>
      </c>
      <c r="H149" s="73" t="str">
        <f t="shared" si="5"/>
        <v>W82</v>
      </c>
      <c r="I149" s="67" t="str">
        <f t="shared" si="6"/>
        <v>AD172</v>
      </c>
      <c r="J149" s="67" t="str">
        <f t="shared" si="7"/>
        <v>AD82</v>
      </c>
      <c r="K149" s="67" t="str">
        <f t="shared" si="8"/>
        <v>AD82</v>
      </c>
      <c r="P149" s="26"/>
      <c r="Q149" s="111"/>
      <c r="R149" s="111"/>
    </row>
    <row r="150" spans="1:18" ht="12.75" customHeight="1" x14ac:dyDescent="0.2">
      <c r="A150" s="67">
        <v>9</v>
      </c>
      <c r="B150" s="67" t="s">
        <v>199</v>
      </c>
      <c r="C150" s="67" t="s">
        <v>103</v>
      </c>
      <c r="D150" s="73">
        <v>87</v>
      </c>
      <c r="E150" s="67">
        <f t="shared" si="2"/>
        <v>187</v>
      </c>
      <c r="F150" s="67">
        <f t="shared" si="3"/>
        <v>87</v>
      </c>
      <c r="G150" s="67">
        <f t="shared" si="4"/>
        <v>87</v>
      </c>
      <c r="H150" s="73" t="str">
        <f t="shared" si="5"/>
        <v>W87</v>
      </c>
      <c r="I150" s="67" t="str">
        <f t="shared" si="6"/>
        <v>AD187</v>
      </c>
      <c r="J150" s="67" t="str">
        <f t="shared" si="7"/>
        <v>AD87</v>
      </c>
      <c r="K150" s="67" t="str">
        <f t="shared" si="8"/>
        <v>AD87</v>
      </c>
      <c r="P150" s="21"/>
      <c r="Q150" s="21"/>
      <c r="R150" s="21"/>
    </row>
    <row r="151" spans="1:18" ht="12.75" customHeight="1" x14ac:dyDescent="0.2">
      <c r="A151" s="67">
        <v>10</v>
      </c>
      <c r="B151" s="67" t="s">
        <v>199</v>
      </c>
      <c r="C151" s="67" t="s">
        <v>103</v>
      </c>
      <c r="D151" s="73">
        <v>92</v>
      </c>
      <c r="E151" s="67">
        <f t="shared" si="2"/>
        <v>202</v>
      </c>
      <c r="F151" s="67">
        <f t="shared" si="3"/>
        <v>92</v>
      </c>
      <c r="G151" s="67">
        <f t="shared" si="4"/>
        <v>92</v>
      </c>
      <c r="H151" s="73" t="str">
        <f t="shared" si="5"/>
        <v>W92</v>
      </c>
      <c r="I151" s="67" t="str">
        <f t="shared" si="6"/>
        <v>AD202</v>
      </c>
      <c r="J151" s="67" t="str">
        <f t="shared" si="7"/>
        <v>AD92</v>
      </c>
      <c r="K151" s="67" t="str">
        <f t="shared" si="8"/>
        <v>AD92</v>
      </c>
      <c r="P151" s="21"/>
      <c r="Q151" s="21"/>
      <c r="R151" s="21"/>
    </row>
    <row r="152" spans="1:18" ht="12.75" customHeight="1" x14ac:dyDescent="0.2">
      <c r="F152" s="112"/>
      <c r="P152" s="21"/>
      <c r="Q152" s="21"/>
      <c r="R152" s="21"/>
    </row>
    <row r="153" spans="1:18" ht="12.75" customHeight="1" x14ac:dyDescent="0.2">
      <c r="P153" s="21"/>
      <c r="Q153" s="21"/>
      <c r="R153" s="21"/>
    </row>
    <row r="154" spans="1:18" ht="12.75" customHeight="1" x14ac:dyDescent="0.2">
      <c r="P154" s="21"/>
      <c r="Q154" s="21"/>
      <c r="R154" s="21"/>
    </row>
    <row r="155" spans="1:18" ht="12.75" customHeight="1" x14ac:dyDescent="0.2">
      <c r="P155" s="21"/>
      <c r="Q155" s="21"/>
      <c r="R155" s="21"/>
    </row>
    <row r="156" spans="1:18" ht="12.75" customHeight="1" x14ac:dyDescent="0.2">
      <c r="P156" s="21"/>
      <c r="Q156" s="21"/>
      <c r="R156" s="21"/>
    </row>
    <row r="157" spans="1:18" ht="12.75" customHeight="1" x14ac:dyDescent="0.2">
      <c r="P157" s="21"/>
      <c r="Q157" s="21"/>
      <c r="R157" s="21"/>
    </row>
    <row r="158" spans="1:18" ht="12.75" customHeight="1" x14ac:dyDescent="0.2">
      <c r="P158" s="21"/>
      <c r="Q158" s="21"/>
      <c r="R158" s="21"/>
    </row>
    <row r="159" spans="1:18" ht="12.75" customHeight="1" x14ac:dyDescent="0.2">
      <c r="P159" s="21"/>
      <c r="Q159" s="21"/>
      <c r="R159" s="21"/>
    </row>
  </sheetData>
  <mergeCells count="87">
    <mergeCell ref="F126:F127"/>
    <mergeCell ref="A117:C117"/>
    <mergeCell ref="E80:F80"/>
    <mergeCell ref="E83:F83"/>
    <mergeCell ref="E62:F62"/>
    <mergeCell ref="B75:E75"/>
    <mergeCell ref="B68:C68"/>
    <mergeCell ref="B69:C69"/>
    <mergeCell ref="E61:F61"/>
    <mergeCell ref="A50:A51"/>
    <mergeCell ref="C40:F40"/>
    <mergeCell ref="E82:F82"/>
    <mergeCell ref="E81:F81"/>
    <mergeCell ref="G57:H57"/>
    <mergeCell ref="G58:H58"/>
    <mergeCell ref="G68:H69"/>
    <mergeCell ref="B74:E74"/>
    <mergeCell ref="B1:D1"/>
    <mergeCell ref="B2:D2"/>
    <mergeCell ref="C3:H3"/>
    <mergeCell ref="E53:F53"/>
    <mergeCell ref="E54:F54"/>
    <mergeCell ref="A27:C28"/>
    <mergeCell ref="B29:E29"/>
    <mergeCell ref="B30:E30"/>
    <mergeCell ref="B31:E31"/>
    <mergeCell ref="B32:E32"/>
    <mergeCell ref="D9:F9"/>
    <mergeCell ref="B33:E33"/>
    <mergeCell ref="D14:F14"/>
    <mergeCell ref="D13:F13"/>
    <mergeCell ref="D18:F18"/>
    <mergeCell ref="D19:F19"/>
    <mergeCell ref="D24:E24"/>
    <mergeCell ref="G60:H60"/>
    <mergeCell ref="H27:H28"/>
    <mergeCell ref="E50:F51"/>
    <mergeCell ref="G61:H61"/>
    <mergeCell ref="E60:F60"/>
    <mergeCell ref="E59:F59"/>
    <mergeCell ref="G27:G28"/>
    <mergeCell ref="E56:F56"/>
    <mergeCell ref="E57:F57"/>
    <mergeCell ref="E58:F58"/>
    <mergeCell ref="E52:F52"/>
    <mergeCell ref="E55:F55"/>
    <mergeCell ref="G53:H53"/>
    <mergeCell ref="G54:H54"/>
    <mergeCell ref="G55:H55"/>
    <mergeCell ref="G56:H56"/>
    <mergeCell ref="G62:H62"/>
    <mergeCell ref="B52:D52"/>
    <mergeCell ref="B50:D51"/>
    <mergeCell ref="B53:D53"/>
    <mergeCell ref="B54:D54"/>
    <mergeCell ref="B55:D55"/>
    <mergeCell ref="B56:D56"/>
    <mergeCell ref="B57:D57"/>
    <mergeCell ref="B58:D58"/>
    <mergeCell ref="B59:D59"/>
    <mergeCell ref="B60:D60"/>
    <mergeCell ref="B61:D61"/>
    <mergeCell ref="B62:D62"/>
    <mergeCell ref="G50:H51"/>
    <mergeCell ref="G52:H52"/>
    <mergeCell ref="G59:H59"/>
    <mergeCell ref="E140:E141"/>
    <mergeCell ref="F140:F141"/>
    <mergeCell ref="G140:G141"/>
    <mergeCell ref="D139:G139"/>
    <mergeCell ref="A126:A127"/>
    <mergeCell ref="D125:D127"/>
    <mergeCell ref="B125:C125"/>
    <mergeCell ref="E125:F125"/>
    <mergeCell ref="B139:C139"/>
    <mergeCell ref="A140:A141"/>
    <mergeCell ref="B140:B141"/>
    <mergeCell ref="C140:C141"/>
    <mergeCell ref="D140:D141"/>
    <mergeCell ref="B126:B127"/>
    <mergeCell ref="C126:C127"/>
    <mergeCell ref="E126:E127"/>
    <mergeCell ref="H139:K139"/>
    <mergeCell ref="H140:H141"/>
    <mergeCell ref="I140:I141"/>
    <mergeCell ref="J140:J141"/>
    <mergeCell ref="K140:K141"/>
  </mergeCells>
  <conditionalFormatting sqref="A29:H33">
    <cfRule type="expression" dxfId="1658" priority="3" stopIfTrue="1">
      <formula>VALUE(RIGHT($A29,1))&gt;$D$25</formula>
    </cfRule>
  </conditionalFormatting>
  <conditionalFormatting sqref="A51 A52:B52 A50:B50 E50:F52">
    <cfRule type="expression" dxfId="1657" priority="25">
      <formula>ISBLANK($D$48)</formula>
    </cfRule>
  </conditionalFormatting>
  <conditionalFormatting sqref="E82:F82">
    <cfRule type="expression" dxfId="1656" priority="10651">
      <formula>AND($H$87=FALSE,$D$9="Flood Hazard",$D$14&lt;&gt;$E$82)</formula>
    </cfRule>
  </conditionalFormatting>
  <conditionalFormatting sqref="A16:H20">
    <cfRule type="expression" dxfId="1655" priority="15">
      <formula>$D$9="Hydrologic Hazard"</formula>
    </cfRule>
  </conditionalFormatting>
  <conditionalFormatting sqref="G50:H52">
    <cfRule type="expression" dxfId="1654" priority="11">
      <formula>ISBLANK($D$48)</formula>
    </cfRule>
  </conditionalFormatting>
  <conditionalFormatting sqref="G50:H62">
    <cfRule type="expression" dxfId="1653" priority="9">
      <formula>$D$9="Hydrologic Hazard"</formula>
    </cfRule>
  </conditionalFormatting>
  <conditionalFormatting sqref="A23:H45">
    <cfRule type="expression" dxfId="1652" priority="8">
      <formula>$D$9="Seismic Hazard"</formula>
    </cfRule>
  </conditionalFormatting>
  <conditionalFormatting sqref="A27:H44">
    <cfRule type="expression" dxfId="1651" priority="5">
      <formula>$D$24="None"</formula>
    </cfRule>
  </conditionalFormatting>
  <conditionalFormatting sqref="F68:F69">
    <cfRule type="expression" dxfId="1650" priority="10711">
      <formula>AND(OR($D$48&lt;&gt;"",$E$81&lt;&gt;""),ISBLANK($F68))</formula>
    </cfRule>
  </conditionalFormatting>
  <conditionalFormatting sqref="A53:B62 E53:H62">
    <cfRule type="expression" dxfId="1649" priority="10712">
      <formula>$A93&gt;$D$48</formula>
    </cfRule>
  </conditionalFormatting>
  <conditionalFormatting sqref="G68:H69">
    <cfRule type="expression" dxfId="1648" priority="10714">
      <formula>AND(OR($D$48&lt;&gt;"",$E$81&lt;&gt;""),OR(ISBLANK($F68),ISBLANK($F69)))</formula>
    </cfRule>
  </conditionalFormatting>
  <conditionalFormatting sqref="A42:H42">
    <cfRule type="expression" dxfId="1647" priority="4">
      <formula>$C$40&lt;&gt;"Discrete operational performance branches"</formula>
    </cfRule>
  </conditionalFormatting>
  <conditionalFormatting sqref="G29:G33">
    <cfRule type="expression" dxfId="1646" priority="42">
      <formula>AND($D$24&lt;&gt;"None",SUM($G$29:$G$33)&lt;&gt;1)</formula>
    </cfRule>
  </conditionalFormatting>
  <conditionalFormatting sqref="G35">
    <cfRule type="expression" dxfId="1645" priority="1">
      <formula>$D$24="None"</formula>
    </cfRule>
    <cfRule type="expression" dxfId="1644" priority="2">
      <formula>AND($D$24&lt;&gt;"None",SUM($G$29:$G$33)&lt;&gt;1)</formula>
    </cfRule>
  </conditionalFormatting>
  <dataValidations count="14">
    <dataValidation type="list" allowBlank="1" showInputMessage="1" showErrorMessage="1" sqref="E82:F82" xr:uid="{A98E011E-CDFD-471B-A66E-16D65081F622}">
      <formula1>$C$87:$C$90</formula1>
    </dataValidation>
    <dataValidation type="list" allowBlank="1" showInputMessage="1" showErrorMessage="1" sqref="D25" xr:uid="{42A57902-398F-4EE0-9F41-E867D44D52D5}">
      <formula1>$A$94:$A$97</formula1>
    </dataValidation>
    <dataValidation type="list" allowBlank="1" showInputMessage="1" showErrorMessage="1" sqref="G53:H62" xr:uid="{E5149ADF-73E2-4CA5-ADCC-791B43E491E9}">
      <formula1>$C$97:$C$98</formula1>
    </dataValidation>
    <dataValidation type="list" allowBlank="1" showInputMessage="1" showErrorMessage="1" sqref="D48" xr:uid="{FC54D116-4DB9-4E9D-AAEB-39EC11D54128}">
      <formula1>$A$93:$A$102</formula1>
    </dataValidation>
    <dataValidation type="list" allowBlank="1" showInputMessage="1" showErrorMessage="1" sqref="D24:E24" xr:uid="{555C513E-66E5-4460-8E99-448B0D61D296}">
      <formula1>$A$104:$A$106</formula1>
    </dataValidation>
    <dataValidation type="list" allowBlank="1" showInputMessage="1" showErrorMessage="1" sqref="N86:N87" xr:uid="{8A90C788-54DB-4872-B05F-127945B45BAB}">
      <formula1>#REF!</formula1>
    </dataValidation>
    <dataValidation type="list" allowBlank="1" showInputMessage="1" showErrorMessage="1" sqref="D9:F9" xr:uid="{86F6F954-A2B6-4239-B42F-9B4F4EC56E2E}">
      <formula1>$A$87:$A$88</formula1>
    </dataValidation>
    <dataValidation type="list" allowBlank="1" showInputMessage="1" showErrorMessage="1" sqref="E82:F82" xr:uid="{50CC4B2A-972B-42BC-A179-36DC0C39D308}">
      <formula1>$E$93:$E$97</formula1>
    </dataValidation>
    <dataValidation type="list" allowBlank="1" showInputMessage="1" showErrorMessage="1" sqref="E83:F83" xr:uid="{61439506-C1BE-45A3-BC5B-B614BD67BDE9}">
      <formula1>$E$93:$E$95</formula1>
    </dataValidation>
    <dataValidation type="list" allowBlank="1" showInputMessage="1" showErrorMessage="1" sqref="D14:F14" xr:uid="{580CAB9B-5250-40A0-AE7A-87CAB77CFEBA}">
      <formula1>$C$87:$C$88</formula1>
    </dataValidation>
    <dataValidation type="list" allowBlank="1" showInputMessage="1" showErrorMessage="1" sqref="D19:F19" xr:uid="{D281523E-250A-4E74-A1BE-FC53AA31B8D0}">
      <formula1>$C$89:$C$90</formula1>
    </dataValidation>
    <dataValidation type="list" allowBlank="1" showInputMessage="1" showErrorMessage="1" sqref="D42" xr:uid="{7A35D23D-434F-4F0B-8173-B1364447C28C}">
      <formula1>$E$87:$E$88</formula1>
    </dataValidation>
    <dataValidation type="list" allowBlank="1" showInputMessage="1" showErrorMessage="1" sqref="E53:F62" xr:uid="{A8923AE2-E5AC-4FB0-95CA-68103E610C5F}">
      <formula1>$C$93:$C$96</formula1>
    </dataValidation>
    <dataValidation type="list" allowBlank="1" showInputMessage="1" showErrorMessage="1" sqref="C40" xr:uid="{F7CC14BC-CF7B-4F79-82E6-C865228F1A9F}">
      <formula1>$G$93:$G$94</formula1>
    </dataValidation>
  </dataValidations>
  <pageMargins left="0.7" right="0.7" top="0.75" bottom="0.75" header="0.3" footer="0.3"/>
  <pageSetup fitToHeight="0" orientation="portrait" r:id="rId1"/>
  <headerFooter>
    <oddFooter>&amp;LRMC Event Tree Toolbox
&amp;A&amp;RVersion 3.0
Page &amp;P of &amp;N</oddFooter>
  </headerFooter>
  <rowBreaks count="1" manualBreakCount="1">
    <brk id="45" max="7" man="1"/>
  </rowBreak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2C51F-F0B2-4F66-AD07-A8C318820138}">
  <sheetPr codeName="Sheet1"/>
  <dimension ref="A1:BI259"/>
  <sheetViews>
    <sheetView zoomScaleNormal="100" workbookViewId="0">
      <selection sqref="A1:C1"/>
    </sheetView>
  </sheetViews>
  <sheetFormatPr defaultColWidth="11.28515625" defaultRowHeight="12.75" x14ac:dyDescent="0.2"/>
  <cols>
    <col min="1" max="8" width="4.7109375" style="33" customWidth="1"/>
    <col min="9" max="87" width="3.85546875" style="33" customWidth="1"/>
    <col min="88" max="16384" width="11.28515625" style="33"/>
  </cols>
  <sheetData>
    <row r="1" spans="1:49" ht="15" customHeight="1" x14ac:dyDescent="0.2">
      <c r="A1" s="147" t="s">
        <v>39</v>
      </c>
      <c r="B1" s="147"/>
      <c r="C1" s="147"/>
      <c r="D1" s="208"/>
      <c r="E1" s="208"/>
      <c r="F1" s="208"/>
      <c r="G1" s="208"/>
      <c r="H1" s="208"/>
      <c r="I1" s="208"/>
      <c r="J1" s="208"/>
      <c r="K1" s="208"/>
      <c r="L1" s="208"/>
      <c r="M1" s="208"/>
      <c r="N1" s="208"/>
      <c r="O1" s="208"/>
      <c r="P1" s="208"/>
      <c r="Q1" s="208"/>
      <c r="R1" s="208"/>
      <c r="S1" s="208"/>
      <c r="T1" s="208"/>
      <c r="U1" s="208"/>
      <c r="V1" s="208"/>
      <c r="W1" s="208"/>
      <c r="X1" s="208"/>
      <c r="Y1" s="208"/>
      <c r="Z1" s="147" t="s">
        <v>40</v>
      </c>
      <c r="AA1" s="147"/>
      <c r="AB1" s="147"/>
      <c r="AC1" s="208"/>
      <c r="AD1" s="208"/>
      <c r="AE1" s="208"/>
      <c r="AF1" s="208"/>
      <c r="AG1" s="208"/>
      <c r="AH1" s="208"/>
      <c r="AI1" s="208"/>
      <c r="AJ1" s="208"/>
      <c r="AK1" s="208"/>
      <c r="AL1" s="147" t="s">
        <v>41</v>
      </c>
      <c r="AM1" s="147"/>
      <c r="AN1" s="147"/>
      <c r="AO1" s="208"/>
      <c r="AP1" s="208"/>
      <c r="AQ1" s="208"/>
      <c r="AR1" s="208"/>
      <c r="AS1" s="208"/>
      <c r="AT1" s="208"/>
      <c r="AU1" s="208"/>
      <c r="AV1" s="208"/>
      <c r="AW1" s="208"/>
    </row>
    <row r="2" spans="1:49" ht="15" customHeight="1" x14ac:dyDescent="0.2">
      <c r="A2" s="147" t="s">
        <v>42</v>
      </c>
      <c r="B2" s="147"/>
      <c r="C2" s="147"/>
      <c r="D2" s="209"/>
      <c r="E2" s="209"/>
      <c r="F2" s="209"/>
      <c r="G2" s="209"/>
      <c r="H2" s="209"/>
      <c r="I2" s="209"/>
      <c r="J2" s="209"/>
      <c r="K2" s="209"/>
      <c r="L2" s="209"/>
      <c r="M2" s="209"/>
      <c r="N2" s="209"/>
      <c r="O2" s="209"/>
      <c r="P2" s="209"/>
      <c r="Q2" s="209"/>
      <c r="R2" s="209"/>
      <c r="S2" s="209"/>
      <c r="T2" s="209"/>
      <c r="U2" s="209"/>
      <c r="V2" s="209"/>
      <c r="W2" s="209"/>
      <c r="X2" s="209"/>
      <c r="Y2" s="209"/>
      <c r="Z2" s="147" t="s">
        <v>40</v>
      </c>
      <c r="AA2" s="147"/>
      <c r="AB2" s="147"/>
      <c r="AC2" s="208"/>
      <c r="AD2" s="208"/>
      <c r="AE2" s="208"/>
      <c r="AF2" s="208"/>
      <c r="AG2" s="208"/>
      <c r="AH2" s="208"/>
      <c r="AI2" s="208"/>
      <c r="AJ2" s="208"/>
      <c r="AK2" s="208"/>
      <c r="AL2" s="147" t="s">
        <v>41</v>
      </c>
      <c r="AM2" s="147"/>
      <c r="AN2" s="147"/>
      <c r="AO2" s="208"/>
      <c r="AP2" s="208"/>
      <c r="AQ2" s="208"/>
      <c r="AR2" s="208"/>
      <c r="AS2" s="208"/>
      <c r="AT2" s="208"/>
      <c r="AU2" s="208"/>
      <c r="AV2" s="208"/>
      <c r="AW2" s="208"/>
    </row>
    <row r="3" spans="1:49" ht="15" customHeight="1" x14ac:dyDescent="0.2">
      <c r="A3" s="148" t="s">
        <v>43</v>
      </c>
      <c r="B3" s="148"/>
      <c r="C3" s="148"/>
      <c r="D3" s="148"/>
      <c r="E3" s="210"/>
      <c r="F3" s="210"/>
      <c r="G3" s="210"/>
      <c r="H3" s="210"/>
      <c r="I3" s="210"/>
      <c r="J3" s="210"/>
      <c r="K3" s="210"/>
      <c r="L3" s="210"/>
      <c r="M3" s="210"/>
      <c r="N3" s="210"/>
      <c r="O3" s="210"/>
      <c r="P3" s="210"/>
      <c r="Q3" s="210"/>
      <c r="R3" s="210"/>
      <c r="S3" s="210"/>
      <c r="T3" s="210"/>
      <c r="U3" s="210"/>
      <c r="V3" s="210"/>
      <c r="W3" s="210"/>
      <c r="X3" s="210"/>
      <c r="Y3" s="210"/>
      <c r="Z3" s="210"/>
      <c r="AA3" s="210"/>
      <c r="AB3" s="210"/>
      <c r="AC3" s="210"/>
      <c r="AD3" s="210"/>
      <c r="AE3" s="210"/>
      <c r="AF3" s="210"/>
      <c r="AG3" s="210"/>
      <c r="AH3" s="210"/>
      <c r="AI3" s="210"/>
      <c r="AJ3" s="210"/>
      <c r="AK3" s="210"/>
      <c r="AL3" s="210"/>
      <c r="AM3" s="210"/>
      <c r="AN3" s="210"/>
      <c r="AO3" s="210"/>
      <c r="AP3" s="210"/>
      <c r="AQ3" s="210"/>
      <c r="AR3" s="210"/>
      <c r="AS3" s="210"/>
      <c r="AT3" s="210"/>
      <c r="AU3" s="210"/>
      <c r="AV3" s="210"/>
      <c r="AW3" s="210"/>
    </row>
    <row r="4" spans="1:49" ht="15" customHeight="1" x14ac:dyDescent="0.2">
      <c r="A4" s="34"/>
      <c r="B4" s="34"/>
      <c r="C4" s="34"/>
      <c r="D4" s="34"/>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row>
    <row r="5" spans="1:49" ht="15" customHeight="1" x14ac:dyDescent="0.2">
      <c r="A5" s="224" t="s">
        <v>96</v>
      </c>
      <c r="B5" s="224"/>
      <c r="C5" s="224"/>
      <c r="D5" s="224"/>
      <c r="E5" s="224"/>
      <c r="F5" s="224"/>
      <c r="G5" s="224"/>
      <c r="H5" s="224"/>
      <c r="I5" s="224"/>
      <c r="J5" s="224"/>
      <c r="K5" s="224"/>
      <c r="L5" s="224"/>
      <c r="M5" s="224"/>
      <c r="N5" s="224"/>
      <c r="O5" s="224"/>
      <c r="P5" s="224"/>
      <c r="Q5" s="224"/>
      <c r="R5" s="224"/>
      <c r="S5" s="224"/>
      <c r="T5" s="224"/>
      <c r="U5" s="224"/>
      <c r="V5" s="224"/>
      <c r="W5" s="224"/>
      <c r="X5" s="224"/>
      <c r="Y5" s="224"/>
      <c r="Z5" s="224"/>
      <c r="AA5" s="224"/>
      <c r="AB5" s="224"/>
      <c r="AC5" s="224"/>
      <c r="AD5" s="224"/>
      <c r="AE5" s="224"/>
      <c r="AF5" s="224"/>
      <c r="AG5" s="224"/>
      <c r="AH5" s="224"/>
      <c r="AI5" s="224"/>
      <c r="AJ5" s="224"/>
      <c r="AK5" s="224"/>
      <c r="AL5" s="224"/>
      <c r="AM5" s="224"/>
      <c r="AN5" s="224"/>
      <c r="AO5" s="224"/>
      <c r="AP5" s="224"/>
      <c r="AQ5" s="224"/>
      <c r="AR5" s="224"/>
      <c r="AS5" s="224"/>
      <c r="AT5" s="224"/>
      <c r="AU5" s="224"/>
      <c r="AV5" s="224"/>
      <c r="AW5" s="224"/>
    </row>
    <row r="6" spans="1:49" ht="15" customHeight="1" x14ac:dyDescent="0.2">
      <c r="A6" s="35"/>
      <c r="B6" s="35"/>
      <c r="C6" s="35"/>
      <c r="D6" s="35"/>
      <c r="E6" s="35"/>
      <c r="F6" s="35"/>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row>
    <row r="7" spans="1:49" ht="15" customHeight="1" x14ac:dyDescent="0.2">
      <c r="A7" s="35"/>
      <c r="B7" s="36" t="s">
        <v>149</v>
      </c>
      <c r="C7" s="34"/>
      <c r="D7" s="36"/>
      <c r="E7" s="36"/>
      <c r="F7" s="36"/>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row>
    <row r="8" spans="1:49" ht="15" customHeight="1" x14ac:dyDescent="0.2">
      <c r="A8" s="35"/>
      <c r="B8" s="36"/>
      <c r="C8" s="36"/>
      <c r="D8" s="36"/>
      <c r="E8" s="36"/>
      <c r="F8" s="36"/>
      <c r="G8" s="35"/>
      <c r="H8" s="35"/>
      <c r="I8" s="35"/>
      <c r="J8" s="35"/>
      <c r="K8" s="35"/>
      <c r="L8" s="35"/>
      <c r="M8" s="35"/>
      <c r="N8" s="35"/>
      <c r="O8" s="35"/>
      <c r="P8" s="35"/>
      <c r="Q8" s="35"/>
      <c r="R8" s="35"/>
      <c r="S8" s="35"/>
      <c r="T8" s="35"/>
      <c r="U8" s="35"/>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row>
    <row r="9" spans="1:49" ht="15" customHeight="1" x14ac:dyDescent="0.2">
      <c r="A9" s="35"/>
      <c r="B9" s="212" t="str">
        <f>E256</f>
        <v>Composite Hazard</v>
      </c>
      <c r="C9" s="212"/>
      <c r="D9" s="212"/>
      <c r="E9" s="212"/>
      <c r="F9" s="212"/>
      <c r="G9" s="212"/>
      <c r="H9" s="212"/>
      <c r="I9" s="212" t="str">
        <f>E257</f>
        <v>Transform</v>
      </c>
      <c r="J9" s="212"/>
      <c r="K9" s="212"/>
      <c r="L9" s="212"/>
      <c r="M9" s="212"/>
      <c r="N9" s="212"/>
      <c r="O9" s="212"/>
      <c r="P9" s="212" t="str">
        <f>E258</f>
        <v>Life Loss</v>
      </c>
      <c r="Q9" s="212"/>
      <c r="R9" s="212"/>
      <c r="S9" s="212"/>
      <c r="T9" s="212"/>
      <c r="U9" s="212"/>
      <c r="V9" s="212"/>
      <c r="W9" s="212" t="str">
        <f>E259</f>
        <v>Economic Cost</v>
      </c>
      <c r="X9" s="212"/>
      <c r="Y9" s="212"/>
      <c r="Z9" s="212"/>
      <c r="AA9" s="212"/>
      <c r="AB9" s="212"/>
      <c r="AC9" s="212"/>
      <c r="AD9" s="35"/>
      <c r="AE9" s="35"/>
      <c r="AF9" s="35"/>
      <c r="AG9" s="35"/>
      <c r="AH9" s="35"/>
      <c r="AI9" s="35"/>
      <c r="AJ9" s="35"/>
      <c r="AK9" s="35"/>
      <c r="AL9" s="35"/>
      <c r="AM9" s="35"/>
      <c r="AN9" s="35"/>
      <c r="AO9" s="35"/>
      <c r="AP9" s="35"/>
      <c r="AQ9" s="35"/>
      <c r="AR9" s="35"/>
      <c r="AS9" s="35"/>
      <c r="AT9" s="35"/>
      <c r="AU9" s="35"/>
      <c r="AV9" s="35"/>
      <c r="AW9" s="35"/>
    </row>
    <row r="10" spans="1:49" ht="15" customHeight="1" x14ac:dyDescent="0.2">
      <c r="A10" s="35"/>
      <c r="B10" s="212"/>
      <c r="C10" s="212"/>
      <c r="D10" s="212"/>
      <c r="E10" s="212"/>
      <c r="F10" s="212"/>
      <c r="G10" s="212"/>
      <c r="H10" s="212"/>
      <c r="I10" s="212"/>
      <c r="J10" s="212"/>
      <c r="K10" s="212"/>
      <c r="L10" s="212"/>
      <c r="M10" s="212"/>
      <c r="N10" s="212"/>
      <c r="O10" s="212"/>
      <c r="P10" s="212"/>
      <c r="Q10" s="212"/>
      <c r="R10" s="212"/>
      <c r="S10" s="212"/>
      <c r="T10" s="212"/>
      <c r="U10" s="212"/>
      <c r="V10" s="212"/>
      <c r="W10" s="212"/>
      <c r="X10" s="212"/>
      <c r="Y10" s="212"/>
      <c r="Z10" s="212"/>
      <c r="AA10" s="212"/>
      <c r="AB10" s="212"/>
      <c r="AC10" s="212"/>
      <c r="AD10" s="35"/>
      <c r="AE10" s="35"/>
      <c r="AF10" s="35"/>
      <c r="AG10" s="35"/>
      <c r="AH10" s="35"/>
      <c r="AI10" s="35"/>
      <c r="AJ10" s="35"/>
      <c r="AK10" s="35"/>
      <c r="AL10" s="35"/>
      <c r="AM10" s="35"/>
      <c r="AN10" s="35"/>
      <c r="AO10" s="35"/>
      <c r="AP10" s="35"/>
      <c r="AQ10" s="35"/>
      <c r="AR10" s="35"/>
      <c r="AS10" s="35"/>
      <c r="AT10" s="35"/>
      <c r="AU10" s="35"/>
      <c r="AV10" s="35"/>
      <c r="AW10" s="35"/>
    </row>
    <row r="11" spans="1:49" ht="15" customHeight="1" x14ac:dyDescent="0.2">
      <c r="A11" s="35"/>
      <c r="B11" s="37" t="str">
        <f>IF(E256="","","-")</f>
        <v>-</v>
      </c>
      <c r="C11" s="37" t="str">
        <f>B11</f>
        <v>-</v>
      </c>
      <c r="D11" s="37" t="str">
        <f t="shared" ref="D11:H11" si="0">C11</f>
        <v>-</v>
      </c>
      <c r="E11" s="37" t="str">
        <f t="shared" si="0"/>
        <v>-</v>
      </c>
      <c r="F11" s="37" t="str">
        <f t="shared" si="0"/>
        <v>-</v>
      </c>
      <c r="G11" s="37" t="str">
        <f t="shared" si="0"/>
        <v>-</v>
      </c>
      <c r="H11" s="37" t="str">
        <f t="shared" si="0"/>
        <v>-</v>
      </c>
      <c r="I11" s="37" t="str">
        <f>IF(E257="","","-")</f>
        <v>-</v>
      </c>
      <c r="J11" s="37" t="str">
        <f>I11</f>
        <v>-</v>
      </c>
      <c r="K11" s="37" t="str">
        <f t="shared" ref="K11:O11" si="1">J11</f>
        <v>-</v>
      </c>
      <c r="L11" s="37" t="str">
        <f t="shared" si="1"/>
        <v>-</v>
      </c>
      <c r="M11" s="37" t="str">
        <f t="shared" si="1"/>
        <v>-</v>
      </c>
      <c r="N11" s="37" t="str">
        <f t="shared" si="1"/>
        <v>-</v>
      </c>
      <c r="O11" s="37" t="str">
        <f t="shared" si="1"/>
        <v>-</v>
      </c>
      <c r="P11" s="37" t="str">
        <f>IF(E258="","","-")</f>
        <v>-</v>
      </c>
      <c r="Q11" s="37" t="str">
        <f>P11</f>
        <v>-</v>
      </c>
      <c r="R11" s="37" t="str">
        <f t="shared" ref="R11:V11" si="2">Q11</f>
        <v>-</v>
      </c>
      <c r="S11" s="37" t="str">
        <f t="shared" si="2"/>
        <v>-</v>
      </c>
      <c r="T11" s="37" t="str">
        <f t="shared" si="2"/>
        <v>-</v>
      </c>
      <c r="U11" s="37" t="str">
        <f t="shared" si="2"/>
        <v>-</v>
      </c>
      <c r="V11" s="37" t="str">
        <f t="shared" si="2"/>
        <v>-</v>
      </c>
      <c r="W11" s="37" t="str">
        <f>IF(E259="","","-")</f>
        <v>-</v>
      </c>
      <c r="X11" s="38" t="str">
        <f>W11</f>
        <v>-</v>
      </c>
      <c r="Y11" s="38" t="str">
        <f t="shared" ref="Y11:AC11" si="3">X11</f>
        <v>-</v>
      </c>
      <c r="Z11" s="38" t="str">
        <f t="shared" si="3"/>
        <v>-</v>
      </c>
      <c r="AA11" s="38" t="str">
        <f t="shared" si="3"/>
        <v>-</v>
      </c>
      <c r="AB11" s="38" t="str">
        <f t="shared" si="3"/>
        <v>-</v>
      </c>
      <c r="AC11" s="38" t="str">
        <f t="shared" si="3"/>
        <v>-</v>
      </c>
      <c r="AD11" s="39"/>
      <c r="AE11" s="40"/>
      <c r="AF11" s="40"/>
      <c r="AG11" s="40"/>
      <c r="AH11" s="40"/>
      <c r="AI11" s="40"/>
      <c r="AJ11" s="40"/>
      <c r="AK11" s="39"/>
      <c r="AL11" s="40"/>
      <c r="AM11" s="40"/>
      <c r="AN11" s="40"/>
      <c r="AO11" s="40"/>
      <c r="AP11" s="40"/>
      <c r="AQ11" s="40"/>
      <c r="AR11" s="39"/>
      <c r="AS11" s="40"/>
      <c r="AT11" s="35"/>
      <c r="AU11" s="35"/>
      <c r="AV11" s="35"/>
      <c r="AW11" s="35"/>
    </row>
    <row r="12" spans="1:49" ht="15" customHeight="1" x14ac:dyDescent="0.2">
      <c r="A12" s="35"/>
      <c r="B12" s="39"/>
      <c r="C12" s="39"/>
      <c r="D12" s="39"/>
      <c r="E12" s="39"/>
      <c r="F12" s="39"/>
      <c r="G12" s="39"/>
      <c r="H12" s="39"/>
      <c r="I12" s="39"/>
      <c r="J12" s="39"/>
      <c r="K12" s="39"/>
      <c r="L12" s="39"/>
      <c r="M12" s="39"/>
      <c r="N12" s="39"/>
      <c r="O12" s="39"/>
      <c r="P12" s="39"/>
      <c r="Q12" s="39"/>
      <c r="R12" s="39"/>
      <c r="S12" s="39"/>
      <c r="T12" s="39"/>
      <c r="U12" s="39"/>
      <c r="V12" s="39"/>
      <c r="W12" s="39"/>
      <c r="X12" s="40"/>
      <c r="Y12" s="40"/>
      <c r="Z12" s="40"/>
      <c r="AA12" s="40"/>
      <c r="AB12" s="40"/>
      <c r="AC12" s="40"/>
      <c r="AD12" s="39"/>
      <c r="AE12" s="40"/>
      <c r="AF12" s="40"/>
      <c r="AG12" s="40"/>
      <c r="AH12" s="40"/>
      <c r="AI12" s="40"/>
      <c r="AJ12" s="40"/>
      <c r="AK12" s="39"/>
      <c r="AL12" s="40"/>
      <c r="AM12" s="40"/>
      <c r="AN12" s="40"/>
      <c r="AO12" s="40"/>
      <c r="AP12" s="40"/>
      <c r="AQ12" s="40"/>
      <c r="AR12" s="39"/>
      <c r="AS12" s="40"/>
      <c r="AT12" s="35"/>
      <c r="AU12" s="35"/>
      <c r="AV12" s="35"/>
      <c r="AW12" s="35"/>
    </row>
    <row r="13" spans="1:49" ht="15" customHeight="1" x14ac:dyDescent="0.2">
      <c r="A13" s="35"/>
      <c r="B13" s="213" t="str">
        <f>M256</f>
        <v>Stage-Frequency (Composite)</v>
      </c>
      <c r="C13" s="213"/>
      <c r="D13" s="213"/>
      <c r="E13" s="213"/>
      <c r="F13" s="213"/>
      <c r="G13" s="213"/>
      <c r="H13" s="213"/>
      <c r="I13" s="213" t="str">
        <f>M257</f>
        <v>Composite Stage to 100% Reliable Total Outflow</v>
      </c>
      <c r="J13" s="213"/>
      <c r="K13" s="213"/>
      <c r="L13" s="213"/>
      <c r="M13" s="213"/>
      <c r="N13" s="213"/>
      <c r="O13" s="213"/>
      <c r="P13" s="213" t="str">
        <f>M258</f>
        <v>Non-Breach
Life Loss (Composite)</v>
      </c>
      <c r="Q13" s="213"/>
      <c r="R13" s="213"/>
      <c r="S13" s="213"/>
      <c r="T13" s="213"/>
      <c r="U13" s="213"/>
      <c r="V13" s="213"/>
      <c r="W13" s="213" t="str">
        <f>M259</f>
        <v>Non-Breach
Economic Loss</v>
      </c>
      <c r="X13" s="213"/>
      <c r="Y13" s="213"/>
      <c r="Z13" s="213"/>
      <c r="AA13" s="213"/>
      <c r="AB13" s="213"/>
      <c r="AC13" s="213"/>
      <c r="AD13" s="34"/>
      <c r="AE13" s="40"/>
      <c r="AF13" s="40"/>
      <c r="AG13" s="40"/>
      <c r="AH13" s="40"/>
      <c r="AI13" s="40"/>
      <c r="AJ13" s="40"/>
      <c r="AK13" s="34"/>
      <c r="AL13" s="40"/>
      <c r="AM13" s="40"/>
      <c r="AN13" s="40"/>
      <c r="AO13" s="40"/>
      <c r="AP13" s="40"/>
      <c r="AQ13" s="40"/>
      <c r="AR13" s="34"/>
      <c r="AS13" s="40"/>
      <c r="AT13" s="35"/>
      <c r="AU13" s="35"/>
      <c r="AV13" s="35"/>
      <c r="AW13" s="35"/>
    </row>
    <row r="14" spans="1:49" ht="15" customHeight="1" x14ac:dyDescent="0.2">
      <c r="A14" s="35"/>
      <c r="B14" s="213"/>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34"/>
      <c r="AE14" s="40"/>
      <c r="AF14" s="40"/>
      <c r="AG14" s="40"/>
      <c r="AH14" s="40"/>
      <c r="AI14" s="40"/>
      <c r="AJ14" s="40"/>
      <c r="AK14" s="34"/>
      <c r="AL14" s="40"/>
      <c r="AM14" s="40"/>
      <c r="AN14" s="40"/>
      <c r="AO14" s="40"/>
      <c r="AP14" s="40"/>
      <c r="AQ14" s="40"/>
      <c r="AR14" s="34"/>
      <c r="AS14" s="40"/>
      <c r="AT14" s="40"/>
      <c r="AU14" s="40"/>
      <c r="AV14" s="40"/>
      <c r="AW14" s="40"/>
    </row>
    <row r="15" spans="1:49" ht="15" customHeight="1" x14ac:dyDescent="0.2">
      <c r="A15" s="35"/>
      <c r="B15" s="213"/>
      <c r="C15" s="213"/>
      <c r="D15" s="213"/>
      <c r="E15" s="213"/>
      <c r="F15" s="213"/>
      <c r="G15" s="213"/>
      <c r="H15" s="213"/>
      <c r="I15" s="213"/>
      <c r="J15" s="213"/>
      <c r="K15" s="213"/>
      <c r="L15" s="213"/>
      <c r="M15" s="213"/>
      <c r="N15" s="213"/>
      <c r="O15" s="213"/>
      <c r="P15" s="213"/>
      <c r="Q15" s="213"/>
      <c r="R15" s="213"/>
      <c r="S15" s="213"/>
      <c r="T15" s="213"/>
      <c r="U15" s="213"/>
      <c r="V15" s="213"/>
      <c r="W15" s="213"/>
      <c r="X15" s="213"/>
      <c r="Y15" s="213"/>
      <c r="Z15" s="213"/>
      <c r="AA15" s="213"/>
      <c r="AB15" s="213"/>
      <c r="AC15" s="213"/>
      <c r="AD15" s="35"/>
      <c r="AE15" s="35"/>
      <c r="AF15" s="35"/>
      <c r="AG15" s="35"/>
      <c r="AH15" s="35"/>
      <c r="AI15" s="35"/>
      <c r="AJ15" s="35"/>
      <c r="AK15" s="35"/>
      <c r="AL15" s="35"/>
      <c r="AM15" s="35"/>
      <c r="AN15" s="35"/>
      <c r="AO15" s="35"/>
      <c r="AP15" s="35"/>
      <c r="AQ15" s="35"/>
      <c r="AR15" s="35"/>
      <c r="AS15" s="35"/>
      <c r="AT15" s="35"/>
      <c r="AU15" s="35"/>
      <c r="AV15" s="35"/>
      <c r="AW15" s="35"/>
    </row>
    <row r="16" spans="1:49" ht="15" customHeight="1" x14ac:dyDescent="0.2">
      <c r="A16" s="35"/>
      <c r="B16" s="71"/>
      <c r="C16" s="71"/>
      <c r="D16" s="71"/>
      <c r="E16" s="71"/>
      <c r="F16" s="71"/>
      <c r="G16" s="71"/>
      <c r="H16" s="71"/>
      <c r="I16" s="71"/>
      <c r="J16" s="71"/>
      <c r="K16" s="71"/>
      <c r="L16" s="71"/>
      <c r="M16" s="71"/>
      <c r="N16" s="71"/>
      <c r="O16" s="71"/>
      <c r="P16" s="71"/>
      <c r="Q16" s="71"/>
      <c r="R16" s="71"/>
      <c r="S16" s="71"/>
      <c r="T16" s="71"/>
      <c r="U16" s="71"/>
      <c r="V16" s="71"/>
      <c r="W16" s="71"/>
      <c r="X16" s="71"/>
      <c r="Y16" s="71"/>
      <c r="Z16" s="71"/>
      <c r="AA16" s="71"/>
      <c r="AB16" s="71"/>
      <c r="AC16" s="71"/>
      <c r="AD16" s="35"/>
      <c r="AE16" s="35"/>
      <c r="AF16" s="35"/>
      <c r="AG16" s="35"/>
      <c r="AH16" s="35"/>
      <c r="AI16" s="35"/>
      <c r="AJ16" s="35"/>
      <c r="AK16" s="35"/>
      <c r="AL16" s="35"/>
      <c r="AM16" s="35"/>
      <c r="AN16" s="35"/>
      <c r="AO16" s="35"/>
      <c r="AP16" s="35"/>
      <c r="AQ16" s="35"/>
      <c r="AR16" s="35"/>
      <c r="AS16" s="35"/>
      <c r="AT16" s="35"/>
      <c r="AU16" s="35"/>
      <c r="AV16" s="35"/>
      <c r="AW16" s="35"/>
    </row>
    <row r="17" spans="1:49" ht="15" customHeight="1" x14ac:dyDescent="0.2">
      <c r="A17" s="35"/>
      <c r="B17" s="71"/>
      <c r="C17" s="71"/>
      <c r="D17" s="71"/>
      <c r="E17" s="71"/>
      <c r="F17" s="71"/>
      <c r="G17" s="71"/>
      <c r="H17" s="71"/>
      <c r="I17" s="71"/>
      <c r="J17" s="71"/>
      <c r="K17" s="71"/>
      <c r="L17" s="71"/>
      <c r="M17" s="71"/>
      <c r="N17" s="71"/>
      <c r="O17" s="71"/>
      <c r="P17" s="71"/>
      <c r="Q17" s="71"/>
      <c r="R17" s="71"/>
      <c r="S17" s="71"/>
      <c r="T17" s="71"/>
      <c r="U17" s="71"/>
      <c r="V17" s="71"/>
      <c r="W17" s="71"/>
      <c r="X17" s="71"/>
      <c r="Y17" s="71"/>
      <c r="Z17" s="71"/>
      <c r="AA17" s="71"/>
      <c r="AB17" s="71"/>
      <c r="AC17" s="71"/>
      <c r="AD17" s="35"/>
      <c r="AE17" s="35"/>
      <c r="AF17" s="35"/>
      <c r="AG17" s="35"/>
      <c r="AH17" s="35"/>
      <c r="AI17" s="35"/>
      <c r="AJ17" s="35"/>
      <c r="AK17" s="35"/>
      <c r="AL17" s="35"/>
      <c r="AM17" s="35"/>
      <c r="AN17" s="35"/>
      <c r="AO17" s="35"/>
      <c r="AP17" s="35"/>
      <c r="AQ17" s="35"/>
      <c r="AR17" s="35"/>
      <c r="AS17" s="35"/>
      <c r="AT17" s="35"/>
      <c r="AU17" s="35"/>
      <c r="AV17" s="35"/>
      <c r="AW17" s="35"/>
    </row>
    <row r="18" spans="1:49" ht="15" customHeight="1" x14ac:dyDescent="0.2">
      <c r="A18" s="35"/>
      <c r="B18" s="71"/>
      <c r="C18" s="71"/>
      <c r="D18" s="71"/>
      <c r="E18" s="71"/>
      <c r="F18" s="71"/>
      <c r="G18" s="71"/>
      <c r="H18" s="71"/>
      <c r="I18" s="71"/>
      <c r="J18" s="71"/>
      <c r="K18" s="71"/>
      <c r="L18" s="71"/>
      <c r="M18" s="71"/>
      <c r="N18" s="71"/>
      <c r="O18" s="71"/>
      <c r="P18" s="71"/>
      <c r="Q18" s="71"/>
      <c r="R18" s="71"/>
      <c r="S18" s="71"/>
      <c r="T18" s="71"/>
      <c r="U18" s="71"/>
      <c r="V18" s="71"/>
      <c r="W18" s="71"/>
      <c r="X18" s="71"/>
      <c r="Y18" s="71"/>
      <c r="Z18" s="71"/>
      <c r="AA18" s="71"/>
      <c r="AB18" s="71"/>
      <c r="AC18" s="71"/>
      <c r="AD18" s="35"/>
      <c r="AE18" s="35"/>
      <c r="AF18" s="35"/>
      <c r="AG18" s="35"/>
      <c r="AH18" s="35"/>
      <c r="AI18" s="35"/>
      <c r="AJ18" s="35"/>
      <c r="AK18" s="35"/>
      <c r="AL18" s="35"/>
      <c r="AM18" s="35"/>
      <c r="AN18" s="35"/>
      <c r="AO18" s="35"/>
      <c r="AP18" s="35"/>
      <c r="AQ18" s="35"/>
      <c r="AR18" s="35"/>
      <c r="AS18" s="35"/>
      <c r="AT18" s="35"/>
      <c r="AU18" s="35"/>
      <c r="AV18" s="35"/>
      <c r="AW18" s="35"/>
    </row>
    <row r="19" spans="1:49" ht="15" customHeight="1" x14ac:dyDescent="0.2">
      <c r="A19" s="35"/>
      <c r="B19" s="71"/>
      <c r="C19" s="71"/>
      <c r="D19" s="71"/>
      <c r="E19" s="71"/>
      <c r="F19" s="71"/>
      <c r="G19" s="71"/>
      <c r="H19" s="71"/>
      <c r="I19" s="71"/>
      <c r="J19" s="71"/>
      <c r="K19" s="71"/>
      <c r="L19" s="71"/>
      <c r="M19" s="71"/>
      <c r="N19" s="71"/>
      <c r="O19" s="71"/>
      <c r="P19" s="71"/>
      <c r="Q19" s="71"/>
      <c r="R19" s="71"/>
      <c r="S19" s="71"/>
      <c r="T19" s="71"/>
      <c r="U19" s="71"/>
      <c r="V19" s="71"/>
      <c r="W19" s="71"/>
      <c r="X19" s="71"/>
      <c r="Y19" s="71"/>
      <c r="Z19" s="71"/>
      <c r="AA19" s="71"/>
      <c r="AB19" s="71"/>
      <c r="AC19" s="71"/>
      <c r="AD19" s="35"/>
      <c r="AE19" s="35"/>
      <c r="AF19" s="35"/>
      <c r="AG19" s="35"/>
      <c r="AH19" s="35"/>
      <c r="AI19" s="35"/>
      <c r="AJ19" s="35"/>
      <c r="AK19" s="35"/>
      <c r="AL19" s="35"/>
      <c r="AM19" s="35"/>
      <c r="AN19" s="35"/>
      <c r="AO19" s="35"/>
      <c r="AP19" s="35"/>
      <c r="AQ19" s="35"/>
      <c r="AR19" s="35"/>
      <c r="AS19" s="35"/>
      <c r="AT19" s="35"/>
      <c r="AU19" s="35"/>
      <c r="AV19" s="35"/>
      <c r="AW19" s="35"/>
    </row>
    <row r="20" spans="1:49" ht="15" customHeight="1" x14ac:dyDescent="0.2">
      <c r="A20" s="35"/>
      <c r="B20" s="71"/>
      <c r="C20" s="71"/>
      <c r="D20" s="71"/>
      <c r="E20" s="71"/>
      <c r="F20" s="71"/>
      <c r="G20" s="71"/>
      <c r="H20" s="71"/>
      <c r="I20" s="71"/>
      <c r="J20" s="71"/>
      <c r="K20" s="71"/>
      <c r="L20" s="71"/>
      <c r="M20" s="71"/>
      <c r="N20" s="71"/>
      <c r="O20" s="71"/>
      <c r="P20" s="71"/>
      <c r="Q20" s="71"/>
      <c r="R20" s="71"/>
      <c r="S20" s="71"/>
      <c r="T20" s="71"/>
      <c r="U20" s="71"/>
      <c r="V20" s="71"/>
      <c r="W20" s="71"/>
      <c r="X20" s="71"/>
      <c r="Y20" s="71"/>
      <c r="Z20" s="71"/>
      <c r="AA20" s="71"/>
      <c r="AB20" s="71"/>
      <c r="AC20" s="71"/>
      <c r="AD20" s="35"/>
      <c r="AE20" s="35"/>
      <c r="AF20" s="35"/>
      <c r="AG20" s="35"/>
      <c r="AH20" s="35"/>
      <c r="AI20" s="35"/>
      <c r="AJ20" s="35"/>
      <c r="AK20" s="35"/>
      <c r="AL20" s="35"/>
      <c r="AM20" s="35"/>
      <c r="AN20" s="35"/>
      <c r="AO20" s="35"/>
      <c r="AP20" s="35"/>
      <c r="AQ20" s="35"/>
      <c r="AR20" s="35"/>
      <c r="AS20" s="35"/>
      <c r="AT20" s="35"/>
      <c r="AU20" s="35"/>
      <c r="AV20" s="35"/>
      <c r="AW20" s="35"/>
    </row>
    <row r="21" spans="1:49" ht="15" customHeight="1" x14ac:dyDescent="0.2">
      <c r="A21" s="35"/>
      <c r="B21" s="71"/>
      <c r="C21" s="71"/>
      <c r="D21" s="71"/>
      <c r="E21" s="71"/>
      <c r="F21" s="71"/>
      <c r="G21" s="71"/>
      <c r="H21" s="71"/>
      <c r="I21" s="71"/>
      <c r="J21" s="71"/>
      <c r="K21" s="71"/>
      <c r="L21" s="71"/>
      <c r="M21" s="71"/>
      <c r="N21" s="71"/>
      <c r="O21" s="71"/>
      <c r="P21" s="71"/>
      <c r="Q21" s="71"/>
      <c r="R21" s="71"/>
      <c r="S21" s="71"/>
      <c r="T21" s="71"/>
      <c r="U21" s="71"/>
      <c r="V21" s="71"/>
      <c r="W21" s="71"/>
      <c r="X21" s="71"/>
      <c r="Y21" s="71"/>
      <c r="Z21" s="71"/>
      <c r="AA21" s="71"/>
      <c r="AB21" s="71"/>
      <c r="AC21" s="71"/>
      <c r="AD21" s="35"/>
      <c r="AE21" s="35"/>
      <c r="AF21" s="35"/>
      <c r="AG21" s="35"/>
      <c r="AH21" s="35"/>
      <c r="AI21" s="35"/>
      <c r="AJ21" s="35"/>
      <c r="AK21" s="35"/>
      <c r="AL21" s="35"/>
      <c r="AM21" s="35"/>
      <c r="AN21" s="35"/>
      <c r="AO21" s="35"/>
      <c r="AP21" s="35"/>
      <c r="AQ21" s="35"/>
      <c r="AR21" s="35"/>
      <c r="AS21" s="35"/>
      <c r="AT21" s="35"/>
      <c r="AU21" s="35"/>
      <c r="AV21" s="35"/>
      <c r="AW21" s="35"/>
    </row>
    <row r="22" spans="1:49" ht="15" customHeight="1" x14ac:dyDescent="0.2">
      <c r="A22" s="35"/>
      <c r="B22" s="71"/>
      <c r="C22" s="71"/>
      <c r="D22" s="71"/>
      <c r="E22" s="71"/>
      <c r="F22" s="71"/>
      <c r="G22" s="71"/>
      <c r="H22" s="71"/>
      <c r="I22" s="71"/>
      <c r="J22" s="71"/>
      <c r="K22" s="71"/>
      <c r="L22" s="71"/>
      <c r="M22" s="71"/>
      <c r="N22" s="71"/>
      <c r="O22" s="71"/>
      <c r="P22" s="71"/>
      <c r="Q22" s="71"/>
      <c r="R22" s="71"/>
      <c r="S22" s="71"/>
      <c r="T22" s="71"/>
      <c r="U22" s="71"/>
      <c r="V22" s="71"/>
      <c r="W22" s="71"/>
      <c r="X22" s="71"/>
      <c r="Y22" s="71"/>
      <c r="Z22" s="71"/>
      <c r="AA22" s="71"/>
      <c r="AB22" s="71"/>
      <c r="AC22" s="71"/>
      <c r="AD22" s="35"/>
      <c r="AE22" s="35"/>
      <c r="AF22" s="35"/>
      <c r="AG22" s="35"/>
      <c r="AH22" s="35"/>
      <c r="AI22" s="35"/>
      <c r="AJ22" s="35"/>
      <c r="AK22" s="35"/>
      <c r="AL22" s="35"/>
      <c r="AM22" s="35"/>
      <c r="AN22" s="35"/>
      <c r="AO22" s="35"/>
      <c r="AP22" s="35"/>
      <c r="AQ22" s="35"/>
      <c r="AR22" s="35"/>
      <c r="AS22" s="35"/>
      <c r="AT22" s="35"/>
      <c r="AU22" s="35"/>
      <c r="AV22" s="35"/>
      <c r="AW22" s="35"/>
    </row>
    <row r="23" spans="1:49" ht="15" customHeight="1" x14ac:dyDescent="0.2">
      <c r="A23" s="35"/>
      <c r="B23" s="71"/>
      <c r="C23" s="71"/>
      <c r="D23" s="71"/>
      <c r="E23" s="71"/>
      <c r="F23" s="71"/>
      <c r="G23" s="71"/>
      <c r="H23" s="71"/>
      <c r="I23" s="71"/>
      <c r="J23" s="71"/>
      <c r="K23" s="71"/>
      <c r="L23" s="71"/>
      <c r="M23" s="71"/>
      <c r="N23" s="71"/>
      <c r="O23" s="71"/>
      <c r="P23" s="71"/>
      <c r="Q23" s="71"/>
      <c r="R23" s="71"/>
      <c r="S23" s="71"/>
      <c r="T23" s="71"/>
      <c r="U23" s="71"/>
      <c r="V23" s="71"/>
      <c r="W23" s="71"/>
      <c r="X23" s="71"/>
      <c r="Y23" s="71"/>
      <c r="Z23" s="71"/>
      <c r="AA23" s="71"/>
      <c r="AB23" s="71"/>
      <c r="AC23" s="71"/>
      <c r="AD23" s="35"/>
      <c r="AE23" s="35"/>
      <c r="AF23" s="35"/>
      <c r="AG23" s="35"/>
      <c r="AH23" s="35"/>
      <c r="AI23" s="35"/>
      <c r="AJ23" s="35"/>
      <c r="AK23" s="35"/>
      <c r="AL23" s="35"/>
      <c r="AM23" s="35"/>
      <c r="AN23" s="35"/>
      <c r="AO23" s="35"/>
      <c r="AP23" s="35"/>
      <c r="AQ23" s="35"/>
      <c r="AR23" s="35"/>
      <c r="AS23" s="35"/>
      <c r="AT23" s="35"/>
      <c r="AU23" s="35"/>
      <c r="AV23" s="35"/>
      <c r="AW23" s="35"/>
    </row>
    <row r="24" spans="1:49" ht="15" customHeight="1" x14ac:dyDescent="0.2">
      <c r="A24" s="35"/>
      <c r="B24" s="71"/>
      <c r="C24" s="71"/>
      <c r="D24" s="71"/>
      <c r="E24" s="71"/>
      <c r="F24" s="71"/>
      <c r="G24" s="71"/>
      <c r="H24" s="71"/>
      <c r="I24" s="71"/>
      <c r="J24" s="71"/>
      <c r="K24" s="71"/>
      <c r="L24" s="71"/>
      <c r="M24" s="71"/>
      <c r="N24" s="71"/>
      <c r="O24" s="71"/>
      <c r="P24" s="71"/>
      <c r="Q24" s="71"/>
      <c r="R24" s="71"/>
      <c r="S24" s="71"/>
      <c r="T24" s="71"/>
      <c r="U24" s="71"/>
      <c r="V24" s="71"/>
      <c r="W24" s="71"/>
      <c r="X24" s="71"/>
      <c r="Y24" s="71"/>
      <c r="Z24" s="71"/>
      <c r="AA24" s="71"/>
      <c r="AB24" s="71"/>
      <c r="AC24" s="71"/>
      <c r="AD24" s="35"/>
      <c r="AE24" s="35"/>
      <c r="AF24" s="35"/>
      <c r="AG24" s="35"/>
      <c r="AH24" s="35"/>
      <c r="AI24" s="35"/>
      <c r="AJ24" s="35"/>
      <c r="AK24" s="35"/>
      <c r="AL24" s="35"/>
      <c r="AM24" s="35"/>
      <c r="AN24" s="35"/>
      <c r="AO24" s="35"/>
      <c r="AP24" s="35"/>
      <c r="AQ24" s="35"/>
      <c r="AR24" s="35"/>
      <c r="AS24" s="35"/>
      <c r="AT24" s="35"/>
      <c r="AU24" s="35"/>
      <c r="AV24" s="35"/>
      <c r="AW24" s="35"/>
    </row>
    <row r="25" spans="1:49" ht="15" customHeight="1" x14ac:dyDescent="0.2">
      <c r="A25" s="35"/>
      <c r="B25" s="71"/>
      <c r="C25" s="71"/>
      <c r="D25" s="71"/>
      <c r="E25" s="71"/>
      <c r="F25" s="71"/>
      <c r="G25" s="71"/>
      <c r="H25" s="71"/>
      <c r="I25" s="71"/>
      <c r="J25" s="71"/>
      <c r="K25" s="71"/>
      <c r="L25" s="71"/>
      <c r="M25" s="71"/>
      <c r="N25" s="71"/>
      <c r="O25" s="71"/>
      <c r="P25" s="71"/>
      <c r="Q25" s="71"/>
      <c r="R25" s="71"/>
      <c r="S25" s="71"/>
      <c r="T25" s="71"/>
      <c r="U25" s="71"/>
      <c r="V25" s="71"/>
      <c r="W25" s="71"/>
      <c r="X25" s="71"/>
      <c r="Y25" s="71"/>
      <c r="Z25" s="71"/>
      <c r="AA25" s="71"/>
      <c r="AB25" s="71"/>
      <c r="AC25" s="71"/>
      <c r="AD25" s="35"/>
      <c r="AE25" s="35"/>
      <c r="AF25" s="35"/>
      <c r="AG25" s="35"/>
      <c r="AH25" s="35"/>
      <c r="AI25" s="35"/>
      <c r="AJ25" s="35"/>
      <c r="AK25" s="35"/>
      <c r="AL25" s="35"/>
      <c r="AM25" s="35"/>
      <c r="AN25" s="35"/>
      <c r="AO25" s="35"/>
      <c r="AP25" s="35"/>
      <c r="AQ25" s="35"/>
      <c r="AR25" s="35"/>
      <c r="AS25" s="35"/>
      <c r="AT25" s="35"/>
      <c r="AU25" s="35"/>
      <c r="AV25" s="35"/>
      <c r="AW25" s="35"/>
    </row>
    <row r="26" spans="1:49" ht="15" customHeight="1" x14ac:dyDescent="0.2">
      <c r="A26" s="35"/>
      <c r="B26" s="71"/>
      <c r="C26" s="71"/>
      <c r="D26" s="71"/>
      <c r="E26" s="71"/>
      <c r="F26" s="71"/>
      <c r="G26" s="71"/>
      <c r="H26" s="71"/>
      <c r="I26" s="71"/>
      <c r="J26" s="71"/>
      <c r="K26" s="71"/>
      <c r="L26" s="71"/>
      <c r="M26" s="71"/>
      <c r="N26" s="71"/>
      <c r="O26" s="71"/>
      <c r="P26" s="71"/>
      <c r="Q26" s="71"/>
      <c r="R26" s="71"/>
      <c r="S26" s="71"/>
      <c r="T26" s="71"/>
      <c r="U26" s="71"/>
      <c r="V26" s="71"/>
      <c r="W26" s="71"/>
      <c r="X26" s="71"/>
      <c r="Y26" s="71"/>
      <c r="Z26" s="71"/>
      <c r="AA26" s="71"/>
      <c r="AB26" s="71"/>
      <c r="AC26" s="71"/>
      <c r="AD26" s="35"/>
      <c r="AE26" s="35"/>
      <c r="AF26" s="35"/>
      <c r="AG26" s="35"/>
      <c r="AH26" s="35"/>
      <c r="AI26" s="35"/>
      <c r="AJ26" s="35"/>
      <c r="AK26" s="35"/>
      <c r="AL26" s="35"/>
      <c r="AM26" s="35"/>
      <c r="AN26" s="35"/>
      <c r="AO26" s="35"/>
      <c r="AP26" s="35"/>
      <c r="AQ26" s="35"/>
      <c r="AR26" s="35"/>
      <c r="AS26" s="35"/>
      <c r="AT26" s="35"/>
      <c r="AU26" s="35"/>
      <c r="AV26" s="35"/>
      <c r="AW26" s="35"/>
    </row>
    <row r="27" spans="1:49" ht="15" customHeight="1" x14ac:dyDescent="0.2">
      <c r="A27" s="35"/>
      <c r="B27" s="35"/>
      <c r="C27" s="35"/>
      <c r="D27" s="35"/>
      <c r="E27" s="35"/>
      <c r="F27" s="35"/>
      <c r="G27" s="35"/>
      <c r="H27" s="35"/>
      <c r="I27" s="35"/>
      <c r="J27" s="35"/>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35"/>
      <c r="AS27" s="35"/>
      <c r="AT27" s="35"/>
      <c r="AU27" s="35"/>
      <c r="AV27" s="35"/>
      <c r="AW27" s="35"/>
    </row>
    <row r="28" spans="1:49" ht="15" customHeight="1" x14ac:dyDescent="0.2">
      <c r="A28" s="35"/>
      <c r="B28" s="35"/>
      <c r="C28" s="35"/>
      <c r="D28" s="35"/>
      <c r="E28" s="35"/>
      <c r="F28" s="35"/>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row>
    <row r="29" spans="1:49" ht="15" customHeight="1" x14ac:dyDescent="0.2">
      <c r="A29" s="35"/>
      <c r="B29" s="35"/>
      <c r="C29" s="35"/>
      <c r="D29" s="35"/>
      <c r="E29" s="35"/>
      <c r="F29" s="35"/>
      <c r="G29" s="35"/>
      <c r="H29" s="35"/>
      <c r="I29" s="35"/>
      <c r="J29" s="35"/>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35"/>
      <c r="AO29" s="35"/>
      <c r="AP29" s="35"/>
      <c r="AQ29" s="35"/>
      <c r="AR29" s="35"/>
      <c r="AS29" s="35"/>
      <c r="AT29" s="35"/>
      <c r="AU29" s="35"/>
      <c r="AV29" s="35"/>
      <c r="AW29" s="35"/>
    </row>
    <row r="30" spans="1:49" ht="15" customHeight="1" x14ac:dyDescent="0.2">
      <c r="A30" s="35"/>
      <c r="B30" s="35"/>
      <c r="C30" s="35"/>
      <c r="D30" s="35"/>
      <c r="E30" s="35"/>
      <c r="F30" s="35"/>
      <c r="G30" s="35"/>
      <c r="H30" s="35"/>
      <c r="I30" s="35"/>
      <c r="J30" s="35"/>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row>
    <row r="31" spans="1:49" ht="15" customHeight="1" x14ac:dyDescent="0.2">
      <c r="A31" s="35"/>
      <c r="B31" s="35"/>
      <c r="C31" s="35"/>
      <c r="D31" s="35"/>
      <c r="E31" s="35"/>
      <c r="F31" s="35"/>
      <c r="G31" s="35"/>
      <c r="H31" s="35"/>
      <c r="I31" s="35"/>
      <c r="J31" s="35"/>
      <c r="K31" s="35"/>
      <c r="L31" s="35"/>
      <c r="M31" s="35"/>
      <c r="N31" s="35"/>
      <c r="O31" s="35"/>
      <c r="P31" s="35"/>
      <c r="Q31" s="35"/>
      <c r="R31" s="35"/>
      <c r="S31" s="35"/>
      <c r="T31" s="35"/>
      <c r="U31" s="35"/>
      <c r="V31" s="35"/>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row>
    <row r="32" spans="1:49" ht="15" customHeight="1" x14ac:dyDescent="0.2">
      <c r="A32" s="35"/>
      <c r="B32" s="36" t="s">
        <v>150</v>
      </c>
      <c r="C32" s="36"/>
      <c r="D32" s="36"/>
      <c r="E32" s="36"/>
      <c r="F32" s="36"/>
      <c r="G32" s="36"/>
      <c r="H32" s="36"/>
      <c r="I32" s="36"/>
      <c r="J32" s="36"/>
      <c r="K32" s="35"/>
      <c r="L32" s="35"/>
      <c r="M32" s="35"/>
      <c r="N32" s="35"/>
      <c r="O32" s="35"/>
      <c r="P32" s="35"/>
      <c r="Q32" s="35"/>
      <c r="R32" s="35"/>
      <c r="S32" s="35"/>
      <c r="T32" s="35"/>
      <c r="U32" s="35"/>
      <c r="V32" s="35"/>
      <c r="W32" s="35"/>
      <c r="X32" s="35"/>
      <c r="Y32" s="35"/>
      <c r="Z32" s="35"/>
      <c r="AA32" s="35"/>
      <c r="AB32" s="35"/>
      <c r="AC32" s="35"/>
      <c r="AD32" s="35"/>
      <c r="AE32" s="35"/>
      <c r="AF32" s="35"/>
      <c r="AG32" s="35"/>
      <c r="AH32" s="35"/>
      <c r="AI32" s="35"/>
      <c r="AJ32" s="35"/>
      <c r="AK32" s="35"/>
      <c r="AL32" s="35"/>
      <c r="AM32" s="35"/>
      <c r="AN32" s="35"/>
      <c r="AO32" s="35"/>
      <c r="AP32" s="35"/>
      <c r="AQ32" s="35"/>
      <c r="AR32" s="35"/>
      <c r="AS32" s="35"/>
      <c r="AT32" s="35"/>
      <c r="AU32" s="35"/>
      <c r="AV32" s="35"/>
      <c r="AW32" s="35"/>
    </row>
    <row r="33" spans="1:49" ht="15" customHeight="1" x14ac:dyDescent="0.2">
      <c r="A33" s="35"/>
      <c r="B33" s="36"/>
      <c r="C33" s="36"/>
      <c r="D33" s="36"/>
      <c r="E33" s="36"/>
      <c r="F33" s="36"/>
      <c r="G33" s="36"/>
      <c r="H33" s="36"/>
      <c r="I33" s="36"/>
      <c r="J33" s="36"/>
      <c r="K33" s="35"/>
      <c r="L33" s="35"/>
      <c r="M33" s="35"/>
      <c r="N33" s="35"/>
      <c r="O33" s="35"/>
      <c r="P33" s="35"/>
      <c r="Q33" s="35"/>
      <c r="R33" s="35"/>
      <c r="S33" s="35"/>
      <c r="T33" s="35"/>
      <c r="U33" s="35"/>
      <c r="V33" s="35"/>
      <c r="W33" s="35"/>
      <c r="X33" s="35"/>
      <c r="Y33" s="35"/>
      <c r="Z33" s="35"/>
      <c r="AA33" s="35"/>
      <c r="AB33" s="35"/>
      <c r="AC33" s="35"/>
      <c r="AD33" s="35"/>
      <c r="AE33" s="35"/>
      <c r="AF33" s="35"/>
      <c r="AG33" s="35"/>
      <c r="AH33" s="35"/>
      <c r="AI33" s="35"/>
      <c r="AJ33" s="35"/>
      <c r="AK33" s="35"/>
      <c r="AL33" s="35"/>
      <c r="AM33" s="35"/>
      <c r="AN33" s="35"/>
      <c r="AO33" s="35"/>
      <c r="AP33" s="35"/>
      <c r="AQ33" s="35"/>
      <c r="AR33" s="35"/>
      <c r="AS33" s="35"/>
      <c r="AT33" s="35"/>
      <c r="AU33" s="35"/>
      <c r="AV33" s="35"/>
      <c r="AW33" s="35"/>
    </row>
    <row r="34" spans="1:49" ht="15" customHeight="1" x14ac:dyDescent="0.2">
      <c r="A34" s="41"/>
      <c r="B34" s="212" t="str">
        <f>IF(E105="-","",E105)</f>
        <v>Hazard</v>
      </c>
      <c r="C34" s="212"/>
      <c r="D34" s="212"/>
      <c r="E34" s="212"/>
      <c r="F34" s="212"/>
      <c r="G34" s="212"/>
      <c r="H34" s="212"/>
      <c r="I34" s="212" t="str">
        <f>IF(E106="-","",E106)</f>
        <v>Transform</v>
      </c>
      <c r="J34" s="212"/>
      <c r="K34" s="212"/>
      <c r="L34" s="212"/>
      <c r="M34" s="212"/>
      <c r="N34" s="212"/>
      <c r="O34" s="212"/>
      <c r="P34" s="212" t="str">
        <f>IF(E107="-","",E107)</f>
        <v>System Response</v>
      </c>
      <c r="Q34" s="212"/>
      <c r="R34" s="212"/>
      <c r="S34" s="212"/>
      <c r="T34" s="212"/>
      <c r="U34" s="212"/>
      <c r="V34" s="212"/>
      <c r="W34" s="212" t="str">
        <f>IF(E108="-","",E108)</f>
        <v>Life Loss</v>
      </c>
      <c r="X34" s="212"/>
      <c r="Y34" s="212"/>
      <c r="Z34" s="212"/>
      <c r="AA34" s="212"/>
      <c r="AB34" s="212"/>
      <c r="AC34" s="212"/>
      <c r="AD34" s="212" t="str">
        <f>IF(E109="-","",E109)</f>
        <v>Economic Cost</v>
      </c>
      <c r="AE34" s="212"/>
      <c r="AF34" s="212"/>
      <c r="AG34" s="212"/>
      <c r="AH34" s="212"/>
      <c r="AI34" s="212"/>
      <c r="AJ34" s="212"/>
      <c r="AK34" s="212" t="str">
        <f>IF(E110="-","",E110)</f>
        <v/>
      </c>
      <c r="AL34" s="212"/>
      <c r="AM34" s="212"/>
      <c r="AN34" s="212"/>
      <c r="AO34" s="212"/>
      <c r="AP34" s="212"/>
      <c r="AQ34" s="212"/>
      <c r="AR34" s="212"/>
      <c r="AS34" s="212"/>
      <c r="AT34" s="212"/>
      <c r="AU34" s="212"/>
      <c r="AV34" s="212"/>
      <c r="AW34" s="212"/>
    </row>
    <row r="35" spans="1:49" ht="15" customHeight="1" x14ac:dyDescent="0.2">
      <c r="A35" s="41"/>
      <c r="B35" s="212"/>
      <c r="C35" s="212"/>
      <c r="D35" s="212"/>
      <c r="E35" s="212"/>
      <c r="F35" s="212"/>
      <c r="G35" s="212"/>
      <c r="H35" s="212"/>
      <c r="I35" s="212"/>
      <c r="J35" s="212"/>
      <c r="K35" s="212"/>
      <c r="L35" s="212"/>
      <c r="M35" s="212"/>
      <c r="N35" s="212"/>
      <c r="O35" s="212"/>
      <c r="P35" s="212"/>
      <c r="Q35" s="212"/>
      <c r="R35" s="212"/>
      <c r="S35" s="212"/>
      <c r="T35" s="212"/>
      <c r="U35" s="212"/>
      <c r="V35" s="212"/>
      <c r="W35" s="212"/>
      <c r="X35" s="212"/>
      <c r="Y35" s="212"/>
      <c r="Z35" s="212"/>
      <c r="AA35" s="212"/>
      <c r="AB35" s="212"/>
      <c r="AC35" s="212"/>
      <c r="AD35" s="212"/>
      <c r="AE35" s="212"/>
      <c r="AF35" s="212"/>
      <c r="AG35" s="212"/>
      <c r="AH35" s="212"/>
      <c r="AI35" s="212"/>
      <c r="AJ35" s="212"/>
      <c r="AK35" s="212"/>
      <c r="AL35" s="212"/>
      <c r="AM35" s="212"/>
      <c r="AN35" s="212"/>
      <c r="AO35" s="212"/>
      <c r="AP35" s="212"/>
      <c r="AQ35" s="212"/>
      <c r="AR35" s="212"/>
      <c r="AS35" s="212"/>
      <c r="AT35" s="212"/>
      <c r="AU35" s="212"/>
      <c r="AV35" s="212"/>
      <c r="AW35" s="212"/>
    </row>
    <row r="36" spans="1:49" ht="15" customHeight="1" x14ac:dyDescent="0.2">
      <c r="A36" s="42"/>
      <c r="B36" s="42"/>
      <c r="C36" s="42"/>
      <c r="D36" s="42"/>
      <c r="E36" s="42"/>
      <c r="F36" s="42"/>
      <c r="G36" s="42"/>
      <c r="H36" s="42"/>
      <c r="I36" s="42"/>
      <c r="J36" s="42"/>
      <c r="K36" s="42"/>
      <c r="L36" s="42"/>
      <c r="M36" s="42"/>
      <c r="N36" s="43"/>
      <c r="O36" s="43"/>
      <c r="P36" s="43"/>
      <c r="Q36" s="43"/>
      <c r="R36" s="43"/>
      <c r="S36" s="43"/>
      <c r="T36" s="43"/>
      <c r="U36" s="43"/>
      <c r="V36" s="43"/>
      <c r="W36" s="43"/>
      <c r="X36" s="43"/>
      <c r="Y36" s="42"/>
      <c r="Z36" s="42"/>
      <c r="AA36" s="42"/>
      <c r="AB36" s="42"/>
      <c r="AC36" s="42"/>
      <c r="AD36" s="42"/>
      <c r="AE36" s="42"/>
      <c r="AF36" s="42"/>
      <c r="AG36" s="42"/>
      <c r="AH36" s="42"/>
      <c r="AI36" s="42"/>
      <c r="AJ36" s="42"/>
      <c r="AK36" s="42"/>
      <c r="AL36" s="42"/>
      <c r="AM36" s="42"/>
      <c r="AN36" s="42"/>
      <c r="AO36" s="42"/>
      <c r="AP36" s="42"/>
      <c r="AQ36" s="42"/>
      <c r="AR36" s="42"/>
      <c r="AS36" s="42"/>
      <c r="AT36" s="42"/>
      <c r="AU36" s="42"/>
      <c r="AV36" s="42"/>
      <c r="AW36" s="42"/>
    </row>
    <row r="37" spans="1:49" ht="15" customHeight="1" x14ac:dyDescent="0.2">
      <c r="A37" s="42"/>
      <c r="B37" s="44" t="str" cm="1">
        <f t="array" aca="1" ref="B37" ca="1">IF(ISNUMBER(INDIRECT(_xlfn.CONCAT($B115,B$114))),"-","")</f>
        <v>-</v>
      </c>
      <c r="C37" s="41" t="str">
        <f ca="1">B37</f>
        <v>-</v>
      </c>
      <c r="D37" s="41" t="str">
        <f t="shared" ref="D37:H37" ca="1" si="4">C37</f>
        <v>-</v>
      </c>
      <c r="E37" s="41" t="str">
        <f t="shared" ca="1" si="4"/>
        <v>-</v>
      </c>
      <c r="F37" s="41" t="str">
        <f t="shared" ca="1" si="4"/>
        <v>-</v>
      </c>
      <c r="G37" s="41" t="str">
        <f t="shared" ca="1" si="4"/>
        <v>-</v>
      </c>
      <c r="H37" s="41" t="str">
        <f t="shared" ca="1" si="4"/>
        <v>-</v>
      </c>
      <c r="I37" s="44" t="str" cm="1">
        <f t="array" aca="1" ref="I37" ca="1">IF(ISNUMBER(INDIRECT(_xlfn.CONCAT($B115,C$114))),"-","")</f>
        <v>-</v>
      </c>
      <c r="J37" s="41" t="str">
        <f ca="1">I37</f>
        <v>-</v>
      </c>
      <c r="K37" s="41" t="str">
        <f t="shared" ref="K37:O37" ca="1" si="5">J37</f>
        <v>-</v>
      </c>
      <c r="L37" s="41" t="str">
        <f t="shared" ca="1" si="5"/>
        <v>-</v>
      </c>
      <c r="M37" s="41" t="str">
        <f t="shared" ca="1" si="5"/>
        <v>-</v>
      </c>
      <c r="N37" s="41" t="str">
        <f t="shared" ca="1" si="5"/>
        <v>-</v>
      </c>
      <c r="O37" s="41" t="str">
        <f t="shared" ca="1" si="5"/>
        <v>-</v>
      </c>
      <c r="P37" s="44" t="str" cm="1">
        <f t="array" aca="1" ref="P37" ca="1">IF(ISNUMBER(INDIRECT(_xlfn.CONCAT($B115,D$114))),"-","")</f>
        <v>-</v>
      </c>
      <c r="Q37" s="41" t="str">
        <f ca="1">P37</f>
        <v>-</v>
      </c>
      <c r="R37" s="41" t="str">
        <f t="shared" ref="R37:V37" ca="1" si="6">Q37</f>
        <v>-</v>
      </c>
      <c r="S37" s="41" t="str">
        <f t="shared" ca="1" si="6"/>
        <v>-</v>
      </c>
      <c r="T37" s="41" t="str">
        <f t="shared" ca="1" si="6"/>
        <v>-</v>
      </c>
      <c r="U37" s="41" t="str">
        <f t="shared" ca="1" si="6"/>
        <v>-</v>
      </c>
      <c r="V37" s="41" t="str">
        <f t="shared" ca="1" si="6"/>
        <v>-</v>
      </c>
      <c r="W37" s="44" t="str" cm="1">
        <f t="array" aca="1" ref="W37" ca="1">IF(ISNUMBER(INDIRECT(_xlfn.CONCAT($B115,E$114))),"-","")</f>
        <v>-</v>
      </c>
      <c r="X37" s="41" t="str">
        <f ca="1">W37</f>
        <v>-</v>
      </c>
      <c r="Y37" s="41" t="str">
        <f t="shared" ref="Y37:AC37" ca="1" si="7">X37</f>
        <v>-</v>
      </c>
      <c r="Z37" s="41" t="str">
        <f t="shared" ca="1" si="7"/>
        <v>-</v>
      </c>
      <c r="AA37" s="41" t="str">
        <f t="shared" ca="1" si="7"/>
        <v>-</v>
      </c>
      <c r="AB37" s="41" t="str">
        <f t="shared" ca="1" si="7"/>
        <v>-</v>
      </c>
      <c r="AC37" s="41" t="str">
        <f t="shared" ca="1" si="7"/>
        <v>-</v>
      </c>
      <c r="AD37" s="44" t="str" cm="1">
        <f t="array" aca="1" ref="AD37" ca="1">IF(ISNUMBER(INDIRECT(_xlfn.CONCAT($B115,F$114))),"-","")</f>
        <v>-</v>
      </c>
      <c r="AE37" s="41" t="str">
        <f ca="1">AD37</f>
        <v>-</v>
      </c>
      <c r="AF37" s="41" t="str">
        <f t="shared" ref="AF37:AJ37" ca="1" si="8">AE37</f>
        <v>-</v>
      </c>
      <c r="AG37" s="41" t="str">
        <f t="shared" ca="1" si="8"/>
        <v>-</v>
      </c>
      <c r="AH37" s="41" t="str">
        <f t="shared" ca="1" si="8"/>
        <v>-</v>
      </c>
      <c r="AI37" s="41" t="str">
        <f t="shared" ca="1" si="8"/>
        <v>-</v>
      </c>
      <c r="AJ37" s="41" t="str">
        <f t="shared" ca="1" si="8"/>
        <v>-</v>
      </c>
      <c r="AK37" s="44" t="str" cm="1">
        <f t="array" aca="1" ref="AK37" ca="1">IF(ISNUMBER(INDIRECT(_xlfn.CONCAT($B115,G$114))),"-","")</f>
        <v/>
      </c>
      <c r="AL37" s="41" t="str">
        <f ca="1">AK37</f>
        <v/>
      </c>
      <c r="AM37" s="41" t="str">
        <f t="shared" ref="AM37:AQ37" ca="1" si="9">AL37</f>
        <v/>
      </c>
      <c r="AN37" s="41" t="str">
        <f t="shared" ca="1" si="9"/>
        <v/>
      </c>
      <c r="AO37" s="41" t="str">
        <f t="shared" ca="1" si="9"/>
        <v/>
      </c>
      <c r="AP37" s="41" t="str">
        <f t="shared" ca="1" si="9"/>
        <v/>
      </c>
      <c r="AQ37" s="41" t="str">
        <f t="shared" ca="1" si="9"/>
        <v/>
      </c>
      <c r="AR37" s="44"/>
      <c r="AS37" s="41"/>
      <c r="AT37" s="41"/>
      <c r="AU37" s="41"/>
      <c r="AV37" s="41"/>
      <c r="AW37" s="41"/>
    </row>
    <row r="38" spans="1:49" ht="15" customHeight="1" x14ac:dyDescent="0.2">
      <c r="A38" s="42"/>
      <c r="B38" s="45" t="str" cm="1">
        <f t="array" aca="1" ref="B38" ca="1">IF(ISBLANK(INDIRECT(_xlfn.CONCAT($B140,B$139))),"",INDIRECT(_xlfn.CONCAT($B140,B$139)))</f>
        <v/>
      </c>
      <c r="C38" s="46"/>
      <c r="D38" s="46"/>
      <c r="E38" s="46"/>
      <c r="F38" s="46"/>
      <c r="G38" s="46"/>
      <c r="H38" s="46"/>
      <c r="I38" s="45" t="str" cm="1">
        <f t="array" aca="1" ref="I38" ca="1">IF(ISBLANK(INDIRECT(_xlfn.CONCAT($B140,C$139))),"",INDIRECT(_xlfn.CONCAT($B140,C$139)))</f>
        <v>-</v>
      </c>
      <c r="J38" s="46"/>
      <c r="K38" s="46"/>
      <c r="L38" s="46"/>
      <c r="M38" s="46"/>
      <c r="N38" s="46"/>
      <c r="O38" s="46"/>
      <c r="P38" s="45" t="str" cm="1">
        <f t="array" aca="1" ref="P38" ca="1">IF(ISBLANK(INDIRECT(_xlfn.CONCAT($B140,D$139))),"",INDIRECT(_xlfn.CONCAT($B140,D$139)))</f>
        <v/>
      </c>
      <c r="Q38" s="46"/>
      <c r="R38" s="46"/>
      <c r="S38" s="46"/>
      <c r="T38" s="46"/>
      <c r="U38" s="46"/>
      <c r="V38" s="46"/>
      <c r="W38" s="45" t="str" cm="1">
        <f t="array" aca="1" ref="W38" ca="1">IF(ISBLANK(INDIRECT(_xlfn.CONCAT($B140,E$139))),"",INDIRECT(_xlfn.CONCAT($B140,E$139)))</f>
        <v/>
      </c>
      <c r="X38" s="46"/>
      <c r="Y38" s="46"/>
      <c r="Z38" s="46"/>
      <c r="AA38" s="46"/>
      <c r="AB38" s="46"/>
      <c r="AC38" s="46"/>
      <c r="AD38" s="45" t="str" cm="1">
        <f t="array" aca="1" ref="AD38" ca="1">IF(ISBLANK(INDIRECT(_xlfn.CONCAT($B140,F$139))),"",INDIRECT(_xlfn.CONCAT($B140,F$139)))</f>
        <v/>
      </c>
      <c r="AE38" s="46"/>
      <c r="AF38" s="46"/>
      <c r="AG38" s="46"/>
      <c r="AH38" s="46"/>
      <c r="AI38" s="46"/>
      <c r="AJ38" s="46"/>
      <c r="AK38" s="45" t="str" cm="1">
        <f t="array" aca="1" ref="AK38" ca="1">IF(ISBLANK(INDIRECT(_xlfn.CONCAT($B140,G$139))),"",INDIRECT(_xlfn.CONCAT($B140,G$139)))</f>
        <v/>
      </c>
      <c r="AL38" s="46"/>
      <c r="AM38" s="46"/>
      <c r="AN38" s="46"/>
      <c r="AO38" s="46"/>
      <c r="AP38" s="46"/>
      <c r="AQ38" s="46"/>
      <c r="AR38" s="45"/>
      <c r="AS38" s="46"/>
      <c r="AT38" s="46"/>
      <c r="AU38" s="46"/>
      <c r="AV38" s="46"/>
      <c r="AW38" s="46"/>
    </row>
    <row r="39" spans="1:49" ht="15" customHeight="1" x14ac:dyDescent="0.2">
      <c r="A39" s="42"/>
      <c r="B39" s="213" t="str" cm="1">
        <f t="array" ref="B39">IF(INDEX($U$177:$AI$182,B$186,$B187)="-","",INDEX($U$177:$AI$182,B$186,$B187))</f>
        <v>Stage-Frequency (Composite)</v>
      </c>
      <c r="C39" s="213"/>
      <c r="D39" s="213"/>
      <c r="E39" s="213"/>
      <c r="F39" s="213"/>
      <c r="G39" s="213"/>
      <c r="H39" s="213"/>
      <c r="I39" s="213" t="str" cm="1">
        <f t="array" ref="I39">IF(INDEX($U$177:$AI$182,C$186,$B187)="-","",INDEX($U$177:$AI$182,C$186,$B187))</f>
        <v>None</v>
      </c>
      <c r="J39" s="213"/>
      <c r="K39" s="213"/>
      <c r="L39" s="213"/>
      <c r="M39" s="213"/>
      <c r="N39" s="213"/>
      <c r="O39" s="213"/>
      <c r="P39" s="213" t="str" cm="1">
        <f t="array" ref="P39">IF(INDEX($U$177:$AI$182,D$186,$B187)="-","",INDEX($U$177:$AI$182,D$186,$B187))</f>
        <v>Non-Fail</v>
      </c>
      <c r="Q39" s="213"/>
      <c r="R39" s="213"/>
      <c r="S39" s="213"/>
      <c r="T39" s="213"/>
      <c r="U39" s="213"/>
      <c r="V39" s="213"/>
      <c r="W39" s="213" t="str" cm="1">
        <f t="array" ref="W39">IF(INDEX($U$177:$AI$182,E$186,$B187)="-","",INDEX($U$177:$AI$182,E$186,$B187))</f>
        <v>Life Loss (Composite)</v>
      </c>
      <c r="X39" s="213"/>
      <c r="Y39" s="213"/>
      <c r="Z39" s="213"/>
      <c r="AA39" s="213"/>
      <c r="AB39" s="213"/>
      <c r="AC39" s="213"/>
      <c r="AD39" s="213" t="str" cm="1">
        <f t="array" ref="AD39">IF(INDEX($U$177:$AI$182,F$186,$B187)="-","",INDEX($U$177:$AI$182,F$186,$B187))</f>
        <v>Economic Cost</v>
      </c>
      <c r="AE39" s="213"/>
      <c r="AF39" s="213"/>
      <c r="AG39" s="213"/>
      <c r="AH39" s="213"/>
      <c r="AI39" s="213"/>
      <c r="AJ39" s="213"/>
      <c r="AK39" s="213" t="str" cm="1">
        <f t="array" ref="AK39">IF(INDEX($U$177:$AI$182,G$186,$B187)="-","",INDEX($U$177:$AI$182,G$186,$B187))</f>
        <v/>
      </c>
      <c r="AL39" s="213"/>
      <c r="AM39" s="213"/>
      <c r="AN39" s="213"/>
      <c r="AO39" s="213"/>
      <c r="AP39" s="213"/>
      <c r="AQ39" s="213"/>
      <c r="AR39" s="211"/>
      <c r="AS39" s="211"/>
      <c r="AT39" s="211"/>
      <c r="AU39" s="211"/>
      <c r="AV39" s="211"/>
      <c r="AW39" s="211"/>
    </row>
    <row r="40" spans="1:49" ht="15" customHeight="1" x14ac:dyDescent="0.2">
      <c r="A40" s="42"/>
      <c r="B40" s="213"/>
      <c r="C40" s="213"/>
      <c r="D40" s="213"/>
      <c r="E40" s="213"/>
      <c r="F40" s="213"/>
      <c r="G40" s="213"/>
      <c r="H40" s="213"/>
      <c r="I40" s="213"/>
      <c r="J40" s="213"/>
      <c r="K40" s="213"/>
      <c r="L40" s="213"/>
      <c r="M40" s="213"/>
      <c r="N40" s="213"/>
      <c r="O40" s="213"/>
      <c r="P40" s="213"/>
      <c r="Q40" s="213"/>
      <c r="R40" s="213"/>
      <c r="S40" s="213"/>
      <c r="T40" s="213"/>
      <c r="U40" s="213"/>
      <c r="V40" s="213"/>
      <c r="W40" s="213"/>
      <c r="X40" s="213"/>
      <c r="Y40" s="213"/>
      <c r="Z40" s="213"/>
      <c r="AA40" s="213"/>
      <c r="AB40" s="213"/>
      <c r="AC40" s="213"/>
      <c r="AD40" s="213"/>
      <c r="AE40" s="213"/>
      <c r="AF40" s="213"/>
      <c r="AG40" s="213"/>
      <c r="AH40" s="213"/>
      <c r="AI40" s="213"/>
      <c r="AJ40" s="213"/>
      <c r="AK40" s="213"/>
      <c r="AL40" s="213"/>
      <c r="AM40" s="213"/>
      <c r="AN40" s="213"/>
      <c r="AO40" s="213"/>
      <c r="AP40" s="213"/>
      <c r="AQ40" s="213"/>
      <c r="AR40" s="211"/>
      <c r="AS40" s="211"/>
      <c r="AT40" s="211"/>
      <c r="AU40" s="211"/>
      <c r="AV40" s="211"/>
      <c r="AW40" s="211"/>
    </row>
    <row r="41" spans="1:49" ht="15" customHeight="1" x14ac:dyDescent="0.2">
      <c r="A41" s="42"/>
      <c r="B41" s="213"/>
      <c r="C41" s="213"/>
      <c r="D41" s="213"/>
      <c r="E41" s="213"/>
      <c r="F41" s="213"/>
      <c r="G41" s="213"/>
      <c r="H41" s="213"/>
      <c r="I41" s="213"/>
      <c r="J41" s="213"/>
      <c r="K41" s="213"/>
      <c r="L41" s="213"/>
      <c r="M41" s="213"/>
      <c r="N41" s="213"/>
      <c r="O41" s="213"/>
      <c r="P41" s="213"/>
      <c r="Q41" s="213"/>
      <c r="R41" s="213"/>
      <c r="S41" s="213"/>
      <c r="T41" s="213"/>
      <c r="U41" s="213"/>
      <c r="V41" s="213"/>
      <c r="W41" s="213"/>
      <c r="X41" s="213"/>
      <c r="Y41" s="213"/>
      <c r="Z41" s="213"/>
      <c r="AA41" s="213"/>
      <c r="AB41" s="213"/>
      <c r="AC41" s="213"/>
      <c r="AD41" s="213"/>
      <c r="AE41" s="213"/>
      <c r="AF41" s="213"/>
      <c r="AG41" s="213"/>
      <c r="AH41" s="213"/>
      <c r="AI41" s="213"/>
      <c r="AJ41" s="213"/>
      <c r="AK41" s="213"/>
      <c r="AL41" s="213"/>
      <c r="AM41" s="213"/>
      <c r="AN41" s="213"/>
      <c r="AO41" s="213"/>
      <c r="AP41" s="213"/>
      <c r="AQ41" s="213"/>
      <c r="AR41" s="211"/>
      <c r="AS41" s="211"/>
      <c r="AT41" s="211"/>
      <c r="AU41" s="211"/>
      <c r="AV41" s="211"/>
      <c r="AW41" s="211"/>
    </row>
    <row r="42" spans="1:49" ht="15" customHeight="1" x14ac:dyDescent="0.2">
      <c r="A42" s="42"/>
      <c r="B42" s="44" t="str" cm="1">
        <f t="array" aca="1" ref="B42" ca="1">IF(ISNUMBER(INDIRECT(_xlfn.CONCAT($C115,B$114))),"-","")</f>
        <v/>
      </c>
      <c r="C42" s="41" t="str">
        <f ca="1">B42</f>
        <v/>
      </c>
      <c r="D42" s="41" t="str">
        <f t="shared" ref="D42:H42" ca="1" si="10">C42</f>
        <v/>
      </c>
      <c r="E42" s="41" t="str">
        <f t="shared" ca="1" si="10"/>
        <v/>
      </c>
      <c r="F42" s="41" t="str">
        <f t="shared" ca="1" si="10"/>
        <v/>
      </c>
      <c r="G42" s="41" t="str">
        <f t="shared" ca="1" si="10"/>
        <v/>
      </c>
      <c r="H42" s="41" t="str">
        <f t="shared" ca="1" si="10"/>
        <v/>
      </c>
      <c r="I42" s="44" t="str" cm="1">
        <f t="array" aca="1" ref="I42" ca="1">IF(ISNUMBER(INDIRECT(_xlfn.CONCAT($C115,C$114))),"-","")</f>
        <v>-</v>
      </c>
      <c r="J42" s="41" t="str">
        <f ca="1">I42</f>
        <v>-</v>
      </c>
      <c r="K42" s="41" t="str">
        <f t="shared" ref="K42:O42" ca="1" si="11">J42</f>
        <v>-</v>
      </c>
      <c r="L42" s="41" t="str">
        <f t="shared" ca="1" si="11"/>
        <v>-</v>
      </c>
      <c r="M42" s="41" t="str">
        <f t="shared" ca="1" si="11"/>
        <v>-</v>
      </c>
      <c r="N42" s="41" t="str">
        <f t="shared" ca="1" si="11"/>
        <v>-</v>
      </c>
      <c r="O42" s="41" t="str">
        <f t="shared" ca="1" si="11"/>
        <v>-</v>
      </c>
      <c r="P42" s="44" t="str" cm="1">
        <f t="array" aca="1" ref="P42" ca="1">IF(ISNUMBER(INDIRECT(_xlfn.CONCAT($C115,D$114))),"-","")</f>
        <v>-</v>
      </c>
      <c r="Q42" s="41" t="str">
        <f ca="1">P42</f>
        <v>-</v>
      </c>
      <c r="R42" s="41" t="str">
        <f t="shared" ref="R42:V42" ca="1" si="12">Q42</f>
        <v>-</v>
      </c>
      <c r="S42" s="41" t="str">
        <f t="shared" ca="1" si="12"/>
        <v>-</v>
      </c>
      <c r="T42" s="41" t="str">
        <f t="shared" ca="1" si="12"/>
        <v>-</v>
      </c>
      <c r="U42" s="41" t="str">
        <f t="shared" ca="1" si="12"/>
        <v>-</v>
      </c>
      <c r="V42" s="41" t="str">
        <f t="shared" ca="1" si="12"/>
        <v>-</v>
      </c>
      <c r="W42" s="44" t="str" cm="1">
        <f t="array" aca="1" ref="W42" ca="1">IF(ISNUMBER(INDIRECT(_xlfn.CONCAT($C115,E$114))),"-","")</f>
        <v>-</v>
      </c>
      <c r="X42" s="41" t="str">
        <f ca="1">W42</f>
        <v>-</v>
      </c>
      <c r="Y42" s="41" t="str">
        <f t="shared" ref="Y42:AC42" ca="1" si="13">X42</f>
        <v>-</v>
      </c>
      <c r="Z42" s="41" t="str">
        <f t="shared" ca="1" si="13"/>
        <v>-</v>
      </c>
      <c r="AA42" s="41" t="str">
        <f t="shared" ca="1" si="13"/>
        <v>-</v>
      </c>
      <c r="AB42" s="41" t="str">
        <f t="shared" ca="1" si="13"/>
        <v>-</v>
      </c>
      <c r="AC42" s="41" t="str">
        <f t="shared" ca="1" si="13"/>
        <v>-</v>
      </c>
      <c r="AD42" s="44" t="str" cm="1">
        <f t="array" aca="1" ref="AD42" ca="1">IF(ISNUMBER(INDIRECT(_xlfn.CONCAT($C115,F$114))),"-","")</f>
        <v>-</v>
      </c>
      <c r="AE42" s="41" t="str">
        <f ca="1">AD42</f>
        <v>-</v>
      </c>
      <c r="AF42" s="41" t="str">
        <f t="shared" ref="AF42:AJ42" ca="1" si="14">AE42</f>
        <v>-</v>
      </c>
      <c r="AG42" s="41" t="str">
        <f t="shared" ca="1" si="14"/>
        <v>-</v>
      </c>
      <c r="AH42" s="41" t="str">
        <f t="shared" ca="1" si="14"/>
        <v>-</v>
      </c>
      <c r="AI42" s="41" t="str">
        <f t="shared" ca="1" si="14"/>
        <v>-</v>
      </c>
      <c r="AJ42" s="41" t="str">
        <f t="shared" ca="1" si="14"/>
        <v>-</v>
      </c>
      <c r="AK42" s="44" t="str" cm="1">
        <f t="array" aca="1" ref="AK42" ca="1">IF(ISNUMBER(INDIRECT(_xlfn.CONCAT($C115,G$114))),"-","")</f>
        <v/>
      </c>
      <c r="AL42" s="41" t="str">
        <f ca="1">AK42</f>
        <v/>
      </c>
      <c r="AM42" s="41" t="str">
        <f t="shared" ref="AM42:AQ42" ca="1" si="15">AL42</f>
        <v/>
      </c>
      <c r="AN42" s="41" t="str">
        <f t="shared" ca="1" si="15"/>
        <v/>
      </c>
      <c r="AO42" s="41" t="str">
        <f t="shared" ca="1" si="15"/>
        <v/>
      </c>
      <c r="AP42" s="41" t="str">
        <f t="shared" ca="1" si="15"/>
        <v/>
      </c>
      <c r="AQ42" s="41" t="str">
        <f t="shared" ca="1" si="15"/>
        <v/>
      </c>
      <c r="AR42" s="44"/>
      <c r="AS42" s="41"/>
      <c r="AT42" s="41"/>
      <c r="AU42" s="41"/>
      <c r="AV42" s="41"/>
      <c r="AW42" s="41"/>
    </row>
    <row r="43" spans="1:49" ht="15" customHeight="1" x14ac:dyDescent="0.2">
      <c r="A43" s="42"/>
      <c r="B43" s="45" t="str" cm="1">
        <f t="array" aca="1" ref="B43" ca="1">IF(ISBLANK(INDIRECT(_xlfn.CONCAT($C140,B$139))),"",INDIRECT(_xlfn.CONCAT($C140,B$139)))</f>
        <v/>
      </c>
      <c r="C43" s="46"/>
      <c r="D43" s="46"/>
      <c r="E43" s="46"/>
      <c r="F43" s="46"/>
      <c r="G43" s="46"/>
      <c r="H43" s="46"/>
      <c r="I43" s="45" t="str" cm="1">
        <f t="array" aca="1" ref="I43" ca="1">IF(ISBLANK(INDIRECT(_xlfn.CONCAT($C140,C$139))),"",INDIRECT(_xlfn.CONCAT($C140,C$139)))</f>
        <v>+</v>
      </c>
      <c r="J43" s="46"/>
      <c r="K43" s="46"/>
      <c r="L43" s="46"/>
      <c r="M43" s="46"/>
      <c r="N43" s="46"/>
      <c r="O43" s="46"/>
      <c r="P43" s="45" t="str" cm="1">
        <f t="array" aca="1" ref="P43" ca="1">IF(ISBLANK(INDIRECT(_xlfn.CONCAT($C140,D$139))),"",INDIRECT(_xlfn.CONCAT($C140,D$139)))</f>
        <v/>
      </c>
      <c r="Q43" s="46"/>
      <c r="R43" s="46"/>
      <c r="S43" s="46"/>
      <c r="T43" s="46"/>
      <c r="U43" s="46"/>
      <c r="V43" s="46"/>
      <c r="W43" s="45" t="str" cm="1">
        <f t="array" aca="1" ref="W43" ca="1">IF(ISBLANK(INDIRECT(_xlfn.CONCAT($C140,E$139))),"",INDIRECT(_xlfn.CONCAT($C140,E$139)))</f>
        <v/>
      </c>
      <c r="X43" s="46"/>
      <c r="Y43" s="46"/>
      <c r="Z43" s="46"/>
      <c r="AA43" s="46"/>
      <c r="AB43" s="46"/>
      <c r="AC43" s="46"/>
      <c r="AD43" s="45" t="str" cm="1">
        <f t="array" aca="1" ref="AD43" ca="1">IF(ISBLANK(INDIRECT(_xlfn.CONCAT($C140,F$139))),"",INDIRECT(_xlfn.CONCAT($C140,F$139)))</f>
        <v/>
      </c>
      <c r="AE43" s="46"/>
      <c r="AF43" s="46"/>
      <c r="AG43" s="46"/>
      <c r="AH43" s="46"/>
      <c r="AI43" s="46"/>
      <c r="AJ43" s="46"/>
      <c r="AK43" s="45" t="str" cm="1">
        <f t="array" aca="1" ref="AK43" ca="1">IF(ISBLANK(INDIRECT(_xlfn.CONCAT($C140,G$139))),"",INDIRECT(_xlfn.CONCAT($C140,G$139)))</f>
        <v/>
      </c>
      <c r="AL43" s="46"/>
      <c r="AM43" s="46"/>
      <c r="AN43" s="46"/>
      <c r="AO43" s="46"/>
      <c r="AP43" s="46"/>
      <c r="AQ43" s="46"/>
      <c r="AR43" s="45"/>
      <c r="AS43" s="46"/>
      <c r="AT43" s="46"/>
      <c r="AU43" s="46"/>
      <c r="AV43" s="46"/>
      <c r="AW43" s="46"/>
    </row>
    <row r="44" spans="1:49" ht="15" customHeight="1" x14ac:dyDescent="0.2">
      <c r="A44" s="42"/>
      <c r="B44" s="213" t="str" cm="1">
        <f t="array" ref="B44">IF(INDEX($U$177:$AI$182,B$186,$C187)="-","",INDEX($U$177:$AI$182,B$186,$C187))</f>
        <v/>
      </c>
      <c r="C44" s="213"/>
      <c r="D44" s="213"/>
      <c r="E44" s="213"/>
      <c r="F44" s="213"/>
      <c r="G44" s="213"/>
      <c r="H44" s="213"/>
      <c r="I44" s="213" t="str" cm="1">
        <f t="array" ref="I44">IF(INDEX($U$177:$AI$182,C$186,$C187)="-","",INDEX($U$177:$AI$182,C$186,$C187))</f>
        <v>Stage to Overtopping Depth (Composite)</v>
      </c>
      <c r="J44" s="213"/>
      <c r="K44" s="213"/>
      <c r="L44" s="213"/>
      <c r="M44" s="213"/>
      <c r="N44" s="213"/>
      <c r="O44" s="213"/>
      <c r="P44" s="213" t="str" cm="1">
        <f t="array" ref="P44">IF(INDEX($U$177:$AI$182,D$186,$C187)="-","",INDEX($U$177:$AI$182,D$186,$C187))</f>
        <v>PFM 1
Overtopping</v>
      </c>
      <c r="Q44" s="213"/>
      <c r="R44" s="213"/>
      <c r="S44" s="213"/>
      <c r="T44" s="213"/>
      <c r="U44" s="213"/>
      <c r="V44" s="213"/>
      <c r="W44" s="213" t="str" cm="1">
        <f t="array" ref="W44">IF(INDEX($U$177:$AI$182,E$186,$C187)="-","",INDEX($U$177:$AI$182,E$186,$C187))</f>
        <v>Life Loss (Composite)</v>
      </c>
      <c r="X44" s="213"/>
      <c r="Y44" s="213"/>
      <c r="Z44" s="213"/>
      <c r="AA44" s="213"/>
      <c r="AB44" s="213"/>
      <c r="AC44" s="213"/>
      <c r="AD44" s="213" t="str" cm="1">
        <f t="array" ref="AD44">IF(INDEX($U$177:$AI$182,F$186,$C187)="-","",INDEX($U$177:$AI$182,F$186,$C187))</f>
        <v>Economic Cost</v>
      </c>
      <c r="AE44" s="213"/>
      <c r="AF44" s="213"/>
      <c r="AG44" s="213"/>
      <c r="AH44" s="213"/>
      <c r="AI44" s="213"/>
      <c r="AJ44" s="213"/>
      <c r="AK44" s="213" t="str" cm="1">
        <f t="array" ref="AK44">IF(INDEX($U$177:$AI$182,G$186,$C187)="-","",INDEX($U$177:$AI$182,G$186,$C187))</f>
        <v/>
      </c>
      <c r="AL44" s="213"/>
      <c r="AM44" s="213"/>
      <c r="AN44" s="213"/>
      <c r="AO44" s="213"/>
      <c r="AP44" s="213"/>
      <c r="AQ44" s="213"/>
      <c r="AR44" s="211"/>
      <c r="AS44" s="211"/>
      <c r="AT44" s="211"/>
      <c r="AU44" s="211"/>
      <c r="AV44" s="211"/>
      <c r="AW44" s="211"/>
    </row>
    <row r="45" spans="1:49" ht="15" customHeight="1" x14ac:dyDescent="0.2">
      <c r="A45" s="42"/>
      <c r="B45" s="213"/>
      <c r="C45" s="213"/>
      <c r="D45" s="213"/>
      <c r="E45" s="213"/>
      <c r="F45" s="213"/>
      <c r="G45" s="213"/>
      <c r="H45" s="213"/>
      <c r="I45" s="213"/>
      <c r="J45" s="213"/>
      <c r="K45" s="213"/>
      <c r="L45" s="213"/>
      <c r="M45" s="213"/>
      <c r="N45" s="213"/>
      <c r="O45" s="213"/>
      <c r="P45" s="213"/>
      <c r="Q45" s="213"/>
      <c r="R45" s="213"/>
      <c r="S45" s="213"/>
      <c r="T45" s="213"/>
      <c r="U45" s="213"/>
      <c r="V45" s="213"/>
      <c r="W45" s="213"/>
      <c r="X45" s="213"/>
      <c r="Y45" s="213"/>
      <c r="Z45" s="213"/>
      <c r="AA45" s="213"/>
      <c r="AB45" s="213"/>
      <c r="AC45" s="213"/>
      <c r="AD45" s="213"/>
      <c r="AE45" s="213"/>
      <c r="AF45" s="213"/>
      <c r="AG45" s="213"/>
      <c r="AH45" s="213"/>
      <c r="AI45" s="213"/>
      <c r="AJ45" s="213"/>
      <c r="AK45" s="213"/>
      <c r="AL45" s="213"/>
      <c r="AM45" s="213"/>
      <c r="AN45" s="213"/>
      <c r="AO45" s="213"/>
      <c r="AP45" s="213"/>
      <c r="AQ45" s="213"/>
      <c r="AR45" s="211"/>
      <c r="AS45" s="211"/>
      <c r="AT45" s="211"/>
      <c r="AU45" s="211"/>
      <c r="AV45" s="211"/>
      <c r="AW45" s="211"/>
    </row>
    <row r="46" spans="1:49" ht="15" customHeight="1" x14ac:dyDescent="0.2">
      <c r="A46" s="42"/>
      <c r="B46" s="213"/>
      <c r="C46" s="213"/>
      <c r="D46" s="213"/>
      <c r="E46" s="213"/>
      <c r="F46" s="213"/>
      <c r="G46" s="213"/>
      <c r="H46" s="213"/>
      <c r="I46" s="213"/>
      <c r="J46" s="213"/>
      <c r="K46" s="213"/>
      <c r="L46" s="213"/>
      <c r="M46" s="213"/>
      <c r="N46" s="213"/>
      <c r="O46" s="213"/>
      <c r="P46" s="213"/>
      <c r="Q46" s="213"/>
      <c r="R46" s="213"/>
      <c r="S46" s="213"/>
      <c r="T46" s="213"/>
      <c r="U46" s="213"/>
      <c r="V46" s="213"/>
      <c r="W46" s="213"/>
      <c r="X46" s="213"/>
      <c r="Y46" s="213"/>
      <c r="Z46" s="213"/>
      <c r="AA46" s="213"/>
      <c r="AB46" s="213"/>
      <c r="AC46" s="213"/>
      <c r="AD46" s="213"/>
      <c r="AE46" s="213"/>
      <c r="AF46" s="213"/>
      <c r="AG46" s="213"/>
      <c r="AH46" s="213"/>
      <c r="AI46" s="213"/>
      <c r="AJ46" s="213"/>
      <c r="AK46" s="213"/>
      <c r="AL46" s="213"/>
      <c r="AM46" s="213"/>
      <c r="AN46" s="213"/>
      <c r="AO46" s="213"/>
      <c r="AP46" s="213"/>
      <c r="AQ46" s="213"/>
      <c r="AR46" s="211"/>
      <c r="AS46" s="211"/>
      <c r="AT46" s="211"/>
      <c r="AU46" s="211"/>
      <c r="AV46" s="211"/>
      <c r="AW46" s="211"/>
    </row>
    <row r="47" spans="1:49" ht="15" customHeight="1" x14ac:dyDescent="0.2">
      <c r="A47" s="42"/>
      <c r="B47" s="44" t="str" cm="1">
        <f t="array" aca="1" ref="B47" ca="1">IF(ISNUMBER(INDIRECT(_xlfn.CONCAT($D115,B$114))),"-","")</f>
        <v/>
      </c>
      <c r="C47" s="41" t="str">
        <f ca="1">B47</f>
        <v/>
      </c>
      <c r="D47" s="41" t="str">
        <f t="shared" ref="D47:H47" ca="1" si="16">C47</f>
        <v/>
      </c>
      <c r="E47" s="41" t="str">
        <f t="shared" ca="1" si="16"/>
        <v/>
      </c>
      <c r="F47" s="41" t="str">
        <f t="shared" ca="1" si="16"/>
        <v/>
      </c>
      <c r="G47" s="41" t="str">
        <f t="shared" ca="1" si="16"/>
        <v/>
      </c>
      <c r="H47" s="41" t="str">
        <f t="shared" ca="1" si="16"/>
        <v/>
      </c>
      <c r="I47" s="44" t="str" cm="1">
        <f t="array" aca="1" ref="I47" ca="1">IF(ISNUMBER(INDIRECT(_xlfn.CONCAT($D115,C$114))),"-","")</f>
        <v>-</v>
      </c>
      <c r="J47" s="41" t="str">
        <f ca="1">I47</f>
        <v>-</v>
      </c>
      <c r="K47" s="41" t="str">
        <f t="shared" ref="K47:O47" ca="1" si="17">J47</f>
        <v>-</v>
      </c>
      <c r="L47" s="41" t="str">
        <f t="shared" ca="1" si="17"/>
        <v>-</v>
      </c>
      <c r="M47" s="41" t="str">
        <f t="shared" ca="1" si="17"/>
        <v>-</v>
      </c>
      <c r="N47" s="41" t="str">
        <f t="shared" ca="1" si="17"/>
        <v>-</v>
      </c>
      <c r="O47" s="41" t="str">
        <f t="shared" ca="1" si="17"/>
        <v>-</v>
      </c>
      <c r="P47" s="44" t="str" cm="1">
        <f t="array" aca="1" ref="P47" ca="1">IF(ISNUMBER(INDIRECT(_xlfn.CONCAT($D115,D$114))),"-","")</f>
        <v>-</v>
      </c>
      <c r="Q47" s="41" t="str">
        <f ca="1">P47</f>
        <v>-</v>
      </c>
      <c r="R47" s="41" t="str">
        <f t="shared" ref="R47:V47" ca="1" si="18">Q47</f>
        <v>-</v>
      </c>
      <c r="S47" s="41" t="str">
        <f t="shared" ca="1" si="18"/>
        <v>-</v>
      </c>
      <c r="T47" s="41" t="str">
        <f t="shared" ca="1" si="18"/>
        <v>-</v>
      </c>
      <c r="U47" s="41" t="str">
        <f t="shared" ca="1" si="18"/>
        <v>-</v>
      </c>
      <c r="V47" s="41" t="str">
        <f t="shared" ca="1" si="18"/>
        <v>-</v>
      </c>
      <c r="W47" s="44" t="str" cm="1">
        <f t="array" aca="1" ref="W47" ca="1">IF(ISNUMBER(INDIRECT(_xlfn.CONCAT($D115,E$114))),"-","")</f>
        <v>-</v>
      </c>
      <c r="X47" s="41" t="str">
        <f ca="1">W47</f>
        <v>-</v>
      </c>
      <c r="Y47" s="41" t="str">
        <f t="shared" ref="Y47:AC47" ca="1" si="19">X47</f>
        <v>-</v>
      </c>
      <c r="Z47" s="41" t="str">
        <f t="shared" ca="1" si="19"/>
        <v>-</v>
      </c>
      <c r="AA47" s="41" t="str">
        <f t="shared" ca="1" si="19"/>
        <v>-</v>
      </c>
      <c r="AB47" s="41" t="str">
        <f t="shared" ca="1" si="19"/>
        <v>-</v>
      </c>
      <c r="AC47" s="41" t="str">
        <f t="shared" ca="1" si="19"/>
        <v>-</v>
      </c>
      <c r="AD47" s="44" t="str" cm="1">
        <f t="array" aca="1" ref="AD47" ca="1">IF(ISNUMBER(INDIRECT(_xlfn.CONCAT($D115,F$114))),"-","")</f>
        <v>-</v>
      </c>
      <c r="AE47" s="41" t="str">
        <f ca="1">AD47</f>
        <v>-</v>
      </c>
      <c r="AF47" s="41" t="str">
        <f t="shared" ref="AF47:AJ47" ca="1" si="20">AE47</f>
        <v>-</v>
      </c>
      <c r="AG47" s="41" t="str">
        <f t="shared" ca="1" si="20"/>
        <v>-</v>
      </c>
      <c r="AH47" s="41" t="str">
        <f t="shared" ca="1" si="20"/>
        <v>-</v>
      </c>
      <c r="AI47" s="41" t="str">
        <f t="shared" ca="1" si="20"/>
        <v>-</v>
      </c>
      <c r="AJ47" s="41" t="str">
        <f t="shared" ca="1" si="20"/>
        <v>-</v>
      </c>
      <c r="AK47" s="44" t="str" cm="1">
        <f t="array" aca="1" ref="AK47" ca="1">IF(ISNUMBER(INDIRECT(_xlfn.CONCAT($D115,G$114))),"-","")</f>
        <v/>
      </c>
      <c r="AL47" s="41" t="str">
        <f ca="1">AK47</f>
        <v/>
      </c>
      <c r="AM47" s="41" t="str">
        <f t="shared" ref="AM47:AQ47" ca="1" si="21">AL47</f>
        <v/>
      </c>
      <c r="AN47" s="41" t="str">
        <f t="shared" ca="1" si="21"/>
        <v/>
      </c>
      <c r="AO47" s="41" t="str">
        <f t="shared" ca="1" si="21"/>
        <v/>
      </c>
      <c r="AP47" s="41" t="str">
        <f t="shared" ca="1" si="21"/>
        <v/>
      </c>
      <c r="AQ47" s="41" t="str">
        <f t="shared" ca="1" si="21"/>
        <v/>
      </c>
      <c r="AR47" s="44"/>
      <c r="AS47" s="41"/>
      <c r="AT47" s="41"/>
      <c r="AU47" s="41"/>
      <c r="AV47" s="41"/>
      <c r="AW47" s="41"/>
    </row>
    <row r="48" spans="1:49" ht="15" customHeight="1" x14ac:dyDescent="0.2">
      <c r="A48" s="42"/>
      <c r="B48" s="45" t="str" cm="1">
        <f t="array" aca="1" ref="B48" ca="1">IF(ISBLANK(INDIRECT(_xlfn.CONCAT($D140,B$139))),"",INDIRECT(_xlfn.CONCAT($D140,B$139)))</f>
        <v/>
      </c>
      <c r="C48" s="46"/>
      <c r="D48" s="46"/>
      <c r="E48" s="46"/>
      <c r="F48" s="46"/>
      <c r="G48" s="46"/>
      <c r="H48" s="46"/>
      <c r="I48" s="45" t="str" cm="1">
        <f t="array" aca="1" ref="I48" ca="1">IF(ISBLANK(INDIRECT(_xlfn.CONCAT($D140,C$139))),"",INDIRECT(_xlfn.CONCAT($D140,C$139)))</f>
        <v>+</v>
      </c>
      <c r="J48" s="46"/>
      <c r="K48" s="46"/>
      <c r="L48" s="46"/>
      <c r="M48" s="46"/>
      <c r="N48" s="46"/>
      <c r="O48" s="46"/>
      <c r="P48" s="45" t="str" cm="1">
        <f t="array" aca="1" ref="P48" ca="1">IF(ISBLANK(INDIRECT(_xlfn.CONCAT($D140,D$139))),"",INDIRECT(_xlfn.CONCAT($D140,D$139)))</f>
        <v/>
      </c>
      <c r="Q48" s="46"/>
      <c r="R48" s="46"/>
      <c r="S48" s="46"/>
      <c r="T48" s="46"/>
      <c r="U48" s="46"/>
      <c r="V48" s="46"/>
      <c r="W48" s="45" t="str" cm="1">
        <f t="array" aca="1" ref="W48" ca="1">IF(ISBLANK(INDIRECT(_xlfn.CONCAT($D140,E$139))),"",INDIRECT(_xlfn.CONCAT($D140,E$139)))</f>
        <v/>
      </c>
      <c r="X48" s="46"/>
      <c r="Y48" s="46"/>
      <c r="Z48" s="46"/>
      <c r="AA48" s="46"/>
      <c r="AB48" s="46"/>
      <c r="AC48" s="46"/>
      <c r="AD48" s="45" t="str" cm="1">
        <f t="array" aca="1" ref="AD48" ca="1">IF(ISBLANK(INDIRECT(_xlfn.CONCAT($D140,F$139))),"",INDIRECT(_xlfn.CONCAT($D140,F$139)))</f>
        <v/>
      </c>
      <c r="AE48" s="46"/>
      <c r="AF48" s="46"/>
      <c r="AG48" s="46"/>
      <c r="AH48" s="46"/>
      <c r="AI48" s="46"/>
      <c r="AJ48" s="46"/>
      <c r="AK48" s="45" t="str" cm="1">
        <f t="array" aca="1" ref="AK48" ca="1">IF(ISBLANK(INDIRECT(_xlfn.CONCAT($D140,G$139))),"",INDIRECT(_xlfn.CONCAT($D140,G$139)))</f>
        <v/>
      </c>
      <c r="AL48" s="46"/>
      <c r="AM48" s="46"/>
      <c r="AN48" s="46"/>
      <c r="AO48" s="46"/>
      <c r="AP48" s="46"/>
      <c r="AQ48" s="46"/>
      <c r="AR48" s="45"/>
      <c r="AS48" s="46"/>
      <c r="AT48" s="46"/>
      <c r="AU48" s="46"/>
      <c r="AV48" s="46"/>
      <c r="AW48" s="46"/>
    </row>
    <row r="49" spans="1:49" ht="15" customHeight="1" x14ac:dyDescent="0.2">
      <c r="A49" s="42"/>
      <c r="B49" s="213" t="str" cm="1">
        <f t="array" ref="B49">IF(INDEX($U$177:$AI$182,B$186,$D187)="-","",INDEX($U$177:$AI$182,B$186,$D187))</f>
        <v/>
      </c>
      <c r="C49" s="213"/>
      <c r="D49" s="213"/>
      <c r="E49" s="213"/>
      <c r="F49" s="213"/>
      <c r="G49" s="213"/>
      <c r="H49" s="213"/>
      <c r="I49" s="213" t="str" cm="1">
        <f t="array" ref="I49">IF(INDEX($U$177:$AI$182,C$186,$D187)="-","",INDEX($U$177:$AI$182,C$186,$D187))</f>
        <v>None</v>
      </c>
      <c r="J49" s="213"/>
      <c r="K49" s="213"/>
      <c r="L49" s="213"/>
      <c r="M49" s="213"/>
      <c r="N49" s="213"/>
      <c r="O49" s="213"/>
      <c r="P49" s="213" t="str" cm="1">
        <f t="array" ref="P49">IF(INDEX($U$177:$AI$182,D$186,$D187)="-","",INDEX($U$177:$AI$182,D$186,$D187))</f>
        <v>PFM 2
Backward Erosion Piping</v>
      </c>
      <c r="Q49" s="213"/>
      <c r="R49" s="213"/>
      <c r="S49" s="213"/>
      <c r="T49" s="213"/>
      <c r="U49" s="213"/>
      <c r="V49" s="213"/>
      <c r="W49" s="213" t="str" cm="1">
        <f t="array" ref="W49">IF(INDEX($U$177:$AI$182,E$186,$D187)="-","",INDEX($U$177:$AI$182,E$186,$D187))</f>
        <v>Life Loss (Composite)</v>
      </c>
      <c r="X49" s="213"/>
      <c r="Y49" s="213"/>
      <c r="Z49" s="213"/>
      <c r="AA49" s="213"/>
      <c r="AB49" s="213"/>
      <c r="AC49" s="213"/>
      <c r="AD49" s="213" t="str" cm="1">
        <f t="array" ref="AD49">IF(INDEX($U$177:$AI$182,F$186,$D187)="-","",INDEX($U$177:$AI$182,F$186,$D187))</f>
        <v>Economic Cost</v>
      </c>
      <c r="AE49" s="213"/>
      <c r="AF49" s="213"/>
      <c r="AG49" s="213"/>
      <c r="AH49" s="213"/>
      <c r="AI49" s="213"/>
      <c r="AJ49" s="213"/>
      <c r="AK49" s="213" t="str" cm="1">
        <f t="array" ref="AK49">IF(INDEX($U$177:$AI$182,G$186,$D187)="-","",INDEX($U$177:$AI$182,G$186,$D187))</f>
        <v/>
      </c>
      <c r="AL49" s="213"/>
      <c r="AM49" s="213"/>
      <c r="AN49" s="213"/>
      <c r="AO49" s="213"/>
      <c r="AP49" s="213"/>
      <c r="AQ49" s="213"/>
      <c r="AR49" s="211"/>
      <c r="AS49" s="211"/>
      <c r="AT49" s="211"/>
      <c r="AU49" s="211"/>
      <c r="AV49" s="211"/>
      <c r="AW49" s="211"/>
    </row>
    <row r="50" spans="1:49" ht="15" customHeight="1" x14ac:dyDescent="0.2">
      <c r="A50" s="34"/>
      <c r="B50" s="213"/>
      <c r="C50" s="213"/>
      <c r="D50" s="213"/>
      <c r="E50" s="213"/>
      <c r="F50" s="213"/>
      <c r="G50" s="213"/>
      <c r="H50" s="213"/>
      <c r="I50" s="213"/>
      <c r="J50" s="213"/>
      <c r="K50" s="213"/>
      <c r="L50" s="213"/>
      <c r="M50" s="213"/>
      <c r="N50" s="213"/>
      <c r="O50" s="213"/>
      <c r="P50" s="213"/>
      <c r="Q50" s="213"/>
      <c r="R50" s="213"/>
      <c r="S50" s="213"/>
      <c r="T50" s="213"/>
      <c r="U50" s="213"/>
      <c r="V50" s="213"/>
      <c r="W50" s="213"/>
      <c r="X50" s="213"/>
      <c r="Y50" s="213"/>
      <c r="Z50" s="213"/>
      <c r="AA50" s="213"/>
      <c r="AB50" s="213"/>
      <c r="AC50" s="213"/>
      <c r="AD50" s="213"/>
      <c r="AE50" s="213"/>
      <c r="AF50" s="213"/>
      <c r="AG50" s="213"/>
      <c r="AH50" s="213"/>
      <c r="AI50" s="213"/>
      <c r="AJ50" s="213"/>
      <c r="AK50" s="213"/>
      <c r="AL50" s="213"/>
      <c r="AM50" s="213"/>
      <c r="AN50" s="213"/>
      <c r="AO50" s="213"/>
      <c r="AP50" s="213"/>
      <c r="AQ50" s="213"/>
      <c r="AR50" s="211"/>
      <c r="AS50" s="211"/>
      <c r="AT50" s="211"/>
      <c r="AU50" s="211"/>
      <c r="AV50" s="211"/>
      <c r="AW50" s="211"/>
    </row>
    <row r="51" spans="1:49" ht="15" customHeight="1" x14ac:dyDescent="0.2">
      <c r="A51" s="34"/>
      <c r="B51" s="213"/>
      <c r="C51" s="213"/>
      <c r="D51" s="213"/>
      <c r="E51" s="213"/>
      <c r="F51" s="213"/>
      <c r="G51" s="213"/>
      <c r="H51" s="213"/>
      <c r="I51" s="213"/>
      <c r="J51" s="213"/>
      <c r="K51" s="213"/>
      <c r="L51" s="213"/>
      <c r="M51" s="213"/>
      <c r="N51" s="213"/>
      <c r="O51" s="213"/>
      <c r="P51" s="213"/>
      <c r="Q51" s="213"/>
      <c r="R51" s="213"/>
      <c r="S51" s="213"/>
      <c r="T51" s="213"/>
      <c r="U51" s="213"/>
      <c r="V51" s="213"/>
      <c r="W51" s="213"/>
      <c r="X51" s="213"/>
      <c r="Y51" s="213"/>
      <c r="Z51" s="213"/>
      <c r="AA51" s="213"/>
      <c r="AB51" s="213"/>
      <c r="AC51" s="213"/>
      <c r="AD51" s="213"/>
      <c r="AE51" s="213"/>
      <c r="AF51" s="213"/>
      <c r="AG51" s="213"/>
      <c r="AH51" s="213"/>
      <c r="AI51" s="213"/>
      <c r="AJ51" s="213"/>
      <c r="AK51" s="213"/>
      <c r="AL51" s="213"/>
      <c r="AM51" s="213"/>
      <c r="AN51" s="213"/>
      <c r="AO51" s="213"/>
      <c r="AP51" s="213"/>
      <c r="AQ51" s="213"/>
      <c r="AR51" s="211"/>
      <c r="AS51" s="211"/>
      <c r="AT51" s="211"/>
      <c r="AU51" s="211"/>
      <c r="AV51" s="211"/>
      <c r="AW51" s="211"/>
    </row>
    <row r="52" spans="1:49" ht="15" customHeight="1" x14ac:dyDescent="0.2">
      <c r="A52" s="42"/>
      <c r="B52" s="44" t="str" cm="1">
        <f t="array" aca="1" ref="B52" ca="1">IF(ISNUMBER(INDIRECT(_xlfn.CONCAT($E115,B$114))),"-","")</f>
        <v/>
      </c>
      <c r="C52" s="41" t="str">
        <f ca="1">B52</f>
        <v/>
      </c>
      <c r="D52" s="41" t="str">
        <f t="shared" ref="D52:H52" ca="1" si="22">C52</f>
        <v/>
      </c>
      <c r="E52" s="41" t="str">
        <f t="shared" ca="1" si="22"/>
        <v/>
      </c>
      <c r="F52" s="41" t="str">
        <f t="shared" ca="1" si="22"/>
        <v/>
      </c>
      <c r="G52" s="41" t="str">
        <f t="shared" ca="1" si="22"/>
        <v/>
      </c>
      <c r="H52" s="41" t="str">
        <f t="shared" ca="1" si="22"/>
        <v/>
      </c>
      <c r="I52" s="44" t="str" cm="1">
        <f t="array" aca="1" ref="I52" ca="1">IF(ISNUMBER(INDIRECT(_xlfn.CONCAT($E115,C$114))),"-","")</f>
        <v/>
      </c>
      <c r="J52" s="41" t="str">
        <f ca="1">I52</f>
        <v/>
      </c>
      <c r="K52" s="41" t="str">
        <f t="shared" ref="K52:O52" ca="1" si="23">J52</f>
        <v/>
      </c>
      <c r="L52" s="41" t="str">
        <f t="shared" ca="1" si="23"/>
        <v/>
      </c>
      <c r="M52" s="41" t="str">
        <f t="shared" ca="1" si="23"/>
        <v/>
      </c>
      <c r="N52" s="41" t="str">
        <f t="shared" ca="1" si="23"/>
        <v/>
      </c>
      <c r="O52" s="41" t="str">
        <f t="shared" ca="1" si="23"/>
        <v/>
      </c>
      <c r="P52" s="44" t="str" cm="1">
        <f t="array" aca="1" ref="P52" ca="1">IF(ISNUMBER(INDIRECT(_xlfn.CONCAT($E115,D$114))),"-","")</f>
        <v/>
      </c>
      <c r="Q52" s="41" t="str">
        <f ca="1">P52</f>
        <v/>
      </c>
      <c r="R52" s="41" t="str">
        <f t="shared" ref="R52:V52" ca="1" si="24">Q52</f>
        <v/>
      </c>
      <c r="S52" s="41" t="str">
        <f t="shared" ca="1" si="24"/>
        <v/>
      </c>
      <c r="T52" s="41" t="str">
        <f t="shared" ca="1" si="24"/>
        <v/>
      </c>
      <c r="U52" s="41" t="str">
        <f t="shared" ca="1" si="24"/>
        <v/>
      </c>
      <c r="V52" s="41" t="str">
        <f t="shared" ca="1" si="24"/>
        <v/>
      </c>
      <c r="W52" s="44" t="str" cm="1">
        <f t="array" aca="1" ref="W52" ca="1">IF(ISNUMBER(INDIRECT(_xlfn.CONCAT($E115,E$114))),"-","")</f>
        <v/>
      </c>
      <c r="X52" s="41" t="str">
        <f ca="1">W52</f>
        <v/>
      </c>
      <c r="Y52" s="41" t="str">
        <f t="shared" ref="Y52:AC52" ca="1" si="25">X52</f>
        <v/>
      </c>
      <c r="Z52" s="41" t="str">
        <f t="shared" ca="1" si="25"/>
        <v/>
      </c>
      <c r="AA52" s="41" t="str">
        <f t="shared" ca="1" si="25"/>
        <v/>
      </c>
      <c r="AB52" s="41" t="str">
        <f t="shared" ca="1" si="25"/>
        <v/>
      </c>
      <c r="AC52" s="41" t="str">
        <f t="shared" ca="1" si="25"/>
        <v/>
      </c>
      <c r="AD52" s="44" t="str" cm="1">
        <f t="array" aca="1" ref="AD52" ca="1">IF(ISNUMBER(INDIRECT(_xlfn.CONCAT($E115,F$114))),"-","")</f>
        <v/>
      </c>
      <c r="AE52" s="41" t="str">
        <f ca="1">AD52</f>
        <v/>
      </c>
      <c r="AF52" s="41" t="str">
        <f t="shared" ref="AF52:AJ52" ca="1" si="26">AE52</f>
        <v/>
      </c>
      <c r="AG52" s="41" t="str">
        <f t="shared" ca="1" si="26"/>
        <v/>
      </c>
      <c r="AH52" s="41" t="str">
        <f t="shared" ca="1" si="26"/>
        <v/>
      </c>
      <c r="AI52" s="41" t="str">
        <f t="shared" ca="1" si="26"/>
        <v/>
      </c>
      <c r="AJ52" s="41" t="str">
        <f t="shared" ca="1" si="26"/>
        <v/>
      </c>
      <c r="AK52" s="44" t="str" cm="1">
        <f t="array" aca="1" ref="AK52" ca="1">IF(ISNUMBER(INDIRECT(_xlfn.CONCAT($E115,G$114))),"-","")</f>
        <v/>
      </c>
      <c r="AL52" s="41" t="str">
        <f ca="1">AK52</f>
        <v/>
      </c>
      <c r="AM52" s="41" t="str">
        <f t="shared" ref="AM52:AQ52" ca="1" si="27">AL52</f>
        <v/>
      </c>
      <c r="AN52" s="41" t="str">
        <f t="shared" ca="1" si="27"/>
        <v/>
      </c>
      <c r="AO52" s="41" t="str">
        <f t="shared" ca="1" si="27"/>
        <v/>
      </c>
      <c r="AP52" s="41" t="str">
        <f t="shared" ca="1" si="27"/>
        <v/>
      </c>
      <c r="AQ52" s="41" t="str">
        <f t="shared" ca="1" si="27"/>
        <v/>
      </c>
      <c r="AR52" s="44"/>
      <c r="AS52" s="41"/>
      <c r="AT52" s="41"/>
      <c r="AU52" s="41"/>
      <c r="AV52" s="41"/>
      <c r="AW52" s="41"/>
    </row>
    <row r="53" spans="1:49" ht="15" customHeight="1" x14ac:dyDescent="0.2">
      <c r="A53" s="42"/>
      <c r="B53" s="45" t="str" cm="1">
        <f t="array" aca="1" ref="B53" ca="1">IF(ISBLANK(INDIRECT(_xlfn.CONCAT($E140,B$139))),"",INDIRECT(_xlfn.CONCAT($E140,B$139)))</f>
        <v/>
      </c>
      <c r="C53" s="46"/>
      <c r="D53" s="46"/>
      <c r="E53" s="46"/>
      <c r="F53" s="46"/>
      <c r="G53" s="46"/>
      <c r="H53" s="46"/>
      <c r="I53" s="45" t="str" cm="1">
        <f t="array" aca="1" ref="I53" ca="1">IF(ISBLANK(INDIRECT(_xlfn.CONCAT($E140,C$139))),"",INDIRECT(_xlfn.CONCAT($E140,C$139)))</f>
        <v/>
      </c>
      <c r="J53" s="46"/>
      <c r="K53" s="46"/>
      <c r="L53" s="46"/>
      <c r="M53" s="46"/>
      <c r="N53" s="46"/>
      <c r="O53" s="46"/>
      <c r="P53" s="45" t="str" cm="1">
        <f t="array" aca="1" ref="P53" ca="1">IF(ISBLANK(INDIRECT(_xlfn.CONCAT($E140,D$139))),"",INDIRECT(_xlfn.CONCAT($E140,D$139)))</f>
        <v/>
      </c>
      <c r="Q53" s="46"/>
      <c r="R53" s="46"/>
      <c r="S53" s="46"/>
      <c r="T53" s="46"/>
      <c r="U53" s="46"/>
      <c r="V53" s="46"/>
      <c r="W53" s="45" t="str" cm="1">
        <f t="array" aca="1" ref="W53" ca="1">IF(ISBLANK(INDIRECT(_xlfn.CONCAT($E140,E$139))),"",INDIRECT(_xlfn.CONCAT($E140,E$139)))</f>
        <v/>
      </c>
      <c r="X53" s="46"/>
      <c r="Y53" s="46"/>
      <c r="Z53" s="46"/>
      <c r="AA53" s="46"/>
      <c r="AB53" s="46"/>
      <c r="AC53" s="46"/>
      <c r="AD53" s="45" t="str" cm="1">
        <f t="array" aca="1" ref="AD53" ca="1">IF(ISBLANK(INDIRECT(_xlfn.CONCAT($E140,F$139))),"",INDIRECT(_xlfn.CONCAT($E140,F$139)))</f>
        <v/>
      </c>
      <c r="AE53" s="46"/>
      <c r="AF53" s="46"/>
      <c r="AG53" s="46"/>
      <c r="AH53" s="46"/>
      <c r="AI53" s="46"/>
      <c r="AJ53" s="46"/>
      <c r="AK53" s="45" t="str" cm="1">
        <f t="array" aca="1" ref="AK53" ca="1">IF(ISBLANK(INDIRECT(_xlfn.CONCAT($E140,G$139))),"",INDIRECT(_xlfn.CONCAT($E140,G$139)))</f>
        <v/>
      </c>
      <c r="AL53" s="46"/>
      <c r="AM53" s="46"/>
      <c r="AN53" s="46"/>
      <c r="AO53" s="46"/>
      <c r="AP53" s="46"/>
      <c r="AQ53" s="46"/>
      <c r="AR53" s="45"/>
      <c r="AS53" s="46"/>
      <c r="AT53" s="46"/>
      <c r="AU53" s="46"/>
      <c r="AV53" s="46"/>
      <c r="AW53" s="46"/>
    </row>
    <row r="54" spans="1:49" ht="15" customHeight="1" x14ac:dyDescent="0.2">
      <c r="A54" s="42"/>
      <c r="B54" s="213" t="str" cm="1">
        <f t="array" ref="B54">IF(INDEX($U$177:$AI$182,B$186,$E187)="-","",INDEX($U$177:$AI$182,B$186,$E187))</f>
        <v/>
      </c>
      <c r="C54" s="213"/>
      <c r="D54" s="213"/>
      <c r="E54" s="213"/>
      <c r="F54" s="213"/>
      <c r="G54" s="213"/>
      <c r="H54" s="213"/>
      <c r="I54" s="213" t="str" cm="1">
        <f t="array" ref="I54">IF(INDEX($U$177:$AI$182,C$186,$E187)="-","",INDEX($U$177:$AI$182,C$186,$E187))</f>
        <v/>
      </c>
      <c r="J54" s="213"/>
      <c r="K54" s="213"/>
      <c r="L54" s="213"/>
      <c r="M54" s="213"/>
      <c r="N54" s="213"/>
      <c r="O54" s="213"/>
      <c r="P54" s="213" t="str" cm="1">
        <f t="array" ref="P54">IF(INDEX($U$177:$AI$182,D$186,$E187)="-","",INDEX($U$177:$AI$182,D$186,$E187))</f>
        <v/>
      </c>
      <c r="Q54" s="213"/>
      <c r="R54" s="213"/>
      <c r="S54" s="213"/>
      <c r="T54" s="213"/>
      <c r="U54" s="213"/>
      <c r="V54" s="213"/>
      <c r="W54" s="213" t="str" cm="1">
        <f t="array" ref="W54">IF(INDEX($U$177:$AI$182,E$186,$E187)="-","",INDEX($U$177:$AI$182,E$186,$E187))</f>
        <v/>
      </c>
      <c r="X54" s="213"/>
      <c r="Y54" s="213"/>
      <c r="Z54" s="213"/>
      <c r="AA54" s="213"/>
      <c r="AB54" s="213"/>
      <c r="AC54" s="213"/>
      <c r="AD54" s="213" t="str" cm="1">
        <f t="array" ref="AD54">IF(INDEX($U$177:$AI$182,F$186,$E187)="-","",INDEX($U$177:$AI$182,F$186,$E187))</f>
        <v/>
      </c>
      <c r="AE54" s="213"/>
      <c r="AF54" s="213"/>
      <c r="AG54" s="213"/>
      <c r="AH54" s="213"/>
      <c r="AI54" s="213"/>
      <c r="AJ54" s="213"/>
      <c r="AK54" s="213" t="str" cm="1">
        <f t="array" ref="AK54">IF(INDEX($U$177:$AI$182,G$186,$E187)="-","",INDEX($U$177:$AI$182,G$186,$E187))</f>
        <v/>
      </c>
      <c r="AL54" s="213"/>
      <c r="AM54" s="213"/>
      <c r="AN54" s="213"/>
      <c r="AO54" s="213"/>
      <c r="AP54" s="213"/>
      <c r="AQ54" s="213"/>
      <c r="AR54" s="211"/>
      <c r="AS54" s="211"/>
      <c r="AT54" s="211"/>
      <c r="AU54" s="211"/>
      <c r="AV54" s="211"/>
      <c r="AW54" s="211"/>
    </row>
    <row r="55" spans="1:49" ht="15" customHeight="1" x14ac:dyDescent="0.2">
      <c r="A55" s="42"/>
      <c r="B55" s="213"/>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1"/>
      <c r="AS55" s="211"/>
      <c r="AT55" s="211"/>
      <c r="AU55" s="211"/>
      <c r="AV55" s="211"/>
      <c r="AW55" s="211"/>
    </row>
    <row r="56" spans="1:49" ht="15" customHeight="1" x14ac:dyDescent="0.2">
      <c r="A56" s="42"/>
      <c r="B56" s="213"/>
      <c r="C56" s="213"/>
      <c r="D56" s="213"/>
      <c r="E56" s="213"/>
      <c r="F56" s="213"/>
      <c r="G56" s="213"/>
      <c r="H56" s="213"/>
      <c r="I56" s="213"/>
      <c r="J56" s="213"/>
      <c r="K56" s="213"/>
      <c r="L56" s="213"/>
      <c r="M56" s="213"/>
      <c r="N56" s="213"/>
      <c r="O56" s="213"/>
      <c r="P56" s="213"/>
      <c r="Q56" s="213"/>
      <c r="R56" s="213"/>
      <c r="S56" s="213"/>
      <c r="T56" s="213"/>
      <c r="U56" s="213"/>
      <c r="V56" s="213"/>
      <c r="W56" s="213"/>
      <c r="X56" s="213"/>
      <c r="Y56" s="213"/>
      <c r="Z56" s="213"/>
      <c r="AA56" s="213"/>
      <c r="AB56" s="213"/>
      <c r="AC56" s="213"/>
      <c r="AD56" s="213"/>
      <c r="AE56" s="213"/>
      <c r="AF56" s="213"/>
      <c r="AG56" s="213"/>
      <c r="AH56" s="213"/>
      <c r="AI56" s="213"/>
      <c r="AJ56" s="213"/>
      <c r="AK56" s="213"/>
      <c r="AL56" s="213"/>
      <c r="AM56" s="213"/>
      <c r="AN56" s="213"/>
      <c r="AO56" s="213"/>
      <c r="AP56" s="213"/>
      <c r="AQ56" s="213"/>
      <c r="AR56" s="211"/>
      <c r="AS56" s="211"/>
      <c r="AT56" s="211"/>
      <c r="AU56" s="211"/>
      <c r="AV56" s="211"/>
      <c r="AW56" s="211"/>
    </row>
    <row r="57" spans="1:49" ht="15" customHeight="1" x14ac:dyDescent="0.2">
      <c r="A57" s="42"/>
      <c r="B57" s="44" t="str" cm="1">
        <f t="array" aca="1" ref="B57" ca="1">IF(ISNUMBER(INDIRECT(_xlfn.CONCAT($F115,B$114))),"-","")</f>
        <v/>
      </c>
      <c r="C57" s="41" t="str">
        <f ca="1">B57</f>
        <v/>
      </c>
      <c r="D57" s="41" t="str">
        <f t="shared" ref="D57:H57" ca="1" si="28">C57</f>
        <v/>
      </c>
      <c r="E57" s="41" t="str">
        <f t="shared" ca="1" si="28"/>
        <v/>
      </c>
      <c r="F57" s="41" t="str">
        <f t="shared" ca="1" si="28"/>
        <v/>
      </c>
      <c r="G57" s="41" t="str">
        <f t="shared" ca="1" si="28"/>
        <v/>
      </c>
      <c r="H57" s="41" t="str">
        <f t="shared" ca="1" si="28"/>
        <v/>
      </c>
      <c r="I57" s="44" t="str" cm="1">
        <f t="array" aca="1" ref="I57" ca="1">IF(ISNUMBER(INDIRECT(_xlfn.CONCAT($F115,C$114))),"-","")</f>
        <v/>
      </c>
      <c r="J57" s="41" t="str">
        <f ca="1">I57</f>
        <v/>
      </c>
      <c r="K57" s="41" t="str">
        <f t="shared" ref="K57:O57" ca="1" si="29">J57</f>
        <v/>
      </c>
      <c r="L57" s="41" t="str">
        <f t="shared" ca="1" si="29"/>
        <v/>
      </c>
      <c r="M57" s="41" t="str">
        <f t="shared" ca="1" si="29"/>
        <v/>
      </c>
      <c r="N57" s="41" t="str">
        <f t="shared" ca="1" si="29"/>
        <v/>
      </c>
      <c r="O57" s="41" t="str">
        <f t="shared" ca="1" si="29"/>
        <v/>
      </c>
      <c r="P57" s="44" t="str" cm="1">
        <f t="array" aca="1" ref="P57" ca="1">IF(ISNUMBER(INDIRECT(_xlfn.CONCAT($F115,D$114))),"-","")</f>
        <v/>
      </c>
      <c r="Q57" s="41" t="str">
        <f ca="1">P57</f>
        <v/>
      </c>
      <c r="R57" s="41" t="str">
        <f t="shared" ref="R57:V57" ca="1" si="30">Q57</f>
        <v/>
      </c>
      <c r="S57" s="41" t="str">
        <f t="shared" ca="1" si="30"/>
        <v/>
      </c>
      <c r="T57" s="41" t="str">
        <f t="shared" ca="1" si="30"/>
        <v/>
      </c>
      <c r="U57" s="41" t="str">
        <f t="shared" ca="1" si="30"/>
        <v/>
      </c>
      <c r="V57" s="41" t="str">
        <f t="shared" ca="1" si="30"/>
        <v/>
      </c>
      <c r="W57" s="44" t="str" cm="1">
        <f t="array" aca="1" ref="W57" ca="1">IF(ISNUMBER(INDIRECT(_xlfn.CONCAT($F115,E$114))),"-","")</f>
        <v/>
      </c>
      <c r="X57" s="41" t="str">
        <f ca="1">W57</f>
        <v/>
      </c>
      <c r="Y57" s="41" t="str">
        <f t="shared" ref="Y57:AC57" ca="1" si="31">X57</f>
        <v/>
      </c>
      <c r="Z57" s="41" t="str">
        <f t="shared" ca="1" si="31"/>
        <v/>
      </c>
      <c r="AA57" s="41" t="str">
        <f t="shared" ca="1" si="31"/>
        <v/>
      </c>
      <c r="AB57" s="41" t="str">
        <f t="shared" ca="1" si="31"/>
        <v/>
      </c>
      <c r="AC57" s="41" t="str">
        <f t="shared" ca="1" si="31"/>
        <v/>
      </c>
      <c r="AD57" s="44" t="str" cm="1">
        <f t="array" aca="1" ref="AD57" ca="1">IF(ISNUMBER(INDIRECT(_xlfn.CONCAT($F115,F$114))),"-","")</f>
        <v/>
      </c>
      <c r="AE57" s="41" t="str">
        <f ca="1">AD57</f>
        <v/>
      </c>
      <c r="AF57" s="41" t="str">
        <f t="shared" ref="AF57:AJ57" ca="1" si="32">AE57</f>
        <v/>
      </c>
      <c r="AG57" s="41" t="str">
        <f t="shared" ca="1" si="32"/>
        <v/>
      </c>
      <c r="AH57" s="41" t="str">
        <f t="shared" ca="1" si="32"/>
        <v/>
      </c>
      <c r="AI57" s="41" t="str">
        <f t="shared" ca="1" si="32"/>
        <v/>
      </c>
      <c r="AJ57" s="41" t="str">
        <f t="shared" ca="1" si="32"/>
        <v/>
      </c>
      <c r="AK57" s="44" t="str" cm="1">
        <f t="array" aca="1" ref="AK57" ca="1">IF(ISNUMBER(INDIRECT(_xlfn.CONCAT($F115,G$114))),"-","")</f>
        <v/>
      </c>
      <c r="AL57" s="41" t="str">
        <f ca="1">AK57</f>
        <v/>
      </c>
      <c r="AM57" s="41" t="str">
        <f t="shared" ref="AM57:AQ57" ca="1" si="33">AL57</f>
        <v/>
      </c>
      <c r="AN57" s="41" t="str">
        <f t="shared" ca="1" si="33"/>
        <v/>
      </c>
      <c r="AO57" s="41" t="str">
        <f t="shared" ca="1" si="33"/>
        <v/>
      </c>
      <c r="AP57" s="41" t="str">
        <f t="shared" ca="1" si="33"/>
        <v/>
      </c>
      <c r="AQ57" s="41" t="str">
        <f t="shared" ca="1" si="33"/>
        <v/>
      </c>
      <c r="AR57" s="44"/>
      <c r="AS57" s="41"/>
      <c r="AT57" s="41"/>
      <c r="AU57" s="41"/>
      <c r="AV57" s="41"/>
      <c r="AW57" s="41"/>
    </row>
    <row r="58" spans="1:49" ht="15" customHeight="1" x14ac:dyDescent="0.2">
      <c r="A58" s="42"/>
      <c r="B58" s="45" t="str" cm="1">
        <f t="array" aca="1" ref="B58" ca="1">IF(ISBLANK(INDIRECT(_xlfn.CONCAT($F140,B$139))),"",INDIRECT(_xlfn.CONCAT($F140,B$139)))</f>
        <v/>
      </c>
      <c r="C58" s="46"/>
      <c r="D58" s="46"/>
      <c r="E58" s="46"/>
      <c r="F58" s="46"/>
      <c r="G58" s="46"/>
      <c r="H58" s="46"/>
      <c r="I58" s="45" t="str" cm="1">
        <f t="array" aca="1" ref="I58" ca="1">IF(ISBLANK(INDIRECT(_xlfn.CONCAT($F140,C$139))),"",INDIRECT(_xlfn.CONCAT($F140,C$139)))</f>
        <v/>
      </c>
      <c r="J58" s="46"/>
      <c r="K58" s="46"/>
      <c r="L58" s="46"/>
      <c r="M58" s="46"/>
      <c r="N58" s="46"/>
      <c r="O58" s="46"/>
      <c r="P58" s="45" t="str" cm="1">
        <f t="array" aca="1" ref="P58" ca="1">IF(ISBLANK(INDIRECT(_xlfn.CONCAT($F140,D$139))),"",INDIRECT(_xlfn.CONCAT($F140,D$139)))</f>
        <v/>
      </c>
      <c r="Q58" s="46"/>
      <c r="R58" s="46"/>
      <c r="S58" s="46"/>
      <c r="T58" s="46"/>
      <c r="U58" s="46"/>
      <c r="V58" s="46"/>
      <c r="W58" s="45" t="str" cm="1">
        <f t="array" aca="1" ref="W58" ca="1">IF(ISBLANK(INDIRECT(_xlfn.CONCAT($F140,E$139))),"",INDIRECT(_xlfn.CONCAT($F140,E$139)))</f>
        <v/>
      </c>
      <c r="X58" s="46"/>
      <c r="Y58" s="46"/>
      <c r="Z58" s="46"/>
      <c r="AA58" s="46"/>
      <c r="AB58" s="46"/>
      <c r="AC58" s="46"/>
      <c r="AD58" s="45" t="str" cm="1">
        <f t="array" aca="1" ref="AD58" ca="1">IF(ISBLANK(INDIRECT(_xlfn.CONCAT($F140,F$139))),"",INDIRECT(_xlfn.CONCAT($F140,F$139)))</f>
        <v/>
      </c>
      <c r="AE58" s="46"/>
      <c r="AF58" s="46"/>
      <c r="AG58" s="46"/>
      <c r="AH58" s="46"/>
      <c r="AI58" s="46"/>
      <c r="AJ58" s="46"/>
      <c r="AK58" s="45" t="str" cm="1">
        <f t="array" aca="1" ref="AK58" ca="1">IF(ISBLANK(INDIRECT(_xlfn.CONCAT($F140,G$139))),"",INDIRECT(_xlfn.CONCAT($F140,G$139)))</f>
        <v/>
      </c>
      <c r="AL58" s="46"/>
      <c r="AM58" s="46"/>
      <c r="AN58" s="46"/>
      <c r="AO58" s="46"/>
      <c r="AP58" s="46"/>
      <c r="AQ58" s="46"/>
      <c r="AR58" s="45"/>
      <c r="AS58" s="46"/>
      <c r="AT58" s="46"/>
      <c r="AU58" s="46"/>
      <c r="AV58" s="46"/>
      <c r="AW58" s="46"/>
    </row>
    <row r="59" spans="1:49" ht="15" customHeight="1" x14ac:dyDescent="0.2">
      <c r="A59" s="42"/>
      <c r="B59" s="213" t="str" cm="1">
        <f t="array" ref="B59">IF(INDEX($U$177:$AI$182,B$186,$F187)="-","",INDEX($U$177:$AI$182,B$186,$F187))</f>
        <v/>
      </c>
      <c r="C59" s="213"/>
      <c r="D59" s="213"/>
      <c r="E59" s="213"/>
      <c r="F59" s="213"/>
      <c r="G59" s="213"/>
      <c r="H59" s="213"/>
      <c r="I59" s="213" t="str" cm="1">
        <f t="array" ref="I59">IF(INDEX($U$177:$AI$182,C$186,$F187)="-","",INDEX($U$177:$AI$182,C$186,$F187))</f>
        <v/>
      </c>
      <c r="J59" s="213"/>
      <c r="K59" s="213"/>
      <c r="L59" s="213"/>
      <c r="M59" s="213"/>
      <c r="N59" s="213"/>
      <c r="O59" s="213"/>
      <c r="P59" s="213" t="str" cm="1">
        <f t="array" ref="P59">IF(INDEX($U$177:$AI$182,D$186,$F187)="-","",INDEX($U$177:$AI$182,D$186,$F187))</f>
        <v/>
      </c>
      <c r="Q59" s="213"/>
      <c r="R59" s="213"/>
      <c r="S59" s="213"/>
      <c r="T59" s="213"/>
      <c r="U59" s="213"/>
      <c r="V59" s="213"/>
      <c r="W59" s="213" t="str" cm="1">
        <f t="array" ref="W59">IF(INDEX($U$177:$AI$182,E$186,$F187)="-","",INDEX($U$177:$AI$182,E$186,$F187))</f>
        <v/>
      </c>
      <c r="X59" s="213"/>
      <c r="Y59" s="213"/>
      <c r="Z59" s="213"/>
      <c r="AA59" s="213"/>
      <c r="AB59" s="213"/>
      <c r="AC59" s="213"/>
      <c r="AD59" s="213" t="str" cm="1">
        <f t="array" ref="AD59">IF(INDEX($U$177:$AI$182,F$186,$F187)="-","",INDEX($U$177:$AI$182,F$186,$F187))</f>
        <v/>
      </c>
      <c r="AE59" s="213"/>
      <c r="AF59" s="213"/>
      <c r="AG59" s="213"/>
      <c r="AH59" s="213"/>
      <c r="AI59" s="213"/>
      <c r="AJ59" s="213"/>
      <c r="AK59" s="213" t="str" cm="1">
        <f t="array" ref="AK59">IF(INDEX($U$177:$AI$182,G$186,$F187)="-","",INDEX($U$177:$AI$182,G$186,$F187))</f>
        <v/>
      </c>
      <c r="AL59" s="213"/>
      <c r="AM59" s="213"/>
      <c r="AN59" s="213"/>
      <c r="AO59" s="213"/>
      <c r="AP59" s="213"/>
      <c r="AQ59" s="213"/>
      <c r="AR59" s="211"/>
      <c r="AS59" s="211"/>
      <c r="AT59" s="211"/>
      <c r="AU59" s="211"/>
      <c r="AV59" s="211"/>
      <c r="AW59" s="211"/>
    </row>
    <row r="60" spans="1:49" ht="15" customHeight="1" x14ac:dyDescent="0.2">
      <c r="A60" s="42"/>
      <c r="B60" s="213"/>
      <c r="C60" s="213"/>
      <c r="D60" s="213"/>
      <c r="E60" s="213"/>
      <c r="F60" s="213"/>
      <c r="G60" s="213"/>
      <c r="H60" s="213"/>
      <c r="I60" s="213"/>
      <c r="J60" s="213"/>
      <c r="K60" s="213"/>
      <c r="L60" s="213"/>
      <c r="M60" s="213"/>
      <c r="N60" s="213"/>
      <c r="O60" s="213"/>
      <c r="P60" s="213"/>
      <c r="Q60" s="213"/>
      <c r="R60" s="213"/>
      <c r="S60" s="213"/>
      <c r="T60" s="213"/>
      <c r="U60" s="213"/>
      <c r="V60" s="213"/>
      <c r="W60" s="213"/>
      <c r="X60" s="213"/>
      <c r="Y60" s="213"/>
      <c r="Z60" s="213"/>
      <c r="AA60" s="213"/>
      <c r="AB60" s="213"/>
      <c r="AC60" s="213"/>
      <c r="AD60" s="213"/>
      <c r="AE60" s="213"/>
      <c r="AF60" s="213"/>
      <c r="AG60" s="213"/>
      <c r="AH60" s="213"/>
      <c r="AI60" s="213"/>
      <c r="AJ60" s="213"/>
      <c r="AK60" s="213"/>
      <c r="AL60" s="213"/>
      <c r="AM60" s="213"/>
      <c r="AN60" s="213"/>
      <c r="AO60" s="213"/>
      <c r="AP60" s="213"/>
      <c r="AQ60" s="213"/>
      <c r="AR60" s="211"/>
      <c r="AS60" s="211"/>
      <c r="AT60" s="211"/>
      <c r="AU60" s="211"/>
      <c r="AV60" s="211"/>
      <c r="AW60" s="211"/>
    </row>
    <row r="61" spans="1:49" ht="15" customHeight="1" x14ac:dyDescent="0.2">
      <c r="A61" s="42"/>
      <c r="B61" s="213"/>
      <c r="C61" s="213"/>
      <c r="D61" s="213"/>
      <c r="E61" s="213"/>
      <c r="F61" s="213"/>
      <c r="G61" s="213"/>
      <c r="H61" s="213"/>
      <c r="I61" s="213"/>
      <c r="J61" s="213"/>
      <c r="K61" s="213"/>
      <c r="L61" s="213"/>
      <c r="M61" s="213"/>
      <c r="N61" s="213"/>
      <c r="O61" s="213"/>
      <c r="P61" s="213"/>
      <c r="Q61" s="213"/>
      <c r="R61" s="213"/>
      <c r="S61" s="213"/>
      <c r="T61" s="213"/>
      <c r="U61" s="213"/>
      <c r="V61" s="213"/>
      <c r="W61" s="213"/>
      <c r="X61" s="213"/>
      <c r="Y61" s="213"/>
      <c r="Z61" s="213"/>
      <c r="AA61" s="213"/>
      <c r="AB61" s="213"/>
      <c r="AC61" s="213"/>
      <c r="AD61" s="213"/>
      <c r="AE61" s="213"/>
      <c r="AF61" s="213"/>
      <c r="AG61" s="213"/>
      <c r="AH61" s="213"/>
      <c r="AI61" s="213"/>
      <c r="AJ61" s="213"/>
      <c r="AK61" s="213"/>
      <c r="AL61" s="213"/>
      <c r="AM61" s="213"/>
      <c r="AN61" s="213"/>
      <c r="AO61" s="213"/>
      <c r="AP61" s="213"/>
      <c r="AQ61" s="213"/>
      <c r="AR61" s="211"/>
      <c r="AS61" s="211"/>
      <c r="AT61" s="211"/>
      <c r="AU61" s="211"/>
      <c r="AV61" s="211"/>
      <c r="AW61" s="211"/>
    </row>
    <row r="62" spans="1:49" ht="15" customHeight="1" x14ac:dyDescent="0.2">
      <c r="A62" s="42"/>
      <c r="B62" s="44" t="str" cm="1">
        <f t="array" aca="1" ref="B62" ca="1">IF(ISNUMBER(INDIRECT(_xlfn.CONCAT($G115,B$114))),"-","")</f>
        <v/>
      </c>
      <c r="C62" s="41" t="str">
        <f ca="1">B62</f>
        <v/>
      </c>
      <c r="D62" s="41" t="str">
        <f t="shared" ref="D62:H62" ca="1" si="34">C62</f>
        <v/>
      </c>
      <c r="E62" s="41" t="str">
        <f t="shared" ca="1" si="34"/>
        <v/>
      </c>
      <c r="F62" s="41" t="str">
        <f t="shared" ca="1" si="34"/>
        <v/>
      </c>
      <c r="G62" s="41" t="str">
        <f t="shared" ca="1" si="34"/>
        <v/>
      </c>
      <c r="H62" s="41" t="str">
        <f t="shared" ca="1" si="34"/>
        <v/>
      </c>
      <c r="I62" s="44" t="str" cm="1">
        <f t="array" aca="1" ref="I62" ca="1">IF(ISNUMBER(INDIRECT(_xlfn.CONCAT($G115,C$114))),"-","")</f>
        <v/>
      </c>
      <c r="J62" s="41" t="str">
        <f ca="1">I62</f>
        <v/>
      </c>
      <c r="K62" s="41" t="str">
        <f t="shared" ref="K62:O62" ca="1" si="35">J62</f>
        <v/>
      </c>
      <c r="L62" s="41" t="str">
        <f t="shared" ca="1" si="35"/>
        <v/>
      </c>
      <c r="M62" s="41" t="str">
        <f t="shared" ca="1" si="35"/>
        <v/>
      </c>
      <c r="N62" s="41" t="str">
        <f t="shared" ca="1" si="35"/>
        <v/>
      </c>
      <c r="O62" s="41" t="str">
        <f t="shared" ca="1" si="35"/>
        <v/>
      </c>
      <c r="P62" s="44" t="str" cm="1">
        <f t="array" aca="1" ref="P62" ca="1">IF(ISNUMBER(INDIRECT(_xlfn.CONCAT($G115,D$114))),"-","")</f>
        <v/>
      </c>
      <c r="Q62" s="41" t="str">
        <f ca="1">P62</f>
        <v/>
      </c>
      <c r="R62" s="41" t="str">
        <f t="shared" ref="R62:V62" ca="1" si="36">Q62</f>
        <v/>
      </c>
      <c r="S62" s="41" t="str">
        <f t="shared" ca="1" si="36"/>
        <v/>
      </c>
      <c r="T62" s="41" t="str">
        <f t="shared" ca="1" si="36"/>
        <v/>
      </c>
      <c r="U62" s="41" t="str">
        <f t="shared" ca="1" si="36"/>
        <v/>
      </c>
      <c r="V62" s="41" t="str">
        <f t="shared" ca="1" si="36"/>
        <v/>
      </c>
      <c r="W62" s="44" t="str" cm="1">
        <f t="array" aca="1" ref="W62" ca="1">IF(ISNUMBER(INDIRECT(_xlfn.CONCAT($G115,E$114))),"-","")</f>
        <v/>
      </c>
      <c r="X62" s="41" t="str">
        <f ca="1">W62</f>
        <v/>
      </c>
      <c r="Y62" s="41" t="str">
        <f t="shared" ref="Y62:AC62" ca="1" si="37">X62</f>
        <v/>
      </c>
      <c r="Z62" s="41" t="str">
        <f t="shared" ca="1" si="37"/>
        <v/>
      </c>
      <c r="AA62" s="41" t="str">
        <f t="shared" ca="1" si="37"/>
        <v/>
      </c>
      <c r="AB62" s="41" t="str">
        <f t="shared" ca="1" si="37"/>
        <v/>
      </c>
      <c r="AC62" s="41" t="str">
        <f t="shared" ca="1" si="37"/>
        <v/>
      </c>
      <c r="AD62" s="44" t="str" cm="1">
        <f t="array" aca="1" ref="AD62" ca="1">IF(ISNUMBER(INDIRECT(_xlfn.CONCAT($G115,F$114))),"-","")</f>
        <v/>
      </c>
      <c r="AE62" s="41" t="str">
        <f ca="1">AD62</f>
        <v/>
      </c>
      <c r="AF62" s="41" t="str">
        <f t="shared" ref="AF62:AJ62" ca="1" si="38">AE62</f>
        <v/>
      </c>
      <c r="AG62" s="41" t="str">
        <f t="shared" ca="1" si="38"/>
        <v/>
      </c>
      <c r="AH62" s="41" t="str">
        <f t="shared" ca="1" si="38"/>
        <v/>
      </c>
      <c r="AI62" s="41" t="str">
        <f t="shared" ca="1" si="38"/>
        <v/>
      </c>
      <c r="AJ62" s="41" t="str">
        <f t="shared" ca="1" si="38"/>
        <v/>
      </c>
      <c r="AK62" s="44" t="str" cm="1">
        <f t="array" aca="1" ref="AK62" ca="1">IF(ISNUMBER(INDIRECT(_xlfn.CONCAT($G115,G$114))),"-","")</f>
        <v/>
      </c>
      <c r="AL62" s="41" t="str">
        <f ca="1">AK62</f>
        <v/>
      </c>
      <c r="AM62" s="41" t="str">
        <f t="shared" ref="AM62:AQ62" ca="1" si="39">AL62</f>
        <v/>
      </c>
      <c r="AN62" s="41" t="str">
        <f t="shared" ca="1" si="39"/>
        <v/>
      </c>
      <c r="AO62" s="41" t="str">
        <f t="shared" ca="1" si="39"/>
        <v/>
      </c>
      <c r="AP62" s="41" t="str">
        <f t="shared" ca="1" si="39"/>
        <v/>
      </c>
      <c r="AQ62" s="41" t="str">
        <f t="shared" ca="1" si="39"/>
        <v/>
      </c>
      <c r="AR62" s="44"/>
      <c r="AS62" s="41"/>
      <c r="AT62" s="41"/>
      <c r="AU62" s="41"/>
      <c r="AV62" s="41"/>
      <c r="AW62" s="41"/>
    </row>
    <row r="63" spans="1:49" ht="15" customHeight="1" x14ac:dyDescent="0.2">
      <c r="A63" s="42"/>
      <c r="B63" s="45" t="str" cm="1">
        <f t="array" aca="1" ref="B63" ca="1">IF(ISBLANK(INDIRECT(_xlfn.CONCAT($G140,B$139))),"",INDIRECT(_xlfn.CONCAT($G140,B$139)))</f>
        <v/>
      </c>
      <c r="C63" s="46"/>
      <c r="D63" s="46"/>
      <c r="E63" s="46"/>
      <c r="F63" s="46"/>
      <c r="G63" s="46"/>
      <c r="H63" s="46"/>
      <c r="I63" s="45" t="str" cm="1">
        <f t="array" aca="1" ref="I63" ca="1">IF(ISBLANK(INDIRECT(_xlfn.CONCAT($G140,C$139))),"",INDIRECT(_xlfn.CONCAT($G140,C$139)))</f>
        <v/>
      </c>
      <c r="J63" s="46"/>
      <c r="K63" s="46"/>
      <c r="L63" s="46"/>
      <c r="M63" s="46"/>
      <c r="N63" s="46"/>
      <c r="O63" s="46"/>
      <c r="P63" s="45" t="str" cm="1">
        <f t="array" aca="1" ref="P63" ca="1">IF(ISBLANK(INDIRECT(_xlfn.CONCAT($G140,D$139))),"",INDIRECT(_xlfn.CONCAT($G140,D$139)))</f>
        <v/>
      </c>
      <c r="Q63" s="46"/>
      <c r="R63" s="46"/>
      <c r="S63" s="46"/>
      <c r="T63" s="46"/>
      <c r="U63" s="46"/>
      <c r="V63" s="46"/>
      <c r="W63" s="45" t="str" cm="1">
        <f t="array" aca="1" ref="W63" ca="1">IF(ISBLANK(INDIRECT(_xlfn.CONCAT($G140,E$139))),"",INDIRECT(_xlfn.CONCAT($G140,E$139)))</f>
        <v/>
      </c>
      <c r="X63" s="46"/>
      <c r="Y63" s="46"/>
      <c r="Z63" s="46"/>
      <c r="AA63" s="46"/>
      <c r="AB63" s="46"/>
      <c r="AC63" s="46"/>
      <c r="AD63" s="45" t="str" cm="1">
        <f t="array" aca="1" ref="AD63" ca="1">IF(ISBLANK(INDIRECT(_xlfn.CONCAT($G140,F$139))),"",INDIRECT(_xlfn.CONCAT($G140,F$139)))</f>
        <v/>
      </c>
      <c r="AE63" s="46"/>
      <c r="AF63" s="46"/>
      <c r="AG63" s="46"/>
      <c r="AH63" s="46"/>
      <c r="AI63" s="46"/>
      <c r="AJ63" s="46"/>
      <c r="AK63" s="45" t="str" cm="1">
        <f t="array" aca="1" ref="AK63" ca="1">IF(ISBLANK(INDIRECT(_xlfn.CONCAT($G140,G$139))),"",INDIRECT(_xlfn.CONCAT($G140,G$139)))</f>
        <v/>
      </c>
      <c r="AL63" s="46"/>
      <c r="AM63" s="46"/>
      <c r="AN63" s="46"/>
      <c r="AO63" s="46"/>
      <c r="AP63" s="46"/>
      <c r="AQ63" s="46"/>
      <c r="AR63" s="45"/>
      <c r="AS63" s="46"/>
      <c r="AT63" s="46"/>
      <c r="AU63" s="46"/>
      <c r="AV63" s="46"/>
      <c r="AW63" s="46"/>
    </row>
    <row r="64" spans="1:49" ht="15" customHeight="1" x14ac:dyDescent="0.2">
      <c r="A64" s="42"/>
      <c r="B64" s="213" t="str" cm="1">
        <f t="array" ref="B64">IF(INDEX($U$177:$AI$182,B$186,$G187)="-","",INDEX($U$177:$AI$182,B$186,$G187))</f>
        <v/>
      </c>
      <c r="C64" s="213"/>
      <c r="D64" s="213"/>
      <c r="E64" s="213"/>
      <c r="F64" s="213"/>
      <c r="G64" s="213"/>
      <c r="H64" s="213"/>
      <c r="I64" s="213" t="str" cm="1">
        <f t="array" ref="I64">IF(INDEX($U$177:$AI$182,C$186,$G187)="-","",INDEX($U$177:$AI$182,C$186,$G187))</f>
        <v/>
      </c>
      <c r="J64" s="213"/>
      <c r="K64" s="213"/>
      <c r="L64" s="213"/>
      <c r="M64" s="213"/>
      <c r="N64" s="213"/>
      <c r="O64" s="213"/>
      <c r="P64" s="213" t="str" cm="1">
        <f t="array" ref="P64">IF(INDEX($U$177:$AI$182,D$186,$G187)="-","",INDEX($U$177:$AI$182,D$186,$G187))</f>
        <v/>
      </c>
      <c r="Q64" s="213"/>
      <c r="R64" s="213"/>
      <c r="S64" s="213"/>
      <c r="T64" s="213"/>
      <c r="U64" s="213"/>
      <c r="V64" s="213"/>
      <c r="W64" s="213" t="str" cm="1">
        <f t="array" ref="W64">IF(INDEX($U$177:$AI$182,E$186,$G187)="-","",INDEX($U$177:$AI$182,E$186,$G187))</f>
        <v/>
      </c>
      <c r="X64" s="213"/>
      <c r="Y64" s="213"/>
      <c r="Z64" s="213"/>
      <c r="AA64" s="213"/>
      <c r="AB64" s="213"/>
      <c r="AC64" s="213"/>
      <c r="AD64" s="213" t="str" cm="1">
        <f t="array" ref="AD64">IF(INDEX($U$177:$AI$182,F$186,$G187)="-","",INDEX($U$177:$AI$182,F$186,$G187))</f>
        <v/>
      </c>
      <c r="AE64" s="213"/>
      <c r="AF64" s="213"/>
      <c r="AG64" s="213"/>
      <c r="AH64" s="213"/>
      <c r="AI64" s="213"/>
      <c r="AJ64" s="213"/>
      <c r="AK64" s="213" t="str" cm="1">
        <f t="array" ref="AK64">IF(INDEX($U$177:$AI$182,G$186,$G187)="-","",INDEX($U$177:$AI$182,G$186,$G187))</f>
        <v/>
      </c>
      <c r="AL64" s="213"/>
      <c r="AM64" s="213"/>
      <c r="AN64" s="213"/>
      <c r="AO64" s="213"/>
      <c r="AP64" s="213"/>
      <c r="AQ64" s="213"/>
      <c r="AR64" s="211"/>
      <c r="AS64" s="211"/>
      <c r="AT64" s="211"/>
      <c r="AU64" s="211"/>
      <c r="AV64" s="211"/>
      <c r="AW64" s="211"/>
    </row>
    <row r="65" spans="1:49" ht="15" customHeight="1" x14ac:dyDescent="0.2">
      <c r="A65" s="42"/>
      <c r="B65" s="213"/>
      <c r="C65" s="213"/>
      <c r="D65" s="213"/>
      <c r="E65" s="213"/>
      <c r="F65" s="213"/>
      <c r="G65" s="213"/>
      <c r="H65" s="213"/>
      <c r="I65" s="213"/>
      <c r="J65" s="213"/>
      <c r="K65" s="213"/>
      <c r="L65" s="213"/>
      <c r="M65" s="213"/>
      <c r="N65" s="213"/>
      <c r="O65" s="213"/>
      <c r="P65" s="213"/>
      <c r="Q65" s="213"/>
      <c r="R65" s="213"/>
      <c r="S65" s="213"/>
      <c r="T65" s="213"/>
      <c r="U65" s="213"/>
      <c r="V65" s="213"/>
      <c r="W65" s="213"/>
      <c r="X65" s="213"/>
      <c r="Y65" s="213"/>
      <c r="Z65" s="213"/>
      <c r="AA65" s="213"/>
      <c r="AB65" s="213"/>
      <c r="AC65" s="213"/>
      <c r="AD65" s="213"/>
      <c r="AE65" s="213"/>
      <c r="AF65" s="213"/>
      <c r="AG65" s="213"/>
      <c r="AH65" s="213"/>
      <c r="AI65" s="213"/>
      <c r="AJ65" s="213"/>
      <c r="AK65" s="213"/>
      <c r="AL65" s="213"/>
      <c r="AM65" s="213"/>
      <c r="AN65" s="213"/>
      <c r="AO65" s="213"/>
      <c r="AP65" s="213"/>
      <c r="AQ65" s="213"/>
      <c r="AR65" s="211"/>
      <c r="AS65" s="211"/>
      <c r="AT65" s="211"/>
      <c r="AU65" s="211"/>
      <c r="AV65" s="211"/>
      <c r="AW65" s="211"/>
    </row>
    <row r="66" spans="1:49" ht="15" customHeight="1" x14ac:dyDescent="0.2">
      <c r="A66" s="42"/>
      <c r="B66" s="213"/>
      <c r="C66" s="213"/>
      <c r="D66" s="213"/>
      <c r="E66" s="213"/>
      <c r="F66" s="213"/>
      <c r="G66" s="213"/>
      <c r="H66" s="213"/>
      <c r="I66" s="213"/>
      <c r="J66" s="213"/>
      <c r="K66" s="213"/>
      <c r="L66" s="213"/>
      <c r="M66" s="213"/>
      <c r="N66" s="213"/>
      <c r="O66" s="213"/>
      <c r="P66" s="213"/>
      <c r="Q66" s="213"/>
      <c r="R66" s="213"/>
      <c r="S66" s="213"/>
      <c r="T66" s="213"/>
      <c r="U66" s="213"/>
      <c r="V66" s="213"/>
      <c r="W66" s="213"/>
      <c r="X66" s="213"/>
      <c r="Y66" s="213"/>
      <c r="Z66" s="213"/>
      <c r="AA66" s="213"/>
      <c r="AB66" s="213"/>
      <c r="AC66" s="213"/>
      <c r="AD66" s="213"/>
      <c r="AE66" s="213"/>
      <c r="AF66" s="213"/>
      <c r="AG66" s="213"/>
      <c r="AH66" s="213"/>
      <c r="AI66" s="213"/>
      <c r="AJ66" s="213"/>
      <c r="AK66" s="213"/>
      <c r="AL66" s="213"/>
      <c r="AM66" s="213"/>
      <c r="AN66" s="213"/>
      <c r="AO66" s="213"/>
      <c r="AP66" s="213"/>
      <c r="AQ66" s="213"/>
      <c r="AR66" s="211"/>
      <c r="AS66" s="211"/>
      <c r="AT66" s="211"/>
      <c r="AU66" s="211"/>
      <c r="AV66" s="211"/>
      <c r="AW66" s="211"/>
    </row>
    <row r="67" spans="1:49" ht="15" customHeight="1" x14ac:dyDescent="0.2">
      <c r="A67" s="42"/>
      <c r="B67" s="44" t="str" cm="1">
        <f t="array" aca="1" ref="B67" ca="1">IF(ISNUMBER(INDIRECT(_xlfn.CONCAT($H115,B$114))),"-","")</f>
        <v/>
      </c>
      <c r="C67" s="41" t="str">
        <f ca="1">B67</f>
        <v/>
      </c>
      <c r="D67" s="41" t="str">
        <f t="shared" ref="D67:H67" ca="1" si="40">C67</f>
        <v/>
      </c>
      <c r="E67" s="41" t="str">
        <f t="shared" ca="1" si="40"/>
        <v/>
      </c>
      <c r="F67" s="41" t="str">
        <f t="shared" ca="1" si="40"/>
        <v/>
      </c>
      <c r="G67" s="41" t="str">
        <f t="shared" ca="1" si="40"/>
        <v/>
      </c>
      <c r="H67" s="41" t="str">
        <f t="shared" ca="1" si="40"/>
        <v/>
      </c>
      <c r="I67" s="44" t="str" cm="1">
        <f t="array" aca="1" ref="I67" ca="1">IF(ISNUMBER(INDIRECT(_xlfn.CONCAT($H115,C$114))),"-","")</f>
        <v/>
      </c>
      <c r="J67" s="41" t="str">
        <f ca="1">I67</f>
        <v/>
      </c>
      <c r="K67" s="41" t="str">
        <f t="shared" ref="K67:O67" ca="1" si="41">J67</f>
        <v/>
      </c>
      <c r="L67" s="41" t="str">
        <f t="shared" ca="1" si="41"/>
        <v/>
      </c>
      <c r="M67" s="41" t="str">
        <f t="shared" ca="1" si="41"/>
        <v/>
      </c>
      <c r="N67" s="41" t="str">
        <f t="shared" ca="1" si="41"/>
        <v/>
      </c>
      <c r="O67" s="41" t="str">
        <f t="shared" ca="1" si="41"/>
        <v/>
      </c>
      <c r="P67" s="44" t="str" cm="1">
        <f t="array" aca="1" ref="P67" ca="1">IF(ISNUMBER(INDIRECT(_xlfn.CONCAT($H115,D$114))),"-","")</f>
        <v/>
      </c>
      <c r="Q67" s="41" t="str">
        <f ca="1">P67</f>
        <v/>
      </c>
      <c r="R67" s="41" t="str">
        <f t="shared" ref="R67:V67" ca="1" si="42">Q67</f>
        <v/>
      </c>
      <c r="S67" s="41" t="str">
        <f t="shared" ca="1" si="42"/>
        <v/>
      </c>
      <c r="T67" s="41" t="str">
        <f t="shared" ca="1" si="42"/>
        <v/>
      </c>
      <c r="U67" s="41" t="str">
        <f t="shared" ca="1" si="42"/>
        <v/>
      </c>
      <c r="V67" s="41" t="str">
        <f t="shared" ca="1" si="42"/>
        <v/>
      </c>
      <c r="W67" s="44" t="str" cm="1">
        <f t="array" aca="1" ref="W67" ca="1">IF(ISNUMBER(INDIRECT(_xlfn.CONCAT($H115,E$114))),"-","")</f>
        <v/>
      </c>
      <c r="X67" s="41" t="str">
        <f ca="1">W67</f>
        <v/>
      </c>
      <c r="Y67" s="41" t="str">
        <f t="shared" ref="Y67:AC67" ca="1" si="43">X67</f>
        <v/>
      </c>
      <c r="Z67" s="41" t="str">
        <f t="shared" ca="1" si="43"/>
        <v/>
      </c>
      <c r="AA67" s="41" t="str">
        <f t="shared" ca="1" si="43"/>
        <v/>
      </c>
      <c r="AB67" s="41" t="str">
        <f t="shared" ca="1" si="43"/>
        <v/>
      </c>
      <c r="AC67" s="41" t="str">
        <f t="shared" ca="1" si="43"/>
        <v/>
      </c>
      <c r="AD67" s="44" t="str" cm="1">
        <f t="array" aca="1" ref="AD67" ca="1">IF(ISNUMBER(INDIRECT(_xlfn.CONCAT($H115,F$114))),"-","")</f>
        <v/>
      </c>
      <c r="AE67" s="41" t="str">
        <f ca="1">AD67</f>
        <v/>
      </c>
      <c r="AF67" s="41" t="str">
        <f t="shared" ref="AF67:AJ67" ca="1" si="44">AE67</f>
        <v/>
      </c>
      <c r="AG67" s="41" t="str">
        <f t="shared" ca="1" si="44"/>
        <v/>
      </c>
      <c r="AH67" s="41" t="str">
        <f t="shared" ca="1" si="44"/>
        <v/>
      </c>
      <c r="AI67" s="41" t="str">
        <f t="shared" ca="1" si="44"/>
        <v/>
      </c>
      <c r="AJ67" s="41" t="str">
        <f t="shared" ca="1" si="44"/>
        <v/>
      </c>
      <c r="AK67" s="44" t="str" cm="1">
        <f t="array" aca="1" ref="AK67" ca="1">IF(ISNUMBER(INDIRECT(_xlfn.CONCAT($H115,G$114))),"-","")</f>
        <v/>
      </c>
      <c r="AL67" s="41" t="str">
        <f ca="1">AK67</f>
        <v/>
      </c>
      <c r="AM67" s="41" t="str">
        <f t="shared" ref="AM67:AQ67" ca="1" si="45">AL67</f>
        <v/>
      </c>
      <c r="AN67" s="41" t="str">
        <f t="shared" ca="1" si="45"/>
        <v/>
      </c>
      <c r="AO67" s="41" t="str">
        <f t="shared" ca="1" si="45"/>
        <v/>
      </c>
      <c r="AP67" s="41" t="str">
        <f t="shared" ca="1" si="45"/>
        <v/>
      </c>
      <c r="AQ67" s="41" t="str">
        <f t="shared" ca="1" si="45"/>
        <v/>
      </c>
      <c r="AR67" s="44"/>
      <c r="AS67" s="41"/>
      <c r="AT67" s="41"/>
      <c r="AU67" s="41"/>
      <c r="AV67" s="41"/>
      <c r="AW67" s="41"/>
    </row>
    <row r="68" spans="1:49" ht="15" customHeight="1" x14ac:dyDescent="0.2">
      <c r="A68" s="42"/>
      <c r="B68" s="45" t="str" cm="1">
        <f t="array" aca="1" ref="B68" ca="1">IF(ISBLANK(INDIRECT(_xlfn.CONCAT($H140,B$139))),"",INDIRECT(_xlfn.CONCAT($H140,B$139)))</f>
        <v/>
      </c>
      <c r="C68" s="46"/>
      <c r="D68" s="46"/>
      <c r="E68" s="46"/>
      <c r="F68" s="46"/>
      <c r="G68" s="46"/>
      <c r="H68" s="46"/>
      <c r="I68" s="45" t="str" cm="1">
        <f t="array" aca="1" ref="I68" ca="1">IF(ISBLANK(INDIRECT(_xlfn.CONCAT($H140,C$139))),"",INDIRECT(_xlfn.CONCAT($H140,C$139)))</f>
        <v/>
      </c>
      <c r="J68" s="46"/>
      <c r="K68" s="46"/>
      <c r="L68" s="46"/>
      <c r="M68" s="46"/>
      <c r="N68" s="46"/>
      <c r="O68" s="46"/>
      <c r="P68" s="45" t="str" cm="1">
        <f t="array" aca="1" ref="P68" ca="1">IF(ISBLANK(INDIRECT(_xlfn.CONCAT($H140,D$139))),"",INDIRECT(_xlfn.CONCAT($H140,D$139)))</f>
        <v/>
      </c>
      <c r="Q68" s="46"/>
      <c r="R68" s="46"/>
      <c r="S68" s="46"/>
      <c r="T68" s="46"/>
      <c r="U68" s="46"/>
      <c r="V68" s="46"/>
      <c r="W68" s="45" t="str" cm="1">
        <f t="array" aca="1" ref="W68" ca="1">IF(ISBLANK(INDIRECT(_xlfn.CONCAT($H140,E$139))),"",INDIRECT(_xlfn.CONCAT($H140,E$139)))</f>
        <v/>
      </c>
      <c r="X68" s="46"/>
      <c r="Y68" s="46"/>
      <c r="Z68" s="46"/>
      <c r="AA68" s="46"/>
      <c r="AB68" s="46"/>
      <c r="AC68" s="46"/>
      <c r="AD68" s="45" t="str" cm="1">
        <f t="array" aca="1" ref="AD68" ca="1">IF(ISBLANK(INDIRECT(_xlfn.CONCAT($H140,F$139))),"",INDIRECT(_xlfn.CONCAT($H140,F$139)))</f>
        <v/>
      </c>
      <c r="AE68" s="46"/>
      <c r="AF68" s="46"/>
      <c r="AG68" s="46"/>
      <c r="AH68" s="46"/>
      <c r="AI68" s="46"/>
      <c r="AJ68" s="46"/>
      <c r="AK68" s="45" t="str" cm="1">
        <f t="array" aca="1" ref="AK68" ca="1">IF(ISBLANK(INDIRECT(_xlfn.CONCAT($H140,G$139))),"",INDIRECT(_xlfn.CONCAT($H140,G$139)))</f>
        <v/>
      </c>
      <c r="AL68" s="46"/>
      <c r="AM68" s="46"/>
      <c r="AN68" s="46"/>
      <c r="AO68" s="46"/>
      <c r="AP68" s="46"/>
      <c r="AQ68" s="46"/>
      <c r="AR68" s="45"/>
      <c r="AS68" s="46"/>
      <c r="AT68" s="46"/>
      <c r="AU68" s="46"/>
      <c r="AV68" s="46"/>
      <c r="AW68" s="46"/>
    </row>
    <row r="69" spans="1:49" ht="15" customHeight="1" x14ac:dyDescent="0.2">
      <c r="A69" s="42"/>
      <c r="B69" s="213" t="str" cm="1">
        <f t="array" ref="B69">IF(INDEX($U$177:$AI$182,B$186,$H187)="-","",INDEX($U$177:$AI$182,B$186,$H187))</f>
        <v/>
      </c>
      <c r="C69" s="213"/>
      <c r="D69" s="213"/>
      <c r="E69" s="213"/>
      <c r="F69" s="213"/>
      <c r="G69" s="213"/>
      <c r="H69" s="213"/>
      <c r="I69" s="213" t="str" cm="1">
        <f t="array" ref="I69">IF(INDEX($U$177:$AI$182,C$186,$H187)="-","",INDEX($U$177:$AI$182,C$186,$H187))</f>
        <v/>
      </c>
      <c r="J69" s="213"/>
      <c r="K69" s="213"/>
      <c r="L69" s="213"/>
      <c r="M69" s="213"/>
      <c r="N69" s="213"/>
      <c r="O69" s="213"/>
      <c r="P69" s="213" t="str" cm="1">
        <f t="array" ref="P69">IF(INDEX($U$177:$AI$182,D$186,$H187)="-","",INDEX($U$177:$AI$182,D$186,$H187))</f>
        <v/>
      </c>
      <c r="Q69" s="213"/>
      <c r="R69" s="213"/>
      <c r="S69" s="213"/>
      <c r="T69" s="213"/>
      <c r="U69" s="213"/>
      <c r="V69" s="213"/>
      <c r="W69" s="213" t="str" cm="1">
        <f t="array" ref="W69">IF(INDEX($U$177:$AI$182,E$186,$H187)="-","",INDEX($U$177:$AI$182,E$186,$H187))</f>
        <v/>
      </c>
      <c r="X69" s="213"/>
      <c r="Y69" s="213"/>
      <c r="Z69" s="213"/>
      <c r="AA69" s="213"/>
      <c r="AB69" s="213"/>
      <c r="AC69" s="213"/>
      <c r="AD69" s="213" t="str" cm="1">
        <f t="array" ref="AD69">IF(INDEX($U$177:$AI$182,F$186,$H187)="-","",INDEX($U$177:$AI$182,F$186,$H187))</f>
        <v/>
      </c>
      <c r="AE69" s="213"/>
      <c r="AF69" s="213"/>
      <c r="AG69" s="213"/>
      <c r="AH69" s="213"/>
      <c r="AI69" s="213"/>
      <c r="AJ69" s="213"/>
      <c r="AK69" s="213" t="str" cm="1">
        <f t="array" ref="AK69">IF(INDEX($U$177:$AI$182,G$186,$H187)="-","",INDEX($U$177:$AI$182,G$186,$H187))</f>
        <v/>
      </c>
      <c r="AL69" s="213"/>
      <c r="AM69" s="213"/>
      <c r="AN69" s="213"/>
      <c r="AO69" s="213"/>
      <c r="AP69" s="213"/>
      <c r="AQ69" s="213"/>
      <c r="AR69" s="211"/>
      <c r="AS69" s="211"/>
      <c r="AT69" s="211"/>
      <c r="AU69" s="211"/>
      <c r="AV69" s="211"/>
      <c r="AW69" s="211"/>
    </row>
    <row r="70" spans="1:49" ht="15" customHeight="1" x14ac:dyDescent="0.2">
      <c r="A70" s="42"/>
      <c r="B70" s="213"/>
      <c r="C70" s="213"/>
      <c r="D70" s="213"/>
      <c r="E70" s="213"/>
      <c r="F70" s="213"/>
      <c r="G70" s="213"/>
      <c r="H70" s="213"/>
      <c r="I70" s="213"/>
      <c r="J70" s="213"/>
      <c r="K70" s="213"/>
      <c r="L70" s="213"/>
      <c r="M70" s="213"/>
      <c r="N70" s="213"/>
      <c r="O70" s="213"/>
      <c r="P70" s="213"/>
      <c r="Q70" s="213"/>
      <c r="R70" s="213"/>
      <c r="S70" s="213"/>
      <c r="T70" s="213"/>
      <c r="U70" s="213"/>
      <c r="V70" s="213"/>
      <c r="W70" s="213"/>
      <c r="X70" s="213"/>
      <c r="Y70" s="213"/>
      <c r="Z70" s="213"/>
      <c r="AA70" s="213"/>
      <c r="AB70" s="213"/>
      <c r="AC70" s="213"/>
      <c r="AD70" s="213"/>
      <c r="AE70" s="213"/>
      <c r="AF70" s="213"/>
      <c r="AG70" s="213"/>
      <c r="AH70" s="213"/>
      <c r="AI70" s="213"/>
      <c r="AJ70" s="213"/>
      <c r="AK70" s="213"/>
      <c r="AL70" s="213"/>
      <c r="AM70" s="213"/>
      <c r="AN70" s="213"/>
      <c r="AO70" s="213"/>
      <c r="AP70" s="213"/>
      <c r="AQ70" s="213"/>
      <c r="AR70" s="211"/>
      <c r="AS70" s="211"/>
      <c r="AT70" s="211"/>
      <c r="AU70" s="211"/>
      <c r="AV70" s="211"/>
      <c r="AW70" s="211"/>
    </row>
    <row r="71" spans="1:49" ht="15" customHeight="1" x14ac:dyDescent="0.2">
      <c r="A71" s="42"/>
      <c r="B71" s="213"/>
      <c r="C71" s="213"/>
      <c r="D71" s="213"/>
      <c r="E71" s="213"/>
      <c r="F71" s="213"/>
      <c r="G71" s="213"/>
      <c r="H71" s="213"/>
      <c r="I71" s="213"/>
      <c r="J71" s="213"/>
      <c r="K71" s="213"/>
      <c r="L71" s="213"/>
      <c r="M71" s="213"/>
      <c r="N71" s="213"/>
      <c r="O71" s="213"/>
      <c r="P71" s="213"/>
      <c r="Q71" s="213"/>
      <c r="R71" s="213"/>
      <c r="S71" s="213"/>
      <c r="T71" s="213"/>
      <c r="U71" s="213"/>
      <c r="V71" s="213"/>
      <c r="W71" s="213"/>
      <c r="X71" s="213"/>
      <c r="Y71" s="213"/>
      <c r="Z71" s="213"/>
      <c r="AA71" s="213"/>
      <c r="AB71" s="213"/>
      <c r="AC71" s="213"/>
      <c r="AD71" s="213"/>
      <c r="AE71" s="213"/>
      <c r="AF71" s="213"/>
      <c r="AG71" s="213"/>
      <c r="AH71" s="213"/>
      <c r="AI71" s="213"/>
      <c r="AJ71" s="213"/>
      <c r="AK71" s="213"/>
      <c r="AL71" s="213"/>
      <c r="AM71" s="213"/>
      <c r="AN71" s="213"/>
      <c r="AO71" s="213"/>
      <c r="AP71" s="213"/>
      <c r="AQ71" s="213"/>
      <c r="AR71" s="211"/>
      <c r="AS71" s="211"/>
      <c r="AT71" s="211"/>
      <c r="AU71" s="211"/>
      <c r="AV71" s="211"/>
      <c r="AW71" s="211"/>
    </row>
    <row r="72" spans="1:49" ht="15" customHeight="1" x14ac:dyDescent="0.2">
      <c r="A72" s="41"/>
      <c r="B72" s="44" t="str" cm="1">
        <f t="array" aca="1" ref="B72" ca="1">IF(ISNUMBER(INDIRECT(_xlfn.CONCAT($I115,B$114))),"-","")</f>
        <v/>
      </c>
      <c r="C72" s="41" t="str">
        <f ca="1">B72</f>
        <v/>
      </c>
      <c r="D72" s="41" t="str">
        <f t="shared" ref="D72:H72" ca="1" si="46">C72</f>
        <v/>
      </c>
      <c r="E72" s="41" t="str">
        <f t="shared" ca="1" si="46"/>
        <v/>
      </c>
      <c r="F72" s="41" t="str">
        <f t="shared" ca="1" si="46"/>
        <v/>
      </c>
      <c r="G72" s="41" t="str">
        <f t="shared" ca="1" si="46"/>
        <v/>
      </c>
      <c r="H72" s="41" t="str">
        <f t="shared" ca="1" si="46"/>
        <v/>
      </c>
      <c r="I72" s="44" t="str" cm="1">
        <f t="array" aca="1" ref="I72" ca="1">IF(ISNUMBER(INDIRECT(_xlfn.CONCAT($I115,C$114))),"-","")</f>
        <v/>
      </c>
      <c r="J72" s="41" t="str">
        <f ca="1">I72</f>
        <v/>
      </c>
      <c r="K72" s="41" t="str">
        <f t="shared" ref="K72:O72" ca="1" si="47">J72</f>
        <v/>
      </c>
      <c r="L72" s="41" t="str">
        <f t="shared" ca="1" si="47"/>
        <v/>
      </c>
      <c r="M72" s="41" t="str">
        <f t="shared" ca="1" si="47"/>
        <v/>
      </c>
      <c r="N72" s="41" t="str">
        <f t="shared" ca="1" si="47"/>
        <v/>
      </c>
      <c r="O72" s="41" t="str">
        <f t="shared" ca="1" si="47"/>
        <v/>
      </c>
      <c r="P72" s="44" t="str" cm="1">
        <f t="array" aca="1" ref="P72" ca="1">IF(ISNUMBER(INDIRECT(_xlfn.CONCAT($I115,D$114))),"-","")</f>
        <v/>
      </c>
      <c r="Q72" s="41" t="str">
        <f ca="1">P72</f>
        <v/>
      </c>
      <c r="R72" s="41" t="str">
        <f t="shared" ref="R72:V72" ca="1" si="48">Q72</f>
        <v/>
      </c>
      <c r="S72" s="41" t="str">
        <f t="shared" ca="1" si="48"/>
        <v/>
      </c>
      <c r="T72" s="41" t="str">
        <f t="shared" ca="1" si="48"/>
        <v/>
      </c>
      <c r="U72" s="41" t="str">
        <f t="shared" ca="1" si="48"/>
        <v/>
      </c>
      <c r="V72" s="41" t="str">
        <f t="shared" ca="1" si="48"/>
        <v/>
      </c>
      <c r="W72" s="44" t="str" cm="1">
        <f t="array" aca="1" ref="W72" ca="1">IF(ISNUMBER(INDIRECT(_xlfn.CONCAT($I115,E$114))),"-","")</f>
        <v/>
      </c>
      <c r="X72" s="41" t="str">
        <f ca="1">W72</f>
        <v/>
      </c>
      <c r="Y72" s="41" t="str">
        <f t="shared" ref="Y72:AC72" ca="1" si="49">X72</f>
        <v/>
      </c>
      <c r="Z72" s="41" t="str">
        <f t="shared" ca="1" si="49"/>
        <v/>
      </c>
      <c r="AA72" s="41" t="str">
        <f t="shared" ca="1" si="49"/>
        <v/>
      </c>
      <c r="AB72" s="41" t="str">
        <f t="shared" ca="1" si="49"/>
        <v/>
      </c>
      <c r="AC72" s="41" t="str">
        <f t="shared" ca="1" si="49"/>
        <v/>
      </c>
      <c r="AD72" s="44" t="str" cm="1">
        <f t="array" aca="1" ref="AD72" ca="1">IF(ISNUMBER(INDIRECT(_xlfn.CONCAT($I115,F$114))),"-","")</f>
        <v/>
      </c>
      <c r="AE72" s="41" t="str">
        <f ca="1">AD72</f>
        <v/>
      </c>
      <c r="AF72" s="41" t="str">
        <f t="shared" ref="AF72:AJ72" ca="1" si="50">AE72</f>
        <v/>
      </c>
      <c r="AG72" s="41" t="str">
        <f t="shared" ca="1" si="50"/>
        <v/>
      </c>
      <c r="AH72" s="41" t="str">
        <f t="shared" ca="1" si="50"/>
        <v/>
      </c>
      <c r="AI72" s="41" t="str">
        <f t="shared" ca="1" si="50"/>
        <v/>
      </c>
      <c r="AJ72" s="41" t="str">
        <f t="shared" ca="1" si="50"/>
        <v/>
      </c>
      <c r="AK72" s="44" t="str" cm="1">
        <f t="array" aca="1" ref="AK72" ca="1">IF(ISNUMBER(INDIRECT(_xlfn.CONCAT($I115,G$114))),"-","")</f>
        <v/>
      </c>
      <c r="AL72" s="41" t="str">
        <f ca="1">AK72</f>
        <v/>
      </c>
      <c r="AM72" s="41" t="str">
        <f t="shared" ref="AM72:AQ72" ca="1" si="51">AL72</f>
        <v/>
      </c>
      <c r="AN72" s="41" t="str">
        <f t="shared" ca="1" si="51"/>
        <v/>
      </c>
      <c r="AO72" s="41" t="str">
        <f t="shared" ca="1" si="51"/>
        <v/>
      </c>
      <c r="AP72" s="41" t="str">
        <f t="shared" ca="1" si="51"/>
        <v/>
      </c>
      <c r="AQ72" s="41" t="str">
        <f t="shared" ca="1" si="51"/>
        <v/>
      </c>
      <c r="AR72" s="44"/>
      <c r="AS72" s="41"/>
      <c r="AT72" s="41"/>
      <c r="AU72" s="41"/>
      <c r="AV72" s="41"/>
      <c r="AW72" s="41"/>
    </row>
    <row r="73" spans="1:49" ht="15" customHeight="1" x14ac:dyDescent="0.2">
      <c r="A73" s="42"/>
      <c r="B73" s="45" t="str" cm="1">
        <f t="array" aca="1" ref="B73" ca="1">IF(ISBLANK(INDIRECT(_xlfn.CONCAT($I140,B$139))),"",INDIRECT(_xlfn.CONCAT($I140,B$139)))</f>
        <v/>
      </c>
      <c r="C73" s="46"/>
      <c r="D73" s="46"/>
      <c r="E73" s="46"/>
      <c r="F73" s="46"/>
      <c r="G73" s="46"/>
      <c r="H73" s="46"/>
      <c r="I73" s="45" t="str" cm="1">
        <f t="array" aca="1" ref="I73" ca="1">IF(ISBLANK(INDIRECT(_xlfn.CONCAT($I140,C$139))),"",INDIRECT(_xlfn.CONCAT($I140,C$139)))</f>
        <v/>
      </c>
      <c r="J73" s="46"/>
      <c r="K73" s="46"/>
      <c r="L73" s="46"/>
      <c r="M73" s="46"/>
      <c r="N73" s="46"/>
      <c r="O73" s="46"/>
      <c r="P73" s="45" t="str" cm="1">
        <f t="array" aca="1" ref="P73" ca="1">IF(ISBLANK(INDIRECT(_xlfn.CONCAT($I140,D$139))),"",INDIRECT(_xlfn.CONCAT($I140,D$139)))</f>
        <v/>
      </c>
      <c r="Q73" s="46"/>
      <c r="R73" s="46"/>
      <c r="S73" s="46"/>
      <c r="T73" s="46"/>
      <c r="U73" s="46"/>
      <c r="V73" s="46"/>
      <c r="W73" s="45" t="str" cm="1">
        <f t="array" aca="1" ref="W73" ca="1">IF(ISBLANK(INDIRECT(_xlfn.CONCAT($I140,E$139))),"",INDIRECT(_xlfn.CONCAT($I140,E$139)))</f>
        <v/>
      </c>
      <c r="X73" s="46"/>
      <c r="Y73" s="46"/>
      <c r="Z73" s="46"/>
      <c r="AA73" s="46"/>
      <c r="AB73" s="46"/>
      <c r="AC73" s="46"/>
      <c r="AD73" s="45" t="str" cm="1">
        <f t="array" aca="1" ref="AD73" ca="1">IF(ISBLANK(INDIRECT(_xlfn.CONCAT($I140,F$139))),"",INDIRECT(_xlfn.CONCAT($I140,F$139)))</f>
        <v/>
      </c>
      <c r="AE73" s="46"/>
      <c r="AF73" s="46"/>
      <c r="AG73" s="46"/>
      <c r="AH73" s="46"/>
      <c r="AI73" s="46"/>
      <c r="AJ73" s="46"/>
      <c r="AK73" s="45" t="str" cm="1">
        <f t="array" aca="1" ref="AK73" ca="1">IF(ISBLANK(INDIRECT(_xlfn.CONCAT($I140,G$139))),"",INDIRECT(_xlfn.CONCAT($I140,G$139)))</f>
        <v/>
      </c>
      <c r="AL73" s="46"/>
      <c r="AM73" s="46"/>
      <c r="AN73" s="46"/>
      <c r="AO73" s="46"/>
      <c r="AP73" s="46"/>
      <c r="AQ73" s="46"/>
      <c r="AR73" s="45"/>
      <c r="AS73" s="46"/>
      <c r="AT73" s="46"/>
      <c r="AU73" s="46"/>
      <c r="AV73" s="46"/>
      <c r="AW73" s="46"/>
    </row>
    <row r="74" spans="1:49" ht="15" customHeight="1" x14ac:dyDescent="0.2">
      <c r="A74" s="42"/>
      <c r="B74" s="213" t="str" cm="1">
        <f t="array" ref="B74">IF(INDEX($U$177:$AI$182,B$186,$I187)="-","",INDEX($U$177:$AI$182,B$186,$I187))</f>
        <v/>
      </c>
      <c r="C74" s="213"/>
      <c r="D74" s="213"/>
      <c r="E74" s="213"/>
      <c r="F74" s="213"/>
      <c r="G74" s="213"/>
      <c r="H74" s="213"/>
      <c r="I74" s="213" t="str" cm="1">
        <f t="array" ref="I74">IF(INDEX($U$177:$AI$182,C$186,$I187)="-","",INDEX($U$177:$AI$182,C$186,$I187))</f>
        <v/>
      </c>
      <c r="J74" s="213"/>
      <c r="K74" s="213"/>
      <c r="L74" s="213"/>
      <c r="M74" s="213"/>
      <c r="N74" s="213"/>
      <c r="O74" s="213"/>
      <c r="P74" s="213" t="str" cm="1">
        <f t="array" ref="P74">IF(INDEX($U$177:$AI$182,D$186,$I187)="-","",INDEX($U$177:$AI$182,D$186,$I187))</f>
        <v/>
      </c>
      <c r="Q74" s="213"/>
      <c r="R74" s="213"/>
      <c r="S74" s="213"/>
      <c r="T74" s="213"/>
      <c r="U74" s="213"/>
      <c r="V74" s="213"/>
      <c r="W74" s="213" t="str" cm="1">
        <f t="array" ref="W74">IF(INDEX($U$177:$AI$182,E$186,$I187)="-","",INDEX($U$177:$AI$182,E$186,$I187))</f>
        <v/>
      </c>
      <c r="X74" s="213"/>
      <c r="Y74" s="213"/>
      <c r="Z74" s="213"/>
      <c r="AA74" s="213"/>
      <c r="AB74" s="213"/>
      <c r="AC74" s="213"/>
      <c r="AD74" s="213" t="str" cm="1">
        <f t="array" ref="AD74">IF(INDEX($U$177:$AI$182,F$186,$I187)="-","",INDEX($U$177:$AI$182,F$186,$I187))</f>
        <v/>
      </c>
      <c r="AE74" s="213"/>
      <c r="AF74" s="213"/>
      <c r="AG74" s="213"/>
      <c r="AH74" s="213"/>
      <c r="AI74" s="213"/>
      <c r="AJ74" s="213"/>
      <c r="AK74" s="213" t="str" cm="1">
        <f t="array" ref="AK74">IF(INDEX($U$177:$AI$182,G$186,$I187)="-","",INDEX($U$177:$AI$182,G$186,$I187))</f>
        <v/>
      </c>
      <c r="AL74" s="213"/>
      <c r="AM74" s="213"/>
      <c r="AN74" s="213"/>
      <c r="AO74" s="213"/>
      <c r="AP74" s="213"/>
      <c r="AQ74" s="213"/>
      <c r="AR74" s="211"/>
      <c r="AS74" s="211"/>
      <c r="AT74" s="211"/>
      <c r="AU74" s="211"/>
      <c r="AV74" s="211"/>
      <c r="AW74" s="211"/>
    </row>
    <row r="75" spans="1:49" ht="15" customHeight="1" x14ac:dyDescent="0.2">
      <c r="A75" s="42"/>
      <c r="B75" s="213"/>
      <c r="C75" s="213"/>
      <c r="D75" s="213"/>
      <c r="E75" s="213"/>
      <c r="F75" s="213"/>
      <c r="G75" s="213"/>
      <c r="H75" s="213"/>
      <c r="I75" s="213"/>
      <c r="J75" s="213"/>
      <c r="K75" s="213"/>
      <c r="L75" s="213"/>
      <c r="M75" s="213"/>
      <c r="N75" s="213"/>
      <c r="O75" s="213"/>
      <c r="P75" s="213"/>
      <c r="Q75" s="213"/>
      <c r="R75" s="213"/>
      <c r="S75" s="213"/>
      <c r="T75" s="213"/>
      <c r="U75" s="213"/>
      <c r="V75" s="213"/>
      <c r="W75" s="213"/>
      <c r="X75" s="213"/>
      <c r="Y75" s="213"/>
      <c r="Z75" s="213"/>
      <c r="AA75" s="213"/>
      <c r="AB75" s="213"/>
      <c r="AC75" s="213"/>
      <c r="AD75" s="213"/>
      <c r="AE75" s="213"/>
      <c r="AF75" s="213"/>
      <c r="AG75" s="213"/>
      <c r="AH75" s="213"/>
      <c r="AI75" s="213"/>
      <c r="AJ75" s="213"/>
      <c r="AK75" s="213"/>
      <c r="AL75" s="213"/>
      <c r="AM75" s="213"/>
      <c r="AN75" s="213"/>
      <c r="AO75" s="213"/>
      <c r="AP75" s="213"/>
      <c r="AQ75" s="213"/>
      <c r="AR75" s="211"/>
      <c r="AS75" s="211"/>
      <c r="AT75" s="211"/>
      <c r="AU75" s="211"/>
      <c r="AV75" s="211"/>
      <c r="AW75" s="211"/>
    </row>
    <row r="76" spans="1:49" ht="15" customHeight="1" x14ac:dyDescent="0.2">
      <c r="A76" s="42"/>
      <c r="B76" s="213"/>
      <c r="C76" s="213"/>
      <c r="D76" s="213"/>
      <c r="E76" s="213"/>
      <c r="F76" s="213"/>
      <c r="G76" s="213"/>
      <c r="H76" s="213"/>
      <c r="I76" s="213"/>
      <c r="J76" s="213"/>
      <c r="K76" s="213"/>
      <c r="L76" s="213"/>
      <c r="M76" s="213"/>
      <c r="N76" s="213"/>
      <c r="O76" s="213"/>
      <c r="P76" s="213"/>
      <c r="Q76" s="213"/>
      <c r="R76" s="213"/>
      <c r="S76" s="213"/>
      <c r="T76" s="213"/>
      <c r="U76" s="213"/>
      <c r="V76" s="213"/>
      <c r="W76" s="213"/>
      <c r="X76" s="213"/>
      <c r="Y76" s="213"/>
      <c r="Z76" s="213"/>
      <c r="AA76" s="213"/>
      <c r="AB76" s="213"/>
      <c r="AC76" s="213"/>
      <c r="AD76" s="213"/>
      <c r="AE76" s="213"/>
      <c r="AF76" s="213"/>
      <c r="AG76" s="213"/>
      <c r="AH76" s="213"/>
      <c r="AI76" s="213"/>
      <c r="AJ76" s="213"/>
      <c r="AK76" s="213"/>
      <c r="AL76" s="213"/>
      <c r="AM76" s="213"/>
      <c r="AN76" s="213"/>
      <c r="AO76" s="213"/>
      <c r="AP76" s="213"/>
      <c r="AQ76" s="213"/>
      <c r="AR76" s="211"/>
      <c r="AS76" s="211"/>
      <c r="AT76" s="211"/>
      <c r="AU76" s="211"/>
      <c r="AV76" s="211"/>
      <c r="AW76" s="211"/>
    </row>
    <row r="77" spans="1:49" ht="15" customHeight="1" x14ac:dyDescent="0.2">
      <c r="A77" s="41"/>
      <c r="B77" s="44" t="str" cm="1">
        <f t="array" aca="1" ref="B77" ca="1">IF(ISNUMBER(INDIRECT(_xlfn.CONCAT($J115,B$114))),"-","")</f>
        <v/>
      </c>
      <c r="C77" s="41" t="str">
        <f ca="1">B77</f>
        <v/>
      </c>
      <c r="D77" s="41" t="str">
        <f t="shared" ref="D77:H77" ca="1" si="52">C77</f>
        <v/>
      </c>
      <c r="E77" s="41" t="str">
        <f t="shared" ca="1" si="52"/>
        <v/>
      </c>
      <c r="F77" s="41" t="str">
        <f t="shared" ca="1" si="52"/>
        <v/>
      </c>
      <c r="G77" s="41" t="str">
        <f t="shared" ca="1" si="52"/>
        <v/>
      </c>
      <c r="H77" s="41" t="str">
        <f t="shared" ca="1" si="52"/>
        <v/>
      </c>
      <c r="I77" s="44" t="str" cm="1">
        <f t="array" aca="1" ref="I77" ca="1">IF(ISNUMBER(INDIRECT(_xlfn.CONCAT($J115,C$114))),"-","")</f>
        <v/>
      </c>
      <c r="J77" s="41" t="str">
        <f ca="1">I77</f>
        <v/>
      </c>
      <c r="K77" s="41" t="str">
        <f t="shared" ref="K77:O77" ca="1" si="53">J77</f>
        <v/>
      </c>
      <c r="L77" s="41" t="str">
        <f t="shared" ca="1" si="53"/>
        <v/>
      </c>
      <c r="M77" s="41" t="str">
        <f t="shared" ca="1" si="53"/>
        <v/>
      </c>
      <c r="N77" s="41" t="str">
        <f t="shared" ca="1" si="53"/>
        <v/>
      </c>
      <c r="O77" s="41" t="str">
        <f t="shared" ca="1" si="53"/>
        <v/>
      </c>
      <c r="P77" s="44" t="str" cm="1">
        <f t="array" aca="1" ref="P77" ca="1">IF(ISNUMBER(INDIRECT(_xlfn.CONCAT($J115,D$114))),"-","")</f>
        <v/>
      </c>
      <c r="Q77" s="41" t="str">
        <f ca="1">P77</f>
        <v/>
      </c>
      <c r="R77" s="41" t="str">
        <f t="shared" ref="R77:V77" ca="1" si="54">Q77</f>
        <v/>
      </c>
      <c r="S77" s="41" t="str">
        <f t="shared" ca="1" si="54"/>
        <v/>
      </c>
      <c r="T77" s="41" t="str">
        <f t="shared" ca="1" si="54"/>
        <v/>
      </c>
      <c r="U77" s="41" t="str">
        <f t="shared" ca="1" si="54"/>
        <v/>
      </c>
      <c r="V77" s="41" t="str">
        <f t="shared" ca="1" si="54"/>
        <v/>
      </c>
      <c r="W77" s="44" t="str" cm="1">
        <f t="array" aca="1" ref="W77" ca="1">IF(ISNUMBER(INDIRECT(_xlfn.CONCAT($J115,E$114))),"-","")</f>
        <v/>
      </c>
      <c r="X77" s="41" t="str">
        <f ca="1">W77</f>
        <v/>
      </c>
      <c r="Y77" s="41" t="str">
        <f t="shared" ref="Y77:AC77" ca="1" si="55">X77</f>
        <v/>
      </c>
      <c r="Z77" s="41" t="str">
        <f t="shared" ca="1" si="55"/>
        <v/>
      </c>
      <c r="AA77" s="41" t="str">
        <f t="shared" ca="1" si="55"/>
        <v/>
      </c>
      <c r="AB77" s="41" t="str">
        <f t="shared" ca="1" si="55"/>
        <v/>
      </c>
      <c r="AC77" s="41" t="str">
        <f t="shared" ca="1" si="55"/>
        <v/>
      </c>
      <c r="AD77" s="44" t="str" cm="1">
        <f t="array" aca="1" ref="AD77" ca="1">IF(ISNUMBER(INDIRECT(_xlfn.CONCAT($J115,F$114))),"-","")</f>
        <v/>
      </c>
      <c r="AE77" s="41" t="str">
        <f ca="1">AD77</f>
        <v/>
      </c>
      <c r="AF77" s="41" t="str">
        <f t="shared" ref="AF77:AJ77" ca="1" si="56">AE77</f>
        <v/>
      </c>
      <c r="AG77" s="41" t="str">
        <f t="shared" ca="1" si="56"/>
        <v/>
      </c>
      <c r="AH77" s="41" t="str">
        <f t="shared" ca="1" si="56"/>
        <v/>
      </c>
      <c r="AI77" s="41" t="str">
        <f t="shared" ca="1" si="56"/>
        <v/>
      </c>
      <c r="AJ77" s="41" t="str">
        <f t="shared" ca="1" si="56"/>
        <v/>
      </c>
      <c r="AK77" s="44" t="str" cm="1">
        <f t="array" aca="1" ref="AK77" ca="1">IF(ISNUMBER(INDIRECT(_xlfn.CONCAT($J115,G$114))),"-","")</f>
        <v/>
      </c>
      <c r="AL77" s="41" t="str">
        <f ca="1">AK77</f>
        <v/>
      </c>
      <c r="AM77" s="41" t="str">
        <f t="shared" ref="AM77:AQ77" ca="1" si="57">AL77</f>
        <v/>
      </c>
      <c r="AN77" s="41" t="str">
        <f t="shared" ca="1" si="57"/>
        <v/>
      </c>
      <c r="AO77" s="41" t="str">
        <f t="shared" ca="1" si="57"/>
        <v/>
      </c>
      <c r="AP77" s="41" t="str">
        <f t="shared" ca="1" si="57"/>
        <v/>
      </c>
      <c r="AQ77" s="41" t="str">
        <f t="shared" ca="1" si="57"/>
        <v/>
      </c>
      <c r="AR77" s="44"/>
      <c r="AS77" s="41"/>
      <c r="AT77" s="41"/>
      <c r="AU77" s="41"/>
      <c r="AV77" s="41"/>
      <c r="AW77" s="41"/>
    </row>
    <row r="78" spans="1:49" ht="15" customHeight="1" x14ac:dyDescent="0.2">
      <c r="A78" s="42"/>
      <c r="B78" s="45" t="str" cm="1">
        <f t="array" aca="1" ref="B78" ca="1">IF(ISBLANK(INDIRECT(_xlfn.CONCAT($J140,B$139))),"",INDIRECT(_xlfn.CONCAT($J140,B$139)))</f>
        <v/>
      </c>
      <c r="C78" s="46"/>
      <c r="D78" s="46"/>
      <c r="E78" s="46"/>
      <c r="F78" s="46"/>
      <c r="G78" s="46"/>
      <c r="H78" s="46"/>
      <c r="I78" s="45" t="str" cm="1">
        <f t="array" aca="1" ref="I78" ca="1">IF(ISBLANK(INDIRECT(_xlfn.CONCAT($J140,C$139))),"",INDIRECT(_xlfn.CONCAT($J140,C$139)))</f>
        <v/>
      </c>
      <c r="J78" s="46"/>
      <c r="K78" s="46"/>
      <c r="L78" s="46"/>
      <c r="M78" s="46"/>
      <c r="N78" s="46"/>
      <c r="O78" s="46"/>
      <c r="P78" s="45" t="str" cm="1">
        <f t="array" aca="1" ref="P78" ca="1">IF(ISBLANK(INDIRECT(_xlfn.CONCAT($J140,D$139))),"",INDIRECT(_xlfn.CONCAT($J140,D$139)))</f>
        <v/>
      </c>
      <c r="Q78" s="46"/>
      <c r="R78" s="46"/>
      <c r="S78" s="46"/>
      <c r="T78" s="46"/>
      <c r="U78" s="46"/>
      <c r="V78" s="46"/>
      <c r="W78" s="45" t="str" cm="1">
        <f t="array" aca="1" ref="W78" ca="1">IF(ISBLANK(INDIRECT(_xlfn.CONCAT($J140,E$139))),"",INDIRECT(_xlfn.CONCAT($J140,E$139)))</f>
        <v/>
      </c>
      <c r="X78" s="46"/>
      <c r="Y78" s="46"/>
      <c r="Z78" s="46"/>
      <c r="AA78" s="46"/>
      <c r="AB78" s="46"/>
      <c r="AC78" s="46"/>
      <c r="AD78" s="45" t="str" cm="1">
        <f t="array" aca="1" ref="AD78" ca="1">IF(ISBLANK(INDIRECT(_xlfn.CONCAT($J140,F$139))),"",INDIRECT(_xlfn.CONCAT($J140,F$139)))</f>
        <v/>
      </c>
      <c r="AE78" s="46"/>
      <c r="AF78" s="46"/>
      <c r="AG78" s="46"/>
      <c r="AH78" s="46"/>
      <c r="AI78" s="46"/>
      <c r="AJ78" s="46"/>
      <c r="AK78" s="45" t="str" cm="1">
        <f t="array" aca="1" ref="AK78" ca="1">IF(ISBLANK(INDIRECT(_xlfn.CONCAT($J140,G$139))),"",INDIRECT(_xlfn.CONCAT($J140,G$139)))</f>
        <v/>
      </c>
      <c r="AL78" s="46"/>
      <c r="AM78" s="46"/>
      <c r="AN78" s="46"/>
      <c r="AO78" s="46"/>
      <c r="AP78" s="46"/>
      <c r="AQ78" s="46"/>
      <c r="AR78" s="45"/>
      <c r="AS78" s="46"/>
      <c r="AT78" s="46"/>
      <c r="AU78" s="46"/>
      <c r="AV78" s="46"/>
      <c r="AW78" s="46"/>
    </row>
    <row r="79" spans="1:49" ht="15" customHeight="1" x14ac:dyDescent="0.2">
      <c r="A79" s="42"/>
      <c r="B79" s="213" t="str" cm="1">
        <f t="array" ref="B79">IF(INDEX($U$177:$AI$182,B$186,$J187)="-","",INDEX($U$177:$AI$182,B$186,$J187))</f>
        <v/>
      </c>
      <c r="C79" s="213"/>
      <c r="D79" s="213"/>
      <c r="E79" s="213"/>
      <c r="F79" s="213"/>
      <c r="G79" s="213"/>
      <c r="H79" s="213"/>
      <c r="I79" s="213" t="str" cm="1">
        <f t="array" ref="I79">IF(INDEX($U$177:$AI$182,C$186,$J187)="-","",INDEX($U$177:$AI$182,C$186,$J187))</f>
        <v/>
      </c>
      <c r="J79" s="213"/>
      <c r="K79" s="213"/>
      <c r="L79" s="213"/>
      <c r="M79" s="213"/>
      <c r="N79" s="213"/>
      <c r="O79" s="213"/>
      <c r="P79" s="213" t="str" cm="1">
        <f t="array" ref="P79">IF(INDEX($U$177:$AI$182,D$186,$J187)="-","",INDEX($U$177:$AI$182,D$186,$J187))</f>
        <v/>
      </c>
      <c r="Q79" s="213"/>
      <c r="R79" s="213"/>
      <c r="S79" s="213"/>
      <c r="T79" s="213"/>
      <c r="U79" s="213"/>
      <c r="V79" s="213"/>
      <c r="W79" s="213" t="str" cm="1">
        <f t="array" ref="W79">IF(INDEX($U$177:$AI$182,E$186,$J187)="-","",INDEX($U$177:$AI$182,E$186,$J187))</f>
        <v/>
      </c>
      <c r="X79" s="213"/>
      <c r="Y79" s="213"/>
      <c r="Z79" s="213"/>
      <c r="AA79" s="213"/>
      <c r="AB79" s="213"/>
      <c r="AC79" s="213"/>
      <c r="AD79" s="213" t="str" cm="1">
        <f t="array" ref="AD79">IF(INDEX($U$177:$AI$182,F$186,$J187)="-","",INDEX($U$177:$AI$182,F$186,$J187))</f>
        <v/>
      </c>
      <c r="AE79" s="213"/>
      <c r="AF79" s="213"/>
      <c r="AG79" s="213"/>
      <c r="AH79" s="213"/>
      <c r="AI79" s="213"/>
      <c r="AJ79" s="213"/>
      <c r="AK79" s="213" t="str" cm="1">
        <f t="array" ref="AK79">IF(INDEX($U$177:$AI$182,G$186,$J187)="-","",INDEX($U$177:$AI$182,G$186,$J187))</f>
        <v/>
      </c>
      <c r="AL79" s="213"/>
      <c r="AM79" s="213"/>
      <c r="AN79" s="213"/>
      <c r="AO79" s="213"/>
      <c r="AP79" s="213"/>
      <c r="AQ79" s="213"/>
      <c r="AR79" s="211"/>
      <c r="AS79" s="211"/>
      <c r="AT79" s="211"/>
      <c r="AU79" s="211"/>
      <c r="AV79" s="211"/>
      <c r="AW79" s="211"/>
    </row>
    <row r="80" spans="1:49" ht="15" customHeight="1" x14ac:dyDescent="0.2">
      <c r="A80" s="42"/>
      <c r="B80" s="213"/>
      <c r="C80" s="213"/>
      <c r="D80" s="213"/>
      <c r="E80" s="213"/>
      <c r="F80" s="213"/>
      <c r="G80" s="213"/>
      <c r="H80" s="213"/>
      <c r="I80" s="213"/>
      <c r="J80" s="213"/>
      <c r="K80" s="213"/>
      <c r="L80" s="213"/>
      <c r="M80" s="213"/>
      <c r="N80" s="213"/>
      <c r="O80" s="213"/>
      <c r="P80" s="213"/>
      <c r="Q80" s="213"/>
      <c r="R80" s="213"/>
      <c r="S80" s="213"/>
      <c r="T80" s="213"/>
      <c r="U80" s="213"/>
      <c r="V80" s="213"/>
      <c r="W80" s="213"/>
      <c r="X80" s="213"/>
      <c r="Y80" s="213"/>
      <c r="Z80" s="213"/>
      <c r="AA80" s="213"/>
      <c r="AB80" s="213"/>
      <c r="AC80" s="213"/>
      <c r="AD80" s="213"/>
      <c r="AE80" s="213"/>
      <c r="AF80" s="213"/>
      <c r="AG80" s="213"/>
      <c r="AH80" s="213"/>
      <c r="AI80" s="213"/>
      <c r="AJ80" s="213"/>
      <c r="AK80" s="213"/>
      <c r="AL80" s="213"/>
      <c r="AM80" s="213"/>
      <c r="AN80" s="213"/>
      <c r="AO80" s="213"/>
      <c r="AP80" s="213"/>
      <c r="AQ80" s="213"/>
      <c r="AR80" s="211"/>
      <c r="AS80" s="211"/>
      <c r="AT80" s="211"/>
      <c r="AU80" s="211"/>
      <c r="AV80" s="211"/>
      <c r="AW80" s="211"/>
    </row>
    <row r="81" spans="1:49" ht="15" customHeight="1" x14ac:dyDescent="0.2">
      <c r="A81" s="42"/>
      <c r="B81" s="213"/>
      <c r="C81" s="213"/>
      <c r="D81" s="213"/>
      <c r="E81" s="213"/>
      <c r="F81" s="213"/>
      <c r="G81" s="213"/>
      <c r="H81" s="213"/>
      <c r="I81" s="213"/>
      <c r="J81" s="213"/>
      <c r="K81" s="213"/>
      <c r="L81" s="213"/>
      <c r="M81" s="213"/>
      <c r="N81" s="213"/>
      <c r="O81" s="213"/>
      <c r="P81" s="213"/>
      <c r="Q81" s="213"/>
      <c r="R81" s="213"/>
      <c r="S81" s="213"/>
      <c r="T81" s="213"/>
      <c r="U81" s="213"/>
      <c r="V81" s="213"/>
      <c r="W81" s="213"/>
      <c r="X81" s="213"/>
      <c r="Y81" s="213"/>
      <c r="Z81" s="213"/>
      <c r="AA81" s="213"/>
      <c r="AB81" s="213"/>
      <c r="AC81" s="213"/>
      <c r="AD81" s="213"/>
      <c r="AE81" s="213"/>
      <c r="AF81" s="213"/>
      <c r="AG81" s="213"/>
      <c r="AH81" s="213"/>
      <c r="AI81" s="213"/>
      <c r="AJ81" s="213"/>
      <c r="AK81" s="213"/>
      <c r="AL81" s="213"/>
      <c r="AM81" s="213"/>
      <c r="AN81" s="213"/>
      <c r="AO81" s="213"/>
      <c r="AP81" s="213"/>
      <c r="AQ81" s="213"/>
      <c r="AR81" s="211"/>
      <c r="AS81" s="211"/>
      <c r="AT81" s="211"/>
      <c r="AU81" s="211"/>
      <c r="AV81" s="211"/>
      <c r="AW81" s="211"/>
    </row>
    <row r="82" spans="1:49" ht="15" customHeight="1" x14ac:dyDescent="0.2">
      <c r="A82" s="41"/>
      <c r="B82" s="44" t="str" cm="1">
        <f t="array" aca="1" ref="B82" ca="1">IF(ISNUMBER(INDIRECT(_xlfn.CONCAT($K115,B$114))),"-","")</f>
        <v/>
      </c>
      <c r="C82" s="41" t="str">
        <f ca="1">B82</f>
        <v/>
      </c>
      <c r="D82" s="41" t="str">
        <f t="shared" ref="D82:H82" ca="1" si="58">C82</f>
        <v/>
      </c>
      <c r="E82" s="41" t="str">
        <f t="shared" ca="1" si="58"/>
        <v/>
      </c>
      <c r="F82" s="41" t="str">
        <f t="shared" ca="1" si="58"/>
        <v/>
      </c>
      <c r="G82" s="41" t="str">
        <f t="shared" ca="1" si="58"/>
        <v/>
      </c>
      <c r="H82" s="41" t="str">
        <f t="shared" ca="1" si="58"/>
        <v/>
      </c>
      <c r="I82" s="44" t="str" cm="1">
        <f t="array" aca="1" ref="I82" ca="1">IF(ISNUMBER(INDIRECT(_xlfn.CONCAT($K115,C$114))),"-","")</f>
        <v/>
      </c>
      <c r="J82" s="41" t="str">
        <f ca="1">I82</f>
        <v/>
      </c>
      <c r="K82" s="41" t="str">
        <f t="shared" ref="K82:O82" ca="1" si="59">J82</f>
        <v/>
      </c>
      <c r="L82" s="41" t="str">
        <f t="shared" ca="1" si="59"/>
        <v/>
      </c>
      <c r="M82" s="41" t="str">
        <f t="shared" ca="1" si="59"/>
        <v/>
      </c>
      <c r="N82" s="41" t="str">
        <f t="shared" ca="1" si="59"/>
        <v/>
      </c>
      <c r="O82" s="41" t="str">
        <f t="shared" ca="1" si="59"/>
        <v/>
      </c>
      <c r="P82" s="44" t="str" cm="1">
        <f t="array" aca="1" ref="P82" ca="1">IF(ISNUMBER(INDIRECT(_xlfn.CONCAT($K115,D$114))),"-","")</f>
        <v/>
      </c>
      <c r="Q82" s="41" t="str">
        <f ca="1">P82</f>
        <v/>
      </c>
      <c r="R82" s="41" t="str">
        <f t="shared" ref="R82:V82" ca="1" si="60">Q82</f>
        <v/>
      </c>
      <c r="S82" s="41" t="str">
        <f t="shared" ca="1" si="60"/>
        <v/>
      </c>
      <c r="T82" s="41" t="str">
        <f t="shared" ca="1" si="60"/>
        <v/>
      </c>
      <c r="U82" s="41" t="str">
        <f t="shared" ca="1" si="60"/>
        <v/>
      </c>
      <c r="V82" s="41" t="str">
        <f t="shared" ca="1" si="60"/>
        <v/>
      </c>
      <c r="W82" s="44" t="str" cm="1">
        <f t="array" aca="1" ref="W82" ca="1">IF(ISNUMBER(INDIRECT(_xlfn.CONCAT($K115,E$114))),"-","")</f>
        <v/>
      </c>
      <c r="X82" s="41" t="str">
        <f ca="1">W82</f>
        <v/>
      </c>
      <c r="Y82" s="41" t="str">
        <f t="shared" ref="Y82:AC82" ca="1" si="61">X82</f>
        <v/>
      </c>
      <c r="Z82" s="41" t="str">
        <f t="shared" ca="1" si="61"/>
        <v/>
      </c>
      <c r="AA82" s="41" t="str">
        <f t="shared" ca="1" si="61"/>
        <v/>
      </c>
      <c r="AB82" s="41" t="str">
        <f t="shared" ca="1" si="61"/>
        <v/>
      </c>
      <c r="AC82" s="41" t="str">
        <f t="shared" ca="1" si="61"/>
        <v/>
      </c>
      <c r="AD82" s="44" t="str" cm="1">
        <f t="array" aca="1" ref="AD82" ca="1">IF(ISNUMBER(INDIRECT(_xlfn.CONCAT($K115,F$114))),"-","")</f>
        <v/>
      </c>
      <c r="AE82" s="41" t="str">
        <f ca="1">AD82</f>
        <v/>
      </c>
      <c r="AF82" s="41" t="str">
        <f t="shared" ref="AF82:AJ82" ca="1" si="62">AE82</f>
        <v/>
      </c>
      <c r="AG82" s="41" t="str">
        <f t="shared" ca="1" si="62"/>
        <v/>
      </c>
      <c r="AH82" s="41" t="str">
        <f t="shared" ca="1" si="62"/>
        <v/>
      </c>
      <c r="AI82" s="41" t="str">
        <f t="shared" ca="1" si="62"/>
        <v/>
      </c>
      <c r="AJ82" s="41" t="str">
        <f t="shared" ca="1" si="62"/>
        <v/>
      </c>
      <c r="AK82" s="44" t="str" cm="1">
        <f t="array" aca="1" ref="AK82" ca="1">IF(ISNUMBER(INDIRECT(_xlfn.CONCAT($K115,G$114))),"-","")</f>
        <v/>
      </c>
      <c r="AL82" s="41" t="str">
        <f ca="1">AK82</f>
        <v/>
      </c>
      <c r="AM82" s="41" t="str">
        <f t="shared" ref="AM82:AQ82" ca="1" si="63">AL82</f>
        <v/>
      </c>
      <c r="AN82" s="41" t="str">
        <f t="shared" ca="1" si="63"/>
        <v/>
      </c>
      <c r="AO82" s="41" t="str">
        <f t="shared" ca="1" si="63"/>
        <v/>
      </c>
      <c r="AP82" s="41" t="str">
        <f t="shared" ca="1" si="63"/>
        <v/>
      </c>
      <c r="AQ82" s="41" t="str">
        <f t="shared" ca="1" si="63"/>
        <v/>
      </c>
      <c r="AR82" s="44"/>
      <c r="AS82" s="41"/>
      <c r="AT82" s="41"/>
      <c r="AU82" s="41"/>
      <c r="AV82" s="41"/>
      <c r="AW82" s="41"/>
    </row>
    <row r="83" spans="1:49" ht="15" customHeight="1" x14ac:dyDescent="0.2">
      <c r="A83" s="42"/>
      <c r="B83" s="45" t="str" cm="1">
        <f t="array" aca="1" ref="B83" ca="1">IF(ISBLANK(INDIRECT(_xlfn.CONCAT($K140,B$139))),"",INDIRECT(_xlfn.CONCAT($K140,B$139)))</f>
        <v/>
      </c>
      <c r="C83" s="46"/>
      <c r="D83" s="46"/>
      <c r="E83" s="46"/>
      <c r="F83" s="46"/>
      <c r="G83" s="46"/>
      <c r="H83" s="46"/>
      <c r="I83" s="45" t="str" cm="1">
        <f t="array" aca="1" ref="I83" ca="1">IF(ISBLANK(INDIRECT(_xlfn.CONCAT($K140,C$139))),"",INDIRECT(_xlfn.CONCAT($K140,C$139)))</f>
        <v/>
      </c>
      <c r="J83" s="46"/>
      <c r="K83" s="46"/>
      <c r="L83" s="46"/>
      <c r="M83" s="46"/>
      <c r="N83" s="46"/>
      <c r="O83" s="46"/>
      <c r="P83" s="45" t="str" cm="1">
        <f t="array" aca="1" ref="P83" ca="1">IF(ISBLANK(INDIRECT(_xlfn.CONCAT($K140,D$139))),"",INDIRECT(_xlfn.CONCAT($K140,D$139)))</f>
        <v/>
      </c>
      <c r="Q83" s="46"/>
      <c r="R83" s="46"/>
      <c r="S83" s="46"/>
      <c r="T83" s="46"/>
      <c r="U83" s="46"/>
      <c r="V83" s="46"/>
      <c r="W83" s="45" t="str" cm="1">
        <f t="array" aca="1" ref="W83" ca="1">IF(ISBLANK(INDIRECT(_xlfn.CONCAT($K140,E$139))),"",INDIRECT(_xlfn.CONCAT($K140,E$139)))</f>
        <v/>
      </c>
      <c r="X83" s="46"/>
      <c r="Y83" s="46"/>
      <c r="Z83" s="46"/>
      <c r="AA83" s="46"/>
      <c r="AB83" s="46"/>
      <c r="AC83" s="46"/>
      <c r="AD83" s="45" t="str" cm="1">
        <f t="array" aca="1" ref="AD83" ca="1">IF(ISBLANK(INDIRECT(_xlfn.CONCAT($K140,F$139))),"",INDIRECT(_xlfn.CONCAT($K140,F$139)))</f>
        <v/>
      </c>
      <c r="AE83" s="46"/>
      <c r="AF83" s="46"/>
      <c r="AG83" s="46"/>
      <c r="AH83" s="46"/>
      <c r="AI83" s="46"/>
      <c r="AJ83" s="46"/>
      <c r="AK83" s="45" t="str" cm="1">
        <f t="array" aca="1" ref="AK83" ca="1">IF(ISBLANK(INDIRECT(_xlfn.CONCAT($K140,G$139))),"",INDIRECT(_xlfn.CONCAT($K140,G$139)))</f>
        <v/>
      </c>
      <c r="AL83" s="46"/>
      <c r="AM83" s="46"/>
      <c r="AN83" s="46"/>
      <c r="AO83" s="46"/>
      <c r="AP83" s="46"/>
      <c r="AQ83" s="46"/>
      <c r="AR83" s="45"/>
      <c r="AS83" s="46"/>
      <c r="AT83" s="46"/>
      <c r="AU83" s="46"/>
      <c r="AV83" s="46"/>
      <c r="AW83" s="46"/>
    </row>
    <row r="84" spans="1:49" ht="15" customHeight="1" x14ac:dyDescent="0.2">
      <c r="A84" s="42"/>
      <c r="B84" s="213" t="str" cm="1">
        <f t="array" ref="B84">IF(INDEX($U$177:$AI$182,B$186,$K187)="-","",INDEX($U$177:$AI$182,B$186,$K187))</f>
        <v/>
      </c>
      <c r="C84" s="213"/>
      <c r="D84" s="213"/>
      <c r="E84" s="213"/>
      <c r="F84" s="213"/>
      <c r="G84" s="213"/>
      <c r="H84" s="213"/>
      <c r="I84" s="213" t="str" cm="1">
        <f t="array" ref="I84">IF(INDEX($U$177:$AI$182,C$186,$K187)="-","",INDEX($U$177:$AI$182,C$186,$K187))</f>
        <v/>
      </c>
      <c r="J84" s="213"/>
      <c r="K84" s="213"/>
      <c r="L84" s="213"/>
      <c r="M84" s="213"/>
      <c r="N84" s="213"/>
      <c r="O84" s="213"/>
      <c r="P84" s="213" t="str" cm="1">
        <f t="array" ref="P84">IF(INDEX($U$177:$AI$182,D$186,$K187)="-","",INDEX($U$177:$AI$182,D$186,$K187))</f>
        <v/>
      </c>
      <c r="Q84" s="213"/>
      <c r="R84" s="213"/>
      <c r="S84" s="213"/>
      <c r="T84" s="213"/>
      <c r="U84" s="213"/>
      <c r="V84" s="213"/>
      <c r="W84" s="213" t="str" cm="1">
        <f t="array" ref="W84">IF(INDEX($U$177:$AI$182,E$186,$K187)="-","",INDEX($U$177:$AI$182,E$186,$K187))</f>
        <v/>
      </c>
      <c r="X84" s="213"/>
      <c r="Y84" s="213"/>
      <c r="Z84" s="213"/>
      <c r="AA84" s="213"/>
      <c r="AB84" s="213"/>
      <c r="AC84" s="213"/>
      <c r="AD84" s="213" t="str" cm="1">
        <f t="array" ref="AD84">IF(INDEX($U$177:$AI$182,F$186,$K187)="-","",INDEX($U$177:$AI$182,F$186,$K187))</f>
        <v/>
      </c>
      <c r="AE84" s="213"/>
      <c r="AF84" s="213"/>
      <c r="AG84" s="213"/>
      <c r="AH84" s="213"/>
      <c r="AI84" s="213"/>
      <c r="AJ84" s="213"/>
      <c r="AK84" s="213" t="str" cm="1">
        <f t="array" ref="AK84">IF(INDEX($U$177:$AI$182,G$186,$K187)="-","",INDEX($U$177:$AI$182,G$186,$K187))</f>
        <v/>
      </c>
      <c r="AL84" s="213"/>
      <c r="AM84" s="213"/>
      <c r="AN84" s="213"/>
      <c r="AO84" s="213"/>
      <c r="AP84" s="213"/>
      <c r="AQ84" s="213"/>
      <c r="AR84" s="211"/>
      <c r="AS84" s="211"/>
      <c r="AT84" s="211"/>
      <c r="AU84" s="211"/>
      <c r="AV84" s="211"/>
      <c r="AW84" s="211"/>
    </row>
    <row r="85" spans="1:49" ht="15" customHeight="1" x14ac:dyDescent="0.2">
      <c r="A85" s="42"/>
      <c r="B85" s="213"/>
      <c r="C85" s="213"/>
      <c r="D85" s="213"/>
      <c r="E85" s="213"/>
      <c r="F85" s="213"/>
      <c r="G85" s="213"/>
      <c r="H85" s="213"/>
      <c r="I85" s="213"/>
      <c r="J85" s="213"/>
      <c r="K85" s="213"/>
      <c r="L85" s="213"/>
      <c r="M85" s="213"/>
      <c r="N85" s="213"/>
      <c r="O85" s="213"/>
      <c r="P85" s="213"/>
      <c r="Q85" s="213"/>
      <c r="R85" s="213"/>
      <c r="S85" s="213"/>
      <c r="T85" s="213"/>
      <c r="U85" s="213"/>
      <c r="V85" s="213"/>
      <c r="W85" s="213"/>
      <c r="X85" s="213"/>
      <c r="Y85" s="213"/>
      <c r="Z85" s="213"/>
      <c r="AA85" s="213"/>
      <c r="AB85" s="213"/>
      <c r="AC85" s="213"/>
      <c r="AD85" s="213"/>
      <c r="AE85" s="213"/>
      <c r="AF85" s="213"/>
      <c r="AG85" s="213"/>
      <c r="AH85" s="213"/>
      <c r="AI85" s="213"/>
      <c r="AJ85" s="213"/>
      <c r="AK85" s="213"/>
      <c r="AL85" s="213"/>
      <c r="AM85" s="213"/>
      <c r="AN85" s="213"/>
      <c r="AO85" s="213"/>
      <c r="AP85" s="213"/>
      <c r="AQ85" s="213"/>
      <c r="AR85" s="211"/>
      <c r="AS85" s="211"/>
      <c r="AT85" s="211"/>
      <c r="AU85" s="211"/>
      <c r="AV85" s="211"/>
      <c r="AW85" s="211"/>
    </row>
    <row r="86" spans="1:49" ht="15" customHeight="1" x14ac:dyDescent="0.2">
      <c r="A86" s="42"/>
      <c r="B86" s="213"/>
      <c r="C86" s="213"/>
      <c r="D86" s="213"/>
      <c r="E86" s="213"/>
      <c r="F86" s="213"/>
      <c r="G86" s="213"/>
      <c r="H86" s="213"/>
      <c r="I86" s="213"/>
      <c r="J86" s="213"/>
      <c r="K86" s="213"/>
      <c r="L86" s="213"/>
      <c r="M86" s="213"/>
      <c r="N86" s="213"/>
      <c r="O86" s="213"/>
      <c r="P86" s="213"/>
      <c r="Q86" s="213"/>
      <c r="R86" s="213"/>
      <c r="S86" s="213"/>
      <c r="T86" s="213"/>
      <c r="U86" s="213"/>
      <c r="V86" s="213"/>
      <c r="W86" s="213"/>
      <c r="X86" s="213"/>
      <c r="Y86" s="213"/>
      <c r="Z86" s="213"/>
      <c r="AA86" s="213"/>
      <c r="AB86" s="213"/>
      <c r="AC86" s="213"/>
      <c r="AD86" s="213"/>
      <c r="AE86" s="213"/>
      <c r="AF86" s="213"/>
      <c r="AG86" s="213"/>
      <c r="AH86" s="213"/>
      <c r="AI86" s="213"/>
      <c r="AJ86" s="213"/>
      <c r="AK86" s="213"/>
      <c r="AL86" s="213"/>
      <c r="AM86" s="213"/>
      <c r="AN86" s="213"/>
      <c r="AO86" s="213"/>
      <c r="AP86" s="213"/>
      <c r="AQ86" s="213"/>
      <c r="AR86" s="211"/>
      <c r="AS86" s="211"/>
      <c r="AT86" s="211"/>
      <c r="AU86" s="211"/>
      <c r="AV86" s="211"/>
      <c r="AW86" s="211"/>
    </row>
    <row r="87" spans="1:49" ht="15" customHeight="1" x14ac:dyDescent="0.2">
      <c r="A87" s="41"/>
      <c r="B87" s="44" t="str" cm="1">
        <f t="array" aca="1" ref="B87" ca="1">IF(ISNUMBER(INDIRECT(_xlfn.CONCAT($L115,B$114))),"-","")</f>
        <v/>
      </c>
      <c r="C87" s="41" t="str">
        <f ca="1">B87</f>
        <v/>
      </c>
      <c r="D87" s="41" t="str">
        <f t="shared" ref="D87:H87" ca="1" si="64">C87</f>
        <v/>
      </c>
      <c r="E87" s="41" t="str">
        <f t="shared" ca="1" si="64"/>
        <v/>
      </c>
      <c r="F87" s="41" t="str">
        <f t="shared" ca="1" si="64"/>
        <v/>
      </c>
      <c r="G87" s="41" t="str">
        <f t="shared" ca="1" si="64"/>
        <v/>
      </c>
      <c r="H87" s="41" t="str">
        <f t="shared" ca="1" si="64"/>
        <v/>
      </c>
      <c r="I87" s="44" t="str" cm="1">
        <f t="array" aca="1" ref="I87" ca="1">IF(ISNUMBER(INDIRECT(_xlfn.CONCAT($L115,C$114))),"-","")</f>
        <v/>
      </c>
      <c r="J87" s="41" t="str">
        <f ca="1">I87</f>
        <v/>
      </c>
      <c r="K87" s="41" t="str">
        <f t="shared" ref="K87:O87" ca="1" si="65">J87</f>
        <v/>
      </c>
      <c r="L87" s="41" t="str">
        <f t="shared" ca="1" si="65"/>
        <v/>
      </c>
      <c r="M87" s="41" t="str">
        <f t="shared" ca="1" si="65"/>
        <v/>
      </c>
      <c r="N87" s="41" t="str">
        <f t="shared" ca="1" si="65"/>
        <v/>
      </c>
      <c r="O87" s="41" t="str">
        <f t="shared" ca="1" si="65"/>
        <v/>
      </c>
      <c r="P87" s="44" t="str" cm="1">
        <f t="array" aca="1" ref="P87" ca="1">IF(ISNUMBER(INDIRECT(_xlfn.CONCAT($L115,D$114))),"-","")</f>
        <v/>
      </c>
      <c r="Q87" s="41" t="str">
        <f ca="1">P87</f>
        <v/>
      </c>
      <c r="R87" s="41" t="str">
        <f t="shared" ref="R87:V87" ca="1" si="66">Q87</f>
        <v/>
      </c>
      <c r="S87" s="41" t="str">
        <f t="shared" ca="1" si="66"/>
        <v/>
      </c>
      <c r="T87" s="41" t="str">
        <f t="shared" ca="1" si="66"/>
        <v/>
      </c>
      <c r="U87" s="41" t="str">
        <f t="shared" ca="1" si="66"/>
        <v/>
      </c>
      <c r="V87" s="41" t="str">
        <f t="shared" ca="1" si="66"/>
        <v/>
      </c>
      <c r="W87" s="44" t="str" cm="1">
        <f t="array" aca="1" ref="W87" ca="1">IF(ISNUMBER(INDIRECT(_xlfn.CONCAT($L115,E$114))),"-","")</f>
        <v/>
      </c>
      <c r="X87" s="41" t="str">
        <f ca="1">W87</f>
        <v/>
      </c>
      <c r="Y87" s="41" t="str">
        <f t="shared" ref="Y87:AC87" ca="1" si="67">X87</f>
        <v/>
      </c>
      <c r="Z87" s="41" t="str">
        <f t="shared" ca="1" si="67"/>
        <v/>
      </c>
      <c r="AA87" s="41" t="str">
        <f t="shared" ca="1" si="67"/>
        <v/>
      </c>
      <c r="AB87" s="41" t="str">
        <f t="shared" ca="1" si="67"/>
        <v/>
      </c>
      <c r="AC87" s="41" t="str">
        <f t="shared" ca="1" si="67"/>
        <v/>
      </c>
      <c r="AD87" s="44" t="str" cm="1">
        <f t="array" aca="1" ref="AD87" ca="1">IF(ISNUMBER(INDIRECT(_xlfn.CONCAT($L115,F$114))),"-","")</f>
        <v/>
      </c>
      <c r="AE87" s="41" t="str">
        <f ca="1">AD87</f>
        <v/>
      </c>
      <c r="AF87" s="41" t="str">
        <f t="shared" ref="AF87:AJ87" ca="1" si="68">AE87</f>
        <v/>
      </c>
      <c r="AG87" s="41" t="str">
        <f t="shared" ca="1" si="68"/>
        <v/>
      </c>
      <c r="AH87" s="41" t="str">
        <f t="shared" ca="1" si="68"/>
        <v/>
      </c>
      <c r="AI87" s="41" t="str">
        <f t="shared" ca="1" si="68"/>
        <v/>
      </c>
      <c r="AJ87" s="41" t="str">
        <f t="shared" ca="1" si="68"/>
        <v/>
      </c>
      <c r="AK87" s="44" t="str" cm="1">
        <f t="array" aca="1" ref="AK87" ca="1">IF(ISNUMBER(INDIRECT(_xlfn.CONCAT($L115,G$114))),"-","")</f>
        <v/>
      </c>
      <c r="AL87" s="41" t="str">
        <f ca="1">AK87</f>
        <v/>
      </c>
      <c r="AM87" s="41" t="str">
        <f t="shared" ref="AM87:AQ87" ca="1" si="69">AL87</f>
        <v/>
      </c>
      <c r="AN87" s="41" t="str">
        <f t="shared" ca="1" si="69"/>
        <v/>
      </c>
      <c r="AO87" s="41" t="str">
        <f t="shared" ca="1" si="69"/>
        <v/>
      </c>
      <c r="AP87" s="41" t="str">
        <f t="shared" ca="1" si="69"/>
        <v/>
      </c>
      <c r="AQ87" s="41" t="str">
        <f t="shared" ca="1" si="69"/>
        <v/>
      </c>
      <c r="AR87" s="44"/>
      <c r="AS87" s="41"/>
      <c r="AT87" s="41"/>
      <c r="AU87" s="41"/>
      <c r="AV87" s="41"/>
      <c r="AW87" s="41"/>
    </row>
    <row r="88" spans="1:49" ht="15" customHeight="1" x14ac:dyDescent="0.2">
      <c r="A88" s="42"/>
      <c r="B88" s="45" t="str" cm="1">
        <f t="array" aca="1" ref="B88" ca="1">IF(ISBLANK(INDIRECT(_xlfn.CONCAT($L140,B$139))),"",INDIRECT(_xlfn.CONCAT($L140,B$139)))</f>
        <v/>
      </c>
      <c r="C88" s="46"/>
      <c r="D88" s="46"/>
      <c r="E88" s="46"/>
      <c r="F88" s="46"/>
      <c r="G88" s="46"/>
      <c r="H88" s="46"/>
      <c r="I88" s="45" t="str" cm="1">
        <f t="array" aca="1" ref="I88" ca="1">IF(ISBLANK(INDIRECT(_xlfn.CONCAT($L140,C$139))),"",INDIRECT(_xlfn.CONCAT($L140,C$139)))</f>
        <v/>
      </c>
      <c r="J88" s="46"/>
      <c r="K88" s="46"/>
      <c r="L88" s="46"/>
      <c r="M88" s="46"/>
      <c r="N88" s="46"/>
      <c r="O88" s="46"/>
      <c r="P88" s="45" t="str" cm="1">
        <f t="array" aca="1" ref="P88" ca="1">IF(ISBLANK(INDIRECT(_xlfn.CONCAT($L140,D$139))),"",INDIRECT(_xlfn.CONCAT($L140,D$139)))</f>
        <v/>
      </c>
      <c r="Q88" s="46"/>
      <c r="R88" s="46"/>
      <c r="S88" s="46"/>
      <c r="T88" s="46"/>
      <c r="U88" s="46"/>
      <c r="V88" s="46"/>
      <c r="W88" s="45" t="str" cm="1">
        <f t="array" aca="1" ref="W88" ca="1">IF(ISBLANK(INDIRECT(_xlfn.CONCAT($L140,E$139))),"",INDIRECT(_xlfn.CONCAT($L140,E$139)))</f>
        <v/>
      </c>
      <c r="X88" s="46"/>
      <c r="Y88" s="46"/>
      <c r="Z88" s="46"/>
      <c r="AA88" s="46"/>
      <c r="AB88" s="46"/>
      <c r="AC88" s="46"/>
      <c r="AD88" s="45" t="str" cm="1">
        <f t="array" aca="1" ref="AD88" ca="1">IF(ISBLANK(INDIRECT(_xlfn.CONCAT($L140,F$139))),"",INDIRECT(_xlfn.CONCAT($L140,F$139)))</f>
        <v/>
      </c>
      <c r="AE88" s="46"/>
      <c r="AF88" s="46"/>
      <c r="AG88" s="46"/>
      <c r="AH88" s="46"/>
      <c r="AI88" s="46"/>
      <c r="AJ88" s="46"/>
      <c r="AK88" s="45" t="str" cm="1">
        <f t="array" aca="1" ref="AK88" ca="1">IF(ISBLANK(INDIRECT(_xlfn.CONCAT($L140,G$139))),"",INDIRECT(_xlfn.CONCAT($L140,G$139)))</f>
        <v/>
      </c>
      <c r="AL88" s="46"/>
      <c r="AM88" s="46"/>
      <c r="AN88" s="46"/>
      <c r="AO88" s="46"/>
      <c r="AP88" s="46"/>
      <c r="AQ88" s="46"/>
      <c r="AR88" s="45"/>
      <c r="AS88" s="46"/>
      <c r="AT88" s="46"/>
      <c r="AU88" s="46"/>
      <c r="AV88" s="46"/>
      <c r="AW88" s="46"/>
    </row>
    <row r="89" spans="1:49" ht="15" customHeight="1" x14ac:dyDescent="0.2">
      <c r="A89" s="42"/>
      <c r="B89" s="213" t="str" cm="1">
        <f t="array" ref="B89">IF(INDEX($U$177:$AI$182,B$186,$L187)="-","",INDEX($U$177:$AI$182,B$186,$L187))</f>
        <v/>
      </c>
      <c r="C89" s="213"/>
      <c r="D89" s="213"/>
      <c r="E89" s="213"/>
      <c r="F89" s="213"/>
      <c r="G89" s="213"/>
      <c r="H89" s="213"/>
      <c r="I89" s="213" t="str" cm="1">
        <f t="array" ref="I89">IF(INDEX($U$177:$AI$182,C$186,$L187)="-","",INDEX($U$177:$AI$182,C$186,$L187))</f>
        <v/>
      </c>
      <c r="J89" s="213"/>
      <c r="K89" s="213"/>
      <c r="L89" s="213"/>
      <c r="M89" s="213"/>
      <c r="N89" s="213"/>
      <c r="O89" s="213"/>
      <c r="P89" s="213" t="str" cm="1">
        <f t="array" ref="P89">IF(INDEX($U$177:$AI$182,D$186,$L187)="-","",INDEX($U$177:$AI$182,D$186,$L187))</f>
        <v/>
      </c>
      <c r="Q89" s="213"/>
      <c r="R89" s="213"/>
      <c r="S89" s="213"/>
      <c r="T89" s="213"/>
      <c r="U89" s="213"/>
      <c r="V89" s="213"/>
      <c r="W89" s="213" t="str" cm="1">
        <f t="array" ref="W89">IF(INDEX($U$177:$AI$182,E$186,$L187)="-","",INDEX($U$177:$AI$182,E$186,$L187))</f>
        <v/>
      </c>
      <c r="X89" s="213"/>
      <c r="Y89" s="213"/>
      <c r="Z89" s="213"/>
      <c r="AA89" s="213"/>
      <c r="AB89" s="213"/>
      <c r="AC89" s="213"/>
      <c r="AD89" s="213" t="str" cm="1">
        <f t="array" ref="AD89">IF(INDEX($U$177:$AI$182,F$186,$L187)="-","",INDEX($U$177:$AI$182,F$186,$L187))</f>
        <v/>
      </c>
      <c r="AE89" s="213"/>
      <c r="AF89" s="213"/>
      <c r="AG89" s="213"/>
      <c r="AH89" s="213"/>
      <c r="AI89" s="213"/>
      <c r="AJ89" s="213"/>
      <c r="AK89" s="213" t="str" cm="1">
        <f t="array" ref="AK89">IF(INDEX($U$177:$AI$182,G$186,$L187)="-","",INDEX($U$177:$AI$182,G$186,$L187))</f>
        <v/>
      </c>
      <c r="AL89" s="213"/>
      <c r="AM89" s="213"/>
      <c r="AN89" s="213"/>
      <c r="AO89" s="213"/>
      <c r="AP89" s="213"/>
      <c r="AQ89" s="213"/>
      <c r="AR89" s="211"/>
      <c r="AS89" s="211"/>
      <c r="AT89" s="211"/>
      <c r="AU89" s="211"/>
      <c r="AV89" s="211"/>
      <c r="AW89" s="211"/>
    </row>
    <row r="90" spans="1:49" ht="15" customHeight="1" x14ac:dyDescent="0.2">
      <c r="A90" s="42"/>
      <c r="B90" s="213"/>
      <c r="C90" s="213"/>
      <c r="D90" s="213"/>
      <c r="E90" s="213"/>
      <c r="F90" s="213"/>
      <c r="G90" s="213"/>
      <c r="H90" s="213"/>
      <c r="I90" s="213"/>
      <c r="J90" s="213"/>
      <c r="K90" s="213"/>
      <c r="L90" s="213"/>
      <c r="M90" s="213"/>
      <c r="N90" s="213"/>
      <c r="O90" s="213"/>
      <c r="P90" s="213"/>
      <c r="Q90" s="213"/>
      <c r="R90" s="213"/>
      <c r="S90" s="213"/>
      <c r="T90" s="213"/>
      <c r="U90" s="213"/>
      <c r="V90" s="213"/>
      <c r="W90" s="213"/>
      <c r="X90" s="213"/>
      <c r="Y90" s="213"/>
      <c r="Z90" s="213"/>
      <c r="AA90" s="213"/>
      <c r="AB90" s="213"/>
      <c r="AC90" s="213"/>
      <c r="AD90" s="213"/>
      <c r="AE90" s="213"/>
      <c r="AF90" s="213"/>
      <c r="AG90" s="213"/>
      <c r="AH90" s="213"/>
      <c r="AI90" s="213"/>
      <c r="AJ90" s="213"/>
      <c r="AK90" s="213"/>
      <c r="AL90" s="213"/>
      <c r="AM90" s="213"/>
      <c r="AN90" s="213"/>
      <c r="AO90" s="213"/>
      <c r="AP90" s="213"/>
      <c r="AQ90" s="213"/>
      <c r="AR90" s="211"/>
      <c r="AS90" s="211"/>
      <c r="AT90" s="211"/>
      <c r="AU90" s="211"/>
      <c r="AV90" s="211"/>
      <c r="AW90" s="211"/>
    </row>
    <row r="91" spans="1:49" ht="15" customHeight="1" x14ac:dyDescent="0.2">
      <c r="A91" s="42"/>
      <c r="B91" s="213"/>
      <c r="C91" s="213"/>
      <c r="D91" s="213"/>
      <c r="E91" s="213"/>
      <c r="F91" s="213"/>
      <c r="G91" s="213"/>
      <c r="H91" s="213"/>
      <c r="I91" s="213"/>
      <c r="J91" s="213"/>
      <c r="K91" s="213"/>
      <c r="L91" s="213"/>
      <c r="M91" s="213"/>
      <c r="N91" s="213"/>
      <c r="O91" s="213"/>
      <c r="P91" s="213"/>
      <c r="Q91" s="213"/>
      <c r="R91" s="213"/>
      <c r="S91" s="213"/>
      <c r="T91" s="213"/>
      <c r="U91" s="213"/>
      <c r="V91" s="213"/>
      <c r="W91" s="213"/>
      <c r="X91" s="213"/>
      <c r="Y91" s="213"/>
      <c r="Z91" s="213"/>
      <c r="AA91" s="213"/>
      <c r="AB91" s="213"/>
      <c r="AC91" s="213"/>
      <c r="AD91" s="213"/>
      <c r="AE91" s="213"/>
      <c r="AF91" s="213"/>
      <c r="AG91" s="213"/>
      <c r="AH91" s="213"/>
      <c r="AI91" s="213"/>
      <c r="AJ91" s="213"/>
      <c r="AK91" s="213"/>
      <c r="AL91" s="213"/>
      <c r="AM91" s="213"/>
      <c r="AN91" s="213"/>
      <c r="AO91" s="213"/>
      <c r="AP91" s="213"/>
      <c r="AQ91" s="213"/>
      <c r="AR91" s="211"/>
      <c r="AS91" s="211"/>
      <c r="AT91" s="211"/>
      <c r="AU91" s="211"/>
      <c r="AV91" s="211"/>
      <c r="AW91" s="211"/>
    </row>
    <row r="92" spans="1:49" ht="15" customHeight="1" x14ac:dyDescent="0.2">
      <c r="A92" s="41"/>
      <c r="B92" s="44" t="str" cm="1">
        <f t="array" aca="1" ref="B92" ca="1">IF(ISNUMBER(INDIRECT(_xlfn.CONCAT($M115,B$114))),"-","")</f>
        <v/>
      </c>
      <c r="C92" s="41" t="str">
        <f ca="1">B92</f>
        <v/>
      </c>
      <c r="D92" s="41" t="str">
        <f t="shared" ref="D92:H92" ca="1" si="70">C92</f>
        <v/>
      </c>
      <c r="E92" s="41" t="str">
        <f t="shared" ca="1" si="70"/>
        <v/>
      </c>
      <c r="F92" s="41" t="str">
        <f t="shared" ca="1" si="70"/>
        <v/>
      </c>
      <c r="G92" s="41" t="str">
        <f t="shared" ca="1" si="70"/>
        <v/>
      </c>
      <c r="H92" s="41" t="str">
        <f t="shared" ca="1" si="70"/>
        <v/>
      </c>
      <c r="I92" s="44" t="str" cm="1">
        <f t="array" aca="1" ref="I92" ca="1">IF(ISNUMBER(INDIRECT(_xlfn.CONCAT($M115,C$114))),"-","")</f>
        <v/>
      </c>
      <c r="J92" s="41" t="str">
        <f ca="1">I92</f>
        <v/>
      </c>
      <c r="K92" s="41" t="str">
        <f t="shared" ref="K92:O92" ca="1" si="71">J92</f>
        <v/>
      </c>
      <c r="L92" s="41" t="str">
        <f t="shared" ca="1" si="71"/>
        <v/>
      </c>
      <c r="M92" s="41" t="str">
        <f t="shared" ca="1" si="71"/>
        <v/>
      </c>
      <c r="N92" s="41" t="str">
        <f t="shared" ca="1" si="71"/>
        <v/>
      </c>
      <c r="O92" s="41" t="str">
        <f t="shared" ca="1" si="71"/>
        <v/>
      </c>
      <c r="P92" s="44" t="str" cm="1">
        <f t="array" aca="1" ref="P92" ca="1">IF(ISNUMBER(INDIRECT(_xlfn.CONCAT($M115,D$114))),"-","")</f>
        <v/>
      </c>
      <c r="Q92" s="41" t="str">
        <f ca="1">P92</f>
        <v/>
      </c>
      <c r="R92" s="41" t="str">
        <f t="shared" ref="R92:V92" ca="1" si="72">Q92</f>
        <v/>
      </c>
      <c r="S92" s="41" t="str">
        <f t="shared" ca="1" si="72"/>
        <v/>
      </c>
      <c r="T92" s="41" t="str">
        <f t="shared" ca="1" si="72"/>
        <v/>
      </c>
      <c r="U92" s="41" t="str">
        <f t="shared" ca="1" si="72"/>
        <v/>
      </c>
      <c r="V92" s="41" t="str">
        <f t="shared" ca="1" si="72"/>
        <v/>
      </c>
      <c r="W92" s="44" t="str" cm="1">
        <f t="array" aca="1" ref="W92" ca="1">IF(ISNUMBER(INDIRECT(_xlfn.CONCAT($M115,E$114))),"-","")</f>
        <v/>
      </c>
      <c r="X92" s="41" t="str">
        <f ca="1">W92</f>
        <v/>
      </c>
      <c r="Y92" s="41" t="str">
        <f t="shared" ref="Y92:AC92" ca="1" si="73">X92</f>
        <v/>
      </c>
      <c r="Z92" s="41" t="str">
        <f t="shared" ca="1" si="73"/>
        <v/>
      </c>
      <c r="AA92" s="41" t="str">
        <f t="shared" ca="1" si="73"/>
        <v/>
      </c>
      <c r="AB92" s="41" t="str">
        <f t="shared" ca="1" si="73"/>
        <v/>
      </c>
      <c r="AC92" s="41" t="str">
        <f t="shared" ca="1" si="73"/>
        <v/>
      </c>
      <c r="AD92" s="44" t="str" cm="1">
        <f t="array" aca="1" ref="AD92" ca="1">IF(ISNUMBER(INDIRECT(_xlfn.CONCAT($M115,F$114))),"-","")</f>
        <v/>
      </c>
      <c r="AE92" s="41" t="str">
        <f ca="1">AD92</f>
        <v/>
      </c>
      <c r="AF92" s="41" t="str">
        <f t="shared" ref="AF92:AJ92" ca="1" si="74">AE92</f>
        <v/>
      </c>
      <c r="AG92" s="41" t="str">
        <f t="shared" ca="1" si="74"/>
        <v/>
      </c>
      <c r="AH92" s="41" t="str">
        <f t="shared" ca="1" si="74"/>
        <v/>
      </c>
      <c r="AI92" s="41" t="str">
        <f t="shared" ca="1" si="74"/>
        <v/>
      </c>
      <c r="AJ92" s="41" t="str">
        <f t="shared" ca="1" si="74"/>
        <v/>
      </c>
      <c r="AK92" s="44" t="str" cm="1">
        <f t="array" aca="1" ref="AK92" ca="1">IF(ISNUMBER(INDIRECT(_xlfn.CONCAT($M115,G$114))),"-","")</f>
        <v/>
      </c>
      <c r="AL92" s="41" t="str">
        <f ca="1">AK92</f>
        <v/>
      </c>
      <c r="AM92" s="41" t="str">
        <f t="shared" ref="AM92:AQ92" ca="1" si="75">AL92</f>
        <v/>
      </c>
      <c r="AN92" s="41" t="str">
        <f t="shared" ca="1" si="75"/>
        <v/>
      </c>
      <c r="AO92" s="41" t="str">
        <f t="shared" ca="1" si="75"/>
        <v/>
      </c>
      <c r="AP92" s="41" t="str">
        <f t="shared" ca="1" si="75"/>
        <v/>
      </c>
      <c r="AQ92" s="41" t="str">
        <f t="shared" ca="1" si="75"/>
        <v/>
      </c>
      <c r="AR92" s="44"/>
      <c r="AS92" s="41"/>
      <c r="AT92" s="41"/>
      <c r="AU92" s="41"/>
      <c r="AV92" s="41"/>
      <c r="AW92" s="41"/>
    </row>
    <row r="93" spans="1:49" ht="15" customHeight="1" x14ac:dyDescent="0.2">
      <c r="A93" s="41"/>
      <c r="B93" s="44"/>
      <c r="C93" s="41"/>
      <c r="D93" s="41"/>
      <c r="E93" s="41"/>
      <c r="F93" s="41"/>
      <c r="G93" s="41"/>
      <c r="H93" s="41"/>
      <c r="I93" s="44"/>
      <c r="J93" s="41"/>
      <c r="K93" s="41"/>
      <c r="L93" s="41"/>
      <c r="M93" s="41"/>
      <c r="N93" s="41"/>
      <c r="O93" s="41"/>
      <c r="P93" s="44"/>
      <c r="Q93" s="41"/>
      <c r="R93" s="41"/>
      <c r="S93" s="41"/>
      <c r="T93" s="41"/>
      <c r="U93" s="41"/>
      <c r="V93" s="41"/>
      <c r="W93" s="44"/>
      <c r="X93" s="41"/>
      <c r="Y93" s="41"/>
      <c r="Z93" s="41"/>
      <c r="AA93" s="41"/>
      <c r="AB93" s="41"/>
      <c r="AC93" s="41"/>
      <c r="AD93" s="44"/>
      <c r="AE93" s="41"/>
      <c r="AF93" s="41"/>
      <c r="AG93" s="41"/>
      <c r="AH93" s="41"/>
      <c r="AI93" s="41"/>
      <c r="AJ93" s="41"/>
      <c r="AK93" s="44"/>
      <c r="AL93" s="41"/>
      <c r="AM93" s="41"/>
      <c r="AN93" s="41"/>
      <c r="AO93" s="41"/>
      <c r="AP93" s="41"/>
      <c r="AQ93" s="41"/>
      <c r="AR93" s="44"/>
      <c r="AS93" s="41"/>
      <c r="AT93" s="41"/>
      <c r="AU93" s="41"/>
      <c r="AV93" s="41"/>
      <c r="AW93" s="41"/>
    </row>
    <row r="94" spans="1:49" ht="15" customHeight="1" x14ac:dyDescent="0.2">
      <c r="A94" s="41"/>
      <c r="B94" s="44"/>
      <c r="C94" s="41"/>
      <c r="D94" s="41"/>
      <c r="E94" s="41"/>
      <c r="F94" s="41"/>
      <c r="G94" s="41"/>
      <c r="H94" s="41"/>
      <c r="I94" s="44"/>
      <c r="J94" s="41"/>
      <c r="K94" s="41"/>
      <c r="L94" s="41"/>
      <c r="M94" s="41"/>
      <c r="N94" s="41"/>
      <c r="O94" s="41"/>
      <c r="P94" s="44"/>
      <c r="Q94" s="41"/>
      <c r="R94" s="41"/>
      <c r="S94" s="41"/>
      <c r="T94" s="41"/>
      <c r="U94" s="41"/>
      <c r="V94" s="41"/>
      <c r="W94" s="44"/>
      <c r="X94" s="41"/>
      <c r="Y94" s="41"/>
      <c r="Z94" s="41"/>
      <c r="AA94" s="41"/>
      <c r="AB94" s="41"/>
      <c r="AC94" s="41"/>
      <c r="AD94" s="44"/>
      <c r="AE94" s="41"/>
      <c r="AF94" s="41"/>
      <c r="AG94" s="41"/>
      <c r="AH94" s="41"/>
      <c r="AI94" s="41"/>
      <c r="AJ94" s="41"/>
      <c r="AK94" s="44"/>
      <c r="AL94" s="41"/>
      <c r="AM94" s="41"/>
      <c r="AN94" s="41"/>
      <c r="AO94" s="41"/>
      <c r="AP94" s="41"/>
      <c r="AQ94" s="41"/>
      <c r="AR94" s="44"/>
      <c r="AS94" s="41"/>
      <c r="AT94" s="41"/>
      <c r="AU94" s="41"/>
      <c r="AV94" s="41"/>
      <c r="AW94" s="41"/>
    </row>
    <row r="95" spans="1:49" ht="15" customHeight="1" x14ac:dyDescent="0.2">
      <c r="A95" s="41"/>
      <c r="B95" s="44"/>
      <c r="C95" s="41"/>
      <c r="D95" s="41"/>
      <c r="E95" s="41"/>
      <c r="F95" s="41"/>
      <c r="G95" s="41"/>
      <c r="H95" s="41"/>
      <c r="I95" s="44"/>
      <c r="J95" s="41"/>
      <c r="K95" s="41"/>
      <c r="L95" s="41"/>
      <c r="M95" s="41"/>
      <c r="N95" s="41"/>
      <c r="O95" s="41"/>
      <c r="P95" s="44"/>
      <c r="Q95" s="41"/>
      <c r="R95" s="41"/>
      <c r="S95" s="41"/>
      <c r="T95" s="41"/>
      <c r="U95" s="41"/>
      <c r="V95" s="41"/>
      <c r="W95" s="44"/>
      <c r="X95" s="41"/>
      <c r="Y95" s="41"/>
      <c r="Z95" s="41"/>
      <c r="AA95" s="41"/>
      <c r="AB95" s="41"/>
      <c r="AC95" s="41"/>
      <c r="AD95" s="44"/>
      <c r="AE95" s="41"/>
      <c r="AF95" s="41"/>
      <c r="AG95" s="41"/>
      <c r="AH95" s="41"/>
      <c r="AI95" s="41"/>
      <c r="AJ95" s="41"/>
      <c r="AK95" s="44"/>
      <c r="AL95" s="41"/>
      <c r="AM95" s="41"/>
      <c r="AN95" s="41"/>
      <c r="AO95" s="41"/>
      <c r="AP95" s="41"/>
      <c r="AQ95" s="41"/>
      <c r="AR95" s="44"/>
      <c r="AS95" s="41"/>
      <c r="AT95" s="41"/>
      <c r="AU95" s="41"/>
      <c r="AV95" s="41"/>
      <c r="AW95" s="41"/>
    </row>
    <row r="96" spans="1:49" ht="15" customHeight="1" x14ac:dyDescent="0.2">
      <c r="A96" s="41"/>
      <c r="B96" s="44"/>
      <c r="C96" s="41"/>
      <c r="D96" s="41"/>
      <c r="E96" s="41"/>
      <c r="F96" s="41"/>
      <c r="G96" s="41"/>
      <c r="H96" s="41"/>
      <c r="I96" s="44"/>
      <c r="J96" s="41"/>
      <c r="K96" s="41"/>
      <c r="L96" s="41"/>
      <c r="M96" s="41"/>
      <c r="N96" s="41"/>
      <c r="O96" s="41"/>
      <c r="P96" s="44"/>
      <c r="Q96" s="41"/>
      <c r="R96" s="41"/>
      <c r="S96" s="41"/>
      <c r="T96" s="41"/>
      <c r="U96" s="41"/>
      <c r="V96" s="41"/>
      <c r="W96" s="44"/>
      <c r="X96" s="41"/>
      <c r="Y96" s="41"/>
      <c r="Z96" s="41"/>
      <c r="AA96" s="41"/>
      <c r="AB96" s="41"/>
      <c r="AC96" s="41"/>
      <c r="AD96" s="44"/>
      <c r="AE96" s="41"/>
      <c r="AF96" s="41"/>
      <c r="AG96" s="41"/>
      <c r="AH96" s="41"/>
      <c r="AI96" s="41"/>
      <c r="AJ96" s="41"/>
      <c r="AK96" s="44"/>
      <c r="AL96" s="41"/>
      <c r="AM96" s="41"/>
      <c r="AN96" s="41"/>
      <c r="AO96" s="41"/>
      <c r="AP96" s="41"/>
      <c r="AQ96" s="41"/>
      <c r="AR96" s="44"/>
      <c r="AS96" s="41"/>
      <c r="AT96" s="41"/>
      <c r="AU96" s="41"/>
      <c r="AV96" s="41"/>
      <c r="AW96" s="41"/>
    </row>
    <row r="97" spans="1:61" ht="15" customHeight="1" x14ac:dyDescent="0.2">
      <c r="A97" s="41"/>
      <c r="B97" s="44"/>
      <c r="C97" s="41"/>
      <c r="D97" s="41"/>
      <c r="E97" s="41"/>
      <c r="F97" s="41"/>
      <c r="G97" s="41"/>
      <c r="H97" s="41"/>
      <c r="I97" s="44"/>
      <c r="J97" s="41"/>
      <c r="K97" s="41"/>
      <c r="L97" s="41"/>
      <c r="M97" s="41"/>
      <c r="N97" s="41"/>
      <c r="O97" s="41"/>
      <c r="P97" s="44"/>
      <c r="Q97" s="41"/>
      <c r="R97" s="41"/>
      <c r="S97" s="41"/>
      <c r="T97" s="41"/>
      <c r="U97" s="41"/>
      <c r="V97" s="41"/>
      <c r="W97" s="44"/>
      <c r="X97" s="41"/>
      <c r="Y97" s="41"/>
      <c r="Z97" s="41"/>
      <c r="AA97" s="41"/>
      <c r="AB97" s="41"/>
      <c r="AC97" s="41"/>
      <c r="AD97" s="44"/>
      <c r="AE97" s="41"/>
      <c r="AF97" s="41"/>
      <c r="AG97" s="41"/>
      <c r="AH97" s="41"/>
      <c r="AI97" s="41"/>
      <c r="AJ97" s="41"/>
      <c r="AK97" s="44"/>
      <c r="AL97" s="41"/>
      <c r="AM97" s="41"/>
      <c r="AN97" s="41"/>
      <c r="AO97" s="41"/>
      <c r="AP97" s="41"/>
      <c r="AQ97" s="41"/>
      <c r="AR97" s="44"/>
      <c r="AS97" s="41"/>
      <c r="AT97" s="41"/>
      <c r="AU97" s="41"/>
      <c r="AV97" s="41"/>
      <c r="AW97" s="41"/>
    </row>
    <row r="98" spans="1:61" ht="15" customHeight="1" x14ac:dyDescent="0.2">
      <c r="A98" s="41"/>
      <c r="B98" s="44"/>
      <c r="C98" s="41"/>
      <c r="D98" s="41"/>
      <c r="E98" s="41"/>
      <c r="F98" s="41"/>
      <c r="G98" s="41"/>
      <c r="H98" s="41"/>
      <c r="I98" s="44"/>
      <c r="J98" s="41"/>
      <c r="K98" s="41"/>
      <c r="L98" s="41"/>
      <c r="M98" s="41"/>
      <c r="N98" s="41"/>
      <c r="O98" s="41"/>
      <c r="P98" s="44"/>
      <c r="Q98" s="41"/>
      <c r="R98" s="41"/>
      <c r="S98" s="41"/>
      <c r="T98" s="41"/>
      <c r="U98" s="41"/>
      <c r="V98" s="41"/>
      <c r="W98" s="44"/>
      <c r="X98" s="41"/>
      <c r="Y98" s="41"/>
      <c r="Z98" s="41"/>
      <c r="AA98" s="41"/>
      <c r="AB98" s="41"/>
      <c r="AC98" s="41"/>
      <c r="AD98" s="44"/>
      <c r="AE98" s="41"/>
      <c r="AF98" s="41"/>
      <c r="AG98" s="41"/>
      <c r="AH98" s="41"/>
      <c r="AI98" s="41"/>
      <c r="AJ98" s="41"/>
      <c r="AK98" s="44"/>
      <c r="AL98" s="41"/>
      <c r="AM98" s="41"/>
      <c r="AN98" s="41"/>
      <c r="AO98" s="41"/>
      <c r="AP98" s="41"/>
      <c r="AQ98" s="41"/>
      <c r="AR98" s="44"/>
      <c r="AS98" s="41"/>
      <c r="AT98" s="41"/>
      <c r="AU98" s="41"/>
      <c r="AV98" s="41"/>
      <c r="AW98" s="41"/>
    </row>
    <row r="99" spans="1:61" ht="15" customHeight="1" x14ac:dyDescent="0.2">
      <c r="A99" s="47" t="s">
        <v>50</v>
      </c>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c r="AW99" s="47"/>
      <c r="BH99" s="48"/>
      <c r="BI99" s="48"/>
    </row>
    <row r="100" spans="1:61" s="49" customFormat="1" ht="15" customHeight="1" x14ac:dyDescent="0.25">
      <c r="BH100" s="48"/>
      <c r="BI100" s="48"/>
    </row>
    <row r="101" spans="1:61" s="49" customFormat="1" ht="15" customHeight="1" x14ac:dyDescent="0.25">
      <c r="B101" s="50" t="s">
        <v>116</v>
      </c>
      <c r="BH101" s="48"/>
      <c r="BI101" s="48"/>
    </row>
    <row r="102" spans="1:61" s="49" customFormat="1" ht="15" customHeight="1" x14ac:dyDescent="0.25">
      <c r="BH102" s="48"/>
      <c r="BI102" s="48"/>
    </row>
    <row r="103" spans="1:61" s="49" customFormat="1" ht="15" customHeight="1" x14ac:dyDescent="0.25">
      <c r="U103" s="51">
        <v>10</v>
      </c>
      <c r="V103" s="51">
        <f>U103+5</f>
        <v>15</v>
      </c>
      <c r="W103" s="51">
        <f t="shared" ref="W103:AE103" si="76">V103+5</f>
        <v>20</v>
      </c>
      <c r="X103" s="51">
        <f t="shared" si="76"/>
        <v>25</v>
      </c>
      <c r="Y103" s="51">
        <f t="shared" si="76"/>
        <v>30</v>
      </c>
      <c r="Z103" s="51">
        <f t="shared" si="76"/>
        <v>35</v>
      </c>
      <c r="AA103" s="51">
        <f t="shared" si="76"/>
        <v>40</v>
      </c>
      <c r="AB103" s="51">
        <f t="shared" si="76"/>
        <v>45</v>
      </c>
      <c r="AC103" s="51">
        <f t="shared" si="76"/>
        <v>50</v>
      </c>
      <c r="AD103" s="51">
        <f t="shared" si="76"/>
        <v>55</v>
      </c>
      <c r="AE103" s="51">
        <f t="shared" si="76"/>
        <v>60</v>
      </c>
      <c r="BH103" s="48"/>
      <c r="BI103" s="48"/>
    </row>
    <row r="104" spans="1:61" s="49" customFormat="1" ht="15" customHeight="1" x14ac:dyDescent="0.25">
      <c r="B104" s="214" t="s">
        <v>98</v>
      </c>
      <c r="C104" s="214"/>
      <c r="D104" s="214"/>
      <c r="E104" s="218" t="s">
        <v>147</v>
      </c>
      <c r="F104" s="218"/>
      <c r="G104" s="218"/>
      <c r="H104" s="218"/>
      <c r="I104" s="218"/>
      <c r="J104" s="218"/>
      <c r="K104" s="218"/>
      <c r="L104" s="218"/>
      <c r="M104" s="218" t="s">
        <v>97</v>
      </c>
      <c r="N104" s="218"/>
      <c r="O104" s="218"/>
      <c r="P104" s="218"/>
      <c r="Q104" s="218" t="s">
        <v>118</v>
      </c>
      <c r="R104" s="218"/>
      <c r="S104" s="218"/>
      <c r="T104" s="218"/>
      <c r="U104" s="52">
        <v>1</v>
      </c>
      <c r="V104" s="52">
        <v>2</v>
      </c>
      <c r="W104" s="52">
        <v>3</v>
      </c>
      <c r="X104" s="52">
        <v>4</v>
      </c>
      <c r="Y104" s="52">
        <v>5</v>
      </c>
      <c r="Z104" s="52">
        <v>6</v>
      </c>
      <c r="AA104" s="52">
        <v>7</v>
      </c>
      <c r="AB104" s="52">
        <v>8</v>
      </c>
      <c r="AC104" s="52">
        <v>9</v>
      </c>
      <c r="AD104" s="52">
        <v>10</v>
      </c>
      <c r="AE104" s="52">
        <v>11</v>
      </c>
      <c r="AF104" s="53"/>
      <c r="AG104" s="53"/>
      <c r="AH104" s="53"/>
      <c r="AI104" s="53"/>
      <c r="AJ104" s="53"/>
      <c r="AK104" s="53"/>
      <c r="AL104" s="53"/>
      <c r="AM104" s="53"/>
      <c r="AN104" s="53"/>
      <c r="AO104" s="53"/>
      <c r="AP104" s="53"/>
      <c r="AQ104" s="53"/>
      <c r="AR104" s="53"/>
      <c r="AS104" s="53"/>
      <c r="AT104" s="53"/>
      <c r="AU104" s="53"/>
      <c r="AV104" s="53"/>
      <c r="AW104" s="53"/>
      <c r="BH104" s="48"/>
      <c r="BI104" s="48"/>
    </row>
    <row r="105" spans="1:61" s="49" customFormat="1" ht="15" customHeight="1" x14ac:dyDescent="0.25">
      <c r="B105" s="214">
        <v>1</v>
      </c>
      <c r="C105" s="214"/>
      <c r="D105" s="214"/>
      <c r="E105" s="215" t="str">
        <f>IF('Project Event Tree Input'!D9="Hydrologic Hazard","Hazard","Primary Hazard")</f>
        <v>Hazard</v>
      </c>
      <c r="F105" s="216"/>
      <c r="G105" s="216"/>
      <c r="H105" s="216"/>
      <c r="I105" s="216"/>
      <c r="J105" s="216"/>
      <c r="K105" s="216"/>
      <c r="L105" s="217"/>
      <c r="M105" s="151">
        <f>IF(E105="-","-",IF(E105="Transform",IF(ISBLANK('Project Event Tree Input'!$D$48),"-",'Project Event Tree Input'!$D$48+1),1))</f>
        <v>1</v>
      </c>
      <c r="N105" s="151"/>
      <c r="O105" s="151"/>
      <c r="P105" s="151"/>
      <c r="Q105" s="218">
        <f>IF(M105="-","-",PRODUCT($M105:M$105))</f>
        <v>1</v>
      </c>
      <c r="R105" s="218"/>
      <c r="S105" s="218"/>
      <c r="T105" s="218"/>
      <c r="U105" s="51">
        <f t="shared" ref="U105:AE105" si="77">IF(ISNUMBER($Q105),IF(U$104&gt;MAX($Q$105:$T$110),"-",IF(MOD(U$104-$U$104,(MAX($Q$105:$T$110)/$Q105))=0,U$103,"-")),"-")</f>
        <v>10</v>
      </c>
      <c r="V105" s="51" t="str">
        <f t="shared" si="77"/>
        <v>-</v>
      </c>
      <c r="W105" s="51" t="str">
        <f t="shared" si="77"/>
        <v>-</v>
      </c>
      <c r="X105" s="51" t="str">
        <f t="shared" si="77"/>
        <v>-</v>
      </c>
      <c r="Y105" s="51" t="str">
        <f t="shared" si="77"/>
        <v>-</v>
      </c>
      <c r="Z105" s="51" t="str">
        <f t="shared" si="77"/>
        <v>-</v>
      </c>
      <c r="AA105" s="51" t="str">
        <f t="shared" si="77"/>
        <v>-</v>
      </c>
      <c r="AB105" s="51" t="str">
        <f t="shared" si="77"/>
        <v>-</v>
      </c>
      <c r="AC105" s="51" t="str">
        <f t="shared" si="77"/>
        <v>-</v>
      </c>
      <c r="AD105" s="51" t="str">
        <f t="shared" si="77"/>
        <v>-</v>
      </c>
      <c r="AE105" s="51" t="str">
        <f t="shared" si="77"/>
        <v>-</v>
      </c>
      <c r="AT105" s="68"/>
      <c r="AU105" s="68"/>
      <c r="AV105" s="68"/>
      <c r="AW105" s="68"/>
      <c r="BH105" s="48"/>
      <c r="BI105" s="48"/>
    </row>
    <row r="106" spans="1:61" s="49" customFormat="1" ht="15" customHeight="1" x14ac:dyDescent="0.25">
      <c r="B106" s="214">
        <v>2</v>
      </c>
      <c r="C106" s="214"/>
      <c r="D106" s="214"/>
      <c r="E106" s="215" t="str">
        <f>IF(E105="-","-",IF('Project Event Tree Input'!D9="Seismic Hazard","Secondary Hazard",IF(ISBLANK('Project Event Tree Input'!D48),"-","Transform")))</f>
        <v>Transform</v>
      </c>
      <c r="F106" s="216"/>
      <c r="G106" s="216"/>
      <c r="H106" s="216"/>
      <c r="I106" s="216"/>
      <c r="J106" s="216"/>
      <c r="K106" s="216"/>
      <c r="L106" s="217"/>
      <c r="M106" s="151">
        <f>IF(E106="-","-",IF(E106="Transform",IF(ISBLANK('Project Event Tree Input'!$D$48),"-",'Project Event Tree Input'!$D$48+1),1))</f>
        <v>3</v>
      </c>
      <c r="N106" s="151"/>
      <c r="O106" s="151"/>
      <c r="P106" s="151"/>
      <c r="Q106" s="218">
        <f>IF(M106="-","-",PRODUCT($M$105:M106))</f>
        <v>3</v>
      </c>
      <c r="R106" s="218"/>
      <c r="S106" s="218"/>
      <c r="T106" s="218"/>
      <c r="U106" s="51">
        <f t="shared" ref="U106:AE110" si="78">IF(AND(ISNUMBER($Q106),$Q105="-"),"-",IF(ISNUMBER($Q106),IF(U$104&gt;MAX($Q$105:$T$110),"-",IF(MOD(U$104-$U$104,(MAX($Q$105:$T$110)/$Q106))=0,U$103,"-")),"-"))</f>
        <v>10</v>
      </c>
      <c r="V106" s="51">
        <f t="shared" si="78"/>
        <v>15</v>
      </c>
      <c r="W106" s="51">
        <f t="shared" si="78"/>
        <v>20</v>
      </c>
      <c r="X106" s="51" t="str">
        <f t="shared" si="78"/>
        <v>-</v>
      </c>
      <c r="Y106" s="51" t="str">
        <f t="shared" si="78"/>
        <v>-</v>
      </c>
      <c r="Z106" s="51" t="str">
        <f t="shared" si="78"/>
        <v>-</v>
      </c>
      <c r="AA106" s="51" t="str">
        <f t="shared" si="78"/>
        <v>-</v>
      </c>
      <c r="AB106" s="51" t="str">
        <f t="shared" si="78"/>
        <v>-</v>
      </c>
      <c r="AC106" s="51" t="str">
        <f t="shared" si="78"/>
        <v>-</v>
      </c>
      <c r="AD106" s="51" t="str">
        <f t="shared" si="78"/>
        <v>-</v>
      </c>
      <c r="AE106" s="51" t="str">
        <f t="shared" si="78"/>
        <v>-</v>
      </c>
      <c r="AT106" s="68"/>
      <c r="AU106" s="68"/>
      <c r="AV106" s="68"/>
      <c r="AW106" s="68"/>
    </row>
    <row r="107" spans="1:61" s="49" customFormat="1" ht="15" customHeight="1" x14ac:dyDescent="0.25">
      <c r="B107" s="214">
        <v>3</v>
      </c>
      <c r="C107" s="214"/>
      <c r="D107" s="214"/>
      <c r="E107" s="215" t="str">
        <f>IF(OR(E105="-",E106="-"),"-",IF(E106="Secondary Hazard",IF(ISBLANK('Project Event Tree Input'!D48),"-","Transform"),"System Response"))</f>
        <v>System Response</v>
      </c>
      <c r="F107" s="216"/>
      <c r="G107" s="216"/>
      <c r="H107" s="216"/>
      <c r="I107" s="216"/>
      <c r="J107" s="216"/>
      <c r="K107" s="216"/>
      <c r="L107" s="217"/>
      <c r="M107" s="151">
        <f>IF(E107="-","-",IF(E107="Transform",IF(ISBLANK('Project Event Tree Input'!$D$48),"-",'Project Event Tree Input'!$D$48+1),1))</f>
        <v>1</v>
      </c>
      <c r="N107" s="151"/>
      <c r="O107" s="151"/>
      <c r="P107" s="151"/>
      <c r="Q107" s="218">
        <f>IF(M107="-","-",PRODUCT($M$105:M107))</f>
        <v>3</v>
      </c>
      <c r="R107" s="218"/>
      <c r="S107" s="218"/>
      <c r="T107" s="218"/>
      <c r="U107" s="51">
        <f t="shared" si="78"/>
        <v>10</v>
      </c>
      <c r="V107" s="51">
        <f t="shared" si="78"/>
        <v>15</v>
      </c>
      <c r="W107" s="51">
        <f t="shared" si="78"/>
        <v>20</v>
      </c>
      <c r="X107" s="51" t="str">
        <f t="shared" si="78"/>
        <v>-</v>
      </c>
      <c r="Y107" s="51" t="str">
        <f t="shared" si="78"/>
        <v>-</v>
      </c>
      <c r="Z107" s="51" t="str">
        <f t="shared" si="78"/>
        <v>-</v>
      </c>
      <c r="AA107" s="51" t="str">
        <f t="shared" si="78"/>
        <v>-</v>
      </c>
      <c r="AB107" s="51" t="str">
        <f t="shared" si="78"/>
        <v>-</v>
      </c>
      <c r="AC107" s="51" t="str">
        <f t="shared" si="78"/>
        <v>-</v>
      </c>
      <c r="AD107" s="51" t="str">
        <f t="shared" si="78"/>
        <v>-</v>
      </c>
      <c r="AE107" s="51" t="str">
        <f t="shared" si="78"/>
        <v>-</v>
      </c>
      <c r="AT107" s="68"/>
      <c r="AU107" s="68"/>
      <c r="AV107" s="68"/>
      <c r="AW107" s="68"/>
    </row>
    <row r="108" spans="1:61" s="49" customFormat="1" ht="15" customHeight="1" x14ac:dyDescent="0.25">
      <c r="B108" s="214">
        <v>4</v>
      </c>
      <c r="C108" s="214"/>
      <c r="D108" s="214"/>
      <c r="E108" s="215" t="str">
        <f>IF(OR(E105="-",E106="-",E107="-"),"-",IF(E107="Transform","System Response","Life Loss"))</f>
        <v>Life Loss</v>
      </c>
      <c r="F108" s="216"/>
      <c r="G108" s="216"/>
      <c r="H108" s="216"/>
      <c r="I108" s="216"/>
      <c r="J108" s="216"/>
      <c r="K108" s="216"/>
      <c r="L108" s="217"/>
      <c r="M108" s="151">
        <f>IF(E108="-","-",IF(E108="Transform",IF(ISBLANK('Project Event Tree Input'!$D$48),"-",'Project Event Tree Input'!$D$48+1),1))</f>
        <v>1</v>
      </c>
      <c r="N108" s="151"/>
      <c r="O108" s="151"/>
      <c r="P108" s="151"/>
      <c r="Q108" s="218">
        <f>IF(M108="-","-",PRODUCT($M$105:M108))</f>
        <v>3</v>
      </c>
      <c r="R108" s="218"/>
      <c r="S108" s="218"/>
      <c r="T108" s="218"/>
      <c r="U108" s="51">
        <f t="shared" si="78"/>
        <v>10</v>
      </c>
      <c r="V108" s="51">
        <f t="shared" si="78"/>
        <v>15</v>
      </c>
      <c r="W108" s="51">
        <f t="shared" si="78"/>
        <v>20</v>
      </c>
      <c r="X108" s="51" t="str">
        <f t="shared" si="78"/>
        <v>-</v>
      </c>
      <c r="Y108" s="51" t="str">
        <f t="shared" si="78"/>
        <v>-</v>
      </c>
      <c r="Z108" s="51" t="str">
        <f t="shared" si="78"/>
        <v>-</v>
      </c>
      <c r="AA108" s="51" t="str">
        <f t="shared" si="78"/>
        <v>-</v>
      </c>
      <c r="AB108" s="51" t="str">
        <f t="shared" si="78"/>
        <v>-</v>
      </c>
      <c r="AC108" s="51" t="str">
        <f t="shared" si="78"/>
        <v>-</v>
      </c>
      <c r="AD108" s="51" t="str">
        <f t="shared" si="78"/>
        <v>-</v>
      </c>
      <c r="AE108" s="51" t="str">
        <f t="shared" si="78"/>
        <v>-</v>
      </c>
      <c r="AT108" s="68"/>
      <c r="AU108" s="68"/>
      <c r="AV108" s="68"/>
      <c r="AW108" s="68"/>
    </row>
    <row r="109" spans="1:61" s="49" customFormat="1" ht="15" customHeight="1" x14ac:dyDescent="0.25">
      <c r="B109" s="214">
        <v>5</v>
      </c>
      <c r="C109" s="214"/>
      <c r="D109" s="214"/>
      <c r="E109" s="215" t="str">
        <f>IF(OR(E105="-",E106="-",E107="-",E108="-"),"-",IF(E108="System Response","Life Loss","Economic Cost"))</f>
        <v>Economic Cost</v>
      </c>
      <c r="F109" s="216"/>
      <c r="G109" s="216"/>
      <c r="H109" s="216"/>
      <c r="I109" s="216"/>
      <c r="J109" s="216"/>
      <c r="K109" s="216"/>
      <c r="L109" s="217"/>
      <c r="M109" s="151">
        <f>IF(E109="-","-",IF(E109="Transform",IF(ISBLANK('Project Event Tree Input'!$D$48),"-",'Project Event Tree Input'!$D$48+1),1))</f>
        <v>1</v>
      </c>
      <c r="N109" s="151"/>
      <c r="O109" s="151"/>
      <c r="P109" s="151"/>
      <c r="Q109" s="218">
        <f>IF(M109="-","-",PRODUCT($M$105:M109))</f>
        <v>3</v>
      </c>
      <c r="R109" s="218"/>
      <c r="S109" s="218"/>
      <c r="T109" s="218"/>
      <c r="U109" s="51">
        <f t="shared" si="78"/>
        <v>10</v>
      </c>
      <c r="V109" s="51">
        <f t="shared" si="78"/>
        <v>15</v>
      </c>
      <c r="W109" s="51">
        <f t="shared" si="78"/>
        <v>20</v>
      </c>
      <c r="X109" s="51" t="str">
        <f t="shared" si="78"/>
        <v>-</v>
      </c>
      <c r="Y109" s="51" t="str">
        <f t="shared" si="78"/>
        <v>-</v>
      </c>
      <c r="Z109" s="51" t="str">
        <f t="shared" si="78"/>
        <v>-</v>
      </c>
      <c r="AA109" s="51" t="str">
        <f t="shared" si="78"/>
        <v>-</v>
      </c>
      <c r="AB109" s="51" t="str">
        <f t="shared" si="78"/>
        <v>-</v>
      </c>
      <c r="AC109" s="51" t="str">
        <f t="shared" si="78"/>
        <v>-</v>
      </c>
      <c r="AD109" s="51" t="str">
        <f t="shared" si="78"/>
        <v>-</v>
      </c>
      <c r="AE109" s="51" t="str">
        <f t="shared" si="78"/>
        <v>-</v>
      </c>
      <c r="AT109" s="68"/>
      <c r="AU109" s="68"/>
      <c r="AV109" s="68"/>
      <c r="AW109" s="68"/>
    </row>
    <row r="110" spans="1:61" s="49" customFormat="1" ht="15" customHeight="1" x14ac:dyDescent="0.25">
      <c r="B110" s="214">
        <v>6</v>
      </c>
      <c r="C110" s="214"/>
      <c r="D110" s="214"/>
      <c r="E110" s="151" t="str">
        <f>IF(OR(E105="-",E106="-",E107="-",E108="-",E109="-"),"-",IF(AND(E108="System Response",E109="Life Loss"),"Economic Cost","-"))</f>
        <v>-</v>
      </c>
      <c r="F110" s="151"/>
      <c r="G110" s="151"/>
      <c r="H110" s="151"/>
      <c r="I110" s="151"/>
      <c r="J110" s="151"/>
      <c r="K110" s="151"/>
      <c r="L110" s="151"/>
      <c r="M110" s="151" t="str">
        <f>IF(E110="-","-",IF(E110="Transform",IF(ISBLANK('Project Event Tree Input'!$D$48),"-",'Project Event Tree Input'!$D$48+1),1))</f>
        <v>-</v>
      </c>
      <c r="N110" s="151"/>
      <c r="O110" s="151"/>
      <c r="P110" s="151"/>
      <c r="Q110" s="218" t="str">
        <f>IF(M110="-","-",PRODUCT($M$105:M110))</f>
        <v>-</v>
      </c>
      <c r="R110" s="218"/>
      <c r="S110" s="218"/>
      <c r="T110" s="218"/>
      <c r="U110" s="51" t="str">
        <f t="shared" si="78"/>
        <v>-</v>
      </c>
      <c r="V110" s="51" t="str">
        <f t="shared" si="78"/>
        <v>-</v>
      </c>
      <c r="W110" s="51" t="str">
        <f t="shared" si="78"/>
        <v>-</v>
      </c>
      <c r="X110" s="51" t="str">
        <f t="shared" si="78"/>
        <v>-</v>
      </c>
      <c r="Y110" s="51" t="str">
        <f t="shared" si="78"/>
        <v>-</v>
      </c>
      <c r="Z110" s="51" t="str">
        <f t="shared" si="78"/>
        <v>-</v>
      </c>
      <c r="AA110" s="51" t="str">
        <f t="shared" si="78"/>
        <v>-</v>
      </c>
      <c r="AB110" s="51" t="str">
        <f t="shared" si="78"/>
        <v>-</v>
      </c>
      <c r="AC110" s="51" t="str">
        <f t="shared" si="78"/>
        <v>-</v>
      </c>
      <c r="AD110" s="51" t="str">
        <f t="shared" si="78"/>
        <v>-</v>
      </c>
      <c r="AE110" s="51" t="str">
        <f t="shared" si="78"/>
        <v>-</v>
      </c>
      <c r="AT110" s="68"/>
      <c r="AU110" s="68"/>
      <c r="AV110" s="68"/>
      <c r="AW110" s="68"/>
    </row>
    <row r="111" spans="1:61" s="49" customFormat="1" ht="15" customHeight="1" x14ac:dyDescent="0.25">
      <c r="BH111" s="48"/>
      <c r="BI111" s="48"/>
    </row>
    <row r="112" spans="1:61" s="49" customFormat="1" ht="15" customHeight="1" x14ac:dyDescent="0.25">
      <c r="B112" s="50" t="s">
        <v>183</v>
      </c>
      <c r="AA112" s="50" t="s">
        <v>203</v>
      </c>
    </row>
    <row r="113" spans="2:49" s="49" customFormat="1" ht="15" customHeight="1" x14ac:dyDescent="0.25"/>
    <row r="114" spans="2:49" s="49" customFormat="1" ht="15" customHeight="1" x14ac:dyDescent="0.25">
      <c r="B114" s="96">
        <f>ROW(B105)</f>
        <v>105</v>
      </c>
      <c r="C114" s="96">
        <f t="shared" ref="C114:H114" si="79">B114+1</f>
        <v>106</v>
      </c>
      <c r="D114" s="96">
        <f t="shared" si="79"/>
        <v>107</v>
      </c>
      <c r="E114" s="96">
        <f t="shared" si="79"/>
        <v>108</v>
      </c>
      <c r="F114" s="96">
        <f t="shared" si="79"/>
        <v>109</v>
      </c>
      <c r="G114" s="96">
        <f t="shared" si="79"/>
        <v>110</v>
      </c>
      <c r="H114" s="96">
        <f t="shared" si="79"/>
        <v>111</v>
      </c>
      <c r="AA114" s="218" t="s">
        <v>204</v>
      </c>
      <c r="AB114" s="218"/>
      <c r="AC114" s="218" t="str">
        <f>IF(ISBLANK('Project Event Tree Input'!$D$9),"No","Yes")</f>
        <v>Yes</v>
      </c>
      <c r="AD114" s="218"/>
      <c r="AE114" s="218"/>
    </row>
    <row r="115" spans="2:49" s="49" customFormat="1" ht="15" customHeight="1" x14ac:dyDescent="0.25">
      <c r="B115" s="51" t="s">
        <v>99</v>
      </c>
      <c r="C115" s="51" t="s">
        <v>198</v>
      </c>
      <c r="D115" s="51" t="s">
        <v>199</v>
      </c>
      <c r="E115" s="51" t="s">
        <v>200</v>
      </c>
      <c r="F115" s="51" t="s">
        <v>201</v>
      </c>
      <c r="G115" s="51" t="s">
        <v>202</v>
      </c>
      <c r="H115" s="51" t="s">
        <v>100</v>
      </c>
      <c r="I115" s="51" t="s">
        <v>101</v>
      </c>
      <c r="J115" s="51" t="s">
        <v>102</v>
      </c>
      <c r="K115" s="51" t="s">
        <v>103</v>
      </c>
      <c r="L115" s="51" t="s">
        <v>104</v>
      </c>
      <c r="M115" s="51" t="s">
        <v>105</v>
      </c>
      <c r="N115" s="51" t="s">
        <v>106</v>
      </c>
      <c r="O115" s="51" t="s">
        <v>107</v>
      </c>
      <c r="P115" s="51" t="s">
        <v>108</v>
      </c>
      <c r="Q115" s="51" t="s">
        <v>109</v>
      </c>
      <c r="R115" s="51" t="s">
        <v>110</v>
      </c>
      <c r="S115" s="51" t="s">
        <v>111</v>
      </c>
      <c r="T115" s="51" t="s">
        <v>112</v>
      </c>
      <c r="U115" s="51" t="s">
        <v>113</v>
      </c>
      <c r="V115" s="51" t="s">
        <v>114</v>
      </c>
      <c r="W115" s="51" t="s">
        <v>115</v>
      </c>
      <c r="AA115" s="218" t="s">
        <v>205</v>
      </c>
      <c r="AB115" s="218"/>
      <c r="AC115" s="218" t="str">
        <f>IF('Project Event Tree Input'!$D$9&lt;&gt;"Seismic Hazard","No","Yes")</f>
        <v>No</v>
      </c>
      <c r="AD115" s="218"/>
      <c r="AE115" s="218"/>
    </row>
    <row r="116" spans="2:49" s="49" customFormat="1" ht="15" customHeight="1" x14ac:dyDescent="0.25"/>
    <row r="117" spans="2:49" s="49" customFormat="1" ht="15" customHeight="1" x14ac:dyDescent="0.25">
      <c r="B117" s="50" t="s">
        <v>117</v>
      </c>
    </row>
    <row r="118" spans="2:49" s="49" customFormat="1" ht="15" customHeight="1" x14ac:dyDescent="0.25"/>
    <row r="119" spans="2:49" ht="15" customHeight="1" x14ac:dyDescent="0.2">
      <c r="B119" s="219" t="s">
        <v>119</v>
      </c>
      <c r="C119" s="219"/>
      <c r="D119" s="219"/>
      <c r="E119" s="219"/>
      <c r="F119" s="219"/>
      <c r="G119" s="219"/>
      <c r="H119" s="219"/>
      <c r="I119" s="219"/>
      <c r="J119" s="219"/>
      <c r="K119" s="219"/>
      <c r="L119" s="219"/>
      <c r="M119" s="219"/>
      <c r="N119" s="219"/>
      <c r="O119" s="219"/>
      <c r="P119" s="219"/>
      <c r="Q119" s="219"/>
      <c r="R119" s="219"/>
      <c r="S119" s="219"/>
      <c r="T119" s="219"/>
      <c r="U119" s="51">
        <v>10</v>
      </c>
      <c r="V119" s="51">
        <f>U119+5</f>
        <v>15</v>
      </c>
      <c r="W119" s="51">
        <f t="shared" ref="W119:AE119" si="80">V119+5</f>
        <v>20</v>
      </c>
      <c r="X119" s="51">
        <f t="shared" si="80"/>
        <v>25</v>
      </c>
      <c r="Y119" s="51">
        <f t="shared" si="80"/>
        <v>30</v>
      </c>
      <c r="Z119" s="51">
        <f t="shared" si="80"/>
        <v>35</v>
      </c>
      <c r="AA119" s="51">
        <f t="shared" si="80"/>
        <v>40</v>
      </c>
      <c r="AB119" s="51">
        <f t="shared" si="80"/>
        <v>45</v>
      </c>
      <c r="AC119" s="51">
        <f t="shared" si="80"/>
        <v>50</v>
      </c>
      <c r="AD119" s="51">
        <f t="shared" si="80"/>
        <v>55</v>
      </c>
      <c r="AE119" s="51">
        <f t="shared" si="80"/>
        <v>60</v>
      </c>
      <c r="AF119" s="49"/>
      <c r="AG119" s="49"/>
      <c r="AH119" s="49"/>
      <c r="AI119" s="49"/>
      <c r="AJ119" s="49"/>
      <c r="AK119" s="49"/>
      <c r="AL119" s="49"/>
      <c r="AM119" s="49"/>
      <c r="AN119" s="49"/>
      <c r="AO119" s="49"/>
      <c r="AP119" s="49"/>
      <c r="AQ119" s="49"/>
      <c r="AR119" s="49"/>
      <c r="AS119" s="49"/>
      <c r="AT119" s="49"/>
      <c r="AU119" s="49"/>
      <c r="AV119" s="49"/>
      <c r="AW119" s="49"/>
    </row>
    <row r="120" spans="2:49" ht="15" customHeight="1" x14ac:dyDescent="0.2">
      <c r="B120" s="214" t="s">
        <v>98</v>
      </c>
      <c r="C120" s="214"/>
      <c r="D120" s="214"/>
      <c r="E120" s="218" t="s">
        <v>147</v>
      </c>
      <c r="F120" s="218"/>
      <c r="G120" s="218"/>
      <c r="H120" s="218"/>
      <c r="I120" s="218"/>
      <c r="J120" s="218"/>
      <c r="K120" s="218"/>
      <c r="L120" s="218"/>
      <c r="M120" s="218" t="s">
        <v>97</v>
      </c>
      <c r="N120" s="218"/>
      <c r="O120" s="218"/>
      <c r="P120" s="218"/>
      <c r="Q120" s="218" t="s">
        <v>118</v>
      </c>
      <c r="R120" s="218"/>
      <c r="S120" s="218"/>
      <c r="T120" s="218"/>
      <c r="U120" s="52">
        <v>1</v>
      </c>
      <c r="V120" s="52">
        <v>2</v>
      </c>
      <c r="W120" s="52">
        <v>3</v>
      </c>
      <c r="X120" s="52">
        <v>4</v>
      </c>
      <c r="Y120" s="52">
        <v>5</v>
      </c>
      <c r="Z120" s="52">
        <v>6</v>
      </c>
      <c r="AA120" s="52">
        <v>7</v>
      </c>
      <c r="AB120" s="52">
        <v>8</v>
      </c>
      <c r="AC120" s="52">
        <v>9</v>
      </c>
      <c r="AD120" s="52">
        <v>10</v>
      </c>
      <c r="AE120" s="52">
        <v>11</v>
      </c>
      <c r="AF120" s="53"/>
      <c r="AG120" s="53"/>
      <c r="AH120" s="53"/>
      <c r="AI120" s="53"/>
      <c r="AJ120" s="53"/>
      <c r="AK120" s="53"/>
      <c r="AL120" s="53"/>
      <c r="AM120" s="53"/>
      <c r="AN120" s="53"/>
      <c r="AO120" s="53"/>
      <c r="AP120" s="53"/>
      <c r="AQ120" s="53"/>
      <c r="AR120" s="53"/>
      <c r="AS120" s="53"/>
      <c r="AT120" s="53"/>
      <c r="AU120" s="53"/>
      <c r="AV120" s="53"/>
      <c r="AW120" s="53"/>
    </row>
    <row r="121" spans="2:49" ht="15" customHeight="1" x14ac:dyDescent="0.2">
      <c r="B121" s="214">
        <v>1</v>
      </c>
      <c r="C121" s="214"/>
      <c r="D121" s="214"/>
      <c r="E121" s="218" t="str">
        <f>$E$105</f>
        <v>Hazard</v>
      </c>
      <c r="F121" s="218"/>
      <c r="G121" s="218"/>
      <c r="H121" s="218"/>
      <c r="I121" s="218"/>
      <c r="J121" s="218"/>
      <c r="K121" s="218"/>
      <c r="L121" s="218"/>
      <c r="M121" s="220">
        <f>$M$105</f>
        <v>1</v>
      </c>
      <c r="N121" s="220"/>
      <c r="O121" s="220"/>
      <c r="P121" s="220"/>
      <c r="Q121" s="220">
        <f>$Q$105</f>
        <v>1</v>
      </c>
      <c r="R121" s="220"/>
      <c r="S121" s="220"/>
      <c r="T121" s="220"/>
      <c r="U121" s="51" t="str">
        <f t="shared" ref="U121:AE121" si="81">IF($M121=1,"",IF(ISNUMBER(U105),"-",""))</f>
        <v/>
      </c>
      <c r="V121" s="51" t="str">
        <f t="shared" si="81"/>
        <v/>
      </c>
      <c r="W121" s="51" t="str">
        <f t="shared" si="81"/>
        <v/>
      </c>
      <c r="X121" s="51" t="str">
        <f t="shared" si="81"/>
        <v/>
      </c>
      <c r="Y121" s="51" t="str">
        <f t="shared" si="81"/>
        <v/>
      </c>
      <c r="Z121" s="51" t="str">
        <f t="shared" si="81"/>
        <v/>
      </c>
      <c r="AA121" s="51" t="str">
        <f t="shared" si="81"/>
        <v/>
      </c>
      <c r="AB121" s="51" t="str">
        <f t="shared" si="81"/>
        <v/>
      </c>
      <c r="AC121" s="51" t="str">
        <f t="shared" si="81"/>
        <v/>
      </c>
      <c r="AD121" s="51" t="str">
        <f t="shared" si="81"/>
        <v/>
      </c>
      <c r="AE121" s="51" t="str">
        <f t="shared" si="81"/>
        <v/>
      </c>
      <c r="AF121" s="49"/>
      <c r="AG121" s="49"/>
      <c r="AH121" s="49"/>
      <c r="AI121" s="49"/>
      <c r="AJ121" s="49"/>
      <c r="AK121" s="49"/>
      <c r="AL121" s="49"/>
      <c r="AM121" s="49"/>
      <c r="AN121" s="49"/>
      <c r="AO121" s="49"/>
      <c r="AP121" s="49"/>
      <c r="AQ121" s="49"/>
      <c r="AR121" s="49"/>
      <c r="AS121" s="49"/>
      <c r="AT121" s="49"/>
      <c r="AU121" s="49"/>
      <c r="AV121" s="49"/>
      <c r="AW121" s="49"/>
    </row>
    <row r="122" spans="2:49" ht="15" customHeight="1" x14ac:dyDescent="0.2">
      <c r="B122" s="214">
        <v>2</v>
      </c>
      <c r="C122" s="214"/>
      <c r="D122" s="214"/>
      <c r="E122" s="218" t="str">
        <f>$E$106</f>
        <v>Transform</v>
      </c>
      <c r="F122" s="218"/>
      <c r="G122" s="218"/>
      <c r="H122" s="218"/>
      <c r="I122" s="218"/>
      <c r="J122" s="218"/>
      <c r="K122" s="218"/>
      <c r="L122" s="218"/>
      <c r="M122" s="220">
        <f>$M$106</f>
        <v>3</v>
      </c>
      <c r="N122" s="220"/>
      <c r="O122" s="220"/>
      <c r="P122" s="220"/>
      <c r="Q122" s="220">
        <f>$Q$106</f>
        <v>3</v>
      </c>
      <c r="R122" s="220"/>
      <c r="S122" s="220"/>
      <c r="T122" s="220"/>
      <c r="U122" s="51" t="str">
        <f>IF($M122=1,"",IF(ISNUMBER(U106),"-",""))</f>
        <v>-</v>
      </c>
      <c r="V122" s="51" t="str">
        <f t="shared" ref="V122:AE122" si="82">IF($M122=1,"",IF(AND(ISNUMBER(V106),ISNUMBER(V105)),"-",IF(ISNUMBER(V106),"+","")))</f>
        <v>+</v>
      </c>
      <c r="W122" s="51" t="str">
        <f t="shared" si="82"/>
        <v>+</v>
      </c>
      <c r="X122" s="51" t="str">
        <f t="shared" si="82"/>
        <v/>
      </c>
      <c r="Y122" s="51" t="str">
        <f t="shared" si="82"/>
        <v/>
      </c>
      <c r="Z122" s="51" t="str">
        <f t="shared" si="82"/>
        <v/>
      </c>
      <c r="AA122" s="51" t="str">
        <f t="shared" si="82"/>
        <v/>
      </c>
      <c r="AB122" s="51" t="str">
        <f t="shared" si="82"/>
        <v/>
      </c>
      <c r="AC122" s="51" t="str">
        <f t="shared" si="82"/>
        <v/>
      </c>
      <c r="AD122" s="51" t="str">
        <f t="shared" si="82"/>
        <v/>
      </c>
      <c r="AE122" s="51" t="str">
        <f t="shared" si="82"/>
        <v/>
      </c>
      <c r="AF122" s="49"/>
      <c r="AG122" s="49"/>
      <c r="AH122" s="49"/>
      <c r="AI122" s="49"/>
      <c r="AJ122" s="49"/>
      <c r="AK122" s="49"/>
      <c r="AL122" s="49"/>
      <c r="AM122" s="49"/>
      <c r="AN122" s="49"/>
      <c r="AO122" s="49"/>
      <c r="AP122" s="49"/>
      <c r="AQ122" s="49"/>
      <c r="AR122" s="49"/>
      <c r="AS122" s="49"/>
      <c r="AT122" s="49"/>
      <c r="AU122" s="49"/>
      <c r="AV122" s="49"/>
      <c r="AW122" s="49"/>
    </row>
    <row r="123" spans="2:49" ht="15" customHeight="1" x14ac:dyDescent="0.2">
      <c r="B123" s="214">
        <v>3</v>
      </c>
      <c r="C123" s="214"/>
      <c r="D123" s="214"/>
      <c r="E123" s="218" t="str">
        <f>$E$107</f>
        <v>System Response</v>
      </c>
      <c r="F123" s="218"/>
      <c r="G123" s="218"/>
      <c r="H123" s="218"/>
      <c r="I123" s="218"/>
      <c r="J123" s="218"/>
      <c r="K123" s="218"/>
      <c r="L123" s="218"/>
      <c r="M123" s="220">
        <f>$M$107</f>
        <v>1</v>
      </c>
      <c r="N123" s="220"/>
      <c r="O123" s="220"/>
      <c r="P123" s="220"/>
      <c r="Q123" s="220">
        <f>$Q$107</f>
        <v>3</v>
      </c>
      <c r="R123" s="220"/>
      <c r="S123" s="220"/>
      <c r="T123" s="220"/>
      <c r="U123" s="51" t="str">
        <f>IF($M123=1,"",IF(ISNUMBER(U107),"-",""))</f>
        <v/>
      </c>
      <c r="V123" s="51" t="str">
        <f t="shared" ref="V123:AE123" si="83">IF($M123=1,"",IF(AND(ISNUMBER(V107),ISNUMBER(V106)),"-",IF(ISNUMBER(V107),"+","")))</f>
        <v/>
      </c>
      <c r="W123" s="51" t="str">
        <f t="shared" si="83"/>
        <v/>
      </c>
      <c r="X123" s="51" t="str">
        <f t="shared" si="83"/>
        <v/>
      </c>
      <c r="Y123" s="51" t="str">
        <f t="shared" si="83"/>
        <v/>
      </c>
      <c r="Z123" s="51" t="str">
        <f t="shared" si="83"/>
        <v/>
      </c>
      <c r="AA123" s="51" t="str">
        <f t="shared" si="83"/>
        <v/>
      </c>
      <c r="AB123" s="51" t="str">
        <f t="shared" si="83"/>
        <v/>
      </c>
      <c r="AC123" s="51" t="str">
        <f t="shared" si="83"/>
        <v/>
      </c>
      <c r="AD123" s="51" t="str">
        <f t="shared" si="83"/>
        <v/>
      </c>
      <c r="AE123" s="51" t="str">
        <f t="shared" si="83"/>
        <v/>
      </c>
      <c r="AF123" s="49" t="str">
        <f t="shared" ref="AF123:AP123" si="84">IF($M123=1,"",IF(AND(ISNUMBER(AF107),ISNUMBER(AF106)),"-",IF(ISNUMBER(AF107),"+","")))</f>
        <v/>
      </c>
      <c r="AG123" s="49" t="str">
        <f t="shared" si="84"/>
        <v/>
      </c>
      <c r="AH123" s="49" t="str">
        <f t="shared" si="84"/>
        <v/>
      </c>
      <c r="AI123" s="49" t="str">
        <f t="shared" si="84"/>
        <v/>
      </c>
      <c r="AJ123" s="49" t="str">
        <f t="shared" si="84"/>
        <v/>
      </c>
      <c r="AK123" s="49" t="str">
        <f t="shared" si="84"/>
        <v/>
      </c>
      <c r="AL123" s="49" t="str">
        <f t="shared" si="84"/>
        <v/>
      </c>
      <c r="AM123" s="49" t="str">
        <f t="shared" si="84"/>
        <v/>
      </c>
      <c r="AN123" s="49" t="str">
        <f t="shared" si="84"/>
        <v/>
      </c>
      <c r="AO123" s="49" t="str">
        <f t="shared" si="84"/>
        <v/>
      </c>
      <c r="AP123" s="49" t="str">
        <f t="shared" si="84"/>
        <v/>
      </c>
      <c r="AQ123" s="49"/>
      <c r="AR123" s="49"/>
      <c r="AS123" s="49"/>
      <c r="AT123" s="49"/>
      <c r="AU123" s="49"/>
      <c r="AV123" s="49"/>
      <c r="AW123" s="49"/>
    </row>
    <row r="124" spans="2:49" ht="15" customHeight="1" x14ac:dyDescent="0.2">
      <c r="B124" s="214">
        <v>4</v>
      </c>
      <c r="C124" s="214"/>
      <c r="D124" s="214"/>
      <c r="E124" s="218" t="str">
        <f>$E$108</f>
        <v>Life Loss</v>
      </c>
      <c r="F124" s="218"/>
      <c r="G124" s="218"/>
      <c r="H124" s="218"/>
      <c r="I124" s="218"/>
      <c r="J124" s="218"/>
      <c r="K124" s="218"/>
      <c r="L124" s="218"/>
      <c r="M124" s="220">
        <f>$M$108</f>
        <v>1</v>
      </c>
      <c r="N124" s="220"/>
      <c r="O124" s="220"/>
      <c r="P124" s="220"/>
      <c r="Q124" s="220">
        <f>$Q$108</f>
        <v>3</v>
      </c>
      <c r="R124" s="220"/>
      <c r="S124" s="220"/>
      <c r="T124" s="220"/>
      <c r="U124" s="51" t="str">
        <f>IF($M124=1,"",IF(ISNUMBER(U108),"-",""))</f>
        <v/>
      </c>
      <c r="V124" s="51" t="str">
        <f t="shared" ref="V124:AE124" si="85">IF($M124=1,"",IF(AND(ISNUMBER(V108),ISNUMBER(V107)),"-",IF(ISNUMBER(V108),"+","")))</f>
        <v/>
      </c>
      <c r="W124" s="51" t="str">
        <f t="shared" si="85"/>
        <v/>
      </c>
      <c r="X124" s="51" t="str">
        <f t="shared" si="85"/>
        <v/>
      </c>
      <c r="Y124" s="51" t="str">
        <f t="shared" si="85"/>
        <v/>
      </c>
      <c r="Z124" s="51" t="str">
        <f t="shared" si="85"/>
        <v/>
      </c>
      <c r="AA124" s="51" t="str">
        <f t="shared" si="85"/>
        <v/>
      </c>
      <c r="AB124" s="51" t="str">
        <f t="shared" si="85"/>
        <v/>
      </c>
      <c r="AC124" s="51" t="str">
        <f t="shared" si="85"/>
        <v/>
      </c>
      <c r="AD124" s="51" t="str">
        <f t="shared" si="85"/>
        <v/>
      </c>
      <c r="AE124" s="51" t="str">
        <f t="shared" si="85"/>
        <v/>
      </c>
      <c r="AF124" s="49" t="str">
        <f t="shared" ref="AF124:AP124" si="86">IF($M124=1,"",IF(AND(ISNUMBER(AF108),ISNUMBER(AF107)),"-",IF(ISNUMBER(AF108),"+","")))</f>
        <v/>
      </c>
      <c r="AG124" s="49" t="str">
        <f t="shared" si="86"/>
        <v/>
      </c>
      <c r="AH124" s="49" t="str">
        <f t="shared" si="86"/>
        <v/>
      </c>
      <c r="AI124" s="49" t="str">
        <f t="shared" si="86"/>
        <v/>
      </c>
      <c r="AJ124" s="49" t="str">
        <f t="shared" si="86"/>
        <v/>
      </c>
      <c r="AK124" s="49" t="str">
        <f t="shared" si="86"/>
        <v/>
      </c>
      <c r="AL124" s="49" t="str">
        <f t="shared" si="86"/>
        <v/>
      </c>
      <c r="AM124" s="49" t="str">
        <f t="shared" si="86"/>
        <v/>
      </c>
      <c r="AN124" s="49" t="str">
        <f t="shared" si="86"/>
        <v/>
      </c>
      <c r="AO124" s="49" t="str">
        <f t="shared" si="86"/>
        <v/>
      </c>
      <c r="AP124" s="49" t="str">
        <f t="shared" si="86"/>
        <v/>
      </c>
      <c r="AQ124" s="49"/>
      <c r="AR124" s="49"/>
      <c r="AS124" s="49"/>
      <c r="AT124" s="49"/>
      <c r="AU124" s="49"/>
      <c r="AV124" s="49"/>
      <c r="AW124" s="49"/>
    </row>
    <row r="125" spans="2:49" ht="15" customHeight="1" x14ac:dyDescent="0.2">
      <c r="B125" s="214">
        <v>5</v>
      </c>
      <c r="C125" s="214"/>
      <c r="D125" s="214"/>
      <c r="E125" s="218" t="str">
        <f>$E$109</f>
        <v>Economic Cost</v>
      </c>
      <c r="F125" s="218"/>
      <c r="G125" s="218"/>
      <c r="H125" s="218"/>
      <c r="I125" s="218"/>
      <c r="J125" s="218"/>
      <c r="K125" s="218"/>
      <c r="L125" s="218"/>
      <c r="M125" s="220">
        <f>$M$109</f>
        <v>1</v>
      </c>
      <c r="N125" s="220"/>
      <c r="O125" s="220"/>
      <c r="P125" s="220"/>
      <c r="Q125" s="220">
        <f>$Q$109</f>
        <v>3</v>
      </c>
      <c r="R125" s="220"/>
      <c r="S125" s="220"/>
      <c r="T125" s="220"/>
      <c r="U125" s="51" t="str">
        <f>IF($M125=1,"",IF(ISNUMBER(U109),"-",""))</f>
        <v/>
      </c>
      <c r="V125" s="51" t="str">
        <f t="shared" ref="V125:AE125" si="87">IF($M125=1,"",IF(AND(ISNUMBER(V109),ISNUMBER(V108)),"-",IF(ISNUMBER(V109),"+","")))</f>
        <v/>
      </c>
      <c r="W125" s="51" t="str">
        <f t="shared" si="87"/>
        <v/>
      </c>
      <c r="X125" s="51" t="str">
        <f t="shared" si="87"/>
        <v/>
      </c>
      <c r="Y125" s="51" t="str">
        <f t="shared" si="87"/>
        <v/>
      </c>
      <c r="Z125" s="51" t="str">
        <f t="shared" si="87"/>
        <v/>
      </c>
      <c r="AA125" s="51" t="str">
        <f t="shared" si="87"/>
        <v/>
      </c>
      <c r="AB125" s="51" t="str">
        <f t="shared" si="87"/>
        <v/>
      </c>
      <c r="AC125" s="51" t="str">
        <f t="shared" si="87"/>
        <v/>
      </c>
      <c r="AD125" s="51" t="str">
        <f t="shared" si="87"/>
        <v/>
      </c>
      <c r="AE125" s="51" t="str">
        <f t="shared" si="87"/>
        <v/>
      </c>
      <c r="AF125" s="49" t="str">
        <f t="shared" ref="AF125:AP125" si="88">IF($M125=1,"",IF(AND(ISNUMBER(AF109),ISNUMBER(AF108)),"-",IF(ISNUMBER(AF109),"+","")))</f>
        <v/>
      </c>
      <c r="AG125" s="49" t="str">
        <f t="shared" si="88"/>
        <v/>
      </c>
      <c r="AH125" s="49" t="str">
        <f t="shared" si="88"/>
        <v/>
      </c>
      <c r="AI125" s="49" t="str">
        <f t="shared" si="88"/>
        <v/>
      </c>
      <c r="AJ125" s="49" t="str">
        <f t="shared" si="88"/>
        <v/>
      </c>
      <c r="AK125" s="49" t="str">
        <f t="shared" si="88"/>
        <v/>
      </c>
      <c r="AL125" s="49" t="str">
        <f t="shared" si="88"/>
        <v/>
      </c>
      <c r="AM125" s="49" t="str">
        <f t="shared" si="88"/>
        <v/>
      </c>
      <c r="AN125" s="49" t="str">
        <f t="shared" si="88"/>
        <v/>
      </c>
      <c r="AO125" s="49" t="str">
        <f t="shared" si="88"/>
        <v/>
      </c>
      <c r="AP125" s="49" t="str">
        <f t="shared" si="88"/>
        <v/>
      </c>
      <c r="AQ125" s="49"/>
      <c r="AR125" s="49"/>
      <c r="AS125" s="49"/>
      <c r="AT125" s="49"/>
      <c r="AU125" s="49"/>
      <c r="AV125" s="49"/>
      <c r="AW125" s="49"/>
    </row>
    <row r="126" spans="2:49" ht="15" customHeight="1" x14ac:dyDescent="0.2">
      <c r="B126" s="214">
        <v>6</v>
      </c>
      <c r="C126" s="214"/>
      <c r="D126" s="214"/>
      <c r="E126" s="218" t="str">
        <f>$E$110</f>
        <v>-</v>
      </c>
      <c r="F126" s="218"/>
      <c r="G126" s="218"/>
      <c r="H126" s="218"/>
      <c r="I126" s="218"/>
      <c r="J126" s="218"/>
      <c r="K126" s="218"/>
      <c r="L126" s="218"/>
      <c r="M126" s="220" t="str">
        <f>$M$110</f>
        <v>-</v>
      </c>
      <c r="N126" s="220"/>
      <c r="O126" s="220"/>
      <c r="P126" s="220"/>
      <c r="Q126" s="220" t="str">
        <f>$Q$110</f>
        <v>-</v>
      </c>
      <c r="R126" s="220"/>
      <c r="S126" s="220"/>
      <c r="T126" s="220"/>
      <c r="U126" s="51" t="str">
        <f>IF($M126=1,"",IF(ISNUMBER(U110),"-",""))</f>
        <v/>
      </c>
      <c r="V126" s="51" t="str">
        <f t="shared" ref="V126:AE126" si="89">IF($M126=1,"",IF(AND(ISNUMBER(V110),ISNUMBER(V109)),"-",IF(ISNUMBER(V110),"+","")))</f>
        <v/>
      </c>
      <c r="W126" s="51" t="str">
        <f t="shared" si="89"/>
        <v/>
      </c>
      <c r="X126" s="51" t="str">
        <f t="shared" si="89"/>
        <v/>
      </c>
      <c r="Y126" s="51" t="str">
        <f t="shared" si="89"/>
        <v/>
      </c>
      <c r="Z126" s="51" t="str">
        <f t="shared" si="89"/>
        <v/>
      </c>
      <c r="AA126" s="51" t="str">
        <f t="shared" si="89"/>
        <v/>
      </c>
      <c r="AB126" s="51" t="str">
        <f t="shared" si="89"/>
        <v/>
      </c>
      <c r="AC126" s="51" t="str">
        <f t="shared" si="89"/>
        <v/>
      </c>
      <c r="AD126" s="51" t="str">
        <f t="shared" si="89"/>
        <v/>
      </c>
      <c r="AE126" s="51" t="str">
        <f t="shared" si="89"/>
        <v/>
      </c>
      <c r="AF126" s="49" t="str">
        <f t="shared" ref="AF126:AP126" si="90">IF($M126=1,"",IF(AND(ISNUMBER(AF110),ISNUMBER(AF109)),"-",IF(ISNUMBER(AF110),"+","")))</f>
        <v/>
      </c>
      <c r="AG126" s="49" t="str">
        <f t="shared" si="90"/>
        <v/>
      </c>
      <c r="AH126" s="49" t="str">
        <f t="shared" si="90"/>
        <v/>
      </c>
      <c r="AI126" s="49" t="str">
        <f t="shared" si="90"/>
        <v/>
      </c>
      <c r="AJ126" s="49" t="str">
        <f t="shared" si="90"/>
        <v/>
      </c>
      <c r="AK126" s="49" t="str">
        <f t="shared" si="90"/>
        <v/>
      </c>
      <c r="AL126" s="49" t="str">
        <f t="shared" si="90"/>
        <v/>
      </c>
      <c r="AM126" s="49" t="str">
        <f t="shared" si="90"/>
        <v/>
      </c>
      <c r="AN126" s="49" t="str">
        <f t="shared" si="90"/>
        <v/>
      </c>
      <c r="AO126" s="49" t="str">
        <f t="shared" si="90"/>
        <v/>
      </c>
      <c r="AP126" s="49" t="str">
        <f t="shared" si="90"/>
        <v/>
      </c>
      <c r="AQ126" s="49"/>
      <c r="AR126" s="49"/>
      <c r="AS126" s="49"/>
      <c r="AT126" s="49"/>
      <c r="AU126" s="49"/>
      <c r="AV126" s="49"/>
      <c r="AW126" s="49"/>
    </row>
    <row r="127" spans="2:49" ht="15" customHeight="1" x14ac:dyDescent="0.2"/>
    <row r="128" spans="2:49" ht="15" customHeight="1" x14ac:dyDescent="0.2">
      <c r="B128" s="219" t="s">
        <v>120</v>
      </c>
      <c r="C128" s="219"/>
      <c r="D128" s="219"/>
      <c r="E128" s="219"/>
      <c r="F128" s="219"/>
      <c r="G128" s="219"/>
      <c r="H128" s="219"/>
      <c r="I128" s="219"/>
      <c r="J128" s="219"/>
      <c r="K128" s="219"/>
      <c r="L128" s="219"/>
      <c r="M128" s="219"/>
      <c r="N128" s="219"/>
      <c r="O128" s="219"/>
      <c r="P128" s="219"/>
      <c r="Q128" s="219"/>
      <c r="R128" s="219"/>
      <c r="S128" s="219"/>
      <c r="T128" s="219"/>
      <c r="U128" s="51">
        <v>10</v>
      </c>
      <c r="V128" s="51">
        <f>U128+5</f>
        <v>15</v>
      </c>
      <c r="W128" s="51">
        <f t="shared" ref="W128:AE128" si="91">V128+5</f>
        <v>20</v>
      </c>
      <c r="X128" s="51">
        <f t="shared" si="91"/>
        <v>25</v>
      </c>
      <c r="Y128" s="51">
        <f t="shared" si="91"/>
        <v>30</v>
      </c>
      <c r="Z128" s="51">
        <f t="shared" si="91"/>
        <v>35</v>
      </c>
      <c r="AA128" s="51">
        <f t="shared" si="91"/>
        <v>40</v>
      </c>
      <c r="AB128" s="51">
        <f t="shared" si="91"/>
        <v>45</v>
      </c>
      <c r="AC128" s="51">
        <f t="shared" si="91"/>
        <v>50</v>
      </c>
      <c r="AD128" s="51">
        <f t="shared" si="91"/>
        <v>55</v>
      </c>
      <c r="AE128" s="51">
        <f t="shared" si="91"/>
        <v>60</v>
      </c>
      <c r="AF128" s="49"/>
      <c r="AG128" s="49"/>
      <c r="AH128" s="49"/>
      <c r="AI128" s="49"/>
      <c r="AJ128" s="49"/>
      <c r="AK128" s="49"/>
      <c r="AL128" s="49"/>
      <c r="AM128" s="49"/>
      <c r="AN128" s="49"/>
      <c r="AO128" s="49"/>
      <c r="AP128" s="49"/>
      <c r="AQ128" s="49"/>
      <c r="AR128" s="49"/>
      <c r="AS128" s="49"/>
      <c r="AT128" s="49"/>
      <c r="AU128" s="49"/>
      <c r="AV128" s="49"/>
      <c r="AW128" s="49"/>
    </row>
    <row r="129" spans="2:49" ht="15" customHeight="1" x14ac:dyDescent="0.2">
      <c r="B129" s="214" t="s">
        <v>98</v>
      </c>
      <c r="C129" s="214"/>
      <c r="D129" s="214"/>
      <c r="E129" s="218" t="s">
        <v>147</v>
      </c>
      <c r="F129" s="218"/>
      <c r="G129" s="218"/>
      <c r="H129" s="218"/>
      <c r="I129" s="218"/>
      <c r="J129" s="218"/>
      <c r="K129" s="218"/>
      <c r="L129" s="218"/>
      <c r="M129" s="218" t="s">
        <v>97</v>
      </c>
      <c r="N129" s="218"/>
      <c r="O129" s="218"/>
      <c r="P129" s="218"/>
      <c r="Q129" s="218" t="s">
        <v>118</v>
      </c>
      <c r="R129" s="218"/>
      <c r="S129" s="218"/>
      <c r="T129" s="218"/>
      <c r="U129" s="52">
        <v>1</v>
      </c>
      <c r="V129" s="52">
        <v>2</v>
      </c>
      <c r="W129" s="52">
        <v>3</v>
      </c>
      <c r="X129" s="52">
        <v>4</v>
      </c>
      <c r="Y129" s="52">
        <v>5</v>
      </c>
      <c r="Z129" s="52">
        <v>6</v>
      </c>
      <c r="AA129" s="52">
        <v>7</v>
      </c>
      <c r="AB129" s="52">
        <v>8</v>
      </c>
      <c r="AC129" s="52">
        <v>9</v>
      </c>
      <c r="AD129" s="52">
        <v>10</v>
      </c>
      <c r="AE129" s="52">
        <v>11</v>
      </c>
      <c r="AF129" s="53"/>
      <c r="AG129" s="53"/>
      <c r="AH129" s="53"/>
      <c r="AI129" s="53"/>
      <c r="AJ129" s="53"/>
      <c r="AK129" s="53"/>
      <c r="AL129" s="53"/>
      <c r="AM129" s="53"/>
      <c r="AN129" s="53"/>
      <c r="AO129" s="53"/>
      <c r="AP129" s="53"/>
      <c r="AQ129" s="53"/>
      <c r="AR129" s="53"/>
      <c r="AS129" s="53"/>
      <c r="AT129" s="53"/>
      <c r="AU129" s="53"/>
      <c r="AV129" s="53"/>
      <c r="AW129" s="53"/>
    </row>
    <row r="130" spans="2:49" ht="15" customHeight="1" x14ac:dyDescent="0.2">
      <c r="B130" s="214">
        <v>1</v>
      </c>
      <c r="C130" s="214"/>
      <c r="D130" s="214"/>
      <c r="E130" s="218" t="str">
        <f>$E$105</f>
        <v>Hazard</v>
      </c>
      <c r="F130" s="218"/>
      <c r="G130" s="218"/>
      <c r="H130" s="218"/>
      <c r="I130" s="218"/>
      <c r="J130" s="218"/>
      <c r="K130" s="218"/>
      <c r="L130" s="218"/>
      <c r="M130" s="220">
        <f>$M$105</f>
        <v>1</v>
      </c>
      <c r="N130" s="220"/>
      <c r="O130" s="220"/>
      <c r="P130" s="220"/>
      <c r="Q130" s="220">
        <f>$Q$105</f>
        <v>1</v>
      </c>
      <c r="R130" s="220"/>
      <c r="S130" s="220"/>
      <c r="T130" s="220"/>
      <c r="U130" s="51" t="str">
        <f t="shared" ref="U130:U135" si="92">U121</f>
        <v/>
      </c>
      <c r="V130" s="51" t="str" cm="1">
        <f t="array" ref="V130">IF(V121&lt;&gt;"",V121,IF(ISERROR(INDEX(V121:$AW121,MATCH(FALSE,V121:$AW121="",0))),"",INDEX(V121:$AW121,MATCH(FALSE,V121:$AW121="",0))))</f>
        <v/>
      </c>
      <c r="W130" s="51" t="str" cm="1">
        <f t="array" ref="W130">IF(W121&lt;&gt;"",W121,IF(ISERROR(INDEX(W121:$AW121,MATCH(FALSE,W121:$AW121="",0))),"",INDEX(W121:$AW121,MATCH(FALSE,W121:$AW121="",0))))</f>
        <v/>
      </c>
      <c r="X130" s="51" t="str" cm="1">
        <f t="array" ref="X130">IF(X121&lt;&gt;"",X121,IF(ISERROR(INDEX(X121:$AW121,MATCH(FALSE,X121:$AW121="",0))),"",INDEX(X121:$AW121,MATCH(FALSE,X121:$AW121="",0))))</f>
        <v/>
      </c>
      <c r="Y130" s="51" t="str" cm="1">
        <f t="array" ref="Y130">IF(Y121&lt;&gt;"",Y121,IF(ISERROR(INDEX(Y121:$AW121,MATCH(FALSE,Y121:$AW121="",0))),"",INDEX(Y121:$AW121,MATCH(FALSE,Y121:$AW121="",0))))</f>
        <v/>
      </c>
      <c r="Z130" s="51" t="str" cm="1">
        <f t="array" ref="Z130">IF(Z121&lt;&gt;"",Z121,IF(ISERROR(INDEX(Z121:$AW121,MATCH(FALSE,Z121:$AW121="",0))),"",INDEX(Z121:$AW121,MATCH(FALSE,Z121:$AW121="",0))))</f>
        <v/>
      </c>
      <c r="AA130" s="51" t="str" cm="1">
        <f t="array" ref="AA130">IF(AA121&lt;&gt;"",AA121,IF(ISERROR(INDEX(AA121:$AW121,MATCH(FALSE,AA121:$AW121="",0))),"",INDEX(AA121:$AW121,MATCH(FALSE,AA121:$AW121="",0))))</f>
        <v/>
      </c>
      <c r="AB130" s="51" t="str" cm="1">
        <f t="array" ref="AB130">IF(AB121&lt;&gt;"",AB121,IF(ISERROR(INDEX(AB121:$AW121,MATCH(FALSE,AB121:$AW121="",0))),"",INDEX(AB121:$AW121,MATCH(FALSE,AB121:$AW121="",0))))</f>
        <v/>
      </c>
      <c r="AC130" s="51" t="str" cm="1">
        <f t="array" ref="AC130">IF(AC121&lt;&gt;"",AC121,IF(ISERROR(INDEX(AC121:$AW121,MATCH(FALSE,AC121:$AW121="",0))),"",INDEX(AC121:$AW121,MATCH(FALSE,AC121:$AW121="",0))))</f>
        <v/>
      </c>
      <c r="AD130" s="51" t="str" cm="1">
        <f t="array" ref="AD130">IF(AD121&lt;&gt;"",AD121,IF(ISERROR(INDEX(AD121:$AW121,MATCH(FALSE,AD121:$AW121="",0))),"",INDEX(AD121:$AW121,MATCH(FALSE,AD121:$AW121="",0))))</f>
        <v/>
      </c>
      <c r="AE130" s="51" t="str" cm="1">
        <f t="array" ref="AE130">IF(AE121&lt;&gt;"",AE121,IF(ISERROR(INDEX(AE121:$AW121,MATCH(FALSE,AE121:$AW121="",0))),"",INDEX(AE121:$AW121,MATCH(FALSE,AE121:$AW121="",0))))</f>
        <v/>
      </c>
      <c r="AF130" s="49" t="str" cm="1">
        <f t="array" ref="AF130">IF(AF121&lt;&gt;"",AF121,IF(ISERROR(INDEX(AF121:$AW121,MATCH(FALSE,AF121:$AW121="",0))),"",INDEX(AF121:$AW121,MATCH(FALSE,AF121:$AW121="",0))))</f>
        <v/>
      </c>
      <c r="AG130" s="49" t="str" cm="1">
        <f t="array" ref="AG130">IF(AG121&lt;&gt;"",AG121,IF(ISERROR(INDEX(AG121:$AW121,MATCH(FALSE,AG121:$AW121="",0))),"",INDEX(AG121:$AW121,MATCH(FALSE,AG121:$AW121="",0))))</f>
        <v/>
      </c>
      <c r="AH130" s="49" t="str" cm="1">
        <f t="array" ref="AH130">IF(AH121&lt;&gt;"",AH121,IF(ISERROR(INDEX(AH121:$AW121,MATCH(FALSE,AH121:$AW121="",0))),"",INDEX(AH121:$AW121,MATCH(FALSE,AH121:$AW121="",0))))</f>
        <v/>
      </c>
      <c r="AI130" s="49" t="str" cm="1">
        <f t="array" ref="AI130">IF(AI121&lt;&gt;"",AI121,IF(ISERROR(INDEX(AI121:$AW121,MATCH(FALSE,AI121:$AW121="",0))),"",INDEX(AI121:$AW121,MATCH(FALSE,AI121:$AW121="",0))))</f>
        <v/>
      </c>
      <c r="AJ130" s="49" t="str" cm="1">
        <f t="array" ref="AJ130">IF(AJ121&lt;&gt;"",AJ121,IF(ISERROR(INDEX(AJ121:$AW121,MATCH(FALSE,AJ121:$AW121="",0))),"",INDEX(AJ121:$AW121,MATCH(FALSE,AJ121:$AW121="",0))))</f>
        <v/>
      </c>
      <c r="AK130" s="49" t="str" cm="1">
        <f t="array" ref="AK130">IF(AK121&lt;&gt;"",AK121,IF(ISERROR(INDEX(AK121:$AW121,MATCH(FALSE,AK121:$AW121="",0))),"",INDEX(AK121:$AW121,MATCH(FALSE,AK121:$AW121="",0))))</f>
        <v/>
      </c>
      <c r="AL130" s="49" t="str" cm="1">
        <f t="array" ref="AL130">IF(AL121&lt;&gt;"",AL121,IF(ISERROR(INDEX(AL121:$AW121,MATCH(FALSE,AL121:$AW121="",0))),"",INDEX(AL121:$AW121,MATCH(FALSE,AL121:$AW121="",0))))</f>
        <v/>
      </c>
      <c r="AM130" s="49" t="str" cm="1">
        <f t="array" ref="AM130">IF(AM121&lt;&gt;"",AM121,IF(ISERROR(INDEX(AM121:$AW121,MATCH(FALSE,AM121:$AW121="",0))),"",INDEX(AM121:$AW121,MATCH(FALSE,AM121:$AW121="",0))))</f>
        <v/>
      </c>
      <c r="AN130" s="49" t="str" cm="1">
        <f t="array" ref="AN130">IF(AN121&lt;&gt;"",AN121,IF(ISERROR(INDEX(AN121:$AW121,MATCH(FALSE,AN121:$AW121="",0))),"",INDEX(AN121:$AW121,MATCH(FALSE,AN121:$AW121="",0))))</f>
        <v/>
      </c>
      <c r="AO130" s="49" t="str" cm="1">
        <f t="array" ref="AO130">IF(AO121&lt;&gt;"",AO121,IF(ISERROR(INDEX(AO121:$AW121,MATCH(FALSE,AO121:$AW121="",0))),"",INDEX(AO121:$AW121,MATCH(FALSE,AO121:$AW121="",0))))</f>
        <v/>
      </c>
      <c r="AP130" s="49" t="str" cm="1">
        <f t="array" ref="AP130">IF(AP121&lt;&gt;"",AP121,IF(ISERROR(INDEX(AP121:$AW121,MATCH(FALSE,AP121:$AW121="",0))),"",INDEX(AP121:$AW121,MATCH(FALSE,AP121:$AW121="",0))))</f>
        <v/>
      </c>
      <c r="AQ130" s="49"/>
      <c r="AR130" s="49"/>
      <c r="AS130" s="49"/>
      <c r="AT130" s="49"/>
      <c r="AU130" s="49"/>
      <c r="AV130" s="49"/>
      <c r="AW130" s="49"/>
    </row>
    <row r="131" spans="2:49" ht="15" customHeight="1" x14ac:dyDescent="0.2">
      <c r="B131" s="214">
        <v>2</v>
      </c>
      <c r="C131" s="214"/>
      <c r="D131" s="214"/>
      <c r="E131" s="218" t="str">
        <f>$E$106</f>
        <v>Transform</v>
      </c>
      <c r="F131" s="218"/>
      <c r="G131" s="218"/>
      <c r="H131" s="218"/>
      <c r="I131" s="218"/>
      <c r="J131" s="218"/>
      <c r="K131" s="218"/>
      <c r="L131" s="218"/>
      <c r="M131" s="220">
        <f>$M$106</f>
        <v>3</v>
      </c>
      <c r="N131" s="220"/>
      <c r="O131" s="220"/>
      <c r="P131" s="220"/>
      <c r="Q131" s="220">
        <f>$Q$106</f>
        <v>3</v>
      </c>
      <c r="R131" s="220"/>
      <c r="S131" s="220"/>
      <c r="T131" s="220"/>
      <c r="U131" s="51" t="str">
        <f t="shared" si="92"/>
        <v>-</v>
      </c>
      <c r="V131" s="51" t="str" cm="1">
        <f t="array" ref="V131">IF(V122&lt;&gt;"",V122,IF(ISERROR(INDEX(V122:$AW122,MATCH(FALSE,V122:$AW122="",0))),"",INDEX(V122:$AW122,MATCH(FALSE,V122:$AW122="",0))))</f>
        <v>+</v>
      </c>
      <c r="W131" s="51" t="str" cm="1">
        <f t="array" ref="W131">IF(W122&lt;&gt;"",W122,IF(ISERROR(INDEX(W122:$AW122,MATCH(FALSE,W122:$AW122="",0))),"",INDEX(W122:$AW122,MATCH(FALSE,W122:$AW122="",0))))</f>
        <v>+</v>
      </c>
      <c r="X131" s="51" t="str" cm="1">
        <f t="array" ref="X131">IF(X122&lt;&gt;"",X122,IF(ISERROR(INDEX(X122:$AW122,MATCH(FALSE,X122:$AW122="",0))),"",INDEX(X122:$AW122,MATCH(FALSE,X122:$AW122="",0))))</f>
        <v/>
      </c>
      <c r="Y131" s="51" t="str" cm="1">
        <f t="array" ref="Y131">IF(Y122&lt;&gt;"",Y122,IF(ISERROR(INDEX(Y122:$AW122,MATCH(FALSE,Y122:$AW122="",0))),"",INDEX(Y122:$AW122,MATCH(FALSE,Y122:$AW122="",0))))</f>
        <v/>
      </c>
      <c r="Z131" s="51" t="str" cm="1">
        <f t="array" ref="Z131">IF(Z122&lt;&gt;"",Z122,IF(ISERROR(INDEX(Z122:$AW122,MATCH(FALSE,Z122:$AW122="",0))),"",INDEX(Z122:$AW122,MATCH(FALSE,Z122:$AW122="",0))))</f>
        <v/>
      </c>
      <c r="AA131" s="51" t="str" cm="1">
        <f t="array" ref="AA131">IF(AA122&lt;&gt;"",AA122,IF(ISERROR(INDEX(AA122:$AW122,MATCH(FALSE,AA122:$AW122="",0))),"",INDEX(AA122:$AW122,MATCH(FALSE,AA122:$AW122="",0))))</f>
        <v/>
      </c>
      <c r="AB131" s="51" t="str" cm="1">
        <f t="array" ref="AB131">IF(AB122&lt;&gt;"",AB122,IF(ISERROR(INDEX(AB122:$AW122,MATCH(FALSE,AB122:$AW122="",0))),"",INDEX(AB122:$AW122,MATCH(FALSE,AB122:$AW122="",0))))</f>
        <v/>
      </c>
      <c r="AC131" s="51" t="str" cm="1">
        <f t="array" ref="AC131">IF(AC122&lt;&gt;"",AC122,IF(ISERROR(INDEX(AC122:$AW122,MATCH(FALSE,AC122:$AW122="",0))),"",INDEX(AC122:$AW122,MATCH(FALSE,AC122:$AW122="",0))))</f>
        <v/>
      </c>
      <c r="AD131" s="51" t="str" cm="1">
        <f t="array" ref="AD131">IF(AD122&lt;&gt;"",AD122,IF(ISERROR(INDEX(AD122:$AW122,MATCH(FALSE,AD122:$AW122="",0))),"",INDEX(AD122:$AW122,MATCH(FALSE,AD122:$AW122="",0))))</f>
        <v/>
      </c>
      <c r="AE131" s="51" t="str" cm="1">
        <f t="array" ref="AE131">IF(AE122&lt;&gt;"",AE122,IF(ISERROR(INDEX(AE122:$AW122,MATCH(FALSE,AE122:$AW122="",0))),"",INDEX(AE122:$AW122,MATCH(FALSE,AE122:$AW122="",0))))</f>
        <v/>
      </c>
      <c r="AF131" s="49" t="str" cm="1">
        <f t="array" ref="AF131">IF(AF122&lt;&gt;"",AF122,IF(ISERROR(INDEX(AF122:$AW122,MATCH(FALSE,AF122:$AW122="",0))),"",INDEX(AF122:$AW122,MATCH(FALSE,AF122:$AW122="",0))))</f>
        <v/>
      </c>
      <c r="AG131" s="49" t="str" cm="1">
        <f t="array" ref="AG131">IF(AG122&lt;&gt;"",AG122,IF(ISERROR(INDEX(AG122:$AW122,MATCH(FALSE,AG122:$AW122="",0))),"",INDEX(AG122:$AW122,MATCH(FALSE,AG122:$AW122="",0))))</f>
        <v/>
      </c>
      <c r="AH131" s="49" t="str" cm="1">
        <f t="array" ref="AH131">IF(AH122&lt;&gt;"",AH122,IF(ISERROR(INDEX(AH122:$AW122,MATCH(FALSE,AH122:$AW122="",0))),"",INDEX(AH122:$AW122,MATCH(FALSE,AH122:$AW122="",0))))</f>
        <v/>
      </c>
      <c r="AI131" s="49" t="str" cm="1">
        <f t="array" ref="AI131">IF(AI122&lt;&gt;"",AI122,IF(ISERROR(INDEX(AI122:$AW122,MATCH(FALSE,AI122:$AW122="",0))),"",INDEX(AI122:$AW122,MATCH(FALSE,AI122:$AW122="",0))))</f>
        <v/>
      </c>
      <c r="AJ131" s="49" t="str" cm="1">
        <f t="array" ref="AJ131">IF(AJ122&lt;&gt;"",AJ122,IF(ISERROR(INDEX(AJ122:$AW122,MATCH(FALSE,AJ122:$AW122="",0))),"",INDEX(AJ122:$AW122,MATCH(FALSE,AJ122:$AW122="",0))))</f>
        <v/>
      </c>
      <c r="AK131" s="49" t="str" cm="1">
        <f t="array" ref="AK131">IF(AK122&lt;&gt;"",AK122,IF(ISERROR(INDEX(AK122:$AW122,MATCH(FALSE,AK122:$AW122="",0))),"",INDEX(AK122:$AW122,MATCH(FALSE,AK122:$AW122="",0))))</f>
        <v/>
      </c>
      <c r="AL131" s="49" t="str" cm="1">
        <f t="array" ref="AL131">IF(AL122&lt;&gt;"",AL122,IF(ISERROR(INDEX(AL122:$AW122,MATCH(FALSE,AL122:$AW122="",0))),"",INDEX(AL122:$AW122,MATCH(FALSE,AL122:$AW122="",0))))</f>
        <v/>
      </c>
      <c r="AM131" s="49" t="str" cm="1">
        <f t="array" ref="AM131">IF(AM122&lt;&gt;"",AM122,IF(ISERROR(INDEX(AM122:$AW122,MATCH(FALSE,AM122:$AW122="",0))),"",INDEX(AM122:$AW122,MATCH(FALSE,AM122:$AW122="",0))))</f>
        <v/>
      </c>
      <c r="AN131" s="49" t="str" cm="1">
        <f t="array" ref="AN131">IF(AN122&lt;&gt;"",AN122,IF(ISERROR(INDEX(AN122:$AW122,MATCH(FALSE,AN122:$AW122="",0))),"",INDEX(AN122:$AW122,MATCH(FALSE,AN122:$AW122="",0))))</f>
        <v/>
      </c>
      <c r="AO131" s="49" t="str" cm="1">
        <f t="array" ref="AO131">IF(AO122&lt;&gt;"",AO122,IF(ISERROR(INDEX(AO122:$AW122,MATCH(FALSE,AO122:$AW122="",0))),"",INDEX(AO122:$AW122,MATCH(FALSE,AO122:$AW122="",0))))</f>
        <v/>
      </c>
      <c r="AP131" s="49" t="str" cm="1">
        <f t="array" ref="AP131">IF(AP122&lt;&gt;"",AP122,IF(ISERROR(INDEX(AP122:$AW122,MATCH(FALSE,AP122:$AW122="",0))),"",INDEX(AP122:$AW122,MATCH(FALSE,AP122:$AW122="",0))))</f>
        <v/>
      </c>
      <c r="AQ131" s="49"/>
      <c r="AR131" s="49"/>
      <c r="AS131" s="49"/>
      <c r="AT131" s="49"/>
      <c r="AU131" s="49"/>
      <c r="AV131" s="49"/>
      <c r="AW131" s="49"/>
    </row>
    <row r="132" spans="2:49" ht="15" customHeight="1" x14ac:dyDescent="0.2">
      <c r="B132" s="214">
        <v>3</v>
      </c>
      <c r="C132" s="214"/>
      <c r="D132" s="214"/>
      <c r="E132" s="218" t="str">
        <f>$E$107</f>
        <v>System Response</v>
      </c>
      <c r="F132" s="218"/>
      <c r="G132" s="218"/>
      <c r="H132" s="218"/>
      <c r="I132" s="218"/>
      <c r="J132" s="218"/>
      <c r="K132" s="218"/>
      <c r="L132" s="218"/>
      <c r="M132" s="220">
        <f>$M$107</f>
        <v>1</v>
      </c>
      <c r="N132" s="220"/>
      <c r="O132" s="220"/>
      <c r="P132" s="220"/>
      <c r="Q132" s="220">
        <f>$Q$107</f>
        <v>3</v>
      </c>
      <c r="R132" s="220"/>
      <c r="S132" s="220"/>
      <c r="T132" s="220"/>
      <c r="U132" s="51" t="str">
        <f t="shared" si="92"/>
        <v/>
      </c>
      <c r="V132" s="51" t="str" cm="1">
        <f t="array" ref="V132">IF(V123&lt;&gt;"",V123,IF(ISERROR(INDEX(V123:$AW123,MATCH(FALSE,V123:$AW123="",0))),"",INDEX(V123:$AW123,MATCH(FALSE,V123:$AW123="",0))))</f>
        <v/>
      </c>
      <c r="W132" s="51" t="str" cm="1">
        <f t="array" ref="W132">IF(W123&lt;&gt;"",W123,IF(ISERROR(INDEX(W123:$AW123,MATCH(FALSE,W123:$AW123="",0))),"",INDEX(W123:$AW123,MATCH(FALSE,W123:$AW123="",0))))</f>
        <v/>
      </c>
      <c r="X132" s="51" t="str" cm="1">
        <f t="array" ref="X132">IF(X123&lt;&gt;"",X123,IF(ISERROR(INDEX(X123:$AW123,MATCH(FALSE,X123:$AW123="",0))),"",INDEX(X123:$AW123,MATCH(FALSE,X123:$AW123="",0))))</f>
        <v/>
      </c>
      <c r="Y132" s="51" t="str" cm="1">
        <f t="array" ref="Y132">IF(Y123&lt;&gt;"",Y123,IF(ISERROR(INDEX(Y123:$AW123,MATCH(FALSE,Y123:$AW123="",0))),"",INDEX(Y123:$AW123,MATCH(FALSE,Y123:$AW123="",0))))</f>
        <v/>
      </c>
      <c r="Z132" s="51" t="str" cm="1">
        <f t="array" ref="Z132">IF(Z123&lt;&gt;"",Z123,IF(ISERROR(INDEX(Z123:$AW123,MATCH(FALSE,Z123:$AW123="",0))),"",INDEX(Z123:$AW123,MATCH(FALSE,Z123:$AW123="",0))))</f>
        <v/>
      </c>
      <c r="AA132" s="51" t="str" cm="1">
        <f t="array" ref="AA132">IF(AA123&lt;&gt;"",AA123,IF(ISERROR(INDEX(AA123:$AW123,MATCH(FALSE,AA123:$AW123="",0))),"",INDEX(AA123:$AW123,MATCH(FALSE,AA123:$AW123="",0))))</f>
        <v/>
      </c>
      <c r="AB132" s="51" t="str" cm="1">
        <f t="array" ref="AB132">IF(AB123&lt;&gt;"",AB123,IF(ISERROR(INDEX(AB123:$AW123,MATCH(FALSE,AB123:$AW123="",0))),"",INDEX(AB123:$AW123,MATCH(FALSE,AB123:$AW123="",0))))</f>
        <v/>
      </c>
      <c r="AC132" s="51" t="str" cm="1">
        <f t="array" ref="AC132">IF(AC123&lt;&gt;"",AC123,IF(ISERROR(INDEX(AC123:$AW123,MATCH(FALSE,AC123:$AW123="",0))),"",INDEX(AC123:$AW123,MATCH(FALSE,AC123:$AW123="",0))))</f>
        <v/>
      </c>
      <c r="AD132" s="51" t="str" cm="1">
        <f t="array" ref="AD132">IF(AD123&lt;&gt;"",AD123,IF(ISERROR(INDEX(AD123:$AW123,MATCH(FALSE,AD123:$AW123="",0))),"",INDEX(AD123:$AW123,MATCH(FALSE,AD123:$AW123="",0))))</f>
        <v/>
      </c>
      <c r="AE132" s="51" t="str" cm="1">
        <f t="array" ref="AE132">IF(AE123&lt;&gt;"",AE123,IF(ISERROR(INDEX(AE123:$AW123,MATCH(FALSE,AE123:$AW123="",0))),"",INDEX(AE123:$AW123,MATCH(FALSE,AE123:$AW123="",0))))</f>
        <v/>
      </c>
      <c r="AF132" s="49" t="str" cm="1">
        <f t="array" ref="AF132">IF(AF123&lt;&gt;"",AF123,IF(ISERROR(INDEX(AF123:$AW123,MATCH(FALSE,AF123:$AW123="",0))),"",INDEX(AF123:$AW123,MATCH(FALSE,AF123:$AW123="",0))))</f>
        <v/>
      </c>
      <c r="AG132" s="49" t="str" cm="1">
        <f t="array" ref="AG132">IF(AG123&lt;&gt;"",AG123,IF(ISERROR(INDEX(AG123:$AW123,MATCH(FALSE,AG123:$AW123="",0))),"",INDEX(AG123:$AW123,MATCH(FALSE,AG123:$AW123="",0))))</f>
        <v/>
      </c>
      <c r="AH132" s="49" t="str" cm="1">
        <f t="array" ref="AH132">IF(AH123&lt;&gt;"",AH123,IF(ISERROR(INDEX(AH123:$AW123,MATCH(FALSE,AH123:$AW123="",0))),"",INDEX(AH123:$AW123,MATCH(FALSE,AH123:$AW123="",0))))</f>
        <v/>
      </c>
      <c r="AI132" s="49" t="str" cm="1">
        <f t="array" ref="AI132">IF(AI123&lt;&gt;"",AI123,IF(ISERROR(INDEX(AI123:$AW123,MATCH(FALSE,AI123:$AW123="",0))),"",INDEX(AI123:$AW123,MATCH(FALSE,AI123:$AW123="",0))))</f>
        <v/>
      </c>
      <c r="AJ132" s="49" t="str" cm="1">
        <f t="array" ref="AJ132">IF(AJ123&lt;&gt;"",AJ123,IF(ISERROR(INDEX(AJ123:$AW123,MATCH(FALSE,AJ123:$AW123="",0))),"",INDEX(AJ123:$AW123,MATCH(FALSE,AJ123:$AW123="",0))))</f>
        <v/>
      </c>
      <c r="AK132" s="49" t="str" cm="1">
        <f t="array" ref="AK132">IF(AK123&lt;&gt;"",AK123,IF(ISERROR(INDEX(AK123:$AW123,MATCH(FALSE,AK123:$AW123="",0))),"",INDEX(AK123:$AW123,MATCH(FALSE,AK123:$AW123="",0))))</f>
        <v/>
      </c>
      <c r="AL132" s="49" t="str" cm="1">
        <f t="array" ref="AL132">IF(AL123&lt;&gt;"",AL123,IF(ISERROR(INDEX(AL123:$AW123,MATCH(FALSE,AL123:$AW123="",0))),"",INDEX(AL123:$AW123,MATCH(FALSE,AL123:$AW123="",0))))</f>
        <v/>
      </c>
      <c r="AM132" s="49" t="str" cm="1">
        <f t="array" ref="AM132">IF(AM123&lt;&gt;"",AM123,IF(ISERROR(INDEX(AM123:$AW123,MATCH(FALSE,AM123:$AW123="",0))),"",INDEX(AM123:$AW123,MATCH(FALSE,AM123:$AW123="",0))))</f>
        <v/>
      </c>
      <c r="AN132" s="49" t="str" cm="1">
        <f t="array" ref="AN132">IF(AN123&lt;&gt;"",AN123,IF(ISERROR(INDEX(AN123:$AW123,MATCH(FALSE,AN123:$AW123="",0))),"",INDEX(AN123:$AW123,MATCH(FALSE,AN123:$AW123="",0))))</f>
        <v/>
      </c>
      <c r="AO132" s="49" t="str" cm="1">
        <f t="array" ref="AO132">IF(AO123&lt;&gt;"",AO123,IF(ISERROR(INDEX(AO123:$AW123,MATCH(FALSE,AO123:$AW123="",0))),"",INDEX(AO123:$AW123,MATCH(FALSE,AO123:$AW123="",0))))</f>
        <v/>
      </c>
      <c r="AP132" s="49" t="str" cm="1">
        <f t="array" ref="AP132">IF(AP123&lt;&gt;"",AP123,IF(ISERROR(INDEX(AP123:$AW123,MATCH(FALSE,AP123:$AW123="",0))),"",INDEX(AP123:$AW123,MATCH(FALSE,AP123:$AW123="",0))))</f>
        <v/>
      </c>
      <c r="AQ132" s="49"/>
      <c r="AR132" s="49"/>
      <c r="AS132" s="49"/>
      <c r="AT132" s="49"/>
      <c r="AU132" s="49"/>
      <c r="AV132" s="49"/>
      <c r="AW132" s="49"/>
    </row>
    <row r="133" spans="2:49" ht="15" customHeight="1" x14ac:dyDescent="0.2">
      <c r="B133" s="214">
        <v>4</v>
      </c>
      <c r="C133" s="214"/>
      <c r="D133" s="214"/>
      <c r="E133" s="218" t="str">
        <f>$E$108</f>
        <v>Life Loss</v>
      </c>
      <c r="F133" s="218"/>
      <c r="G133" s="218"/>
      <c r="H133" s="218"/>
      <c r="I133" s="218"/>
      <c r="J133" s="218"/>
      <c r="K133" s="218"/>
      <c r="L133" s="218"/>
      <c r="M133" s="220">
        <f>$M$108</f>
        <v>1</v>
      </c>
      <c r="N133" s="220"/>
      <c r="O133" s="220"/>
      <c r="P133" s="220"/>
      <c r="Q133" s="220">
        <f>$Q$108</f>
        <v>3</v>
      </c>
      <c r="R133" s="220"/>
      <c r="S133" s="220"/>
      <c r="T133" s="220"/>
      <c r="U133" s="51" t="str">
        <f t="shared" si="92"/>
        <v/>
      </c>
      <c r="V133" s="51" t="str" cm="1">
        <f t="array" ref="V133">IF(V124&lt;&gt;"",V124,IF(ISERROR(INDEX(V124:$AW124,MATCH(FALSE,V124:$AW124="",0))),"",INDEX(V124:$AW124,MATCH(FALSE,V124:$AW124="",0))))</f>
        <v/>
      </c>
      <c r="W133" s="51" t="str" cm="1">
        <f t="array" ref="W133">IF(W124&lt;&gt;"",W124,IF(ISERROR(INDEX(W124:$AW124,MATCH(FALSE,W124:$AW124="",0))),"",INDEX(W124:$AW124,MATCH(FALSE,W124:$AW124="",0))))</f>
        <v/>
      </c>
      <c r="X133" s="51" t="str" cm="1">
        <f t="array" ref="X133">IF(X124&lt;&gt;"",X124,IF(ISERROR(INDEX(X124:$AW124,MATCH(FALSE,X124:$AW124="",0))),"",INDEX(X124:$AW124,MATCH(FALSE,X124:$AW124="",0))))</f>
        <v/>
      </c>
      <c r="Y133" s="51" t="str" cm="1">
        <f t="array" ref="Y133">IF(Y124&lt;&gt;"",Y124,IF(ISERROR(INDEX(Y124:$AW124,MATCH(FALSE,Y124:$AW124="",0))),"",INDEX(Y124:$AW124,MATCH(FALSE,Y124:$AW124="",0))))</f>
        <v/>
      </c>
      <c r="Z133" s="51" t="str" cm="1">
        <f t="array" ref="Z133">IF(Z124&lt;&gt;"",Z124,IF(ISERROR(INDEX(Z124:$AW124,MATCH(FALSE,Z124:$AW124="",0))),"",INDEX(Z124:$AW124,MATCH(FALSE,Z124:$AW124="",0))))</f>
        <v/>
      </c>
      <c r="AA133" s="51" t="str" cm="1">
        <f t="array" ref="AA133">IF(AA124&lt;&gt;"",AA124,IF(ISERROR(INDEX(AA124:$AW124,MATCH(FALSE,AA124:$AW124="",0))),"",INDEX(AA124:$AW124,MATCH(FALSE,AA124:$AW124="",0))))</f>
        <v/>
      </c>
      <c r="AB133" s="51" t="str" cm="1">
        <f t="array" ref="AB133">IF(AB124&lt;&gt;"",AB124,IF(ISERROR(INDEX(AB124:$AW124,MATCH(FALSE,AB124:$AW124="",0))),"",INDEX(AB124:$AW124,MATCH(FALSE,AB124:$AW124="",0))))</f>
        <v/>
      </c>
      <c r="AC133" s="51" t="str" cm="1">
        <f t="array" ref="AC133">IF(AC124&lt;&gt;"",AC124,IF(ISERROR(INDEX(AC124:$AW124,MATCH(FALSE,AC124:$AW124="",0))),"",INDEX(AC124:$AW124,MATCH(FALSE,AC124:$AW124="",0))))</f>
        <v/>
      </c>
      <c r="AD133" s="51" t="str" cm="1">
        <f t="array" ref="AD133">IF(AD124&lt;&gt;"",AD124,IF(ISERROR(INDEX(AD124:$AW124,MATCH(FALSE,AD124:$AW124="",0))),"",INDEX(AD124:$AW124,MATCH(FALSE,AD124:$AW124="",0))))</f>
        <v/>
      </c>
      <c r="AE133" s="51" t="str" cm="1">
        <f t="array" ref="AE133">IF(AE124&lt;&gt;"",AE124,IF(ISERROR(INDEX(AE124:$AW124,MATCH(FALSE,AE124:$AW124="",0))),"",INDEX(AE124:$AW124,MATCH(FALSE,AE124:$AW124="",0))))</f>
        <v/>
      </c>
      <c r="AF133" s="49" t="str" cm="1">
        <f t="array" ref="AF133">IF(AF124&lt;&gt;"",AF124,IF(ISERROR(INDEX(AF124:$AW124,MATCH(FALSE,AF124:$AW124="",0))),"",INDEX(AF124:$AW124,MATCH(FALSE,AF124:$AW124="",0))))</f>
        <v/>
      </c>
      <c r="AG133" s="49" t="str" cm="1">
        <f t="array" ref="AG133">IF(AG124&lt;&gt;"",AG124,IF(ISERROR(INDEX(AG124:$AW124,MATCH(FALSE,AG124:$AW124="",0))),"",INDEX(AG124:$AW124,MATCH(FALSE,AG124:$AW124="",0))))</f>
        <v/>
      </c>
      <c r="AH133" s="49" t="str" cm="1">
        <f t="array" ref="AH133">IF(AH124&lt;&gt;"",AH124,IF(ISERROR(INDEX(AH124:$AW124,MATCH(FALSE,AH124:$AW124="",0))),"",INDEX(AH124:$AW124,MATCH(FALSE,AH124:$AW124="",0))))</f>
        <v/>
      </c>
      <c r="AI133" s="49" t="str" cm="1">
        <f t="array" ref="AI133">IF(AI124&lt;&gt;"",AI124,IF(ISERROR(INDEX(AI124:$AW124,MATCH(FALSE,AI124:$AW124="",0))),"",INDEX(AI124:$AW124,MATCH(FALSE,AI124:$AW124="",0))))</f>
        <v/>
      </c>
      <c r="AJ133" s="49" t="str" cm="1">
        <f t="array" ref="AJ133">IF(AJ124&lt;&gt;"",AJ124,IF(ISERROR(INDEX(AJ124:$AW124,MATCH(FALSE,AJ124:$AW124="",0))),"",INDEX(AJ124:$AW124,MATCH(FALSE,AJ124:$AW124="",0))))</f>
        <v/>
      </c>
      <c r="AK133" s="49" t="str" cm="1">
        <f t="array" ref="AK133">IF(AK124&lt;&gt;"",AK124,IF(ISERROR(INDEX(AK124:$AW124,MATCH(FALSE,AK124:$AW124="",0))),"",INDEX(AK124:$AW124,MATCH(FALSE,AK124:$AW124="",0))))</f>
        <v/>
      </c>
      <c r="AL133" s="49" t="str" cm="1">
        <f t="array" ref="AL133">IF(AL124&lt;&gt;"",AL124,IF(ISERROR(INDEX(AL124:$AW124,MATCH(FALSE,AL124:$AW124="",0))),"",INDEX(AL124:$AW124,MATCH(FALSE,AL124:$AW124="",0))))</f>
        <v/>
      </c>
      <c r="AM133" s="49" t="str" cm="1">
        <f t="array" ref="AM133">IF(AM124&lt;&gt;"",AM124,IF(ISERROR(INDEX(AM124:$AW124,MATCH(FALSE,AM124:$AW124="",0))),"",INDEX(AM124:$AW124,MATCH(FALSE,AM124:$AW124="",0))))</f>
        <v/>
      </c>
      <c r="AN133" s="49" t="str" cm="1">
        <f t="array" ref="AN133">IF(AN124&lt;&gt;"",AN124,IF(ISERROR(INDEX(AN124:$AW124,MATCH(FALSE,AN124:$AW124="",0))),"",INDEX(AN124:$AW124,MATCH(FALSE,AN124:$AW124="",0))))</f>
        <v/>
      </c>
      <c r="AO133" s="49" t="str" cm="1">
        <f t="array" ref="AO133">IF(AO124&lt;&gt;"",AO124,IF(ISERROR(INDEX(AO124:$AW124,MATCH(FALSE,AO124:$AW124="",0))),"",INDEX(AO124:$AW124,MATCH(FALSE,AO124:$AW124="",0))))</f>
        <v/>
      </c>
      <c r="AP133" s="49" t="str" cm="1">
        <f t="array" ref="AP133">IF(AP124&lt;&gt;"",AP124,IF(ISERROR(INDEX(AP124:$AW124,MATCH(FALSE,AP124:$AW124="",0))),"",INDEX(AP124:$AW124,MATCH(FALSE,AP124:$AW124="",0))))</f>
        <v/>
      </c>
      <c r="AQ133" s="49"/>
      <c r="AR133" s="49"/>
      <c r="AS133" s="49"/>
      <c r="AT133" s="49"/>
      <c r="AU133" s="49"/>
      <c r="AV133" s="49"/>
      <c r="AW133" s="49"/>
    </row>
    <row r="134" spans="2:49" ht="15" customHeight="1" x14ac:dyDescent="0.2">
      <c r="B134" s="214">
        <v>5</v>
      </c>
      <c r="C134" s="214"/>
      <c r="D134" s="214"/>
      <c r="E134" s="218" t="str">
        <f>$E$109</f>
        <v>Economic Cost</v>
      </c>
      <c r="F134" s="218"/>
      <c r="G134" s="218"/>
      <c r="H134" s="218"/>
      <c r="I134" s="218"/>
      <c r="J134" s="218"/>
      <c r="K134" s="218"/>
      <c r="L134" s="218"/>
      <c r="M134" s="220">
        <f>$M$109</f>
        <v>1</v>
      </c>
      <c r="N134" s="220"/>
      <c r="O134" s="220"/>
      <c r="P134" s="220"/>
      <c r="Q134" s="220">
        <f>$Q$109</f>
        <v>3</v>
      </c>
      <c r="R134" s="220"/>
      <c r="S134" s="220"/>
      <c r="T134" s="220"/>
      <c r="U134" s="51" t="str">
        <f t="shared" si="92"/>
        <v/>
      </c>
      <c r="V134" s="51" t="str" cm="1">
        <f t="array" ref="V134">IF(V125&lt;&gt;"",V125,IF(ISERROR(INDEX(V125:$AW125,MATCH(FALSE,V125:$AW125="",0))),"",INDEX(V125:$AW125,MATCH(FALSE,V125:$AW125="",0))))</f>
        <v/>
      </c>
      <c r="W134" s="51" t="str" cm="1">
        <f t="array" ref="W134">IF(W125&lt;&gt;"",W125,IF(ISERROR(INDEX(W125:$AW125,MATCH(FALSE,W125:$AW125="",0))),"",INDEX(W125:$AW125,MATCH(FALSE,W125:$AW125="",0))))</f>
        <v/>
      </c>
      <c r="X134" s="51" t="str" cm="1">
        <f t="array" ref="X134">IF(X125&lt;&gt;"",X125,IF(ISERROR(INDEX(X125:$AW125,MATCH(FALSE,X125:$AW125="",0))),"",INDEX(X125:$AW125,MATCH(FALSE,X125:$AW125="",0))))</f>
        <v/>
      </c>
      <c r="Y134" s="51" t="str" cm="1">
        <f t="array" ref="Y134">IF(Y125&lt;&gt;"",Y125,IF(ISERROR(INDEX(Y125:$AW125,MATCH(FALSE,Y125:$AW125="",0))),"",INDEX(Y125:$AW125,MATCH(FALSE,Y125:$AW125="",0))))</f>
        <v/>
      </c>
      <c r="Z134" s="51" t="str" cm="1">
        <f t="array" ref="Z134">IF(Z125&lt;&gt;"",Z125,IF(ISERROR(INDEX(Z125:$AW125,MATCH(FALSE,Z125:$AW125="",0))),"",INDEX(Z125:$AW125,MATCH(FALSE,Z125:$AW125="",0))))</f>
        <v/>
      </c>
      <c r="AA134" s="51" t="str" cm="1">
        <f t="array" ref="AA134">IF(AA125&lt;&gt;"",AA125,IF(ISERROR(INDEX(AA125:$AW125,MATCH(FALSE,AA125:$AW125="",0))),"",INDEX(AA125:$AW125,MATCH(FALSE,AA125:$AW125="",0))))</f>
        <v/>
      </c>
      <c r="AB134" s="51" t="str" cm="1">
        <f t="array" ref="AB134">IF(AB125&lt;&gt;"",AB125,IF(ISERROR(INDEX(AB125:$AW125,MATCH(FALSE,AB125:$AW125="",0))),"",INDEX(AB125:$AW125,MATCH(FALSE,AB125:$AW125="",0))))</f>
        <v/>
      </c>
      <c r="AC134" s="51" t="str" cm="1">
        <f t="array" ref="AC134">IF(AC125&lt;&gt;"",AC125,IF(ISERROR(INDEX(AC125:$AW125,MATCH(FALSE,AC125:$AW125="",0))),"",INDEX(AC125:$AW125,MATCH(FALSE,AC125:$AW125="",0))))</f>
        <v/>
      </c>
      <c r="AD134" s="51" t="str" cm="1">
        <f t="array" ref="AD134">IF(AD125&lt;&gt;"",AD125,IF(ISERROR(INDEX(AD125:$AW125,MATCH(FALSE,AD125:$AW125="",0))),"",INDEX(AD125:$AW125,MATCH(FALSE,AD125:$AW125="",0))))</f>
        <v/>
      </c>
      <c r="AE134" s="51" t="str" cm="1">
        <f t="array" ref="AE134">IF(AE125&lt;&gt;"",AE125,IF(ISERROR(INDEX(AE125:$AW125,MATCH(FALSE,AE125:$AW125="",0))),"",INDEX(AE125:$AW125,MATCH(FALSE,AE125:$AW125="",0))))</f>
        <v/>
      </c>
      <c r="AF134" s="49" t="str" cm="1">
        <f t="array" ref="AF134">IF(AF125&lt;&gt;"",AF125,IF(ISERROR(INDEX(AF125:$AW125,MATCH(FALSE,AF125:$AW125="",0))),"",INDEX(AF125:$AW125,MATCH(FALSE,AF125:$AW125="",0))))</f>
        <v/>
      </c>
      <c r="AG134" s="49" t="str" cm="1">
        <f t="array" ref="AG134">IF(AG125&lt;&gt;"",AG125,IF(ISERROR(INDEX(AG125:$AW125,MATCH(FALSE,AG125:$AW125="",0))),"",INDEX(AG125:$AW125,MATCH(FALSE,AG125:$AW125="",0))))</f>
        <v/>
      </c>
      <c r="AH134" s="49" t="str" cm="1">
        <f t="array" ref="AH134">IF(AH125&lt;&gt;"",AH125,IF(ISERROR(INDEX(AH125:$AW125,MATCH(FALSE,AH125:$AW125="",0))),"",INDEX(AH125:$AW125,MATCH(FALSE,AH125:$AW125="",0))))</f>
        <v/>
      </c>
      <c r="AI134" s="49" t="str" cm="1">
        <f t="array" ref="AI134">IF(AI125&lt;&gt;"",AI125,IF(ISERROR(INDEX(AI125:$AW125,MATCH(FALSE,AI125:$AW125="",0))),"",INDEX(AI125:$AW125,MATCH(FALSE,AI125:$AW125="",0))))</f>
        <v/>
      </c>
      <c r="AJ134" s="49" t="str" cm="1">
        <f t="array" ref="AJ134">IF(AJ125&lt;&gt;"",AJ125,IF(ISERROR(INDEX(AJ125:$AW125,MATCH(FALSE,AJ125:$AW125="",0))),"",INDEX(AJ125:$AW125,MATCH(FALSE,AJ125:$AW125="",0))))</f>
        <v/>
      </c>
      <c r="AK134" s="49" t="str" cm="1">
        <f t="array" ref="AK134">IF(AK125&lt;&gt;"",AK125,IF(ISERROR(INDEX(AK125:$AW125,MATCH(FALSE,AK125:$AW125="",0))),"",INDEX(AK125:$AW125,MATCH(FALSE,AK125:$AW125="",0))))</f>
        <v/>
      </c>
      <c r="AL134" s="49" t="str" cm="1">
        <f t="array" ref="AL134">IF(AL125&lt;&gt;"",AL125,IF(ISERROR(INDEX(AL125:$AW125,MATCH(FALSE,AL125:$AW125="",0))),"",INDEX(AL125:$AW125,MATCH(FALSE,AL125:$AW125="",0))))</f>
        <v/>
      </c>
      <c r="AM134" s="49" t="str" cm="1">
        <f t="array" ref="AM134">IF(AM125&lt;&gt;"",AM125,IF(ISERROR(INDEX(AM125:$AW125,MATCH(FALSE,AM125:$AW125="",0))),"",INDEX(AM125:$AW125,MATCH(FALSE,AM125:$AW125="",0))))</f>
        <v/>
      </c>
      <c r="AN134" s="49" t="str" cm="1">
        <f t="array" ref="AN134">IF(AN125&lt;&gt;"",AN125,IF(ISERROR(INDEX(AN125:$AW125,MATCH(FALSE,AN125:$AW125="",0))),"",INDEX(AN125:$AW125,MATCH(FALSE,AN125:$AW125="",0))))</f>
        <v/>
      </c>
      <c r="AO134" s="49" t="str" cm="1">
        <f t="array" ref="AO134">IF(AO125&lt;&gt;"",AO125,IF(ISERROR(INDEX(AO125:$AW125,MATCH(FALSE,AO125:$AW125="",0))),"",INDEX(AO125:$AW125,MATCH(FALSE,AO125:$AW125="",0))))</f>
        <v/>
      </c>
      <c r="AP134" s="49" t="str" cm="1">
        <f t="array" ref="AP134">IF(AP125&lt;&gt;"",AP125,IF(ISERROR(INDEX(AP125:$AW125,MATCH(FALSE,AP125:$AW125="",0))),"",INDEX(AP125:$AW125,MATCH(FALSE,AP125:$AW125="",0))))</f>
        <v/>
      </c>
      <c r="AQ134" s="49"/>
      <c r="AR134" s="49"/>
      <c r="AS134" s="49"/>
      <c r="AT134" s="49"/>
      <c r="AU134" s="49"/>
      <c r="AV134" s="49"/>
      <c r="AW134" s="49"/>
    </row>
    <row r="135" spans="2:49" ht="15" customHeight="1" x14ac:dyDescent="0.2">
      <c r="B135" s="214">
        <v>6</v>
      </c>
      <c r="C135" s="214"/>
      <c r="D135" s="214"/>
      <c r="E135" s="218" t="str">
        <f>$E$110</f>
        <v>-</v>
      </c>
      <c r="F135" s="218"/>
      <c r="G135" s="218"/>
      <c r="H135" s="218"/>
      <c r="I135" s="218"/>
      <c r="J135" s="218"/>
      <c r="K135" s="218"/>
      <c r="L135" s="218"/>
      <c r="M135" s="220" t="str">
        <f>$M$110</f>
        <v>-</v>
      </c>
      <c r="N135" s="220"/>
      <c r="O135" s="220"/>
      <c r="P135" s="220"/>
      <c r="Q135" s="220" t="str">
        <f>$Q$110</f>
        <v>-</v>
      </c>
      <c r="R135" s="220"/>
      <c r="S135" s="220"/>
      <c r="T135" s="220"/>
      <c r="U135" s="51" t="str">
        <f t="shared" si="92"/>
        <v/>
      </c>
      <c r="V135" s="51" t="str" cm="1">
        <f t="array" ref="V135">IF(V126&lt;&gt;"",V126,IF(ISERROR(INDEX(V126:$AW126,MATCH(FALSE,V126:$AW126="",0))),"",INDEX(V126:$AW126,MATCH(FALSE,V126:$AW126="",0))))</f>
        <v/>
      </c>
      <c r="W135" s="51" t="str" cm="1">
        <f t="array" ref="W135">IF(W126&lt;&gt;"",W126,IF(ISERROR(INDEX(W126:$AW126,MATCH(FALSE,W126:$AW126="",0))),"",INDEX(W126:$AW126,MATCH(FALSE,W126:$AW126="",0))))</f>
        <v/>
      </c>
      <c r="X135" s="51" t="str" cm="1">
        <f t="array" ref="X135">IF(X126&lt;&gt;"",X126,IF(ISERROR(INDEX(X126:$AW126,MATCH(FALSE,X126:$AW126="",0))),"",INDEX(X126:$AW126,MATCH(FALSE,X126:$AW126="",0))))</f>
        <v/>
      </c>
      <c r="Y135" s="51" t="str" cm="1">
        <f t="array" ref="Y135">IF(Y126&lt;&gt;"",Y126,IF(ISERROR(INDEX(Y126:$AW126,MATCH(FALSE,Y126:$AW126="",0))),"",INDEX(Y126:$AW126,MATCH(FALSE,Y126:$AW126="",0))))</f>
        <v/>
      </c>
      <c r="Z135" s="51" t="str" cm="1">
        <f t="array" ref="Z135">IF(Z126&lt;&gt;"",Z126,IF(ISERROR(INDEX(Z126:$AW126,MATCH(FALSE,Z126:$AW126="",0))),"",INDEX(Z126:$AW126,MATCH(FALSE,Z126:$AW126="",0))))</f>
        <v/>
      </c>
      <c r="AA135" s="51" t="str" cm="1">
        <f t="array" ref="AA135">IF(AA126&lt;&gt;"",AA126,IF(ISERROR(INDEX(AA126:$AW126,MATCH(FALSE,AA126:$AW126="",0))),"",INDEX(AA126:$AW126,MATCH(FALSE,AA126:$AW126="",0))))</f>
        <v/>
      </c>
      <c r="AB135" s="51" t="str" cm="1">
        <f t="array" ref="AB135">IF(AB126&lt;&gt;"",AB126,IF(ISERROR(INDEX(AB126:$AW126,MATCH(FALSE,AB126:$AW126="",0))),"",INDEX(AB126:$AW126,MATCH(FALSE,AB126:$AW126="",0))))</f>
        <v/>
      </c>
      <c r="AC135" s="51" t="str" cm="1">
        <f t="array" ref="AC135">IF(AC126&lt;&gt;"",AC126,IF(ISERROR(INDEX(AC126:$AW126,MATCH(FALSE,AC126:$AW126="",0))),"",INDEX(AC126:$AW126,MATCH(FALSE,AC126:$AW126="",0))))</f>
        <v/>
      </c>
      <c r="AD135" s="51" t="str" cm="1">
        <f t="array" ref="AD135">IF(AD126&lt;&gt;"",AD126,IF(ISERROR(INDEX(AD126:$AW126,MATCH(FALSE,AD126:$AW126="",0))),"",INDEX(AD126:$AW126,MATCH(FALSE,AD126:$AW126="",0))))</f>
        <v/>
      </c>
      <c r="AE135" s="51" t="str" cm="1">
        <f t="array" ref="AE135">IF(AE126&lt;&gt;"",AE126,IF(ISERROR(INDEX(AE126:$AW126,MATCH(FALSE,AE126:$AW126="",0))),"",INDEX(AE126:$AW126,MATCH(FALSE,AE126:$AW126="",0))))</f>
        <v/>
      </c>
      <c r="AF135" s="49" t="str" cm="1">
        <f t="array" ref="AF135">IF(AF126&lt;&gt;"",AF126,IF(ISERROR(INDEX(AF126:$AW126,MATCH(FALSE,AF126:$AW126="",0))),"",INDEX(AF126:$AW126,MATCH(FALSE,AF126:$AW126="",0))))</f>
        <v/>
      </c>
      <c r="AG135" s="49" t="str" cm="1">
        <f t="array" ref="AG135">IF(AG126&lt;&gt;"",AG126,IF(ISERROR(INDEX(AG126:$AW126,MATCH(FALSE,AG126:$AW126="",0))),"",INDEX(AG126:$AW126,MATCH(FALSE,AG126:$AW126="",0))))</f>
        <v/>
      </c>
      <c r="AH135" s="49" t="str" cm="1">
        <f t="array" ref="AH135">IF(AH126&lt;&gt;"",AH126,IF(ISERROR(INDEX(AH126:$AW126,MATCH(FALSE,AH126:$AW126="",0))),"",INDEX(AH126:$AW126,MATCH(FALSE,AH126:$AW126="",0))))</f>
        <v/>
      </c>
      <c r="AI135" s="49" t="str" cm="1">
        <f t="array" ref="AI135">IF(AI126&lt;&gt;"",AI126,IF(ISERROR(INDEX(AI126:$AW126,MATCH(FALSE,AI126:$AW126="",0))),"",INDEX(AI126:$AW126,MATCH(FALSE,AI126:$AW126="",0))))</f>
        <v/>
      </c>
      <c r="AJ135" s="49" t="str" cm="1">
        <f t="array" ref="AJ135">IF(AJ126&lt;&gt;"",AJ126,IF(ISERROR(INDEX(AJ126:$AW126,MATCH(FALSE,AJ126:$AW126="",0))),"",INDEX(AJ126:$AW126,MATCH(FALSE,AJ126:$AW126="",0))))</f>
        <v/>
      </c>
      <c r="AK135" s="49" t="str" cm="1">
        <f t="array" ref="AK135">IF(AK126&lt;&gt;"",AK126,IF(ISERROR(INDEX(AK126:$AW126,MATCH(FALSE,AK126:$AW126="",0))),"",INDEX(AK126:$AW126,MATCH(FALSE,AK126:$AW126="",0))))</f>
        <v/>
      </c>
      <c r="AL135" s="49" t="str" cm="1">
        <f t="array" ref="AL135">IF(AL126&lt;&gt;"",AL126,IF(ISERROR(INDEX(AL126:$AW126,MATCH(FALSE,AL126:$AW126="",0))),"",INDEX(AL126:$AW126,MATCH(FALSE,AL126:$AW126="",0))))</f>
        <v/>
      </c>
      <c r="AM135" s="49" t="str" cm="1">
        <f t="array" ref="AM135">IF(AM126&lt;&gt;"",AM126,IF(ISERROR(INDEX(AM126:$AW126,MATCH(FALSE,AM126:$AW126="",0))),"",INDEX(AM126:$AW126,MATCH(FALSE,AM126:$AW126="",0))))</f>
        <v/>
      </c>
      <c r="AN135" s="49" t="str" cm="1">
        <f t="array" ref="AN135">IF(AN126&lt;&gt;"",AN126,IF(ISERROR(INDEX(AN126:$AW126,MATCH(FALSE,AN126:$AW126="",0))),"",INDEX(AN126:$AW126,MATCH(FALSE,AN126:$AW126="",0))))</f>
        <v/>
      </c>
      <c r="AO135" s="49" t="str" cm="1">
        <f t="array" ref="AO135">IF(AO126&lt;&gt;"",AO126,IF(ISERROR(INDEX(AO126:$AW126,MATCH(FALSE,AO126:$AW126="",0))),"",INDEX(AO126:$AW126,MATCH(FALSE,AO126:$AW126="",0))))</f>
        <v/>
      </c>
      <c r="AP135" s="49" t="str" cm="1">
        <f t="array" ref="AP135">IF(AP126&lt;&gt;"",AP126,IF(ISERROR(INDEX(AP126:$AW126,MATCH(FALSE,AP126:$AW126="",0))),"",INDEX(AP126:$AW126,MATCH(FALSE,AP126:$AW126="",0))))</f>
        <v/>
      </c>
      <c r="AQ135" s="49"/>
      <c r="AR135" s="49"/>
      <c r="AS135" s="49"/>
      <c r="AT135" s="49"/>
      <c r="AU135" s="49"/>
      <c r="AV135" s="49"/>
      <c r="AW135" s="49"/>
    </row>
    <row r="136" spans="2:49" ht="15" customHeight="1" x14ac:dyDescent="0.2"/>
    <row r="137" spans="2:49" ht="15" customHeight="1" x14ac:dyDescent="0.2">
      <c r="B137" s="50" t="s">
        <v>121</v>
      </c>
      <c r="C137" s="49"/>
      <c r="D137" s="49"/>
      <c r="E137" s="49"/>
      <c r="F137" s="49"/>
      <c r="G137" s="49"/>
      <c r="H137" s="49"/>
      <c r="I137" s="49"/>
      <c r="J137" s="49"/>
      <c r="K137" s="49"/>
      <c r="L137" s="49"/>
      <c r="M137" s="49"/>
      <c r="N137" s="49"/>
      <c r="O137" s="49"/>
      <c r="P137" s="49"/>
      <c r="Q137" s="49"/>
      <c r="R137" s="49"/>
      <c r="S137" s="49"/>
      <c r="T137" s="49"/>
      <c r="U137" s="49"/>
      <c r="V137" s="49"/>
      <c r="W137" s="49"/>
      <c r="X137" s="49"/>
      <c r="Y137" s="49"/>
      <c r="Z137" s="49"/>
      <c r="AA137" s="49"/>
      <c r="AB137" s="49"/>
      <c r="AC137" s="49"/>
      <c r="AD137" s="49"/>
      <c r="AE137" s="49"/>
      <c r="AF137" s="49"/>
      <c r="AG137" s="49"/>
      <c r="AH137" s="49"/>
      <c r="AI137" s="49"/>
      <c r="AJ137" s="49"/>
      <c r="AK137" s="49"/>
      <c r="AL137" s="49"/>
      <c r="AM137" s="49"/>
      <c r="AN137" s="49"/>
      <c r="AO137" s="49"/>
      <c r="AP137" s="49"/>
      <c r="AQ137" s="49"/>
      <c r="AR137" s="49"/>
      <c r="AS137" s="49"/>
      <c r="AT137" s="49"/>
      <c r="AU137" s="49"/>
      <c r="AV137" s="49"/>
      <c r="AW137" s="49"/>
    </row>
    <row r="138" spans="2:49" ht="15" customHeight="1" x14ac:dyDescent="0.2">
      <c r="B138" s="49"/>
      <c r="C138" s="49"/>
      <c r="D138" s="49"/>
      <c r="E138" s="49"/>
      <c r="F138" s="49"/>
      <c r="G138" s="49"/>
      <c r="H138" s="49"/>
      <c r="I138" s="49"/>
      <c r="J138" s="49"/>
      <c r="K138" s="49"/>
      <c r="L138" s="49"/>
      <c r="M138" s="49"/>
      <c r="N138" s="49"/>
      <c r="O138" s="49"/>
      <c r="P138" s="49"/>
      <c r="Q138" s="49"/>
      <c r="R138" s="49"/>
      <c r="S138" s="49"/>
      <c r="T138" s="49"/>
      <c r="U138" s="49"/>
      <c r="V138" s="49"/>
      <c r="W138" s="49"/>
      <c r="X138" s="49"/>
      <c r="Y138" s="49"/>
      <c r="Z138" s="49"/>
      <c r="AA138" s="49"/>
      <c r="AB138" s="49"/>
      <c r="AC138" s="49"/>
      <c r="AD138" s="49"/>
      <c r="AE138" s="49"/>
      <c r="AF138" s="49"/>
      <c r="AG138" s="49"/>
      <c r="AH138" s="49"/>
      <c r="AI138" s="49"/>
      <c r="AJ138" s="49"/>
      <c r="AK138" s="49"/>
      <c r="AL138" s="49"/>
      <c r="AM138" s="49"/>
      <c r="AN138" s="49"/>
      <c r="AO138" s="49"/>
      <c r="AP138" s="49"/>
      <c r="AQ138" s="49"/>
      <c r="AR138" s="49"/>
      <c r="AS138" s="49"/>
      <c r="AT138" s="49"/>
      <c r="AU138" s="49"/>
      <c r="AV138" s="49"/>
      <c r="AW138" s="49"/>
    </row>
    <row r="139" spans="2:49" ht="15" customHeight="1" x14ac:dyDescent="0.2">
      <c r="B139" s="54">
        <f>ROW(B130)</f>
        <v>130</v>
      </c>
      <c r="C139" s="54">
        <f t="shared" ref="C139:H139" si="93">B139+1</f>
        <v>131</v>
      </c>
      <c r="D139" s="54">
        <f t="shared" si="93"/>
        <v>132</v>
      </c>
      <c r="E139" s="54">
        <f t="shared" si="93"/>
        <v>133</v>
      </c>
      <c r="F139" s="54">
        <f t="shared" si="93"/>
        <v>134</v>
      </c>
      <c r="G139" s="54">
        <f t="shared" si="93"/>
        <v>135</v>
      </c>
      <c r="H139" s="54">
        <f t="shared" si="93"/>
        <v>136</v>
      </c>
      <c r="I139" s="49"/>
      <c r="J139" s="49"/>
      <c r="K139" s="49"/>
      <c r="L139" s="49"/>
      <c r="M139" s="49"/>
      <c r="N139" s="49"/>
      <c r="O139" s="49"/>
      <c r="P139" s="49"/>
      <c r="Q139" s="49"/>
      <c r="R139" s="49"/>
      <c r="S139" s="49"/>
      <c r="T139" s="49"/>
      <c r="U139" s="49"/>
      <c r="V139" s="49"/>
      <c r="W139" s="49"/>
      <c r="X139" s="49"/>
      <c r="Y139" s="49"/>
      <c r="Z139" s="49"/>
      <c r="AA139" s="49"/>
      <c r="AB139" s="49"/>
      <c r="AC139" s="49"/>
      <c r="AD139" s="49"/>
      <c r="AE139" s="49"/>
      <c r="AF139" s="49"/>
      <c r="AG139" s="49"/>
      <c r="AH139" s="49"/>
      <c r="AI139" s="49"/>
      <c r="AJ139" s="49"/>
      <c r="AK139" s="49"/>
      <c r="AL139" s="49"/>
      <c r="AM139" s="49"/>
      <c r="AN139" s="49"/>
      <c r="AO139" s="49"/>
      <c r="AP139" s="49"/>
      <c r="AQ139" s="49"/>
      <c r="AR139" s="49"/>
      <c r="AS139" s="49"/>
      <c r="AT139" s="49"/>
      <c r="AU139" s="49"/>
      <c r="AV139" s="49"/>
      <c r="AW139" s="49"/>
    </row>
    <row r="140" spans="2:49" ht="15" customHeight="1" x14ac:dyDescent="0.2">
      <c r="B140" s="51" t="s">
        <v>99</v>
      </c>
      <c r="C140" s="51" t="s">
        <v>198</v>
      </c>
      <c r="D140" s="51" t="s">
        <v>199</v>
      </c>
      <c r="E140" s="51" t="s">
        <v>200</v>
      </c>
      <c r="F140" s="51" t="s">
        <v>201</v>
      </c>
      <c r="G140" s="51" t="s">
        <v>202</v>
      </c>
      <c r="H140" s="51" t="s">
        <v>100</v>
      </c>
      <c r="I140" s="51" t="s">
        <v>101</v>
      </c>
      <c r="J140" s="51" t="s">
        <v>102</v>
      </c>
      <c r="K140" s="51" t="s">
        <v>103</v>
      </c>
      <c r="L140" s="51" t="s">
        <v>104</v>
      </c>
      <c r="M140" s="51" t="s">
        <v>105</v>
      </c>
      <c r="N140" s="51" t="s">
        <v>106</v>
      </c>
      <c r="O140" s="51" t="s">
        <v>107</v>
      </c>
      <c r="P140" s="51" t="s">
        <v>108</v>
      </c>
      <c r="Q140" s="51" t="s">
        <v>109</v>
      </c>
      <c r="R140" s="51" t="s">
        <v>110</v>
      </c>
      <c r="S140" s="51" t="s">
        <v>111</v>
      </c>
      <c r="T140" s="51" t="s">
        <v>112</v>
      </c>
      <c r="U140" s="51" t="s">
        <v>113</v>
      </c>
      <c r="V140" s="51" t="s">
        <v>114</v>
      </c>
      <c r="W140" s="51" t="s">
        <v>115</v>
      </c>
      <c r="X140" s="49"/>
      <c r="Y140" s="49"/>
      <c r="Z140" s="49"/>
      <c r="AA140" s="49"/>
      <c r="AB140" s="49"/>
      <c r="AC140" s="49"/>
      <c r="AD140" s="49"/>
      <c r="AE140" s="49"/>
      <c r="AF140" s="49"/>
      <c r="AG140" s="49"/>
      <c r="AH140" s="49"/>
      <c r="AI140" s="49"/>
      <c r="AJ140" s="49"/>
      <c r="AK140" s="49"/>
      <c r="AL140" s="49"/>
      <c r="AM140" s="49"/>
      <c r="AN140" s="49"/>
      <c r="AO140" s="49"/>
      <c r="AP140" s="49"/>
      <c r="AQ140" s="49"/>
      <c r="AR140" s="49"/>
      <c r="AS140" s="49"/>
      <c r="AT140" s="49"/>
      <c r="AU140" s="49"/>
      <c r="AV140" s="49"/>
      <c r="AW140" s="49"/>
    </row>
    <row r="141" spans="2:49" ht="15" customHeight="1" x14ac:dyDescent="0.2"/>
    <row r="142" spans="2:49" ht="15" customHeight="1" x14ac:dyDescent="0.2">
      <c r="B142" s="50" t="s">
        <v>122</v>
      </c>
      <c r="C142" s="49"/>
      <c r="D142" s="49"/>
      <c r="E142" s="49"/>
      <c r="F142" s="49"/>
      <c r="G142" s="49"/>
      <c r="H142" s="49"/>
      <c r="I142" s="49"/>
      <c r="J142" s="49"/>
      <c r="K142" s="49"/>
      <c r="L142" s="49"/>
      <c r="M142" s="49"/>
      <c r="N142" s="49"/>
      <c r="O142" s="49"/>
      <c r="P142" s="49"/>
      <c r="Q142" s="49"/>
      <c r="R142" s="49"/>
      <c r="S142" s="49"/>
      <c r="T142" s="49"/>
      <c r="U142" s="49"/>
      <c r="V142" s="49"/>
      <c r="W142" s="49"/>
      <c r="X142" s="49"/>
      <c r="Y142" s="49"/>
      <c r="Z142" s="49"/>
      <c r="AA142" s="49"/>
      <c r="AB142" s="49"/>
      <c r="AC142" s="49"/>
      <c r="AD142" s="49"/>
      <c r="AE142" s="49"/>
      <c r="AF142" s="49"/>
      <c r="AG142" s="49"/>
      <c r="AH142" s="49"/>
      <c r="AI142" s="49"/>
      <c r="AJ142" s="49"/>
      <c r="AK142" s="49"/>
      <c r="AL142" s="49"/>
      <c r="AM142" s="49"/>
      <c r="AN142" s="49"/>
      <c r="AO142" s="49"/>
      <c r="AP142" s="49"/>
      <c r="AQ142" s="49"/>
      <c r="AR142" s="49"/>
      <c r="AS142" s="49"/>
      <c r="AT142" s="49"/>
      <c r="AU142" s="49"/>
    </row>
    <row r="143" spans="2:49" ht="15" customHeight="1" x14ac:dyDescent="0.2"/>
    <row r="144" spans="2:49" ht="15" customHeight="1" x14ac:dyDescent="0.2">
      <c r="B144" s="219" t="s">
        <v>196</v>
      </c>
      <c r="C144" s="219"/>
      <c r="D144" s="219"/>
      <c r="E144" s="219"/>
      <c r="F144" s="219"/>
      <c r="G144" s="219"/>
      <c r="H144" s="219"/>
      <c r="I144" s="219"/>
      <c r="J144" s="219"/>
      <c r="K144" s="219"/>
      <c r="L144" s="219"/>
      <c r="M144" s="219"/>
      <c r="N144" s="219"/>
      <c r="O144" s="219"/>
      <c r="P144" s="219"/>
      <c r="Q144" s="219"/>
      <c r="R144" s="219"/>
      <c r="S144" s="219"/>
      <c r="T144" s="219"/>
      <c r="U144" s="51">
        <v>10</v>
      </c>
      <c r="V144" s="51">
        <f>U144+5</f>
        <v>15</v>
      </c>
      <c r="W144" s="51">
        <f t="shared" ref="W144:AE144" si="94">V144+5</f>
        <v>20</v>
      </c>
      <c r="X144" s="51">
        <f t="shared" si="94"/>
        <v>25</v>
      </c>
      <c r="Y144" s="51">
        <f t="shared" si="94"/>
        <v>30</v>
      </c>
      <c r="Z144" s="51">
        <f t="shared" si="94"/>
        <v>35</v>
      </c>
      <c r="AA144" s="51">
        <f t="shared" si="94"/>
        <v>40</v>
      </c>
      <c r="AB144" s="51">
        <f t="shared" si="94"/>
        <v>45</v>
      </c>
      <c r="AC144" s="51">
        <f t="shared" si="94"/>
        <v>50</v>
      </c>
      <c r="AD144" s="51">
        <f t="shared" si="94"/>
        <v>55</v>
      </c>
      <c r="AE144" s="51">
        <f t="shared" si="94"/>
        <v>60</v>
      </c>
      <c r="AF144" s="74"/>
      <c r="AG144" s="49"/>
      <c r="AH144" s="49"/>
      <c r="AI144" s="49"/>
      <c r="AJ144" s="49"/>
      <c r="AK144" s="49"/>
      <c r="AL144" s="49"/>
      <c r="AM144" s="49"/>
      <c r="AN144" s="49"/>
      <c r="AO144" s="49"/>
      <c r="AP144" s="49"/>
      <c r="AQ144" s="49"/>
      <c r="AR144" s="49"/>
      <c r="AS144" s="49"/>
      <c r="AT144" s="49"/>
      <c r="AU144" s="49"/>
    </row>
    <row r="145" spans="2:49" ht="15" customHeight="1" x14ac:dyDescent="0.2">
      <c r="B145" s="214" t="s">
        <v>98</v>
      </c>
      <c r="C145" s="214"/>
      <c r="D145" s="214"/>
      <c r="E145" s="218" t="s">
        <v>147</v>
      </c>
      <c r="F145" s="218"/>
      <c r="G145" s="218"/>
      <c r="H145" s="218"/>
      <c r="I145" s="218"/>
      <c r="J145" s="218"/>
      <c r="K145" s="218"/>
      <c r="L145" s="218"/>
      <c r="M145" s="218" t="s">
        <v>97</v>
      </c>
      <c r="N145" s="218"/>
      <c r="O145" s="218"/>
      <c r="P145" s="218"/>
      <c r="Q145" s="218" t="s">
        <v>118</v>
      </c>
      <c r="R145" s="218"/>
      <c r="S145" s="218"/>
      <c r="T145" s="218"/>
      <c r="U145" s="52">
        <v>1</v>
      </c>
      <c r="V145" s="52">
        <v>2</v>
      </c>
      <c r="W145" s="52">
        <v>3</v>
      </c>
      <c r="X145" s="52">
        <v>4</v>
      </c>
      <c r="Y145" s="52">
        <v>5</v>
      </c>
      <c r="Z145" s="52">
        <v>6</v>
      </c>
      <c r="AA145" s="52">
        <v>7</v>
      </c>
      <c r="AB145" s="52">
        <v>8</v>
      </c>
      <c r="AC145" s="52">
        <v>9</v>
      </c>
      <c r="AD145" s="52">
        <v>10</v>
      </c>
      <c r="AE145" s="52">
        <v>11</v>
      </c>
      <c r="AF145" s="75"/>
      <c r="AG145" s="53"/>
      <c r="AH145" s="53"/>
      <c r="AI145" s="53"/>
      <c r="AJ145" s="53"/>
      <c r="AK145" s="53"/>
      <c r="AL145" s="53"/>
      <c r="AM145" s="53"/>
      <c r="AN145" s="53"/>
      <c r="AO145" s="53"/>
      <c r="AP145" s="53"/>
      <c r="AQ145" s="53"/>
      <c r="AR145" s="53"/>
      <c r="AS145" s="53"/>
      <c r="AT145" s="53"/>
      <c r="AU145" s="53"/>
    </row>
    <row r="146" spans="2:49" ht="15" customHeight="1" x14ac:dyDescent="0.2">
      <c r="B146" s="214">
        <v>1</v>
      </c>
      <c r="C146" s="214"/>
      <c r="D146" s="214"/>
      <c r="E146" s="218" t="str">
        <f>$E$105</f>
        <v>Hazard</v>
      </c>
      <c r="F146" s="218"/>
      <c r="G146" s="218"/>
      <c r="H146" s="218"/>
      <c r="I146" s="218"/>
      <c r="J146" s="218"/>
      <c r="K146" s="218"/>
      <c r="L146" s="218"/>
      <c r="M146" s="220">
        <f>$M$105</f>
        <v>1</v>
      </c>
      <c r="N146" s="220"/>
      <c r="O146" s="220"/>
      <c r="P146" s="220"/>
      <c r="Q146" s="220">
        <f>$Q$105</f>
        <v>1</v>
      </c>
      <c r="R146" s="220"/>
      <c r="S146" s="220"/>
      <c r="T146" s="220"/>
      <c r="U146" s="51">
        <f t="shared" ref="U146:U151" si="95">IF(ISNUMBER(U105),1,"-")</f>
        <v>1</v>
      </c>
      <c r="V146" s="51" t="s">
        <v>123</v>
      </c>
      <c r="W146" s="51" t="s">
        <v>123</v>
      </c>
      <c r="X146" s="51" t="s">
        <v>123</v>
      </c>
      <c r="Y146" s="51" t="s">
        <v>123</v>
      </c>
      <c r="Z146" s="51" t="s">
        <v>123</v>
      </c>
      <c r="AA146" s="51" t="s">
        <v>123</v>
      </c>
      <c r="AB146" s="51" t="s">
        <v>123</v>
      </c>
      <c r="AC146" s="51" t="s">
        <v>123</v>
      </c>
      <c r="AD146" s="51" t="s">
        <v>123</v>
      </c>
      <c r="AE146" s="51" t="s">
        <v>123</v>
      </c>
      <c r="AF146" s="74"/>
      <c r="AG146" s="49"/>
      <c r="AH146" s="49"/>
      <c r="AI146" s="49"/>
      <c r="AJ146" s="49"/>
      <c r="AK146" s="49"/>
      <c r="AL146" s="49"/>
      <c r="AM146" s="49"/>
      <c r="AN146" s="49"/>
      <c r="AO146" s="49"/>
      <c r="AP146" s="49"/>
      <c r="AQ146" s="49"/>
      <c r="AR146" s="49"/>
      <c r="AS146" s="49"/>
      <c r="AT146" s="49"/>
      <c r="AU146" s="49"/>
    </row>
    <row r="147" spans="2:49" ht="15" customHeight="1" x14ac:dyDescent="0.2">
      <c r="B147" s="214">
        <v>2</v>
      </c>
      <c r="C147" s="214"/>
      <c r="D147" s="214"/>
      <c r="E147" s="218" t="str">
        <f>$E$106</f>
        <v>Transform</v>
      </c>
      <c r="F147" s="218"/>
      <c r="G147" s="218"/>
      <c r="H147" s="218"/>
      <c r="I147" s="218"/>
      <c r="J147" s="218"/>
      <c r="K147" s="218"/>
      <c r="L147" s="218"/>
      <c r="M147" s="220">
        <f>$M$106</f>
        <v>3</v>
      </c>
      <c r="N147" s="220"/>
      <c r="O147" s="220"/>
      <c r="P147" s="220"/>
      <c r="Q147" s="220">
        <f>$Q$106</f>
        <v>3</v>
      </c>
      <c r="R147" s="220"/>
      <c r="S147" s="220"/>
      <c r="T147" s="220"/>
      <c r="U147" s="51">
        <f t="shared" si="95"/>
        <v>1</v>
      </c>
      <c r="V147" s="51">
        <f>IF(ISNUMBER($M147),IF(OR($E147="Transform",$E147="Composite Transform"),IF(ISBLANK('Project Event Tree Input'!$D$48),"-",IF(('Project Event Tree Input'!$D$48+1)&gt;=V$145,V$145,"-")),IF(ISNUMBER(V146),V146,"-")),"-")</f>
        <v>2</v>
      </c>
      <c r="W147" s="51">
        <f>IF(ISNUMBER($M147),IF(OR($E147="Transform",$E147="Composite Transform"),IF(ISBLANK('Project Event Tree Input'!$D$48),"-",IF(('Project Event Tree Input'!$D$48+1)&gt;=W$145,W$145,"-")),IF(ISNUMBER(W146),W146,"-")),"-")</f>
        <v>3</v>
      </c>
      <c r="X147" s="51" t="str">
        <f>IF(ISNUMBER($M147),IF(OR($E147="Transform",$E147="Composite Transform"),IF(ISBLANK('Project Event Tree Input'!$D$48),"-",IF(('Project Event Tree Input'!$D$48+1)&gt;=X$145,X$145,"-")),IF(ISNUMBER(X146),X146,"-")),"-")</f>
        <v>-</v>
      </c>
      <c r="Y147" s="51" t="str">
        <f>IF(ISNUMBER($M147),IF(OR($E147="Transform",$E147="Composite Transform"),IF(ISBLANK('Project Event Tree Input'!$D$48),"-",IF(('Project Event Tree Input'!$D$48+1)&gt;=Y$145,Y$145,"-")),IF(ISNUMBER(Y146),Y146,"-")),"-")</f>
        <v>-</v>
      </c>
      <c r="Z147" s="51" t="str">
        <f>IF(ISNUMBER($M147),IF(OR($E147="Transform",$E147="Composite Transform"),IF(ISBLANK('Project Event Tree Input'!$D$48),"-",IF(('Project Event Tree Input'!$D$48+1)&gt;=Z$145,Z$145,"-")),IF(ISNUMBER(Z146),Z146,"-")),"-")</f>
        <v>-</v>
      </c>
      <c r="AA147" s="51" t="str">
        <f>IF(ISNUMBER($M147),IF(OR($E147="Transform",$E147="Composite Transform"),IF(ISBLANK('Project Event Tree Input'!$D$48),"-",IF(('Project Event Tree Input'!$D$48+1)&gt;=AA$145,AA$145,"-")),IF(ISNUMBER(AA146),AA146,"-")),"-")</f>
        <v>-</v>
      </c>
      <c r="AB147" s="51" t="str">
        <f>IF(ISNUMBER($M147),IF(OR($E147="Transform",$E147="Composite Transform"),IF(ISBLANK('Project Event Tree Input'!$D$48),"-",IF(('Project Event Tree Input'!$D$48+1)&gt;=AB$145,AB$145,"-")),IF(ISNUMBER(AB146),AB146,"-")),"-")</f>
        <v>-</v>
      </c>
      <c r="AC147" s="51" t="str">
        <f>IF(ISNUMBER($M147),IF(OR($E147="Transform",$E147="Composite Transform"),IF(ISBLANK('Project Event Tree Input'!$D$48),"-",IF(('Project Event Tree Input'!$D$48+1)&gt;=AC$145,AC$145,"-")),IF(ISNUMBER(AC146),AC146,"-")),"-")</f>
        <v>-</v>
      </c>
      <c r="AD147" s="51" t="str">
        <f>IF(ISNUMBER($M147),IF(OR($E147="Transform",$E147="Composite Transform"),IF(ISBLANK('Project Event Tree Input'!$D$48),"-",IF(('Project Event Tree Input'!$D$48+1)&gt;=AD$145,AD$145,"-")),IF(ISNUMBER(AD146),AD146,"-")),"-")</f>
        <v>-</v>
      </c>
      <c r="AE147" s="51" t="str">
        <f>IF(ISNUMBER($M147),IF(OR($E147="Transform",$E147="Composite Transform"),IF(ISBLANK('Project Event Tree Input'!$D$48),"-",IF(('Project Event Tree Input'!$D$48+1)&gt;=AE$145,AE$145,"-")),IF(ISNUMBER(AE146),AE146,"-")),"-")</f>
        <v>-</v>
      </c>
      <c r="AF147" s="74"/>
      <c r="AG147" s="49"/>
      <c r="AH147" s="49"/>
      <c r="AI147" s="49"/>
      <c r="AJ147" s="49"/>
      <c r="AK147" s="49"/>
      <c r="AL147" s="49"/>
      <c r="AM147" s="49"/>
      <c r="AN147" s="49"/>
      <c r="AO147" s="49"/>
      <c r="AP147" s="49"/>
      <c r="AQ147" s="49"/>
      <c r="AR147" s="49"/>
      <c r="AS147" s="49"/>
      <c r="AT147" s="49"/>
      <c r="AU147" s="49"/>
    </row>
    <row r="148" spans="2:49" ht="15" customHeight="1" x14ac:dyDescent="0.2">
      <c r="B148" s="214">
        <v>3</v>
      </c>
      <c r="C148" s="214"/>
      <c r="D148" s="214"/>
      <c r="E148" s="218" t="str">
        <f>$E$107</f>
        <v>System Response</v>
      </c>
      <c r="F148" s="218"/>
      <c r="G148" s="218"/>
      <c r="H148" s="218"/>
      <c r="I148" s="218"/>
      <c r="J148" s="218"/>
      <c r="K148" s="218"/>
      <c r="L148" s="218"/>
      <c r="M148" s="220">
        <f>$M$107</f>
        <v>1</v>
      </c>
      <c r="N148" s="220"/>
      <c r="O148" s="220"/>
      <c r="P148" s="220"/>
      <c r="Q148" s="220">
        <f>$Q$107</f>
        <v>3</v>
      </c>
      <c r="R148" s="220"/>
      <c r="S148" s="220"/>
      <c r="T148" s="220"/>
      <c r="U148" s="51">
        <f t="shared" si="95"/>
        <v>1</v>
      </c>
      <c r="V148" s="51">
        <f>IF(ISNUMBER($M148),IF(OR($E148="Transform",$E148="Composite Transform"),IF(ISBLANK('Project Event Tree Input'!$D$48),"-",IF(('Project Event Tree Input'!$D$48+1)&gt;=V$145,V$145,"-")),IF(ISNUMBER(V147),V147,"-")),"-")</f>
        <v>2</v>
      </c>
      <c r="W148" s="51">
        <f>IF(ISNUMBER($M148),IF(OR($E148="Transform",$E148="Composite Transform"),IF(ISBLANK('Project Event Tree Input'!$D$48),"-",IF(('Project Event Tree Input'!$D$48+1)&gt;=W$145,W$145,"-")),IF(ISNUMBER(W147),W147,"-")),"-")</f>
        <v>3</v>
      </c>
      <c r="X148" s="51" t="str">
        <f>IF(ISNUMBER($M148),IF(OR($E148="Transform",$E148="Composite Transform"),IF(ISBLANK('Project Event Tree Input'!$D$48),"-",IF(('Project Event Tree Input'!$D$48+1)&gt;=X$145,X$145,"-")),IF(ISNUMBER(X147),X147,"-")),"-")</f>
        <v>-</v>
      </c>
      <c r="Y148" s="51" t="str">
        <f>IF(ISNUMBER($M148),IF(OR($E148="Transform",$E148="Composite Transform"),IF(ISBLANK('Project Event Tree Input'!$D$48),"-",IF(('Project Event Tree Input'!$D$48+1)&gt;=Y$145,Y$145,"-")),IF(ISNUMBER(Y147),Y147,"-")),"-")</f>
        <v>-</v>
      </c>
      <c r="Z148" s="51" t="str">
        <f>IF(ISNUMBER($M148),IF(OR($E148="Transform",$E148="Composite Transform"),IF(ISBLANK('Project Event Tree Input'!$D$48),"-",IF(('Project Event Tree Input'!$D$48+1)&gt;=Z$145,Z$145,"-")),IF(ISNUMBER(Z147),Z147,"-")),"-")</f>
        <v>-</v>
      </c>
      <c r="AA148" s="51" t="str">
        <f>IF(ISNUMBER($M148),IF(OR($E148="Transform",$E148="Composite Transform"),IF(ISBLANK('Project Event Tree Input'!$D$48),"-",IF(('Project Event Tree Input'!$D$48+1)&gt;=AA$145,AA$145,"-")),IF(ISNUMBER(AA147),AA147,"-")),"-")</f>
        <v>-</v>
      </c>
      <c r="AB148" s="51" t="str">
        <f>IF(ISNUMBER($M148),IF(OR($E148="Transform",$E148="Composite Transform"),IF(ISBLANK('Project Event Tree Input'!$D$48),"-",IF(('Project Event Tree Input'!$D$48+1)&gt;=AB$145,AB$145,"-")),IF(ISNUMBER(AB147),AB147,"-")),"-")</f>
        <v>-</v>
      </c>
      <c r="AC148" s="51" t="str">
        <f>IF(ISNUMBER($M148),IF(OR($E148="Transform",$E148="Composite Transform"),IF(ISBLANK('Project Event Tree Input'!$D$48),"-",IF(('Project Event Tree Input'!$D$48+1)&gt;=AC$145,AC$145,"-")),IF(ISNUMBER(AC147),AC147,"-")),"-")</f>
        <v>-</v>
      </c>
      <c r="AD148" s="51" t="str">
        <f>IF(ISNUMBER($M148),IF(OR($E148="Transform",$E148="Composite Transform"),IF(ISBLANK('Project Event Tree Input'!$D$48),"-",IF(('Project Event Tree Input'!$D$48+1)&gt;=AD$145,AD$145,"-")),IF(ISNUMBER(AD147),AD147,"-")),"-")</f>
        <v>-</v>
      </c>
      <c r="AE148" s="51" t="str">
        <f>IF(ISNUMBER($M148),IF(OR($E148="Transform",$E148="Composite Transform"),IF(ISBLANK('Project Event Tree Input'!$D$48),"-",IF(('Project Event Tree Input'!$D$48+1)&gt;=AE$145,AE$145,"-")),IF(ISNUMBER(AE147),AE147,"-")),"-")</f>
        <v>-</v>
      </c>
      <c r="AF148" s="74"/>
      <c r="AG148" s="49"/>
      <c r="AH148" s="49"/>
      <c r="AI148" s="49"/>
      <c r="AJ148" s="49"/>
      <c r="AK148" s="49"/>
      <c r="AL148" s="49"/>
      <c r="AM148" s="49"/>
      <c r="AN148" s="49"/>
      <c r="AO148" s="49"/>
      <c r="AP148" s="49"/>
      <c r="AQ148" s="49"/>
      <c r="AR148" s="49"/>
      <c r="AS148" s="49"/>
      <c r="AT148" s="49"/>
      <c r="AU148" s="49"/>
    </row>
    <row r="149" spans="2:49" ht="15" customHeight="1" x14ac:dyDescent="0.2">
      <c r="B149" s="214">
        <v>4</v>
      </c>
      <c r="C149" s="214"/>
      <c r="D149" s="214"/>
      <c r="E149" s="218" t="str">
        <f>$E$108</f>
        <v>Life Loss</v>
      </c>
      <c r="F149" s="218"/>
      <c r="G149" s="218"/>
      <c r="H149" s="218"/>
      <c r="I149" s="218"/>
      <c r="J149" s="218"/>
      <c r="K149" s="218"/>
      <c r="L149" s="218"/>
      <c r="M149" s="220">
        <f>$M$108</f>
        <v>1</v>
      </c>
      <c r="N149" s="220"/>
      <c r="O149" s="220"/>
      <c r="P149" s="220"/>
      <c r="Q149" s="220">
        <f>$Q$108</f>
        <v>3</v>
      </c>
      <c r="R149" s="220"/>
      <c r="S149" s="220"/>
      <c r="T149" s="220"/>
      <c r="U149" s="51">
        <f t="shared" si="95"/>
        <v>1</v>
      </c>
      <c r="V149" s="51">
        <f>IF(ISNUMBER($M149),IF(OR($E149="Transform",$E149="Composite Transform"),IF(ISBLANK('Project Event Tree Input'!$D$48),"-",IF(('Project Event Tree Input'!$D$48+1)&gt;=V$145,V$145,"-")),IF(ISNUMBER(V148),V148,"-")),"-")</f>
        <v>2</v>
      </c>
      <c r="W149" s="51">
        <f>IF(ISNUMBER($M149),IF(OR($E149="Transform",$E149="Composite Transform"),IF(ISBLANK('Project Event Tree Input'!$D$48),"-",IF(('Project Event Tree Input'!$D$48+1)&gt;=W$145,W$145,"-")),IF(ISNUMBER(W148),W148,"-")),"-")</f>
        <v>3</v>
      </c>
      <c r="X149" s="51" t="str">
        <f>IF(ISNUMBER($M149),IF(OR($E149="Transform",$E149="Composite Transform"),IF(ISBLANK('Project Event Tree Input'!$D$48),"-",IF(('Project Event Tree Input'!$D$48+1)&gt;=X$145,X$145,"-")),IF(ISNUMBER(X148),X148,"-")),"-")</f>
        <v>-</v>
      </c>
      <c r="Y149" s="51" t="str">
        <f>IF(ISNUMBER($M149),IF(OR($E149="Transform",$E149="Composite Transform"),IF(ISBLANK('Project Event Tree Input'!$D$48),"-",IF(('Project Event Tree Input'!$D$48+1)&gt;=Y$145,Y$145,"-")),IF(ISNUMBER(Y148),Y148,"-")),"-")</f>
        <v>-</v>
      </c>
      <c r="Z149" s="51" t="str">
        <f>IF(ISNUMBER($M149),IF(OR($E149="Transform",$E149="Composite Transform"),IF(ISBLANK('Project Event Tree Input'!$D$48),"-",IF(('Project Event Tree Input'!$D$48+1)&gt;=Z$145,Z$145,"-")),IF(ISNUMBER(Z148),Z148,"-")),"-")</f>
        <v>-</v>
      </c>
      <c r="AA149" s="51" t="str">
        <f>IF(ISNUMBER($M149),IF(OR($E149="Transform",$E149="Composite Transform"),IF(ISBLANK('Project Event Tree Input'!$D$48),"-",IF(('Project Event Tree Input'!$D$48+1)&gt;=AA$145,AA$145,"-")),IF(ISNUMBER(AA148),AA148,"-")),"-")</f>
        <v>-</v>
      </c>
      <c r="AB149" s="51" t="str">
        <f>IF(ISNUMBER($M149),IF(OR($E149="Transform",$E149="Composite Transform"),IF(ISBLANK('Project Event Tree Input'!$D$48),"-",IF(('Project Event Tree Input'!$D$48+1)&gt;=AB$145,AB$145,"-")),IF(ISNUMBER(AB148),AB148,"-")),"-")</f>
        <v>-</v>
      </c>
      <c r="AC149" s="51" t="str">
        <f>IF(ISNUMBER($M149),IF(OR($E149="Transform",$E149="Composite Transform"),IF(ISBLANK('Project Event Tree Input'!$D$48),"-",IF(('Project Event Tree Input'!$D$48+1)&gt;=AC$145,AC$145,"-")),IF(ISNUMBER(AC148),AC148,"-")),"-")</f>
        <v>-</v>
      </c>
      <c r="AD149" s="51" t="str">
        <f>IF(ISNUMBER($M149),IF(OR($E149="Transform",$E149="Composite Transform"),IF(ISBLANK('Project Event Tree Input'!$D$48),"-",IF(('Project Event Tree Input'!$D$48+1)&gt;=AD$145,AD$145,"-")),IF(ISNUMBER(AD148),AD148,"-")),"-")</f>
        <v>-</v>
      </c>
      <c r="AE149" s="51" t="str">
        <f>IF(ISNUMBER($M149),IF(OR($E149="Transform",$E149="Composite Transform"),IF(ISBLANK('Project Event Tree Input'!$D$48),"-",IF(('Project Event Tree Input'!$D$48+1)&gt;=AE$145,AE$145,"-")),IF(ISNUMBER(AE148),AE148,"-")),"-")</f>
        <v>-</v>
      </c>
      <c r="AF149" s="74"/>
      <c r="AG149" s="49"/>
      <c r="AH149" s="49"/>
      <c r="AI149" s="49"/>
      <c r="AJ149" s="49"/>
      <c r="AK149" s="49"/>
      <c r="AL149" s="49"/>
      <c r="AM149" s="49"/>
      <c r="AN149" s="49"/>
      <c r="AO149" s="49"/>
      <c r="AP149" s="49"/>
      <c r="AQ149" s="49"/>
      <c r="AR149" s="49"/>
      <c r="AS149" s="49"/>
      <c r="AT149" s="49"/>
      <c r="AU149" s="49"/>
    </row>
    <row r="150" spans="2:49" ht="15" customHeight="1" x14ac:dyDescent="0.2">
      <c r="B150" s="214">
        <v>5</v>
      </c>
      <c r="C150" s="214"/>
      <c r="D150" s="214"/>
      <c r="E150" s="218" t="str">
        <f>$E$109</f>
        <v>Economic Cost</v>
      </c>
      <c r="F150" s="218"/>
      <c r="G150" s="218"/>
      <c r="H150" s="218"/>
      <c r="I150" s="218"/>
      <c r="J150" s="218"/>
      <c r="K150" s="218"/>
      <c r="L150" s="218"/>
      <c r="M150" s="220">
        <f>$M$109</f>
        <v>1</v>
      </c>
      <c r="N150" s="220"/>
      <c r="O150" s="220"/>
      <c r="P150" s="220"/>
      <c r="Q150" s="220">
        <f>$Q$109</f>
        <v>3</v>
      </c>
      <c r="R150" s="220"/>
      <c r="S150" s="220"/>
      <c r="T150" s="220"/>
      <c r="U150" s="51">
        <f t="shared" si="95"/>
        <v>1</v>
      </c>
      <c r="V150" s="51">
        <f>IF(ISNUMBER($M150),IF(OR($E150="Transform",$E150="Composite Transform"),IF(ISBLANK('Project Event Tree Input'!$D$48),"-",IF(('Project Event Tree Input'!$D$48+1)&gt;=V$145,V$145,"-")),IF(ISNUMBER(V149),V149,"-")),"-")</f>
        <v>2</v>
      </c>
      <c r="W150" s="51">
        <f>IF(ISNUMBER($M150),IF(OR($E150="Transform",$E150="Composite Transform"),IF(ISBLANK('Project Event Tree Input'!$D$48),"-",IF(('Project Event Tree Input'!$D$48+1)&gt;=W$145,W$145,"-")),IF(ISNUMBER(W149),W149,"-")),"-")</f>
        <v>3</v>
      </c>
      <c r="X150" s="51" t="str">
        <f>IF(ISNUMBER($M150),IF(OR($E150="Transform",$E150="Composite Transform"),IF(ISBLANK('Project Event Tree Input'!$D$48),"-",IF(('Project Event Tree Input'!$D$48+1)&gt;=X$145,X$145,"-")),IF(ISNUMBER(X149),X149,"-")),"-")</f>
        <v>-</v>
      </c>
      <c r="Y150" s="51" t="str">
        <f>IF(ISNUMBER($M150),IF(OR($E150="Transform",$E150="Composite Transform"),IF(ISBLANK('Project Event Tree Input'!$D$48),"-",IF(('Project Event Tree Input'!$D$48+1)&gt;=Y$145,Y$145,"-")),IF(ISNUMBER(Y149),Y149,"-")),"-")</f>
        <v>-</v>
      </c>
      <c r="Z150" s="51" t="str">
        <f>IF(ISNUMBER($M150),IF(OR($E150="Transform",$E150="Composite Transform"),IF(ISBLANK('Project Event Tree Input'!$D$48),"-",IF(('Project Event Tree Input'!$D$48+1)&gt;=Z$145,Z$145,"-")),IF(ISNUMBER(Z149),Z149,"-")),"-")</f>
        <v>-</v>
      </c>
      <c r="AA150" s="51" t="str">
        <f>IF(ISNUMBER($M150),IF(OR($E150="Transform",$E150="Composite Transform"),IF(ISBLANK('Project Event Tree Input'!$D$48),"-",IF(('Project Event Tree Input'!$D$48+1)&gt;=AA$145,AA$145,"-")),IF(ISNUMBER(AA149),AA149,"-")),"-")</f>
        <v>-</v>
      </c>
      <c r="AB150" s="51" t="str">
        <f>IF(ISNUMBER($M150),IF(OR($E150="Transform",$E150="Composite Transform"),IF(ISBLANK('Project Event Tree Input'!$D$48),"-",IF(('Project Event Tree Input'!$D$48+1)&gt;=AB$145,AB$145,"-")),IF(ISNUMBER(AB149),AB149,"-")),"-")</f>
        <v>-</v>
      </c>
      <c r="AC150" s="51" t="str">
        <f>IF(ISNUMBER($M150),IF(OR($E150="Transform",$E150="Composite Transform"),IF(ISBLANK('Project Event Tree Input'!$D$48),"-",IF(('Project Event Tree Input'!$D$48+1)&gt;=AC$145,AC$145,"-")),IF(ISNUMBER(AC149),AC149,"-")),"-")</f>
        <v>-</v>
      </c>
      <c r="AD150" s="51" t="str">
        <f>IF(ISNUMBER($M150),IF(OR($E150="Transform",$E150="Composite Transform"),IF(ISBLANK('Project Event Tree Input'!$D$48),"-",IF(('Project Event Tree Input'!$D$48+1)&gt;=AD$145,AD$145,"-")),IF(ISNUMBER(AD149),AD149,"-")),"-")</f>
        <v>-</v>
      </c>
      <c r="AE150" s="51" t="str">
        <f>IF(ISNUMBER($M150),IF(OR($E150="Transform",$E150="Composite Transform"),IF(ISBLANK('Project Event Tree Input'!$D$48),"-",IF(('Project Event Tree Input'!$D$48+1)&gt;=AE$145,AE$145,"-")),IF(ISNUMBER(AE149),AE149,"-")),"-")</f>
        <v>-</v>
      </c>
      <c r="AF150" s="74"/>
      <c r="AG150" s="49"/>
      <c r="AH150" s="49"/>
      <c r="AI150" s="49"/>
      <c r="AJ150" s="49"/>
      <c r="AK150" s="49"/>
      <c r="AL150" s="49"/>
      <c r="AM150" s="49"/>
      <c r="AN150" s="49"/>
      <c r="AO150" s="49"/>
      <c r="AP150" s="49"/>
      <c r="AQ150" s="49"/>
      <c r="AR150" s="49"/>
      <c r="AS150" s="49"/>
      <c r="AT150" s="49"/>
      <c r="AU150" s="49"/>
    </row>
    <row r="151" spans="2:49" ht="15" customHeight="1" x14ac:dyDescent="0.2">
      <c r="B151" s="214">
        <v>6</v>
      </c>
      <c r="C151" s="214"/>
      <c r="D151" s="214"/>
      <c r="E151" s="218" t="str">
        <f>$E$110</f>
        <v>-</v>
      </c>
      <c r="F151" s="218"/>
      <c r="G151" s="218"/>
      <c r="H151" s="218"/>
      <c r="I151" s="218"/>
      <c r="J151" s="218"/>
      <c r="K151" s="218"/>
      <c r="L151" s="218"/>
      <c r="M151" s="220" t="str">
        <f>$M$110</f>
        <v>-</v>
      </c>
      <c r="N151" s="220"/>
      <c r="O151" s="220"/>
      <c r="P151" s="220"/>
      <c r="Q151" s="220" t="str">
        <f>$Q$110</f>
        <v>-</v>
      </c>
      <c r="R151" s="220"/>
      <c r="S151" s="220"/>
      <c r="T151" s="220"/>
      <c r="U151" s="51" t="str">
        <f t="shared" si="95"/>
        <v>-</v>
      </c>
      <c r="V151" s="51" t="str">
        <f>IF(ISNUMBER($M151),IF(OR($E151="Transform",$E151="Composite Transform"),IF(ISBLANK('Project Event Tree Input'!$D$48),"-",IF(('Project Event Tree Input'!$D$48+1)&gt;=V$145,V$145,"-")),IF(ISNUMBER(V150),V150,"-")),"-")</f>
        <v>-</v>
      </c>
      <c r="W151" s="51" t="str">
        <f>IF(ISNUMBER($M151),IF(OR($E151="Transform",$E151="Composite Transform"),IF(ISBLANK('Project Event Tree Input'!$D$48),"-",IF(('Project Event Tree Input'!$D$48+1)&gt;=W$145,W$145,"-")),IF(ISNUMBER(W150),W150,"-")),"-")</f>
        <v>-</v>
      </c>
      <c r="X151" s="51" t="str">
        <f>IF(ISNUMBER($M151),IF(OR($E151="Transform",$E151="Composite Transform"),IF(ISBLANK('Project Event Tree Input'!$D$48),"-",IF(('Project Event Tree Input'!$D$48+1)&gt;=X$145,X$145,"-")),IF(ISNUMBER(X150),X150,"-")),"-")</f>
        <v>-</v>
      </c>
      <c r="Y151" s="51" t="str">
        <f>IF(ISNUMBER($M151),IF(OR($E151="Transform",$E151="Composite Transform"),IF(ISBLANK('Project Event Tree Input'!$D$48),"-",IF(('Project Event Tree Input'!$D$48+1)&gt;=Y$145,Y$145,"-")),IF(ISNUMBER(Y150),Y150,"-")),"-")</f>
        <v>-</v>
      </c>
      <c r="Z151" s="51" t="str">
        <f>IF(ISNUMBER($M151),IF(OR($E151="Transform",$E151="Composite Transform"),IF(ISBLANK('Project Event Tree Input'!$D$48),"-",IF(('Project Event Tree Input'!$D$48+1)&gt;=Z$145,Z$145,"-")),IF(ISNUMBER(Z150),Z150,"-")),"-")</f>
        <v>-</v>
      </c>
      <c r="AA151" s="51" t="str">
        <f>IF(ISNUMBER($M151),IF(OR($E151="Transform",$E151="Composite Transform"),IF(ISBLANK('Project Event Tree Input'!$D$48),"-",IF(('Project Event Tree Input'!$D$48+1)&gt;=AA$145,AA$145,"-")),IF(ISNUMBER(AA150),AA150,"-")),"-")</f>
        <v>-</v>
      </c>
      <c r="AB151" s="51" t="str">
        <f>IF(ISNUMBER($M151),IF(OR($E151="Transform",$E151="Composite Transform"),IF(ISBLANK('Project Event Tree Input'!$D$48),"-",IF(('Project Event Tree Input'!$D$48+1)&gt;=AB$145,AB$145,"-")),IF(ISNUMBER(AB150),AB150,"-")),"-")</f>
        <v>-</v>
      </c>
      <c r="AC151" s="51" t="str">
        <f>IF(ISNUMBER($M151),IF(OR($E151="Transform",$E151="Composite Transform"),IF(ISBLANK('Project Event Tree Input'!$D$48),"-",IF(('Project Event Tree Input'!$D$48+1)&gt;=AC$145,AC$145,"-")),IF(ISNUMBER(AC150),AC150,"-")),"-")</f>
        <v>-</v>
      </c>
      <c r="AD151" s="51" t="str">
        <f>IF(ISNUMBER($M151),IF(OR($E151="Transform",$E151="Composite Transform"),IF(ISBLANK('Project Event Tree Input'!$D$48),"-",IF(('Project Event Tree Input'!$D$48+1)&gt;=AD$145,AD$145,"-")),IF(ISNUMBER(AD150),AD150,"-")),"-")</f>
        <v>-</v>
      </c>
      <c r="AE151" s="51" t="str">
        <f>IF(ISNUMBER($M151),IF(OR($E151="Transform",$E151="Composite Transform"),IF(ISBLANK('Project Event Tree Input'!$D$48),"-",IF(('Project Event Tree Input'!$D$48+1)&gt;=AE$145,AE$145,"-")),IF(ISNUMBER(AE150),AE150,"-")),"-")</f>
        <v>-</v>
      </c>
      <c r="AF151" s="74"/>
      <c r="AG151" s="49"/>
      <c r="AH151" s="49"/>
      <c r="AI151" s="49"/>
      <c r="AJ151" s="49"/>
      <c r="AK151" s="49"/>
      <c r="AL151" s="49"/>
      <c r="AM151" s="49"/>
      <c r="AN151" s="49"/>
      <c r="AO151" s="49"/>
      <c r="AP151" s="49"/>
      <c r="AQ151" s="49"/>
      <c r="AR151" s="49"/>
      <c r="AS151" s="49"/>
      <c r="AT151" s="49"/>
      <c r="AU151" s="49"/>
    </row>
    <row r="152" spans="2:49" ht="15" customHeight="1" x14ac:dyDescent="0.2"/>
    <row r="153" spans="2:49" ht="15" customHeight="1" x14ac:dyDescent="0.2">
      <c r="B153" s="219" t="s">
        <v>188</v>
      </c>
      <c r="C153" s="219"/>
      <c r="D153" s="219"/>
      <c r="E153" s="219"/>
      <c r="F153" s="219"/>
      <c r="G153" s="219"/>
      <c r="H153" s="219"/>
      <c r="I153" s="219"/>
      <c r="J153" s="219" t="str">
        <f>IF(OR($E$105="-",ISBLANK('Project Event Tree Input'!$D$13)),"-",IF('Project Event Tree Input'!$H$87=TRUE,'Project Event Tree Input'!$D$13 &amp; " (Composite)",'Project Event Tree Input'!$D$13))</f>
        <v>Stage-Frequency (Composite)</v>
      </c>
      <c r="K153" s="219"/>
      <c r="L153" s="219"/>
      <c r="M153" s="219"/>
      <c r="N153" s="219"/>
      <c r="O153" s="219"/>
      <c r="P153" s="219"/>
      <c r="Q153" s="219"/>
      <c r="R153" s="219"/>
      <c r="T153" s="51" t="s">
        <v>192</v>
      </c>
      <c r="U153" s="218" t="s">
        <v>190</v>
      </c>
      <c r="V153" s="218"/>
      <c r="W153" s="218"/>
      <c r="X153" s="219" t="s">
        <v>178</v>
      </c>
      <c r="Y153" s="219"/>
      <c r="Z153" s="219"/>
      <c r="AA153" s="219"/>
      <c r="AB153" s="219"/>
      <c r="AC153" s="219"/>
      <c r="AD153" s="219"/>
      <c r="AE153" s="219"/>
      <c r="AF153" s="219"/>
      <c r="AG153" s="219"/>
      <c r="AH153" s="219"/>
      <c r="AI153" s="219"/>
      <c r="AJ153" s="219"/>
      <c r="AK153" s="219"/>
      <c r="AL153" s="219"/>
      <c r="AM153" s="218" t="s">
        <v>146</v>
      </c>
      <c r="AN153" s="218"/>
      <c r="AO153" s="218"/>
      <c r="AP153" s="218"/>
      <c r="AQ153" s="218"/>
      <c r="AR153" s="218"/>
      <c r="AS153" s="218"/>
      <c r="AT153" s="218"/>
      <c r="AU153" s="218"/>
      <c r="AV153" s="218"/>
      <c r="AW153" s="218"/>
    </row>
    <row r="154" spans="2:49" ht="15" customHeight="1" x14ac:dyDescent="0.2">
      <c r="B154" s="219" t="s">
        <v>189</v>
      </c>
      <c r="C154" s="219"/>
      <c r="D154" s="219"/>
      <c r="E154" s="219"/>
      <c r="F154" s="219"/>
      <c r="G154" s="219"/>
      <c r="H154" s="219"/>
      <c r="I154" s="219"/>
      <c r="J154" s="219" t="str">
        <f>IF($E$106&lt;&gt;"Secondary Hazard","-",IF(ISBLANK('Project Event Tree Input'!D18),"-",'Project Event Tree Input'!D18))</f>
        <v>-</v>
      </c>
      <c r="K154" s="219"/>
      <c r="L154" s="219"/>
      <c r="M154" s="219"/>
      <c r="N154" s="219"/>
      <c r="O154" s="219"/>
      <c r="P154" s="219"/>
      <c r="Q154" s="219"/>
      <c r="R154" s="219"/>
      <c r="T154" s="51">
        <v>1</v>
      </c>
      <c r="U154" s="219" t="s">
        <v>191</v>
      </c>
      <c r="V154" s="219"/>
      <c r="W154" s="219"/>
      <c r="X154" s="219" t="str">
        <f>IF(OR(ISBLANK('Project Event Tree Input'!$D$48),'Project Event Tree Input'!$D$48&lt;T154-1,ISBLANK('Project Event Tree Input'!B52)),"-",'Project Event Tree Input'!B52)</f>
        <v>Non-Fail</v>
      </c>
      <c r="Y154" s="219"/>
      <c r="Z154" s="219"/>
      <c r="AA154" s="219"/>
      <c r="AB154" s="219"/>
      <c r="AC154" s="219"/>
      <c r="AD154" s="219"/>
      <c r="AE154" s="219"/>
      <c r="AF154" s="219"/>
      <c r="AG154" s="219"/>
      <c r="AH154" s="219"/>
      <c r="AI154" s="219"/>
      <c r="AJ154" s="219"/>
      <c r="AK154" s="219"/>
      <c r="AL154" s="219"/>
      <c r="AM154" s="219" t="str">
        <f>IF(OR($E$105="-",ISBLANK('Project Event Tree Input'!$D$14),ISBLANK('Project Event Tree Input'!E52)),"-",IF('Project Event Tree Input'!$D$14='Project Event Tree Input'!E52,"None",IF('Project Event Tree Input'!$H$87=TRUE,'Project Event Tree Input'!$D$14&amp;" to "&amp;'Project Event Tree Input'!E52&amp;" (Composite)",'Project Event Tree Input'!$D$14&amp;" to "&amp;'Project Event Tree Input'!E52)))</f>
        <v>None</v>
      </c>
      <c r="AN154" s="219"/>
      <c r="AO154" s="219"/>
      <c r="AP154" s="219"/>
      <c r="AQ154" s="219"/>
      <c r="AR154" s="219"/>
      <c r="AS154" s="219"/>
      <c r="AT154" s="219"/>
      <c r="AU154" s="219"/>
      <c r="AV154" s="219"/>
      <c r="AW154" s="219"/>
    </row>
    <row r="155" spans="2:49" ht="15" customHeight="1" x14ac:dyDescent="0.2">
      <c r="B155" s="49"/>
      <c r="C155" s="49"/>
      <c r="D155" s="49"/>
      <c r="E155" s="49"/>
      <c r="F155" s="49"/>
      <c r="G155" s="49"/>
      <c r="H155" s="49"/>
      <c r="I155" s="49"/>
      <c r="J155" s="49"/>
      <c r="T155" s="51">
        <v>2</v>
      </c>
      <c r="U155" s="219" t="str">
        <f>'Project Event Tree Input'!A53</f>
        <v>PFM 1</v>
      </c>
      <c r="V155" s="219"/>
      <c r="W155" s="219"/>
      <c r="X155" s="219" t="str">
        <f>IF(OR(ISBLANK('Project Event Tree Input'!$D$48),'Project Event Tree Input'!$D$48&lt;T155-1,ISBLANK('Project Event Tree Input'!B53)),"-",IF(OR('Project Event Tree Input'!$H$87=FALSE,'Project Event Tree Input'!H88=FALSE),U155&amp; CHAR(10) &amp;'Project Event Tree Input'!B53,U155&amp; CHAR(10) &amp;'Project Event Tree Input'!B53 &amp; " (Composite)"))</f>
        <v>PFM 1
Overtopping</v>
      </c>
      <c r="Y155" s="219"/>
      <c r="Z155" s="219"/>
      <c r="AA155" s="219"/>
      <c r="AB155" s="219"/>
      <c r="AC155" s="219"/>
      <c r="AD155" s="219"/>
      <c r="AE155" s="219"/>
      <c r="AF155" s="219"/>
      <c r="AG155" s="219"/>
      <c r="AH155" s="219"/>
      <c r="AI155" s="219"/>
      <c r="AJ155" s="219"/>
      <c r="AK155" s="219"/>
      <c r="AL155" s="219"/>
      <c r="AM155" s="219" t="str">
        <f>IF('Project Event Tree Input'!$D$9="Hydrologic Hazard",IF(OR('Project Event Tree Input'!$D$13 = "",'Project Event Tree Input'!$D$14 = "",'Project Event Tree Input'!B53="",'Project Event Tree Input'!E53=""),"-",IF('Project Event Tree Input'!$D$14='Project Event Tree Input'!E53,"None",IF('Project Event Tree Input'!$H$87=TRUE,'Project Event Tree Input'!$D$14 &amp; " to " &amp; 'Project Event Tree Input'!E53 &amp; " (Composite)",'Project Event Tree Input'!$D$14 &amp; " to " &amp; 'Project Event Tree Input'!E53))),IF(OR('Project Event Tree Input'!$D$13="",'Project Event Tree Input'!$D$14="",'Project Event Tree Input'!$D$19="",'Project Event Tree Input'!B53="",'Project Event Tree Input'!E53="",'Project Event Tree Input'!G53=""),"-",IF(OR('Project Event Tree Input'!$D$14&lt;&gt;'Project Event Tree Input'!E53,'Project Event Tree Input'!$D$19&lt;&gt;'Project Event Tree Input'!G53),IF(AND('Project Event Tree Input'!$D$14&lt;&gt;'Project Event Tree Input'!E53,'Project Event Tree Input'!$D$19='Project Event Tree Input'!G53),'Project Event Tree Input'!$D$14 &amp; " to " &amp; 'Project Event Tree Input'!E53,IF(AND('Project Event Tree Input'!$D$14='Project Event Tree Input'!E53,'Project Event Tree Input'!$D$19&lt;&gt;'Project Event Tree Input'!G53),'Project Event Tree Input'!$D$19 &amp; " to " &amp; 'Project Event Tree Input'!G53,'Project Event Tree Input'!$D$14 &amp; " to " &amp; 'Project Event Tree Input'!E53 &amp; CHAR(10) &amp; 'Project Event Tree Input'!$D$19 &amp; " to " &amp; 'Project Event Tree Input'!G53)),"None")))</f>
        <v>Stage to Overtopping Depth (Composite)</v>
      </c>
      <c r="AN155" s="219"/>
      <c r="AO155" s="219"/>
      <c r="AP155" s="219"/>
      <c r="AQ155" s="219"/>
      <c r="AR155" s="219"/>
      <c r="AS155" s="219"/>
      <c r="AT155" s="219"/>
      <c r="AU155" s="219"/>
      <c r="AV155" s="219"/>
      <c r="AW155" s="219"/>
    </row>
    <row r="156" spans="2:49" ht="15" customHeight="1" x14ac:dyDescent="0.2">
      <c r="B156" s="219" t="s">
        <v>193</v>
      </c>
      <c r="C156" s="219"/>
      <c r="D156" s="219"/>
      <c r="E156" s="219"/>
      <c r="F156" s="219"/>
      <c r="G156" s="219" t="s">
        <v>243</v>
      </c>
      <c r="H156" s="219"/>
      <c r="I156" s="219"/>
      <c r="J156" s="219"/>
      <c r="K156" s="219"/>
      <c r="L156" s="219"/>
      <c r="M156" s="219"/>
      <c r="N156" s="219"/>
      <c r="O156" s="219"/>
      <c r="P156" s="219"/>
      <c r="Q156" s="219"/>
      <c r="T156" s="51">
        <v>3</v>
      </c>
      <c r="U156" s="219" t="str">
        <f>'Project Event Tree Input'!A54</f>
        <v>PFM 2</v>
      </c>
      <c r="V156" s="219"/>
      <c r="W156" s="219"/>
      <c r="X156" s="219" t="str">
        <f>IF(OR(ISBLANK('Project Event Tree Input'!$D$48),'Project Event Tree Input'!$D$48&lt;T156-1,ISBLANK('Project Event Tree Input'!B54)),"-",IF(OR('Project Event Tree Input'!$H$87=FALSE,'Project Event Tree Input'!H89=FALSE),U156&amp; CHAR(10) &amp;'Project Event Tree Input'!B54,U156&amp; CHAR(10) &amp;'Project Event Tree Input'!B54 &amp; " (Composite)"))</f>
        <v>PFM 2
Backward Erosion Piping</v>
      </c>
      <c r="Y156" s="219"/>
      <c r="Z156" s="219"/>
      <c r="AA156" s="219"/>
      <c r="AB156" s="219"/>
      <c r="AC156" s="219"/>
      <c r="AD156" s="219"/>
      <c r="AE156" s="219"/>
      <c r="AF156" s="219"/>
      <c r="AG156" s="219"/>
      <c r="AH156" s="219"/>
      <c r="AI156" s="219"/>
      <c r="AJ156" s="219"/>
      <c r="AK156" s="219"/>
      <c r="AL156" s="219"/>
      <c r="AM156" s="219" t="str">
        <f>IF('Project Event Tree Input'!$D$9="Hydrologic Hazard",IF(OR('Project Event Tree Input'!$D$13 = "",'Project Event Tree Input'!$D$14 = "",'Project Event Tree Input'!B54="",'Project Event Tree Input'!E54=""),"-",IF('Project Event Tree Input'!$D$14='Project Event Tree Input'!E54,"None",IF('Project Event Tree Input'!$H$87=TRUE,'Project Event Tree Input'!$D$14 &amp; " to " &amp; 'Project Event Tree Input'!E54 &amp; " (Composite)",'Project Event Tree Input'!$D$14 &amp; " to " &amp; 'Project Event Tree Input'!E54))),IF(OR('Project Event Tree Input'!$D$13="",'Project Event Tree Input'!$D$14="",'Project Event Tree Input'!$D$19="",'Project Event Tree Input'!B54="",'Project Event Tree Input'!E54="",'Project Event Tree Input'!G54=""),"-",IF(OR('Project Event Tree Input'!$D$14&lt;&gt;'Project Event Tree Input'!E54,'Project Event Tree Input'!$D$19&lt;&gt;'Project Event Tree Input'!G54),IF(AND('Project Event Tree Input'!$D$14&lt;&gt;'Project Event Tree Input'!E54,'Project Event Tree Input'!$D$19='Project Event Tree Input'!G54),'Project Event Tree Input'!$D$14 &amp; " to " &amp; 'Project Event Tree Input'!E54,IF(AND('Project Event Tree Input'!$D$14='Project Event Tree Input'!E54,'Project Event Tree Input'!$D$19&lt;&gt;'Project Event Tree Input'!G54),'Project Event Tree Input'!$D$19 &amp; " to " &amp; 'Project Event Tree Input'!G54,'Project Event Tree Input'!$D$14 &amp; " to " &amp; 'Project Event Tree Input'!E54 &amp; CHAR(10) &amp; 'Project Event Tree Input'!$D$19 &amp; " to " &amp; 'Project Event Tree Input'!G54)),"None")))</f>
        <v>None</v>
      </c>
      <c r="AN156" s="219"/>
      <c r="AO156" s="219"/>
      <c r="AP156" s="219"/>
      <c r="AQ156" s="219"/>
      <c r="AR156" s="219"/>
      <c r="AS156" s="219"/>
      <c r="AT156" s="219"/>
      <c r="AU156" s="219"/>
      <c r="AV156" s="219"/>
      <c r="AW156" s="219"/>
    </row>
    <row r="157" spans="2:49" ht="15" customHeight="1" x14ac:dyDescent="0.2">
      <c r="B157" s="219" t="s">
        <v>194</v>
      </c>
      <c r="C157" s="219"/>
      <c r="D157" s="219"/>
      <c r="E157" s="219"/>
      <c r="F157" s="219"/>
      <c r="G157" s="219" t="s">
        <v>214</v>
      </c>
      <c r="H157" s="219"/>
      <c r="I157" s="219"/>
      <c r="J157" s="219"/>
      <c r="K157" s="219"/>
      <c r="L157" s="219"/>
      <c r="M157" s="219"/>
      <c r="N157" s="219"/>
      <c r="O157" s="219"/>
      <c r="P157" s="219"/>
      <c r="Q157" s="219"/>
      <c r="T157" s="51">
        <v>4</v>
      </c>
      <c r="U157" s="219" t="str">
        <f>'Project Event Tree Input'!A55</f>
        <v>PFM 3</v>
      </c>
      <c r="V157" s="219"/>
      <c r="W157" s="219"/>
      <c r="X157" s="219" t="str">
        <f>IF(OR(ISBLANK('Project Event Tree Input'!$D$48),'Project Event Tree Input'!$D$48&lt;T157-1,ISBLANK('Project Event Tree Input'!B55)),"-",IF(OR('Project Event Tree Input'!$H$87=FALSE,'Project Event Tree Input'!H90=FALSE),U157&amp; CHAR(10) &amp;'Project Event Tree Input'!B55,U157&amp; CHAR(10) &amp;'Project Event Tree Input'!B55 &amp; " (Composite)"))</f>
        <v>-</v>
      </c>
      <c r="Y157" s="219"/>
      <c r="Z157" s="219"/>
      <c r="AA157" s="219"/>
      <c r="AB157" s="219"/>
      <c r="AC157" s="219"/>
      <c r="AD157" s="219"/>
      <c r="AE157" s="219"/>
      <c r="AF157" s="219"/>
      <c r="AG157" s="219"/>
      <c r="AH157" s="219"/>
      <c r="AI157" s="219"/>
      <c r="AJ157" s="219"/>
      <c r="AK157" s="219"/>
      <c r="AL157" s="219"/>
      <c r="AM157" s="219" t="str">
        <f>IF('Project Event Tree Input'!$D$9="Hydrologic Hazard",IF(OR('Project Event Tree Input'!$D$13 = "",'Project Event Tree Input'!$D$14 = "",'Project Event Tree Input'!B55="",'Project Event Tree Input'!E55=""),"-",IF('Project Event Tree Input'!$D$14='Project Event Tree Input'!E55,"None",IF('Project Event Tree Input'!$H$87=TRUE,'Project Event Tree Input'!$D$14 &amp; " to " &amp; 'Project Event Tree Input'!E55 &amp; " (Composite)",'Project Event Tree Input'!$D$14 &amp; " to " &amp; 'Project Event Tree Input'!E55))),IF(OR('Project Event Tree Input'!$D$13="",'Project Event Tree Input'!$D$14="",'Project Event Tree Input'!$D$19="",'Project Event Tree Input'!B55="",'Project Event Tree Input'!E55="",'Project Event Tree Input'!G55=""),"-",IF(OR('Project Event Tree Input'!$D$14&lt;&gt;'Project Event Tree Input'!E55,'Project Event Tree Input'!$D$19&lt;&gt;'Project Event Tree Input'!G55),IF(AND('Project Event Tree Input'!$D$14&lt;&gt;'Project Event Tree Input'!E55,'Project Event Tree Input'!$D$19='Project Event Tree Input'!G55),'Project Event Tree Input'!$D$14 &amp; " to " &amp; 'Project Event Tree Input'!E55,IF(AND('Project Event Tree Input'!$D$14='Project Event Tree Input'!E55,'Project Event Tree Input'!$D$19&lt;&gt;'Project Event Tree Input'!G55),'Project Event Tree Input'!$D$19 &amp; " to " &amp; 'Project Event Tree Input'!G55,'Project Event Tree Input'!$D$14 &amp; " to " &amp; 'Project Event Tree Input'!E55 &amp; CHAR(10) &amp; 'Project Event Tree Input'!$D$19 &amp; " to " &amp; 'Project Event Tree Input'!G55)),"None")))</f>
        <v>-</v>
      </c>
      <c r="AN157" s="219"/>
      <c r="AO157" s="219"/>
      <c r="AP157" s="219"/>
      <c r="AQ157" s="219"/>
      <c r="AR157" s="219"/>
      <c r="AS157" s="219"/>
      <c r="AT157" s="219"/>
      <c r="AU157" s="219"/>
      <c r="AV157" s="219"/>
      <c r="AW157" s="219"/>
    </row>
    <row r="158" spans="2:49" ht="15" customHeight="1" x14ac:dyDescent="0.2">
      <c r="T158" s="51">
        <v>5</v>
      </c>
      <c r="U158" s="219" t="str">
        <f>'Project Event Tree Input'!A56</f>
        <v>PFM 4</v>
      </c>
      <c r="V158" s="219"/>
      <c r="W158" s="219"/>
      <c r="X158" s="219" t="str">
        <f>IF(OR(ISBLANK('Project Event Tree Input'!$D$48),'Project Event Tree Input'!$D$48&lt;T158-1,ISBLANK('Project Event Tree Input'!B56)),"-",IF(OR('Project Event Tree Input'!$H$87=FALSE,'Project Event Tree Input'!H91=FALSE),U158&amp; CHAR(10) &amp;'Project Event Tree Input'!B56,U158&amp; CHAR(10) &amp;'Project Event Tree Input'!B56 &amp; " (Composite)"))</f>
        <v>-</v>
      </c>
      <c r="Y158" s="219"/>
      <c r="Z158" s="219"/>
      <c r="AA158" s="219"/>
      <c r="AB158" s="219"/>
      <c r="AC158" s="219"/>
      <c r="AD158" s="219"/>
      <c r="AE158" s="219"/>
      <c r="AF158" s="219"/>
      <c r="AG158" s="219"/>
      <c r="AH158" s="219"/>
      <c r="AI158" s="219"/>
      <c r="AJ158" s="219"/>
      <c r="AK158" s="219"/>
      <c r="AL158" s="219"/>
      <c r="AM158" s="219" t="str">
        <f>IF('Project Event Tree Input'!$D$9="Hydrologic Hazard",IF(OR('Project Event Tree Input'!$D$13 = "",'Project Event Tree Input'!$D$14 = "",'Project Event Tree Input'!B56="",'Project Event Tree Input'!E56=""),"-",IF('Project Event Tree Input'!$D$14='Project Event Tree Input'!E56,"None",IF('Project Event Tree Input'!$H$87=TRUE,'Project Event Tree Input'!$D$14 &amp; " to " &amp; 'Project Event Tree Input'!E56 &amp; " (Composite)",'Project Event Tree Input'!$D$14 &amp; " to " &amp; 'Project Event Tree Input'!E56))),IF(OR('Project Event Tree Input'!$D$13="",'Project Event Tree Input'!$D$14="",'Project Event Tree Input'!$D$19="",'Project Event Tree Input'!B56="",'Project Event Tree Input'!E56="",'Project Event Tree Input'!G56=""),"-",IF(OR('Project Event Tree Input'!$D$14&lt;&gt;'Project Event Tree Input'!E56,'Project Event Tree Input'!$D$19&lt;&gt;'Project Event Tree Input'!G56),IF(AND('Project Event Tree Input'!$D$14&lt;&gt;'Project Event Tree Input'!E56,'Project Event Tree Input'!$D$19='Project Event Tree Input'!G56),'Project Event Tree Input'!$D$14 &amp; " to " &amp; 'Project Event Tree Input'!E56,IF(AND('Project Event Tree Input'!$D$14='Project Event Tree Input'!E56,'Project Event Tree Input'!$D$19&lt;&gt;'Project Event Tree Input'!G56),'Project Event Tree Input'!$D$19 &amp; " to " &amp; 'Project Event Tree Input'!G56,'Project Event Tree Input'!$D$14 &amp; " to " &amp; 'Project Event Tree Input'!E56 &amp; CHAR(10) &amp; 'Project Event Tree Input'!$D$19 &amp; " to " &amp; 'Project Event Tree Input'!G56)),"None")))</f>
        <v>-</v>
      </c>
      <c r="AN158" s="219"/>
      <c r="AO158" s="219"/>
      <c r="AP158" s="219"/>
      <c r="AQ158" s="219"/>
      <c r="AR158" s="219"/>
      <c r="AS158" s="219"/>
      <c r="AT158" s="219"/>
      <c r="AU158" s="219"/>
      <c r="AV158" s="219"/>
      <c r="AW158" s="219"/>
    </row>
    <row r="159" spans="2:49" ht="15" customHeight="1" x14ac:dyDescent="0.2">
      <c r="B159" s="219" t="s">
        <v>193</v>
      </c>
      <c r="C159" s="219"/>
      <c r="D159" s="219"/>
      <c r="E159" s="219"/>
      <c r="F159" s="219"/>
      <c r="G159" s="219" t="s">
        <v>215</v>
      </c>
      <c r="H159" s="219"/>
      <c r="I159" s="219"/>
      <c r="J159" s="219"/>
      <c r="K159" s="219"/>
      <c r="L159" s="219"/>
      <c r="M159" s="219"/>
      <c r="N159" s="219"/>
      <c r="O159" s="219"/>
      <c r="P159" s="219"/>
      <c r="Q159" s="219"/>
      <c r="T159" s="51">
        <v>6</v>
      </c>
      <c r="U159" s="219" t="str">
        <f>'Project Event Tree Input'!A57</f>
        <v>PFM 5</v>
      </c>
      <c r="V159" s="219"/>
      <c r="W159" s="219"/>
      <c r="X159" s="219" t="str">
        <f>IF(OR(ISBLANK('Project Event Tree Input'!$D$48),'Project Event Tree Input'!$D$48&lt;T159-1,ISBLANK('Project Event Tree Input'!B57)),"-",IF(OR('Project Event Tree Input'!$H$87=FALSE,'Project Event Tree Input'!H92=FALSE),U159&amp; CHAR(10) &amp;'Project Event Tree Input'!B57,U159&amp; CHAR(10) &amp;'Project Event Tree Input'!B57 &amp; " (Composite)"))</f>
        <v>-</v>
      </c>
      <c r="Y159" s="219"/>
      <c r="Z159" s="219"/>
      <c r="AA159" s="219"/>
      <c r="AB159" s="219"/>
      <c r="AC159" s="219"/>
      <c r="AD159" s="219"/>
      <c r="AE159" s="219"/>
      <c r="AF159" s="219"/>
      <c r="AG159" s="219"/>
      <c r="AH159" s="219"/>
      <c r="AI159" s="219"/>
      <c r="AJ159" s="219"/>
      <c r="AK159" s="219"/>
      <c r="AL159" s="219"/>
      <c r="AM159" s="219" t="str">
        <f>IF('Project Event Tree Input'!$D$9="Hydrologic Hazard",IF(OR('Project Event Tree Input'!$D$13 = "",'Project Event Tree Input'!$D$14 = "",'Project Event Tree Input'!B57="",'Project Event Tree Input'!E57=""),"-",IF('Project Event Tree Input'!$D$14='Project Event Tree Input'!E57,"None",IF('Project Event Tree Input'!$H$87=TRUE,'Project Event Tree Input'!$D$14 &amp; " to " &amp; 'Project Event Tree Input'!E57 &amp; " (Composite)",'Project Event Tree Input'!$D$14 &amp; " to " &amp; 'Project Event Tree Input'!E57))),IF(OR('Project Event Tree Input'!$D$13="",'Project Event Tree Input'!$D$14="",'Project Event Tree Input'!$D$19="",'Project Event Tree Input'!B57="",'Project Event Tree Input'!E57="",'Project Event Tree Input'!G57=""),"-",IF(OR('Project Event Tree Input'!$D$14&lt;&gt;'Project Event Tree Input'!E57,'Project Event Tree Input'!$D$19&lt;&gt;'Project Event Tree Input'!G57),IF(AND('Project Event Tree Input'!$D$14&lt;&gt;'Project Event Tree Input'!E57,'Project Event Tree Input'!$D$19='Project Event Tree Input'!G57),'Project Event Tree Input'!$D$14 &amp; " to " &amp; 'Project Event Tree Input'!E57,IF(AND('Project Event Tree Input'!$D$14='Project Event Tree Input'!E57,'Project Event Tree Input'!$D$19&lt;&gt;'Project Event Tree Input'!G57),'Project Event Tree Input'!$D$19 &amp; " to " &amp; 'Project Event Tree Input'!G57,'Project Event Tree Input'!$D$14 &amp; " to " &amp; 'Project Event Tree Input'!E57 &amp; CHAR(10) &amp; 'Project Event Tree Input'!$D$19 &amp; " to " &amp; 'Project Event Tree Input'!G57)),"None")))</f>
        <v>-</v>
      </c>
      <c r="AN159" s="219"/>
      <c r="AO159" s="219"/>
      <c r="AP159" s="219"/>
      <c r="AQ159" s="219"/>
      <c r="AR159" s="219"/>
      <c r="AS159" s="219"/>
      <c r="AT159" s="219"/>
      <c r="AU159" s="219"/>
      <c r="AV159" s="219"/>
      <c r="AW159" s="219"/>
    </row>
    <row r="160" spans="2:49" ht="15" customHeight="1" x14ac:dyDescent="0.2">
      <c r="B160" s="219" t="s">
        <v>194</v>
      </c>
      <c r="C160" s="219"/>
      <c r="D160" s="219"/>
      <c r="E160" s="219"/>
      <c r="F160" s="219"/>
      <c r="G160" s="219" t="s">
        <v>215</v>
      </c>
      <c r="H160" s="219"/>
      <c r="I160" s="219"/>
      <c r="J160" s="219"/>
      <c r="K160" s="219"/>
      <c r="L160" s="219"/>
      <c r="M160" s="219"/>
      <c r="N160" s="219"/>
      <c r="O160" s="219"/>
      <c r="P160" s="219"/>
      <c r="Q160" s="219"/>
      <c r="T160" s="51">
        <v>7</v>
      </c>
      <c r="U160" s="219" t="str">
        <f>'Project Event Tree Input'!A58</f>
        <v>PFM 6</v>
      </c>
      <c r="V160" s="219"/>
      <c r="W160" s="219"/>
      <c r="X160" s="219" t="str">
        <f>IF(OR(ISBLANK('Project Event Tree Input'!$D$48),'Project Event Tree Input'!$D$48&lt;T160-1,ISBLANK('Project Event Tree Input'!B58)),"-",IF(OR('Project Event Tree Input'!$H$87=FALSE,'Project Event Tree Input'!H93=FALSE),U160&amp; CHAR(10) &amp;'Project Event Tree Input'!B58,U160&amp; CHAR(10) &amp;'Project Event Tree Input'!B58 &amp; " (Composite)"))</f>
        <v>-</v>
      </c>
      <c r="Y160" s="219"/>
      <c r="Z160" s="219"/>
      <c r="AA160" s="219"/>
      <c r="AB160" s="219"/>
      <c r="AC160" s="219"/>
      <c r="AD160" s="219"/>
      <c r="AE160" s="219"/>
      <c r="AF160" s="219"/>
      <c r="AG160" s="219"/>
      <c r="AH160" s="219"/>
      <c r="AI160" s="219"/>
      <c r="AJ160" s="219"/>
      <c r="AK160" s="219"/>
      <c r="AL160" s="219"/>
      <c r="AM160" s="219" t="str">
        <f>IF('Project Event Tree Input'!$D$9="Hydrologic Hazard",IF(OR('Project Event Tree Input'!$D$13 = "",'Project Event Tree Input'!$D$14 = "",'Project Event Tree Input'!B58="",'Project Event Tree Input'!E58=""),"-",IF('Project Event Tree Input'!$D$14='Project Event Tree Input'!E58,"None",IF('Project Event Tree Input'!$H$87=TRUE,'Project Event Tree Input'!$D$14 &amp; " to " &amp; 'Project Event Tree Input'!E58 &amp; " (Composite)",'Project Event Tree Input'!$D$14 &amp; " to " &amp; 'Project Event Tree Input'!E58))),IF(OR('Project Event Tree Input'!$D$13="",'Project Event Tree Input'!$D$14="",'Project Event Tree Input'!$D$19="",'Project Event Tree Input'!B58="",'Project Event Tree Input'!E58="",'Project Event Tree Input'!G58=""),"-",IF(OR('Project Event Tree Input'!$D$14&lt;&gt;'Project Event Tree Input'!E58,'Project Event Tree Input'!$D$19&lt;&gt;'Project Event Tree Input'!G58),IF(AND('Project Event Tree Input'!$D$14&lt;&gt;'Project Event Tree Input'!E58,'Project Event Tree Input'!$D$19='Project Event Tree Input'!G58),'Project Event Tree Input'!$D$14 &amp; " to " &amp; 'Project Event Tree Input'!E58,IF(AND('Project Event Tree Input'!$D$14='Project Event Tree Input'!E58,'Project Event Tree Input'!$D$19&lt;&gt;'Project Event Tree Input'!G58),'Project Event Tree Input'!$D$19 &amp; " to " &amp; 'Project Event Tree Input'!G58,'Project Event Tree Input'!$D$14 &amp; " to " &amp; 'Project Event Tree Input'!E58 &amp; CHAR(10) &amp; 'Project Event Tree Input'!$D$19 &amp; " to " &amp; 'Project Event Tree Input'!G58)),"None")))</f>
        <v>-</v>
      </c>
      <c r="AN160" s="219"/>
      <c r="AO160" s="219"/>
      <c r="AP160" s="219"/>
      <c r="AQ160" s="219"/>
      <c r="AR160" s="219"/>
      <c r="AS160" s="219"/>
      <c r="AT160" s="219"/>
      <c r="AU160" s="219"/>
      <c r="AV160" s="219"/>
      <c r="AW160" s="219"/>
    </row>
    <row r="161" spans="2:49" ht="15" customHeight="1" x14ac:dyDescent="0.2">
      <c r="T161" s="51">
        <v>8</v>
      </c>
      <c r="U161" s="219" t="str">
        <f>'Project Event Tree Input'!A59</f>
        <v>PFM 7</v>
      </c>
      <c r="V161" s="219"/>
      <c r="W161" s="219"/>
      <c r="X161" s="219" t="str">
        <f>IF(OR(ISBLANK('Project Event Tree Input'!$D$48),'Project Event Tree Input'!$D$48&lt;T161-1,ISBLANK('Project Event Tree Input'!B59)),"-",IF(OR('Project Event Tree Input'!$H$87=FALSE,'Project Event Tree Input'!H94=FALSE),U161&amp; CHAR(10) &amp;'Project Event Tree Input'!B59,U161&amp; CHAR(10) &amp;'Project Event Tree Input'!B59 &amp; " (Composite)"))</f>
        <v>-</v>
      </c>
      <c r="Y161" s="219"/>
      <c r="Z161" s="219"/>
      <c r="AA161" s="219"/>
      <c r="AB161" s="219"/>
      <c r="AC161" s="219"/>
      <c r="AD161" s="219"/>
      <c r="AE161" s="219"/>
      <c r="AF161" s="219"/>
      <c r="AG161" s="219"/>
      <c r="AH161" s="219"/>
      <c r="AI161" s="219"/>
      <c r="AJ161" s="219"/>
      <c r="AK161" s="219"/>
      <c r="AL161" s="219"/>
      <c r="AM161" s="219" t="str">
        <f>IF('Project Event Tree Input'!$D$9="Hydrologic Hazard",IF(OR('Project Event Tree Input'!$D$13 = "",'Project Event Tree Input'!$D$14 = "",'Project Event Tree Input'!B59="",'Project Event Tree Input'!E59=""),"-",IF('Project Event Tree Input'!$D$14='Project Event Tree Input'!E59,"None",IF('Project Event Tree Input'!$H$87=TRUE,'Project Event Tree Input'!$D$14 &amp; " to " &amp; 'Project Event Tree Input'!E59 &amp; " (Composite)",'Project Event Tree Input'!$D$14 &amp; " to " &amp; 'Project Event Tree Input'!E59))),IF(OR('Project Event Tree Input'!$D$13="",'Project Event Tree Input'!$D$14="",'Project Event Tree Input'!$D$19="",'Project Event Tree Input'!B59="",'Project Event Tree Input'!E59="",'Project Event Tree Input'!G59=""),"-",IF(OR('Project Event Tree Input'!$D$14&lt;&gt;'Project Event Tree Input'!E59,'Project Event Tree Input'!$D$19&lt;&gt;'Project Event Tree Input'!G59),IF(AND('Project Event Tree Input'!$D$14&lt;&gt;'Project Event Tree Input'!E59,'Project Event Tree Input'!$D$19='Project Event Tree Input'!G59),'Project Event Tree Input'!$D$14 &amp; " to " &amp; 'Project Event Tree Input'!E59,IF(AND('Project Event Tree Input'!$D$14='Project Event Tree Input'!E59,'Project Event Tree Input'!$D$19&lt;&gt;'Project Event Tree Input'!G59),'Project Event Tree Input'!$D$19 &amp; " to " &amp; 'Project Event Tree Input'!G59,'Project Event Tree Input'!$D$14 &amp; " to " &amp; 'Project Event Tree Input'!E59 &amp; CHAR(10) &amp; 'Project Event Tree Input'!$D$19 &amp; " to " &amp; 'Project Event Tree Input'!G59)),"None")))</f>
        <v>-</v>
      </c>
      <c r="AN161" s="219"/>
      <c r="AO161" s="219"/>
      <c r="AP161" s="219"/>
      <c r="AQ161" s="219"/>
      <c r="AR161" s="219"/>
      <c r="AS161" s="219"/>
      <c r="AT161" s="219"/>
      <c r="AU161" s="219"/>
      <c r="AV161" s="219"/>
      <c r="AW161" s="219"/>
    </row>
    <row r="162" spans="2:49" ht="15" customHeight="1" x14ac:dyDescent="0.2">
      <c r="T162" s="51">
        <v>9</v>
      </c>
      <c r="U162" s="219" t="str">
        <f>'Project Event Tree Input'!A60</f>
        <v>PFM 8</v>
      </c>
      <c r="V162" s="219"/>
      <c r="W162" s="219"/>
      <c r="X162" s="219" t="str">
        <f>IF(OR(ISBLANK('Project Event Tree Input'!$D$48),'Project Event Tree Input'!$D$48&lt;T162-1,ISBLANK('Project Event Tree Input'!B60)),"-",IF(OR('Project Event Tree Input'!$H$87=FALSE,'Project Event Tree Input'!H95=FALSE),U162&amp; CHAR(10) &amp;'Project Event Tree Input'!B60,U162&amp; CHAR(10) &amp;'Project Event Tree Input'!B60 &amp; " (Composite)"))</f>
        <v>-</v>
      </c>
      <c r="Y162" s="219"/>
      <c r="Z162" s="219"/>
      <c r="AA162" s="219"/>
      <c r="AB162" s="219"/>
      <c r="AC162" s="219"/>
      <c r="AD162" s="219"/>
      <c r="AE162" s="219"/>
      <c r="AF162" s="219"/>
      <c r="AG162" s="219"/>
      <c r="AH162" s="219"/>
      <c r="AI162" s="219"/>
      <c r="AJ162" s="219"/>
      <c r="AK162" s="219"/>
      <c r="AL162" s="219"/>
      <c r="AM162" s="219" t="str">
        <f>IF('Project Event Tree Input'!$D$9="Hydrologic Hazard",IF(OR('Project Event Tree Input'!$D$13 = "",'Project Event Tree Input'!$D$14 = "",'Project Event Tree Input'!B60="",'Project Event Tree Input'!E60=""),"-",IF('Project Event Tree Input'!$D$14='Project Event Tree Input'!E60,"None",IF('Project Event Tree Input'!$H$87=TRUE,'Project Event Tree Input'!$D$14 &amp; " to " &amp; 'Project Event Tree Input'!E60 &amp; " (Composite)",'Project Event Tree Input'!$D$14 &amp; " to " &amp; 'Project Event Tree Input'!E60))),IF(OR('Project Event Tree Input'!$D$13="",'Project Event Tree Input'!$D$14="",'Project Event Tree Input'!$D$19="",'Project Event Tree Input'!B60="",'Project Event Tree Input'!E60="",'Project Event Tree Input'!G60=""),"-",IF(OR('Project Event Tree Input'!$D$14&lt;&gt;'Project Event Tree Input'!E60,'Project Event Tree Input'!$D$19&lt;&gt;'Project Event Tree Input'!G60),IF(AND('Project Event Tree Input'!$D$14&lt;&gt;'Project Event Tree Input'!E60,'Project Event Tree Input'!$D$19='Project Event Tree Input'!G60),'Project Event Tree Input'!$D$14 &amp; " to " &amp; 'Project Event Tree Input'!E60,IF(AND('Project Event Tree Input'!$D$14='Project Event Tree Input'!E60,'Project Event Tree Input'!$D$19&lt;&gt;'Project Event Tree Input'!G60),'Project Event Tree Input'!$D$19 &amp; " to " &amp; 'Project Event Tree Input'!G60,'Project Event Tree Input'!$D$14 &amp; " to " &amp; 'Project Event Tree Input'!E60 &amp; CHAR(10) &amp; 'Project Event Tree Input'!$D$19 &amp; " to " &amp; 'Project Event Tree Input'!G60)),"None")))</f>
        <v>-</v>
      </c>
      <c r="AN162" s="219"/>
      <c r="AO162" s="219"/>
      <c r="AP162" s="219"/>
      <c r="AQ162" s="219"/>
      <c r="AR162" s="219"/>
      <c r="AS162" s="219"/>
      <c r="AT162" s="219"/>
      <c r="AU162" s="219"/>
      <c r="AV162" s="219"/>
      <c r="AW162" s="219"/>
    </row>
    <row r="163" spans="2:49" ht="15" customHeight="1" x14ac:dyDescent="0.2">
      <c r="T163" s="51">
        <v>10</v>
      </c>
      <c r="U163" s="219" t="str">
        <f>'Project Event Tree Input'!A61</f>
        <v>PFM 9</v>
      </c>
      <c r="V163" s="219"/>
      <c r="W163" s="219"/>
      <c r="X163" s="219" t="str">
        <f>IF(OR(ISBLANK('Project Event Tree Input'!$D$48),'Project Event Tree Input'!$D$48&lt;T163-1,ISBLANK('Project Event Tree Input'!B61)),"-",IF(OR('Project Event Tree Input'!$H$87=FALSE,'Project Event Tree Input'!H96=FALSE),U163&amp; CHAR(10) &amp;'Project Event Tree Input'!B61,U163&amp; CHAR(10) &amp;'Project Event Tree Input'!B61 &amp; " (Composite)"))</f>
        <v>-</v>
      </c>
      <c r="Y163" s="219"/>
      <c r="Z163" s="219"/>
      <c r="AA163" s="219"/>
      <c r="AB163" s="219"/>
      <c r="AC163" s="219"/>
      <c r="AD163" s="219"/>
      <c r="AE163" s="219"/>
      <c r="AF163" s="219"/>
      <c r="AG163" s="219"/>
      <c r="AH163" s="219"/>
      <c r="AI163" s="219"/>
      <c r="AJ163" s="219"/>
      <c r="AK163" s="219"/>
      <c r="AL163" s="219"/>
      <c r="AM163" s="219" t="str">
        <f>IF('Project Event Tree Input'!$D$9="Hydrologic Hazard",IF(OR('Project Event Tree Input'!$D$13 = "",'Project Event Tree Input'!$D$14 = "",'Project Event Tree Input'!B61="",'Project Event Tree Input'!E61=""),"-",IF('Project Event Tree Input'!$D$14='Project Event Tree Input'!E61,"None",IF('Project Event Tree Input'!$H$87=TRUE,'Project Event Tree Input'!$D$14 &amp; " to " &amp; 'Project Event Tree Input'!E61 &amp; " (Composite)",'Project Event Tree Input'!$D$14 &amp; " to " &amp; 'Project Event Tree Input'!E61))),IF(OR('Project Event Tree Input'!$D$13="",'Project Event Tree Input'!$D$14="",'Project Event Tree Input'!$D$19="",'Project Event Tree Input'!B61="",'Project Event Tree Input'!E61="",'Project Event Tree Input'!G61=""),"-",IF(OR('Project Event Tree Input'!$D$14&lt;&gt;'Project Event Tree Input'!E61,'Project Event Tree Input'!$D$19&lt;&gt;'Project Event Tree Input'!G61),IF(AND('Project Event Tree Input'!$D$14&lt;&gt;'Project Event Tree Input'!E61,'Project Event Tree Input'!$D$19='Project Event Tree Input'!G61),'Project Event Tree Input'!$D$14 &amp; " to " &amp; 'Project Event Tree Input'!E61,IF(AND('Project Event Tree Input'!$D$14='Project Event Tree Input'!E61,'Project Event Tree Input'!$D$19&lt;&gt;'Project Event Tree Input'!G61),'Project Event Tree Input'!$D$19 &amp; " to " &amp; 'Project Event Tree Input'!G61,'Project Event Tree Input'!$D$14 &amp; " to " &amp; 'Project Event Tree Input'!E61 &amp; CHAR(10) &amp; 'Project Event Tree Input'!$D$19 &amp; " to " &amp; 'Project Event Tree Input'!G61)),"None")))</f>
        <v>-</v>
      </c>
      <c r="AN163" s="219"/>
      <c r="AO163" s="219"/>
      <c r="AP163" s="219"/>
      <c r="AQ163" s="219"/>
      <c r="AR163" s="219"/>
      <c r="AS163" s="219"/>
      <c r="AT163" s="219"/>
      <c r="AU163" s="219"/>
      <c r="AV163" s="219"/>
      <c r="AW163" s="219"/>
    </row>
    <row r="164" spans="2:49" ht="15" customHeight="1" x14ac:dyDescent="0.2">
      <c r="T164" s="51">
        <v>11</v>
      </c>
      <c r="U164" s="219" t="str">
        <f>'Project Event Tree Input'!A62</f>
        <v>PFM 10</v>
      </c>
      <c r="V164" s="219"/>
      <c r="W164" s="219"/>
      <c r="X164" s="219" t="str">
        <f>IF(OR(ISBLANK('Project Event Tree Input'!$D$48),'Project Event Tree Input'!$D$48&lt;T164-1,ISBLANK('Project Event Tree Input'!B62)),"-",IF(OR('Project Event Tree Input'!$H$87=FALSE,'Project Event Tree Input'!H97=FALSE),U164&amp; CHAR(10) &amp;'Project Event Tree Input'!B62,U164&amp; CHAR(10) &amp;'Project Event Tree Input'!B62 &amp; " (Composite)"))</f>
        <v>-</v>
      </c>
      <c r="Y164" s="219"/>
      <c r="Z164" s="219"/>
      <c r="AA164" s="219"/>
      <c r="AB164" s="219"/>
      <c r="AC164" s="219"/>
      <c r="AD164" s="219"/>
      <c r="AE164" s="219"/>
      <c r="AF164" s="219"/>
      <c r="AG164" s="219"/>
      <c r="AH164" s="219"/>
      <c r="AI164" s="219"/>
      <c r="AJ164" s="219"/>
      <c r="AK164" s="219"/>
      <c r="AL164" s="219"/>
      <c r="AM164" s="219" t="str">
        <f>IF('Project Event Tree Input'!$D$9="Hydrologic Hazard",IF(OR('Project Event Tree Input'!$D$13 = "",'Project Event Tree Input'!$D$14 = "",'Project Event Tree Input'!B62="",'Project Event Tree Input'!E62=""),"-",IF('Project Event Tree Input'!$D$14='Project Event Tree Input'!E62,"None",IF('Project Event Tree Input'!$H$87=TRUE,'Project Event Tree Input'!$D$14 &amp; " to " &amp; 'Project Event Tree Input'!E62 &amp; " (Composite)",'Project Event Tree Input'!$D$14 &amp; " to " &amp; 'Project Event Tree Input'!E62))),IF(OR('Project Event Tree Input'!$D$13="",'Project Event Tree Input'!$D$14="",'Project Event Tree Input'!$D$19="",'Project Event Tree Input'!B62="",'Project Event Tree Input'!E62="",'Project Event Tree Input'!G62=""),"-",IF(OR('Project Event Tree Input'!$D$14&lt;&gt;'Project Event Tree Input'!E62,'Project Event Tree Input'!$D$19&lt;&gt;'Project Event Tree Input'!G62),IF(AND('Project Event Tree Input'!$D$14&lt;&gt;'Project Event Tree Input'!E62,'Project Event Tree Input'!$D$19='Project Event Tree Input'!G62),'Project Event Tree Input'!$D$14 &amp; " to " &amp; 'Project Event Tree Input'!E62,IF(AND('Project Event Tree Input'!$D$14='Project Event Tree Input'!E62,'Project Event Tree Input'!$D$19&lt;&gt;'Project Event Tree Input'!G62),'Project Event Tree Input'!$D$19 &amp; " to " &amp; 'Project Event Tree Input'!G62,'Project Event Tree Input'!$D$14 &amp; " to " &amp; 'Project Event Tree Input'!E62 &amp; CHAR(10) &amp; 'Project Event Tree Input'!$D$19 &amp; " to " &amp; 'Project Event Tree Input'!G62)),"None")))</f>
        <v>-</v>
      </c>
      <c r="AN164" s="219"/>
      <c r="AO164" s="219"/>
      <c r="AP164" s="219"/>
      <c r="AQ164" s="219"/>
      <c r="AR164" s="219"/>
      <c r="AS164" s="219"/>
      <c r="AT164" s="219"/>
      <c r="AU164" s="219"/>
      <c r="AV164" s="219"/>
      <c r="AW164" s="219"/>
    </row>
    <row r="165" spans="2:49" ht="15" customHeight="1" x14ac:dyDescent="0.2"/>
    <row r="166" spans="2:49" ht="15" customHeight="1" x14ac:dyDescent="0.2">
      <c r="B166" s="221" t="s">
        <v>195</v>
      </c>
      <c r="C166" s="222"/>
      <c r="D166" s="222"/>
      <c r="E166" s="222"/>
      <c r="F166" s="222"/>
      <c r="G166" s="222"/>
      <c r="H166" s="222"/>
      <c r="I166" s="222"/>
      <c r="J166" s="222"/>
      <c r="K166" s="222"/>
      <c r="L166" s="223"/>
      <c r="M166" s="218" t="s">
        <v>148</v>
      </c>
      <c r="N166" s="218"/>
      <c r="O166" s="218"/>
      <c r="P166" s="218"/>
      <c r="Q166" s="218"/>
      <c r="R166" s="218"/>
      <c r="S166" s="218"/>
      <c r="T166" s="218"/>
      <c r="U166" s="218"/>
      <c r="V166" s="218"/>
      <c r="W166" s="218"/>
    </row>
    <row r="167" spans="2:49" ht="15" customHeight="1" x14ac:dyDescent="0.2">
      <c r="B167" s="214" t="s">
        <v>98</v>
      </c>
      <c r="C167" s="214"/>
      <c r="D167" s="214"/>
      <c r="E167" s="218" t="s">
        <v>147</v>
      </c>
      <c r="F167" s="218"/>
      <c r="G167" s="218"/>
      <c r="H167" s="218"/>
      <c r="I167" s="218"/>
      <c r="J167" s="218"/>
      <c r="K167" s="218"/>
      <c r="L167" s="218"/>
      <c r="M167" s="52">
        <v>1</v>
      </c>
      <c r="N167" s="52">
        <v>2</v>
      </c>
      <c r="O167" s="52">
        <v>3</v>
      </c>
      <c r="P167" s="52">
        <v>4</v>
      </c>
      <c r="Q167" s="52">
        <v>5</v>
      </c>
      <c r="R167" s="52">
        <v>6</v>
      </c>
      <c r="S167" s="52">
        <v>7</v>
      </c>
      <c r="T167" s="52">
        <v>8</v>
      </c>
      <c r="U167" s="52">
        <v>9</v>
      </c>
      <c r="V167" s="52">
        <v>10</v>
      </c>
      <c r="W167" s="52">
        <v>11</v>
      </c>
    </row>
    <row r="168" spans="2:49" ht="15" customHeight="1" x14ac:dyDescent="0.2">
      <c r="B168" s="214">
        <v>1</v>
      </c>
      <c r="C168" s="214"/>
      <c r="D168" s="214"/>
      <c r="E168" s="218" t="str">
        <f>$E$105</f>
        <v>Hazard</v>
      </c>
      <c r="F168" s="218"/>
      <c r="G168" s="218"/>
      <c r="H168" s="218"/>
      <c r="I168" s="218"/>
      <c r="J168" s="218"/>
      <c r="K168" s="218"/>
      <c r="L168" s="218"/>
      <c r="M168" s="55" t="str">
        <f>IF(OR($E$168="-",$J$153="-"),"-",$J$153)</f>
        <v>Stage-Frequency (Composite)</v>
      </c>
      <c r="N168" s="55" t="s">
        <v>123</v>
      </c>
      <c r="O168" s="55" t="s">
        <v>123</v>
      </c>
      <c r="P168" s="55" t="s">
        <v>123</v>
      </c>
      <c r="Q168" s="55" t="s">
        <v>123</v>
      </c>
      <c r="R168" s="55" t="s">
        <v>123</v>
      </c>
      <c r="S168" s="55" t="s">
        <v>123</v>
      </c>
      <c r="T168" s="55" t="s">
        <v>123</v>
      </c>
      <c r="U168" s="56" t="s">
        <v>123</v>
      </c>
      <c r="V168" s="56" t="s">
        <v>123</v>
      </c>
      <c r="W168" s="56" t="s">
        <v>123</v>
      </c>
    </row>
    <row r="169" spans="2:49" ht="15" customHeight="1" x14ac:dyDescent="0.2">
      <c r="B169" s="214">
        <v>2</v>
      </c>
      <c r="C169" s="214"/>
      <c r="D169" s="214"/>
      <c r="E169" s="218" t="str">
        <f>$E$106</f>
        <v>Transform</v>
      </c>
      <c r="F169" s="218"/>
      <c r="G169" s="218"/>
      <c r="H169" s="218"/>
      <c r="I169" s="218"/>
      <c r="J169" s="218"/>
      <c r="K169" s="218"/>
      <c r="L169" s="218"/>
      <c r="M169" s="57" t="str" cm="1">
        <f t="array" ref="M169">IF($E$169="-","-",IF($E$169="Secondary Hazard",IF($J$154="-","-",$J$154),IF($E$169="Transform",INDEX($T$154:$AW$164,M$167,20),"-")))</f>
        <v>None</v>
      </c>
      <c r="N169" s="57" t="str" cm="1">
        <f t="array" ref="N169">IF($E$169="-","-",IF($E$169="Secondary Hazard","-",IF($E$169="Transform",INDEX($T$154:$AW$164,N$167,20),"-")))</f>
        <v>Stage to Overtopping Depth (Composite)</v>
      </c>
      <c r="O169" s="57" t="str" cm="1">
        <f t="array" ref="O169">IF($E$169="-","-",IF($E$169="Secondary Hazard","-",IF($E$169="Transform",INDEX($T$154:$AW$164,O$167,20),"-")))</f>
        <v>None</v>
      </c>
      <c r="P169" s="57" t="str" cm="1">
        <f t="array" ref="P169">IF($E$169="-","-",IF($E$169="Secondary Hazard","-",IF($E$169="Transform",INDEX($T$154:$AW$164,P$167,20),"-")))</f>
        <v>-</v>
      </c>
      <c r="Q169" s="57" t="str" cm="1">
        <f t="array" ref="Q169">IF($E$169="-","-",IF($E$169="Secondary Hazard","-",IF($E$169="Transform",INDEX($T$154:$AW$164,Q$167,20),"-")))</f>
        <v>-</v>
      </c>
      <c r="R169" s="57" t="str" cm="1">
        <f t="array" ref="R169">IF($E$169="-","-",IF($E$169="Secondary Hazard","-",IF($E$169="Transform",INDEX($T$154:$AW$164,R$167,20),"-")))</f>
        <v>-</v>
      </c>
      <c r="S169" s="57" t="str" cm="1">
        <f t="array" ref="S169">IF($E$169="-","-",IF($E$169="Secondary Hazard","-",IF($E$169="Transform",INDEX($T$154:$AW$164,S$167,20),"-")))</f>
        <v>-</v>
      </c>
      <c r="T169" s="57" t="str" cm="1">
        <f t="array" ref="T169">IF($E$169="-","-",IF($E$169="Secondary Hazard","-",IF($E$169="Transform",INDEX($T$154:$AW$164,T$167,20),"-")))</f>
        <v>-</v>
      </c>
      <c r="U169" s="57" t="str" cm="1">
        <f t="array" ref="U169">IF($E$169="-","-",IF($E$169="Secondary Hazard","-",IF($E$169="Transform",INDEX($T$154:$AW$164,U$167,20),"-")))</f>
        <v>-</v>
      </c>
      <c r="V169" s="57" t="str" cm="1">
        <f t="array" ref="V169">IF($E$169="-","-",IF($E$169="Secondary Hazard","-",IF($E$169="Transform",INDEX($T$154:$AW$164,V$167,20),"-")))</f>
        <v>-</v>
      </c>
      <c r="W169" s="57" t="str" cm="1">
        <f t="array" ref="W169">IF($E$169="-","-",IF($E$169="Secondary Hazard","-",IF($E$169="Transform",INDEX($T$154:$AW$164,W$167,20),"-")))</f>
        <v>-</v>
      </c>
    </row>
    <row r="170" spans="2:49" ht="15" customHeight="1" x14ac:dyDescent="0.2">
      <c r="B170" s="214">
        <v>3</v>
      </c>
      <c r="C170" s="214"/>
      <c r="D170" s="214"/>
      <c r="E170" s="218" t="str">
        <f>$E$107</f>
        <v>System Response</v>
      </c>
      <c r="F170" s="218"/>
      <c r="G170" s="218"/>
      <c r="H170" s="218"/>
      <c r="I170" s="218"/>
      <c r="J170" s="218"/>
      <c r="K170" s="218"/>
      <c r="L170" s="218"/>
      <c r="M170" s="57" t="str" cm="1">
        <f t="array" ref="M170">IF($E$170="-","-",IF($E$170="Transform",INDEX($T$154:$AW$164,M$167,20),INDEX($T$154:$AW$164,M$167,5)))</f>
        <v>Non-Fail</v>
      </c>
      <c r="N170" s="57" t="str" cm="1">
        <f t="array" ref="N170">IF($E$170="-","-",IF($E$170="Transform",INDEX($T$154:$AW$164,N$167,20),INDEX($T$154:$AW$164,N$167,5)))</f>
        <v>PFM 1
Overtopping</v>
      </c>
      <c r="O170" s="57" t="str" cm="1">
        <f t="array" ref="O170">IF($E$170="-","-",IF($E$170="Transform",INDEX($T$154:$AW$164,O$167,20),INDEX($T$154:$AW$164,O$167,5)))</f>
        <v>PFM 2
Backward Erosion Piping</v>
      </c>
      <c r="P170" s="57" t="str" cm="1">
        <f t="array" ref="P170">IF($E$170="-","-",IF($E$170="Transform",INDEX($T$154:$AW$164,P$167,20),INDEX($T$154:$AW$164,P$167,5)))</f>
        <v>-</v>
      </c>
      <c r="Q170" s="57" t="str" cm="1">
        <f t="array" ref="Q170">IF($E$170="-","-",IF($E$170="Transform",INDEX($T$154:$AW$164,Q$167,20),INDEX($T$154:$AW$164,Q$167,5)))</f>
        <v>-</v>
      </c>
      <c r="R170" s="57" t="str" cm="1">
        <f t="array" ref="R170">IF($E$170="-","-",IF($E$170="Transform",INDEX($T$154:$AW$164,R$167,20),INDEX($T$154:$AW$164,R$167,5)))</f>
        <v>-</v>
      </c>
      <c r="S170" s="57" t="str" cm="1">
        <f t="array" ref="S170">IF($E$170="-","-",IF($E$170="Transform",INDEX($T$154:$AW$164,S$167,20),INDEX($T$154:$AW$164,S$167,5)))</f>
        <v>-</v>
      </c>
      <c r="T170" s="57" t="str" cm="1">
        <f t="array" ref="T170">IF($E$170="-","-",IF($E$170="Transform",INDEX($T$154:$AW$164,T$167,20),INDEX($T$154:$AW$164,T$167,5)))</f>
        <v>-</v>
      </c>
      <c r="U170" s="57" t="str" cm="1">
        <f t="array" ref="U170">IF($E$170="-","-",IF($E$170="Transform",INDEX($T$154:$AW$164,U$167,20),INDEX($T$154:$AW$164,U$167,5)))</f>
        <v>-</v>
      </c>
      <c r="V170" s="57" t="str" cm="1">
        <f t="array" ref="V170">IF($E$170="-","-",IF($E$170="Transform",INDEX($T$154:$AW$164,V$167,20),INDEX($T$154:$AW$164,V$167,5)))</f>
        <v>-</v>
      </c>
      <c r="W170" s="57" t="str" cm="1">
        <f t="array" ref="W170">IF($E$170="-","-",IF($E$170="Transform",INDEX($T$154:$AW$164,W$167,20),INDEX($T$154:$AW$164,W$167,5)))</f>
        <v>-</v>
      </c>
    </row>
    <row r="171" spans="2:49" ht="15" customHeight="1" x14ac:dyDescent="0.2">
      <c r="B171" s="214">
        <v>4</v>
      </c>
      <c r="C171" s="214"/>
      <c r="D171" s="214"/>
      <c r="E171" s="218" t="str">
        <f>$E$108</f>
        <v>Life Loss</v>
      </c>
      <c r="F171" s="218"/>
      <c r="G171" s="218"/>
      <c r="H171" s="218"/>
      <c r="I171" s="218"/>
      <c r="J171" s="218"/>
      <c r="K171" s="218"/>
      <c r="L171" s="218"/>
      <c r="M171" s="57" t="str" cm="1">
        <f t="array" ref="M171">IF($E$171="-","-",IF($E$171="System Response",INDEX($T$154:$AW$164,M$167,5),IF($E$171="Life Loss",IF(M170="-","-",$G$156))))</f>
        <v>Life Loss (Composite)</v>
      </c>
      <c r="N171" s="57" t="str" cm="1">
        <f t="array" ref="N171">IF($E$171="-","-",IF($E$171="System Response",INDEX($T$154:$AW$164,N$167,5),IF($E$171="Life Loss",IF(N170="-","-",$G$156))))</f>
        <v>Life Loss (Composite)</v>
      </c>
      <c r="O171" s="57" t="str" cm="1">
        <f t="array" ref="O171">IF($E$171="-","-",IF($E$171="System Response",INDEX($T$154:$AW$164,O$167,5),IF($E$171="Life Loss",IF(O170="-","-",$G$156))))</f>
        <v>Life Loss (Composite)</v>
      </c>
      <c r="P171" s="57" t="str" cm="1">
        <f t="array" ref="P171">IF($E$171="-","-",IF($E$171="System Response",INDEX($T$154:$AW$164,P$167,5),IF($E$171="Life Loss",IF(P170="-","-",$G$156))))</f>
        <v>-</v>
      </c>
      <c r="Q171" s="57" t="str" cm="1">
        <f t="array" ref="Q171">IF($E$171="-","-",IF($E$171="System Response",INDEX($T$154:$AW$164,Q$167,5),IF($E$171="Life Loss",IF(Q170="-","-",$G$156))))</f>
        <v>-</v>
      </c>
      <c r="R171" s="57" t="str" cm="1">
        <f t="array" ref="R171">IF($E$171="-","-",IF($E$171="System Response",INDEX($T$154:$AW$164,R$167,5),IF($E$171="Life Loss",IF(R170="-","-",$G$156))))</f>
        <v>-</v>
      </c>
      <c r="S171" s="57" t="str" cm="1">
        <f t="array" ref="S171">IF($E$171="-","-",IF($E$171="System Response",INDEX($T$154:$AW$164,S$167,5),IF($E$171="Life Loss",IF(S170="-","-",$G$156))))</f>
        <v>-</v>
      </c>
      <c r="T171" s="57" t="str" cm="1">
        <f t="array" ref="T171">IF($E$171="-","-",IF($E$171="System Response",INDEX($T$154:$AW$164,T$167,5),IF($E$171="Life Loss",IF(T170="-","-",$G$156))))</f>
        <v>-</v>
      </c>
      <c r="U171" s="57" t="str" cm="1">
        <f t="array" ref="U171">IF($E$171="-","-",IF($E$171="System Response",INDEX($T$154:$AW$164,U$167,5),IF($E$171="Life Loss",IF(U170="-","-",$G$156))))</f>
        <v>-</v>
      </c>
      <c r="V171" s="57" t="str" cm="1">
        <f t="array" ref="V171">IF($E$171="-","-",IF($E$171="System Response",INDEX($T$154:$AW$164,V$167,5),IF($E$171="Life Loss",IF(V170="-","-",$G$156))))</f>
        <v>-</v>
      </c>
      <c r="W171" s="57" t="str" cm="1">
        <f t="array" ref="W171">IF($E$171="-","-",IF($E$171="System Response",INDEX($T$154:$AW$164,W$167,5),IF($E$171="Life Loss",IF(W170="-","-",$G$156))))</f>
        <v>-</v>
      </c>
    </row>
    <row r="172" spans="2:49" ht="15" customHeight="1" x14ac:dyDescent="0.2">
      <c r="B172" s="214">
        <v>5</v>
      </c>
      <c r="C172" s="214"/>
      <c r="D172" s="214"/>
      <c r="E172" s="218" t="str">
        <f>$E$109</f>
        <v>Economic Cost</v>
      </c>
      <c r="F172" s="218"/>
      <c r="G172" s="218"/>
      <c r="H172" s="218"/>
      <c r="I172" s="218"/>
      <c r="J172" s="218"/>
      <c r="K172" s="218"/>
      <c r="L172" s="218"/>
      <c r="M172" s="57" t="str">
        <f>IF($E$172="-","-",IF($E$172="Life Loss",IF(M171="-","-",$G$156),IF(M170="-","-",$G$159)))</f>
        <v>Economic Cost</v>
      </c>
      <c r="N172" s="57" t="str">
        <f t="shared" ref="N172:W172" si="96">IF($E$172="-","-",IF($E$172="Life Loss",IF(N171="-","-",$G$156),IF(N170="-","-",$G$159)))</f>
        <v>Economic Cost</v>
      </c>
      <c r="O172" s="57" t="str">
        <f t="shared" si="96"/>
        <v>Economic Cost</v>
      </c>
      <c r="P172" s="57" t="str">
        <f t="shared" si="96"/>
        <v>-</v>
      </c>
      <c r="Q172" s="57" t="str">
        <f t="shared" si="96"/>
        <v>-</v>
      </c>
      <c r="R172" s="57" t="str">
        <f t="shared" si="96"/>
        <v>-</v>
      </c>
      <c r="S172" s="57" t="str">
        <f t="shared" si="96"/>
        <v>-</v>
      </c>
      <c r="T172" s="57" t="str">
        <f t="shared" si="96"/>
        <v>-</v>
      </c>
      <c r="U172" s="57" t="str">
        <f t="shared" si="96"/>
        <v>-</v>
      </c>
      <c r="V172" s="57" t="str">
        <f t="shared" si="96"/>
        <v>-</v>
      </c>
      <c r="W172" s="57" t="str">
        <f t="shared" si="96"/>
        <v>-</v>
      </c>
    </row>
    <row r="173" spans="2:49" ht="15" customHeight="1" x14ac:dyDescent="0.2">
      <c r="B173" s="214">
        <v>6</v>
      </c>
      <c r="C173" s="214"/>
      <c r="D173" s="214"/>
      <c r="E173" s="218" t="str">
        <f>$E$110</f>
        <v>-</v>
      </c>
      <c r="F173" s="218"/>
      <c r="G173" s="218"/>
      <c r="H173" s="218"/>
      <c r="I173" s="218"/>
      <c r="J173" s="218"/>
      <c r="K173" s="218"/>
      <c r="L173" s="218"/>
      <c r="M173" s="57" t="str">
        <f>IF($E$173="-","-",IF(M171="-","-",$G$159))</f>
        <v>-</v>
      </c>
      <c r="N173" s="57" t="str">
        <f t="shared" ref="N173:W173" si="97">IF($E$173="-","-",IF(N171="-","-",$G$159))</f>
        <v>-</v>
      </c>
      <c r="O173" s="57" t="str">
        <f t="shared" si="97"/>
        <v>-</v>
      </c>
      <c r="P173" s="57" t="str">
        <f t="shared" si="97"/>
        <v>-</v>
      </c>
      <c r="Q173" s="57" t="str">
        <f t="shared" si="97"/>
        <v>-</v>
      </c>
      <c r="R173" s="57" t="str">
        <f t="shared" si="97"/>
        <v>-</v>
      </c>
      <c r="S173" s="57" t="str">
        <f t="shared" si="97"/>
        <v>-</v>
      </c>
      <c r="T173" s="57" t="str">
        <f t="shared" si="97"/>
        <v>-</v>
      </c>
      <c r="U173" s="57" t="str">
        <f t="shared" si="97"/>
        <v>-</v>
      </c>
      <c r="V173" s="57" t="str">
        <f t="shared" si="97"/>
        <v>-</v>
      </c>
      <c r="W173" s="57" t="str">
        <f t="shared" si="97"/>
        <v>-</v>
      </c>
      <c r="X173" s="58"/>
      <c r="Y173" s="58"/>
      <c r="Z173" s="58"/>
      <c r="AA173" s="58"/>
    </row>
    <row r="174" spans="2:49" ht="15" customHeight="1" x14ac:dyDescent="0.2"/>
    <row r="175" spans="2:49" ht="15" customHeight="1" x14ac:dyDescent="0.2">
      <c r="B175" s="219" t="s">
        <v>197</v>
      </c>
      <c r="C175" s="219"/>
      <c r="D175" s="219"/>
      <c r="E175" s="219"/>
      <c r="F175" s="219"/>
      <c r="G175" s="219"/>
      <c r="H175" s="219"/>
      <c r="I175" s="219"/>
      <c r="J175" s="219"/>
      <c r="K175" s="219"/>
      <c r="L175" s="219"/>
      <c r="M175" s="219"/>
      <c r="N175" s="219"/>
      <c r="O175" s="219"/>
      <c r="P175" s="219"/>
      <c r="Q175" s="219"/>
      <c r="R175" s="219"/>
      <c r="S175" s="219"/>
      <c r="T175" s="219"/>
      <c r="U175" s="51">
        <v>10</v>
      </c>
      <c r="V175" s="51">
        <f>U175+5</f>
        <v>15</v>
      </c>
      <c r="W175" s="51">
        <f t="shared" ref="W175" si="98">V175+5</f>
        <v>20</v>
      </c>
      <c r="X175" s="51">
        <f t="shared" ref="X175" si="99">W175+5</f>
        <v>25</v>
      </c>
      <c r="Y175" s="51">
        <f t="shared" ref="Y175" si="100">X175+5</f>
        <v>30</v>
      </c>
      <c r="Z175" s="51">
        <f t="shared" ref="Z175" si="101">Y175+5</f>
        <v>35</v>
      </c>
      <c r="AA175" s="51">
        <f t="shared" ref="AA175" si="102">Z175+5</f>
        <v>40</v>
      </c>
      <c r="AB175" s="51">
        <f t="shared" ref="AB175" si="103">AA175+5</f>
        <v>45</v>
      </c>
      <c r="AC175" s="51">
        <f t="shared" ref="AC175" si="104">AB175+5</f>
        <v>50</v>
      </c>
      <c r="AD175" s="51">
        <f t="shared" ref="AD175" si="105">AC175+5</f>
        <v>55</v>
      </c>
      <c r="AE175" s="51">
        <f t="shared" ref="AE175" si="106">AD175+5</f>
        <v>60</v>
      </c>
      <c r="AF175" s="74"/>
      <c r="AG175" s="49"/>
      <c r="AR175" s="49"/>
      <c r="AS175" s="49"/>
      <c r="AT175" s="49"/>
      <c r="AU175" s="49"/>
      <c r="AV175" s="49"/>
      <c r="AW175" s="49"/>
    </row>
    <row r="176" spans="2:49" ht="15" customHeight="1" x14ac:dyDescent="0.2">
      <c r="B176" s="214" t="s">
        <v>98</v>
      </c>
      <c r="C176" s="214"/>
      <c r="D176" s="214"/>
      <c r="E176" s="218" t="s">
        <v>147</v>
      </c>
      <c r="F176" s="218"/>
      <c r="G176" s="218"/>
      <c r="H176" s="218"/>
      <c r="I176" s="218"/>
      <c r="J176" s="218"/>
      <c r="K176" s="218"/>
      <c r="L176" s="218"/>
      <c r="M176" s="218" t="s">
        <v>97</v>
      </c>
      <c r="N176" s="218"/>
      <c r="O176" s="218"/>
      <c r="P176" s="218"/>
      <c r="Q176" s="218" t="s">
        <v>118</v>
      </c>
      <c r="R176" s="218"/>
      <c r="S176" s="218"/>
      <c r="T176" s="218"/>
      <c r="U176" s="52">
        <v>1</v>
      </c>
      <c r="V176" s="52">
        <v>2</v>
      </c>
      <c r="W176" s="52">
        <v>3</v>
      </c>
      <c r="X176" s="52">
        <v>4</v>
      </c>
      <c r="Y176" s="52">
        <v>5</v>
      </c>
      <c r="Z176" s="52">
        <v>6</v>
      </c>
      <c r="AA176" s="52">
        <v>7</v>
      </c>
      <c r="AB176" s="52">
        <v>8</v>
      </c>
      <c r="AC176" s="52">
        <v>9</v>
      </c>
      <c r="AD176" s="52">
        <v>10</v>
      </c>
      <c r="AE176" s="52">
        <v>11</v>
      </c>
      <c r="AF176" s="75"/>
      <c r="AG176" s="53"/>
      <c r="AR176" s="53"/>
      <c r="AS176" s="53"/>
      <c r="AT176" s="53"/>
      <c r="AU176" s="53"/>
      <c r="AV176" s="53"/>
      <c r="AW176" s="53"/>
    </row>
    <row r="177" spans="2:49" ht="15" customHeight="1" x14ac:dyDescent="0.2">
      <c r="B177" s="214">
        <v>1</v>
      </c>
      <c r="C177" s="214"/>
      <c r="D177" s="214"/>
      <c r="E177" s="218" t="str">
        <f>$E$105</f>
        <v>Hazard</v>
      </c>
      <c r="F177" s="218"/>
      <c r="G177" s="218"/>
      <c r="H177" s="218"/>
      <c r="I177" s="218"/>
      <c r="J177" s="218"/>
      <c r="K177" s="218"/>
      <c r="L177" s="218"/>
      <c r="M177" s="220">
        <f>$M$105</f>
        <v>1</v>
      </c>
      <c r="N177" s="220"/>
      <c r="O177" s="220"/>
      <c r="P177" s="220"/>
      <c r="Q177" s="220">
        <f>$Q$105</f>
        <v>1</v>
      </c>
      <c r="R177" s="220"/>
      <c r="S177" s="220"/>
      <c r="T177" s="220"/>
      <c r="U177" s="56" t="str" cm="1">
        <f t="array" ref="U177">IF(U146="-","-",INDEX($M$168:$W$173,$B177,MATCH(U146,$M$167:$W$167,0)))</f>
        <v>Stage-Frequency (Composite)</v>
      </c>
      <c r="V177" s="56" t="str" cm="1">
        <f t="array" ref="V177">IF(V146="-","-",INDEX($M$168:$W$173,$B177,MATCH(V146,$M$167:$W$167,0)))</f>
        <v>-</v>
      </c>
      <c r="W177" s="56" t="str" cm="1">
        <f t="array" ref="W177">IF(W146="-","-",INDEX($M$168:$W$173,$B177,MATCH(W146,$M$167:$W$167,0)))</f>
        <v>-</v>
      </c>
      <c r="X177" s="56" t="str" cm="1">
        <f t="array" ref="X177">IF(X146="-","-",INDEX($M$168:$W$173,$B177,MATCH(X146,$M$167:$W$167,0)))</f>
        <v>-</v>
      </c>
      <c r="Y177" s="56" t="str" cm="1">
        <f t="array" ref="Y177">IF(Y146="-","-",INDEX($M$168:$W$173,$B177,MATCH(Y146,$M$167:$W$167,0)))</f>
        <v>-</v>
      </c>
      <c r="Z177" s="56" t="str" cm="1">
        <f t="array" ref="Z177">IF(Z146="-","-",INDEX($M$168:$W$173,$B177,MATCH(Z146,$M$167:$W$167,0)))</f>
        <v>-</v>
      </c>
      <c r="AA177" s="56" t="str" cm="1">
        <f t="array" ref="AA177">IF(AA146="-","-",INDEX($M$168:$W$173,$B177,MATCH(AA146,$M$167:$W$167,0)))</f>
        <v>-</v>
      </c>
      <c r="AB177" s="56" t="str" cm="1">
        <f t="array" ref="AB177">IF(AB146="-","-",INDEX($M$168:$W$173,$B177,MATCH(AB146,$M$167:$W$167,0)))</f>
        <v>-</v>
      </c>
      <c r="AC177" s="56" t="str" cm="1">
        <f t="array" ref="AC177">IF(AC146="-","-",INDEX($M$168:$W$173,$B177,MATCH(AC146,$M$167:$W$167,0)))</f>
        <v>-</v>
      </c>
      <c r="AD177" s="56" t="str" cm="1">
        <f t="array" ref="AD177">IF(AD146="-","-",INDEX($M$168:$W$173,$B177,MATCH(AD146,$M$167:$W$167,0)))</f>
        <v>-</v>
      </c>
      <c r="AE177" s="56" t="str" cm="1">
        <f t="array" ref="AE177">IF(AE146="-","-",INDEX($M$168:$W$173,$B177,MATCH(AE146,$M$167:$W$167,0)))</f>
        <v>-</v>
      </c>
      <c r="AF177" s="74"/>
      <c r="AG177" s="49"/>
      <c r="AR177" s="49"/>
      <c r="AS177" s="49"/>
      <c r="AT177" s="49"/>
      <c r="AU177" s="49"/>
      <c r="AV177" s="49"/>
      <c r="AW177" s="49"/>
    </row>
    <row r="178" spans="2:49" ht="15" customHeight="1" x14ac:dyDescent="0.2">
      <c r="B178" s="214">
        <v>2</v>
      </c>
      <c r="C178" s="214"/>
      <c r="D178" s="214"/>
      <c r="E178" s="218" t="str">
        <f>$E$106</f>
        <v>Transform</v>
      </c>
      <c r="F178" s="218"/>
      <c r="G178" s="218"/>
      <c r="H178" s="218"/>
      <c r="I178" s="218"/>
      <c r="J178" s="218"/>
      <c r="K178" s="218"/>
      <c r="L178" s="218"/>
      <c r="M178" s="220">
        <f>$M$106</f>
        <v>3</v>
      </c>
      <c r="N178" s="220"/>
      <c r="O178" s="220"/>
      <c r="P178" s="220"/>
      <c r="Q178" s="220">
        <f>$Q$106</f>
        <v>3</v>
      </c>
      <c r="R178" s="220"/>
      <c r="S178" s="220"/>
      <c r="T178" s="220"/>
      <c r="U178" s="56" t="str" cm="1">
        <f t="array" ref="U178">IF(U147="-","-",INDEX($M$168:$W$173,$B178,MATCH(U147,$M$167:$W$167,0)))</f>
        <v>None</v>
      </c>
      <c r="V178" s="56" t="str" cm="1">
        <f t="array" ref="V178">IF(V147="-","-",INDEX($M$168:$W$173,$B178,MATCH(V147,$M$167:$W$167,0)))</f>
        <v>Stage to Overtopping Depth (Composite)</v>
      </c>
      <c r="W178" s="56" t="str" cm="1">
        <f t="array" ref="W178">IF(W147="-","-",INDEX($M$168:$W$173,$B178,MATCH(W147,$M$167:$W$167,0)))</f>
        <v>None</v>
      </c>
      <c r="X178" s="56" t="str" cm="1">
        <f t="array" ref="X178">IF(X147="-","-",INDEX($M$168:$W$173,$B178,MATCH(X147,$M$167:$W$167,0)))</f>
        <v>-</v>
      </c>
      <c r="Y178" s="56" t="str" cm="1">
        <f t="array" ref="Y178">IF(Y147="-","-",INDEX($M$168:$W$173,$B178,MATCH(Y147,$M$167:$W$167,0)))</f>
        <v>-</v>
      </c>
      <c r="Z178" s="56" t="str" cm="1">
        <f t="array" ref="Z178">IF(Z147="-","-",INDEX($M$168:$W$173,$B178,MATCH(Z147,$M$167:$W$167,0)))</f>
        <v>-</v>
      </c>
      <c r="AA178" s="56" t="str" cm="1">
        <f t="array" ref="AA178">IF(AA147="-","-",INDEX($M$168:$W$173,$B178,MATCH(AA147,$M$167:$W$167,0)))</f>
        <v>-</v>
      </c>
      <c r="AB178" s="56" t="str" cm="1">
        <f t="array" ref="AB178">IF(AB147="-","-",INDEX($M$168:$W$173,$B178,MATCH(AB147,$M$167:$W$167,0)))</f>
        <v>-</v>
      </c>
      <c r="AC178" s="56" t="str" cm="1">
        <f t="array" ref="AC178">IF(AC147="-","-",INDEX($M$168:$W$173,$B178,MATCH(AC147,$M$167:$W$167,0)))</f>
        <v>-</v>
      </c>
      <c r="AD178" s="56" t="str" cm="1">
        <f t="array" ref="AD178">IF(AD147="-","-",INDEX($M$168:$W$173,$B178,MATCH(AD147,$M$167:$W$167,0)))</f>
        <v>-</v>
      </c>
      <c r="AE178" s="56" t="str" cm="1">
        <f t="array" ref="AE178">IF(AE147="-","-",INDEX($M$168:$W$173,$B178,MATCH(AE147,$M$167:$W$167,0)))</f>
        <v>-</v>
      </c>
      <c r="AF178" s="74"/>
      <c r="AG178" s="49"/>
      <c r="AR178" s="49"/>
      <c r="AS178" s="49"/>
      <c r="AT178" s="49"/>
      <c r="AU178" s="49"/>
      <c r="AV178" s="49"/>
      <c r="AW178" s="49"/>
    </row>
    <row r="179" spans="2:49" ht="15" customHeight="1" x14ac:dyDescent="0.2">
      <c r="B179" s="214">
        <v>3</v>
      </c>
      <c r="C179" s="214"/>
      <c r="D179" s="214"/>
      <c r="E179" s="218" t="str">
        <f>$E$107</f>
        <v>System Response</v>
      </c>
      <c r="F179" s="218"/>
      <c r="G179" s="218"/>
      <c r="H179" s="218"/>
      <c r="I179" s="218"/>
      <c r="J179" s="218"/>
      <c r="K179" s="218"/>
      <c r="L179" s="218"/>
      <c r="M179" s="220">
        <f>$M$107</f>
        <v>1</v>
      </c>
      <c r="N179" s="220"/>
      <c r="O179" s="220"/>
      <c r="P179" s="220"/>
      <c r="Q179" s="220">
        <f>$Q$107</f>
        <v>3</v>
      </c>
      <c r="R179" s="220"/>
      <c r="S179" s="220"/>
      <c r="T179" s="220"/>
      <c r="U179" s="56" t="str" cm="1">
        <f t="array" ref="U179">IF(U148="-","-",INDEX($M$168:$W$173,$B179,MATCH(U148,$M$167:$W$167,0)))</f>
        <v>Non-Fail</v>
      </c>
      <c r="V179" s="56" t="str" cm="1">
        <f t="array" ref="V179">IF(V148="-","-",INDEX($M$168:$W$173,$B179,MATCH(V148,$M$167:$W$167,0)))</f>
        <v>PFM 1
Overtopping</v>
      </c>
      <c r="W179" s="56" t="str" cm="1">
        <f t="array" ref="W179">IF(W148="-","-",INDEX($M$168:$W$173,$B179,MATCH(W148,$M$167:$W$167,0)))</f>
        <v>PFM 2
Backward Erosion Piping</v>
      </c>
      <c r="X179" s="56" t="str" cm="1">
        <f t="array" ref="X179">IF(X148="-","-",INDEX($M$168:$W$173,$B179,MATCH(X148,$M$167:$W$167,0)))</f>
        <v>-</v>
      </c>
      <c r="Y179" s="56" t="str" cm="1">
        <f t="array" ref="Y179">IF(Y148="-","-",INDEX($M$168:$W$173,$B179,MATCH(Y148,$M$167:$W$167,0)))</f>
        <v>-</v>
      </c>
      <c r="Z179" s="56" t="str" cm="1">
        <f t="array" ref="Z179">IF(Z148="-","-",INDEX($M$168:$W$173,$B179,MATCH(Z148,$M$167:$W$167,0)))</f>
        <v>-</v>
      </c>
      <c r="AA179" s="56" t="str" cm="1">
        <f t="array" ref="AA179">IF(AA148="-","-",INDEX($M$168:$W$173,$B179,MATCH(AA148,$M$167:$W$167,0)))</f>
        <v>-</v>
      </c>
      <c r="AB179" s="56" t="str" cm="1">
        <f t="array" ref="AB179">IF(AB148="-","-",INDEX($M$168:$W$173,$B179,MATCH(AB148,$M$167:$W$167,0)))</f>
        <v>-</v>
      </c>
      <c r="AC179" s="56" t="str" cm="1">
        <f t="array" ref="AC179">IF(AC148="-","-",INDEX($M$168:$W$173,$B179,MATCH(AC148,$M$167:$W$167,0)))</f>
        <v>-</v>
      </c>
      <c r="AD179" s="56" t="str" cm="1">
        <f t="array" ref="AD179">IF(AD148="-","-",INDEX($M$168:$W$173,$B179,MATCH(AD148,$M$167:$W$167,0)))</f>
        <v>-</v>
      </c>
      <c r="AE179" s="56" t="str" cm="1">
        <f t="array" ref="AE179">IF(AE148="-","-",INDEX($M$168:$W$173,$B179,MATCH(AE148,$M$167:$W$167,0)))</f>
        <v>-</v>
      </c>
      <c r="AF179" s="74"/>
      <c r="AG179" s="49"/>
      <c r="AJ179" s="49"/>
      <c r="AR179" s="49"/>
      <c r="AS179" s="49"/>
      <c r="AT179" s="49"/>
      <c r="AU179" s="49"/>
      <c r="AW179" s="49"/>
    </row>
    <row r="180" spans="2:49" ht="15" customHeight="1" x14ac:dyDescent="0.2">
      <c r="B180" s="214">
        <v>4</v>
      </c>
      <c r="C180" s="214"/>
      <c r="D180" s="214"/>
      <c r="E180" s="218" t="str">
        <f>$E$108</f>
        <v>Life Loss</v>
      </c>
      <c r="F180" s="218"/>
      <c r="G180" s="218"/>
      <c r="H180" s="218"/>
      <c r="I180" s="218"/>
      <c r="J180" s="218"/>
      <c r="K180" s="218"/>
      <c r="L180" s="218"/>
      <c r="M180" s="220">
        <f>$M$108</f>
        <v>1</v>
      </c>
      <c r="N180" s="220"/>
      <c r="O180" s="220"/>
      <c r="P180" s="220"/>
      <c r="Q180" s="220">
        <f>$Q$108</f>
        <v>3</v>
      </c>
      <c r="R180" s="220"/>
      <c r="S180" s="220"/>
      <c r="T180" s="220"/>
      <c r="U180" s="56" t="str" cm="1">
        <f t="array" ref="U180">IF(U149="-","-",INDEX($M$168:$W$173,$B180,MATCH(U149,$M$167:$W$167,0)))</f>
        <v>Life Loss (Composite)</v>
      </c>
      <c r="V180" s="56" t="str" cm="1">
        <f t="array" ref="V180">IF(V149="-","-",INDEX($M$168:$W$173,$B180,MATCH(V149,$M$167:$W$167,0)))</f>
        <v>Life Loss (Composite)</v>
      </c>
      <c r="W180" s="56" t="str" cm="1">
        <f t="array" ref="W180">IF(W149="-","-",INDEX($M$168:$W$173,$B180,MATCH(W149,$M$167:$W$167,0)))</f>
        <v>Life Loss (Composite)</v>
      </c>
      <c r="X180" s="56" t="str" cm="1">
        <f t="array" ref="X180">IF(X149="-","-",INDEX($M$168:$W$173,$B180,MATCH(X149,$M$167:$W$167,0)))</f>
        <v>-</v>
      </c>
      <c r="Y180" s="56" t="str" cm="1">
        <f t="array" ref="Y180">IF(Y149="-","-",INDEX($M$168:$W$173,$B180,MATCH(Y149,$M$167:$W$167,0)))</f>
        <v>-</v>
      </c>
      <c r="Z180" s="56" t="str" cm="1">
        <f t="array" ref="Z180">IF(Z149="-","-",INDEX($M$168:$W$173,$B180,MATCH(Z149,$M$167:$W$167,0)))</f>
        <v>-</v>
      </c>
      <c r="AA180" s="56" t="str" cm="1">
        <f t="array" ref="AA180">IF(AA149="-","-",INDEX($M$168:$W$173,$B180,MATCH(AA149,$M$167:$W$167,0)))</f>
        <v>-</v>
      </c>
      <c r="AB180" s="56" t="str" cm="1">
        <f t="array" ref="AB180">IF(AB149="-","-",INDEX($M$168:$W$173,$B180,MATCH(AB149,$M$167:$W$167,0)))</f>
        <v>-</v>
      </c>
      <c r="AC180" s="56" t="str" cm="1">
        <f t="array" ref="AC180">IF(AC149="-","-",INDEX($M$168:$W$173,$B180,MATCH(AC149,$M$167:$W$167,0)))</f>
        <v>-</v>
      </c>
      <c r="AD180" s="56" t="str" cm="1">
        <f t="array" ref="AD180">IF(AD149="-","-",INDEX($M$168:$W$173,$B180,MATCH(AD149,$M$167:$W$167,0)))</f>
        <v>-</v>
      </c>
      <c r="AE180" s="56" t="str" cm="1">
        <f t="array" ref="AE180">IF(AE149="-","-",INDEX($M$168:$W$173,$B180,MATCH(AE149,$M$167:$W$167,0)))</f>
        <v>-</v>
      </c>
      <c r="AF180" s="74"/>
      <c r="AG180" s="49"/>
      <c r="AJ180" s="53"/>
      <c r="AR180" s="49"/>
      <c r="AS180" s="49"/>
      <c r="AT180" s="49"/>
      <c r="AU180" s="49"/>
      <c r="AW180" s="49"/>
    </row>
    <row r="181" spans="2:49" ht="15" customHeight="1" x14ac:dyDescent="0.2">
      <c r="B181" s="214">
        <v>5</v>
      </c>
      <c r="C181" s="214"/>
      <c r="D181" s="214"/>
      <c r="E181" s="218" t="str">
        <f>$E$109</f>
        <v>Economic Cost</v>
      </c>
      <c r="F181" s="218"/>
      <c r="G181" s="218"/>
      <c r="H181" s="218"/>
      <c r="I181" s="218"/>
      <c r="J181" s="218"/>
      <c r="K181" s="218"/>
      <c r="L181" s="218"/>
      <c r="M181" s="220">
        <f>$M$109</f>
        <v>1</v>
      </c>
      <c r="N181" s="220"/>
      <c r="O181" s="220"/>
      <c r="P181" s="220"/>
      <c r="Q181" s="220">
        <f>$Q$109</f>
        <v>3</v>
      </c>
      <c r="R181" s="220"/>
      <c r="S181" s="220"/>
      <c r="T181" s="220"/>
      <c r="U181" s="56" t="str" cm="1">
        <f t="array" ref="U181">IF(U150="-","-",INDEX($M$168:$W$173,$B181,MATCH(U150,$M$167:$W$167,0)))</f>
        <v>Economic Cost</v>
      </c>
      <c r="V181" s="56" t="str" cm="1">
        <f t="array" ref="V181">IF(V150="-","-",INDEX($M$168:$W$173,$B181,MATCH(V150,$M$167:$W$167,0)))</f>
        <v>Economic Cost</v>
      </c>
      <c r="W181" s="56" t="str" cm="1">
        <f t="array" ref="W181">IF(W150="-","-",INDEX($M$168:$W$173,$B181,MATCH(W150,$M$167:$W$167,0)))</f>
        <v>Economic Cost</v>
      </c>
      <c r="X181" s="56" t="str" cm="1">
        <f t="array" ref="X181">IF(X150="-","-",INDEX($M$168:$W$173,$B181,MATCH(X150,$M$167:$W$167,0)))</f>
        <v>-</v>
      </c>
      <c r="Y181" s="56" t="str" cm="1">
        <f t="array" ref="Y181">IF(Y150="-","-",INDEX($M$168:$W$173,$B181,MATCH(Y150,$M$167:$W$167,0)))</f>
        <v>-</v>
      </c>
      <c r="Z181" s="56" t="str" cm="1">
        <f t="array" ref="Z181">IF(Z150="-","-",INDEX($M$168:$W$173,$B181,MATCH(Z150,$M$167:$W$167,0)))</f>
        <v>-</v>
      </c>
      <c r="AA181" s="56" t="str" cm="1">
        <f t="array" ref="AA181">IF(AA150="-","-",INDEX($M$168:$W$173,$B181,MATCH(AA150,$M$167:$W$167,0)))</f>
        <v>-</v>
      </c>
      <c r="AB181" s="56" t="str" cm="1">
        <f t="array" ref="AB181">IF(AB150="-","-",INDEX($M$168:$W$173,$B181,MATCH(AB150,$M$167:$W$167,0)))</f>
        <v>-</v>
      </c>
      <c r="AC181" s="56" t="str" cm="1">
        <f t="array" ref="AC181">IF(AC150="-","-",INDEX($M$168:$W$173,$B181,MATCH(AC150,$M$167:$W$167,0)))</f>
        <v>-</v>
      </c>
      <c r="AD181" s="56" t="str" cm="1">
        <f t="array" ref="AD181">IF(AD150="-","-",INDEX($M$168:$W$173,$B181,MATCH(AD150,$M$167:$W$167,0)))</f>
        <v>-</v>
      </c>
      <c r="AE181" s="56" t="str" cm="1">
        <f t="array" ref="AE181">IF(AE150="-","-",INDEX($M$168:$W$173,$B181,MATCH(AE150,$M$167:$W$167,0)))</f>
        <v>-</v>
      </c>
      <c r="AF181" s="74"/>
      <c r="AG181" s="49"/>
      <c r="AJ181" s="49"/>
      <c r="AR181" s="49"/>
      <c r="AS181" s="49"/>
      <c r="AT181" s="49"/>
      <c r="AU181" s="49"/>
      <c r="AW181" s="49"/>
    </row>
    <row r="182" spans="2:49" ht="15" customHeight="1" x14ac:dyDescent="0.2">
      <c r="B182" s="214">
        <v>6</v>
      </c>
      <c r="C182" s="214"/>
      <c r="D182" s="214"/>
      <c r="E182" s="218" t="str">
        <f>$E$110</f>
        <v>-</v>
      </c>
      <c r="F182" s="218"/>
      <c r="G182" s="218"/>
      <c r="H182" s="218"/>
      <c r="I182" s="218"/>
      <c r="J182" s="218"/>
      <c r="K182" s="218"/>
      <c r="L182" s="218"/>
      <c r="M182" s="220" t="str">
        <f>$M$110</f>
        <v>-</v>
      </c>
      <c r="N182" s="220"/>
      <c r="O182" s="220"/>
      <c r="P182" s="220"/>
      <c r="Q182" s="220" t="str">
        <f>$Q$110</f>
        <v>-</v>
      </c>
      <c r="R182" s="220"/>
      <c r="S182" s="220"/>
      <c r="T182" s="220"/>
      <c r="U182" s="56" t="str" cm="1">
        <f t="array" ref="U182">IF(U151="-","-",INDEX($M$168:$W$173,$B182,MATCH(U151,$M$167:$W$167,0)))</f>
        <v>-</v>
      </c>
      <c r="V182" s="56" t="str" cm="1">
        <f t="array" ref="V182">IF(V151="-","-",INDEX($M$168:$W$173,$B182,MATCH(V151,$M$167:$W$167,0)))</f>
        <v>-</v>
      </c>
      <c r="W182" s="56" t="str" cm="1">
        <f t="array" ref="W182">IF(W151="-","-",INDEX($M$168:$W$173,$B182,MATCH(W151,$M$167:$W$167,0)))</f>
        <v>-</v>
      </c>
      <c r="X182" s="56" t="str" cm="1">
        <f t="array" ref="X182">IF(X151="-","-",INDEX($M$168:$W$173,$B182,MATCH(X151,$M$167:$W$167,0)))</f>
        <v>-</v>
      </c>
      <c r="Y182" s="56" t="str" cm="1">
        <f t="array" ref="Y182">IF(Y151="-","-",INDEX($M$168:$W$173,$B182,MATCH(Y151,$M$167:$W$167,0)))</f>
        <v>-</v>
      </c>
      <c r="Z182" s="56" t="str" cm="1">
        <f t="array" ref="Z182">IF(Z151="-","-",INDEX($M$168:$W$173,$B182,MATCH(Z151,$M$167:$W$167,0)))</f>
        <v>-</v>
      </c>
      <c r="AA182" s="56" t="str" cm="1">
        <f t="array" ref="AA182">IF(AA151="-","-",INDEX($M$168:$W$173,$B182,MATCH(AA151,$M$167:$W$167,0)))</f>
        <v>-</v>
      </c>
      <c r="AB182" s="56" t="str" cm="1">
        <f t="array" ref="AB182">IF(AB151="-","-",INDEX($M$168:$W$173,$B182,MATCH(AB151,$M$167:$W$167,0)))</f>
        <v>-</v>
      </c>
      <c r="AC182" s="56" t="str" cm="1">
        <f t="array" ref="AC182">IF(AC151="-","-",INDEX($M$168:$W$173,$B182,MATCH(AC151,$M$167:$W$167,0)))</f>
        <v>-</v>
      </c>
      <c r="AD182" s="56" t="str" cm="1">
        <f t="array" ref="AD182">IF(AD151="-","-",INDEX($M$168:$W$173,$B182,MATCH(AD151,$M$167:$W$167,0)))</f>
        <v>-</v>
      </c>
      <c r="AE182" s="56" t="str" cm="1">
        <f t="array" ref="AE182">IF(AE151="-","-",INDEX($M$168:$W$173,$B182,MATCH(AE151,$M$167:$W$167,0)))</f>
        <v>-</v>
      </c>
      <c r="AF182" s="74"/>
      <c r="AG182" s="49"/>
      <c r="AH182" s="49"/>
      <c r="AI182" s="49"/>
      <c r="AJ182" s="49"/>
      <c r="AR182" s="49"/>
      <c r="AS182" s="49"/>
      <c r="AT182" s="49"/>
      <c r="AU182" s="49"/>
      <c r="AW182" s="49"/>
    </row>
    <row r="183" spans="2:49" ht="15" customHeight="1" x14ac:dyDescent="0.2">
      <c r="B183" s="53"/>
      <c r="C183" s="53"/>
      <c r="D183" s="53"/>
      <c r="E183" s="49"/>
      <c r="F183" s="49"/>
      <c r="G183" s="49"/>
      <c r="H183" s="49"/>
      <c r="I183" s="49"/>
      <c r="J183" s="49"/>
      <c r="K183" s="49"/>
      <c r="L183" s="49"/>
      <c r="M183" s="49"/>
      <c r="N183" s="49"/>
      <c r="O183" s="49"/>
      <c r="P183" s="49"/>
      <c r="Q183" s="49"/>
      <c r="R183" s="49"/>
      <c r="S183" s="49"/>
      <c r="T183" s="49"/>
      <c r="U183" s="49"/>
      <c r="V183" s="49"/>
      <c r="W183" s="49"/>
      <c r="X183" s="49"/>
      <c r="Y183" s="49"/>
      <c r="Z183" s="49"/>
      <c r="AA183" s="49"/>
      <c r="AB183" s="49"/>
      <c r="AC183" s="49"/>
      <c r="AD183" s="49"/>
      <c r="AE183" s="49"/>
      <c r="AF183" s="49"/>
      <c r="AG183" s="49"/>
      <c r="AH183" s="49"/>
      <c r="AI183" s="49"/>
      <c r="AJ183" s="49"/>
      <c r="AR183" s="49"/>
      <c r="AS183" s="49"/>
      <c r="AT183" s="49"/>
      <c r="AU183" s="49"/>
      <c r="AW183" s="49"/>
    </row>
    <row r="184" spans="2:49" ht="15" customHeight="1" x14ac:dyDescent="0.2">
      <c r="B184" s="50" t="s">
        <v>124</v>
      </c>
      <c r="AJ184" s="49"/>
      <c r="AN184" s="49"/>
      <c r="AO184" s="49"/>
      <c r="AP184" s="49"/>
      <c r="AQ184" s="68"/>
    </row>
    <row r="185" spans="2:49" ht="15" customHeight="1" x14ac:dyDescent="0.2">
      <c r="AJ185" s="49"/>
      <c r="AK185" s="49"/>
      <c r="AL185" s="49"/>
      <c r="AQ185" s="49"/>
    </row>
    <row r="186" spans="2:49" ht="15" customHeight="1" x14ac:dyDescent="0.2">
      <c r="B186" s="59">
        <v>1</v>
      </c>
      <c r="C186" s="59">
        <f t="shared" ref="C186:H187" si="107">B186+1</f>
        <v>2</v>
      </c>
      <c r="D186" s="59">
        <f t="shared" si="107"/>
        <v>3</v>
      </c>
      <c r="E186" s="59">
        <f t="shared" si="107"/>
        <v>4</v>
      </c>
      <c r="F186" s="59">
        <f t="shared" si="107"/>
        <v>5</v>
      </c>
      <c r="G186" s="59">
        <f t="shared" si="107"/>
        <v>6</v>
      </c>
      <c r="H186" s="59">
        <f t="shared" si="107"/>
        <v>7</v>
      </c>
      <c r="I186" s="49"/>
      <c r="J186" s="49"/>
      <c r="K186" s="49"/>
      <c r="L186" s="49"/>
      <c r="M186" s="49"/>
      <c r="N186" s="49"/>
      <c r="O186" s="49"/>
      <c r="P186" s="49"/>
      <c r="Q186" s="49"/>
      <c r="R186" s="49"/>
      <c r="S186" s="49"/>
      <c r="T186" s="49"/>
      <c r="U186" s="49"/>
      <c r="V186" s="49"/>
      <c r="W186" s="49"/>
      <c r="X186" s="49"/>
      <c r="Y186" s="49"/>
      <c r="Z186" s="49"/>
      <c r="AA186" s="49"/>
      <c r="AB186" s="49"/>
      <c r="AC186" s="49"/>
      <c r="AD186" s="49"/>
      <c r="AE186" s="49"/>
      <c r="AF186" s="49"/>
      <c r="AG186" s="49"/>
      <c r="AH186" s="49"/>
      <c r="AI186" s="49"/>
      <c r="AJ186" s="49"/>
      <c r="AK186" s="49"/>
      <c r="AL186" s="49"/>
      <c r="AM186" s="49"/>
      <c r="AN186" s="49"/>
      <c r="AO186" s="49"/>
      <c r="AP186" s="49"/>
      <c r="AQ186" s="49"/>
      <c r="AR186" s="49"/>
      <c r="AS186" s="49"/>
      <c r="AT186" s="49"/>
      <c r="AU186" s="49"/>
      <c r="AW186" s="49"/>
    </row>
    <row r="187" spans="2:49" ht="15" customHeight="1" x14ac:dyDescent="0.2">
      <c r="B187" s="51">
        <v>1</v>
      </c>
      <c r="C187" s="51">
        <f t="shared" si="107"/>
        <v>2</v>
      </c>
      <c r="D187" s="51">
        <f t="shared" si="107"/>
        <v>3</v>
      </c>
      <c r="E187" s="51">
        <f t="shared" si="107"/>
        <v>4</v>
      </c>
      <c r="F187" s="51">
        <f t="shared" si="107"/>
        <v>5</v>
      </c>
      <c r="G187" s="51">
        <f t="shared" si="107"/>
        <v>6</v>
      </c>
      <c r="H187" s="51">
        <f t="shared" si="107"/>
        <v>7</v>
      </c>
      <c r="I187" s="51">
        <f t="shared" ref="I187:V187" si="108">H187+1</f>
        <v>8</v>
      </c>
      <c r="J187" s="51">
        <f t="shared" si="108"/>
        <v>9</v>
      </c>
      <c r="K187" s="51">
        <f t="shared" si="108"/>
        <v>10</v>
      </c>
      <c r="L187" s="51">
        <f t="shared" si="108"/>
        <v>11</v>
      </c>
      <c r="M187" s="51">
        <f t="shared" si="108"/>
        <v>12</v>
      </c>
      <c r="N187" s="51">
        <f t="shared" si="108"/>
        <v>13</v>
      </c>
      <c r="O187" s="51">
        <f t="shared" si="108"/>
        <v>14</v>
      </c>
      <c r="P187" s="51">
        <f t="shared" si="108"/>
        <v>15</v>
      </c>
      <c r="Q187" s="51">
        <f t="shared" si="108"/>
        <v>16</v>
      </c>
      <c r="R187" s="51">
        <f t="shared" si="108"/>
        <v>17</v>
      </c>
      <c r="S187" s="51">
        <f t="shared" si="108"/>
        <v>18</v>
      </c>
      <c r="T187" s="51">
        <f t="shared" si="108"/>
        <v>19</v>
      </c>
      <c r="U187" s="51">
        <f t="shared" si="108"/>
        <v>20</v>
      </c>
      <c r="V187" s="51">
        <f t="shared" si="108"/>
        <v>21</v>
      </c>
      <c r="W187" s="51">
        <v>22</v>
      </c>
      <c r="X187" s="49"/>
      <c r="Y187" s="49"/>
      <c r="Z187" s="49"/>
      <c r="AA187" s="49"/>
      <c r="AB187" s="49"/>
      <c r="AC187" s="49"/>
      <c r="AD187" s="49"/>
      <c r="AE187" s="49"/>
      <c r="AF187" s="49"/>
      <c r="AG187" s="49"/>
      <c r="AH187" s="49"/>
      <c r="AI187" s="49"/>
      <c r="AJ187" s="49"/>
      <c r="AK187" s="49"/>
      <c r="AL187" s="49"/>
      <c r="AM187" s="49"/>
      <c r="AN187" s="49"/>
      <c r="AO187" s="49"/>
      <c r="AP187" s="49"/>
      <c r="AQ187" s="49"/>
      <c r="AR187" s="49"/>
      <c r="AS187" s="49"/>
      <c r="AT187" s="49"/>
      <c r="AU187" s="49"/>
      <c r="AW187" s="49"/>
    </row>
    <row r="188" spans="2:49" ht="15" customHeight="1" x14ac:dyDescent="0.2"/>
    <row r="189" spans="2:49" ht="15" customHeight="1" x14ac:dyDescent="0.2">
      <c r="B189" s="50" t="s">
        <v>125</v>
      </c>
      <c r="C189" s="49"/>
      <c r="D189" s="49"/>
      <c r="E189" s="49"/>
      <c r="F189" s="49"/>
      <c r="G189" s="49"/>
      <c r="H189" s="49"/>
      <c r="I189" s="49"/>
      <c r="J189" s="49"/>
      <c r="K189" s="49"/>
      <c r="L189" s="49"/>
      <c r="M189" s="49"/>
      <c r="N189" s="49"/>
      <c r="O189" s="49"/>
      <c r="P189" s="49"/>
      <c r="Q189" s="49"/>
      <c r="R189" s="49"/>
      <c r="S189" s="49"/>
      <c r="T189" s="49"/>
      <c r="U189" s="49"/>
      <c r="V189" s="49"/>
      <c r="W189" s="49"/>
      <c r="X189" s="49"/>
      <c r="Y189" s="49"/>
      <c r="Z189" s="49"/>
      <c r="AA189" s="49"/>
      <c r="AB189" s="49"/>
      <c r="AC189" s="49"/>
      <c r="AD189" s="49"/>
      <c r="AE189" s="49"/>
      <c r="AF189" s="49"/>
      <c r="AG189" s="49"/>
      <c r="AH189" s="49"/>
      <c r="AI189" s="49"/>
      <c r="AJ189" s="49"/>
      <c r="AK189" s="49"/>
      <c r="AL189" s="49"/>
      <c r="AM189" s="49"/>
      <c r="AN189" s="49"/>
      <c r="AO189" s="49"/>
      <c r="AP189" s="49"/>
      <c r="AQ189" s="49"/>
      <c r="AR189" s="49"/>
      <c r="AS189" s="49"/>
      <c r="AT189" s="49"/>
      <c r="AU189" s="49"/>
      <c r="AW189" s="49"/>
    </row>
    <row r="190" spans="2:49" ht="15" customHeight="1" x14ac:dyDescent="0.2"/>
    <row r="191" spans="2:49" ht="15" customHeight="1" x14ac:dyDescent="0.2">
      <c r="B191" s="49"/>
      <c r="C191" s="49"/>
      <c r="D191" s="49"/>
      <c r="M191" s="49"/>
      <c r="N191" s="49"/>
      <c r="O191" s="49"/>
      <c r="P191" s="49"/>
      <c r="Q191" s="49"/>
      <c r="R191" s="49"/>
      <c r="S191" s="49"/>
      <c r="T191" s="49"/>
      <c r="U191" s="51">
        <v>10</v>
      </c>
      <c r="V191" s="51">
        <f>U191+5</f>
        <v>15</v>
      </c>
      <c r="W191" s="51">
        <f t="shared" ref="W191:AE191" si="109">V191+5</f>
        <v>20</v>
      </c>
      <c r="X191" s="51">
        <f t="shared" si="109"/>
        <v>25</v>
      </c>
      <c r="Y191" s="51">
        <f t="shared" si="109"/>
        <v>30</v>
      </c>
      <c r="Z191" s="51">
        <f t="shared" si="109"/>
        <v>35</v>
      </c>
      <c r="AA191" s="51">
        <f t="shared" si="109"/>
        <v>40</v>
      </c>
      <c r="AB191" s="51">
        <f t="shared" si="109"/>
        <v>45</v>
      </c>
      <c r="AC191" s="51">
        <f t="shared" si="109"/>
        <v>50</v>
      </c>
      <c r="AD191" s="51">
        <f t="shared" si="109"/>
        <v>55</v>
      </c>
      <c r="AE191" s="51">
        <f t="shared" si="109"/>
        <v>60</v>
      </c>
      <c r="AF191" s="74"/>
      <c r="AG191" s="49"/>
      <c r="AH191" s="49"/>
      <c r="AI191" s="49"/>
      <c r="AJ191" s="49"/>
      <c r="AK191" s="49"/>
      <c r="AL191" s="49"/>
      <c r="AM191" s="49"/>
      <c r="AN191" s="49"/>
      <c r="AO191" s="49"/>
      <c r="AP191" s="49"/>
      <c r="AQ191" s="49"/>
      <c r="AR191" s="49"/>
      <c r="AS191" s="49"/>
      <c r="AT191" s="49"/>
      <c r="AU191" s="49"/>
      <c r="AW191" s="49"/>
    </row>
    <row r="192" spans="2:49" ht="15" customHeight="1" x14ac:dyDescent="0.2">
      <c r="B192" s="214" t="s">
        <v>98</v>
      </c>
      <c r="C192" s="214"/>
      <c r="D192" s="214"/>
      <c r="E192" s="218" t="s">
        <v>147</v>
      </c>
      <c r="F192" s="218"/>
      <c r="G192" s="218"/>
      <c r="H192" s="218"/>
      <c r="I192" s="218"/>
      <c r="J192" s="218"/>
      <c r="K192" s="218"/>
      <c r="L192" s="218"/>
      <c r="M192" s="218" t="s">
        <v>97</v>
      </c>
      <c r="N192" s="218"/>
      <c r="O192" s="218"/>
      <c r="P192" s="218"/>
      <c r="Q192" s="218" t="s">
        <v>118</v>
      </c>
      <c r="R192" s="218"/>
      <c r="S192" s="218"/>
      <c r="T192" s="218"/>
      <c r="U192" s="52">
        <v>1</v>
      </c>
      <c r="V192" s="52">
        <v>2</v>
      </c>
      <c r="W192" s="52">
        <v>3</v>
      </c>
      <c r="X192" s="52">
        <v>4</v>
      </c>
      <c r="Y192" s="52">
        <v>5</v>
      </c>
      <c r="Z192" s="52">
        <v>6</v>
      </c>
      <c r="AA192" s="52">
        <v>7</v>
      </c>
      <c r="AB192" s="52">
        <v>8</v>
      </c>
      <c r="AC192" s="52">
        <v>9</v>
      </c>
      <c r="AD192" s="52">
        <v>10</v>
      </c>
      <c r="AE192" s="52">
        <v>11</v>
      </c>
      <c r="AF192" s="75"/>
      <c r="AG192" s="53"/>
      <c r="AH192" s="53"/>
      <c r="AI192" s="53"/>
      <c r="AJ192" s="53"/>
      <c r="AK192" s="53"/>
      <c r="AL192" s="53"/>
      <c r="AM192" s="53"/>
      <c r="AN192" s="53"/>
      <c r="AO192" s="53"/>
      <c r="AP192" s="53"/>
      <c r="AQ192" s="53"/>
      <c r="AR192" s="53"/>
      <c r="AS192" s="53"/>
      <c r="AT192" s="53"/>
      <c r="AU192" s="53"/>
      <c r="AW192" s="53"/>
    </row>
    <row r="193" spans="2:49" ht="15" customHeight="1" x14ac:dyDescent="0.2">
      <c r="B193" s="214">
        <v>1</v>
      </c>
      <c r="C193" s="214"/>
      <c r="D193" s="214"/>
      <c r="E193" s="218" t="str">
        <f>$E$105</f>
        <v>Hazard</v>
      </c>
      <c r="F193" s="218"/>
      <c r="G193" s="218"/>
      <c r="H193" s="218"/>
      <c r="I193" s="218"/>
      <c r="J193" s="218"/>
      <c r="K193" s="218"/>
      <c r="L193" s="218"/>
      <c r="M193" s="220">
        <f>$M$105</f>
        <v>1</v>
      </c>
      <c r="N193" s="220"/>
      <c r="O193" s="220"/>
      <c r="P193" s="220"/>
      <c r="Q193" s="220">
        <f>$Q$105</f>
        <v>1</v>
      </c>
      <c r="R193" s="220"/>
      <c r="S193" s="220"/>
      <c r="T193" s="220"/>
      <c r="U193" s="51" t="str">
        <f>IF(OR($E193="Secondary Hazard",$E193="Transform"),IF(U146=1,"+","-"),IF(OR($E193="Life Loss",$E193="Economic Cost"),IF(ISNUMBER(U146),"+","-"),"-"))</f>
        <v>-</v>
      </c>
      <c r="V193" s="51" t="str">
        <f t="shared" ref="V193:AE193" si="110">IF(OR($E193="Secondary Hazard",$E193="Transform"),IF(V146=1,"+","-"),IF(OR($E193="Life Loss",$E193="Economic Cost"),IF(ISNUMBER(V146),"+","-"),"-"))</f>
        <v>-</v>
      </c>
      <c r="W193" s="51" t="str">
        <f t="shared" si="110"/>
        <v>-</v>
      </c>
      <c r="X193" s="51" t="str">
        <f t="shared" si="110"/>
        <v>-</v>
      </c>
      <c r="Y193" s="51" t="str">
        <f t="shared" si="110"/>
        <v>-</v>
      </c>
      <c r="Z193" s="51" t="str">
        <f t="shared" si="110"/>
        <v>-</v>
      </c>
      <c r="AA193" s="51" t="str">
        <f t="shared" si="110"/>
        <v>-</v>
      </c>
      <c r="AB193" s="51" t="str">
        <f t="shared" si="110"/>
        <v>-</v>
      </c>
      <c r="AC193" s="51" t="str">
        <f t="shared" si="110"/>
        <v>-</v>
      </c>
      <c r="AD193" s="51" t="str">
        <f t="shared" si="110"/>
        <v>-</v>
      </c>
      <c r="AE193" s="51" t="str">
        <f t="shared" si="110"/>
        <v>-</v>
      </c>
      <c r="AF193" s="74"/>
      <c r="AG193" s="49"/>
      <c r="AH193" s="49"/>
      <c r="AI193" s="49"/>
      <c r="AJ193" s="49"/>
      <c r="AK193" s="49"/>
      <c r="AL193" s="49"/>
      <c r="AM193" s="49"/>
      <c r="AN193" s="49"/>
      <c r="AO193" s="49"/>
      <c r="AP193" s="49"/>
      <c r="AQ193" s="49"/>
      <c r="AR193" s="49"/>
      <c r="AS193" s="68"/>
      <c r="AT193" s="49"/>
      <c r="AU193" s="49"/>
      <c r="AW193" s="49"/>
    </row>
    <row r="194" spans="2:49" ht="15" customHeight="1" x14ac:dyDescent="0.2">
      <c r="B194" s="214">
        <v>2</v>
      </c>
      <c r="C194" s="214"/>
      <c r="D194" s="214"/>
      <c r="E194" s="218" t="str">
        <f>$E$106</f>
        <v>Transform</v>
      </c>
      <c r="F194" s="218"/>
      <c r="G194" s="218"/>
      <c r="H194" s="218"/>
      <c r="I194" s="218"/>
      <c r="J194" s="218"/>
      <c r="K194" s="218"/>
      <c r="L194" s="218"/>
      <c r="M194" s="220">
        <f>$M$106</f>
        <v>3</v>
      </c>
      <c r="N194" s="220"/>
      <c r="O194" s="220"/>
      <c r="P194" s="220"/>
      <c r="Q194" s="220">
        <f>$Q$106</f>
        <v>3</v>
      </c>
      <c r="R194" s="220"/>
      <c r="S194" s="220"/>
      <c r="T194" s="220"/>
      <c r="U194" s="51" t="str">
        <f t="shared" ref="U194:AE194" si="111">IF(OR($E194="Secondary Hazard",$E194="Transform"),IF(U147=1,"+","-"),IF(OR($E194="Life Loss",$E194="Economic Cost"),IF(ISNUMBER(U147),"+","-"),"-"))</f>
        <v>+</v>
      </c>
      <c r="V194" s="51" t="str">
        <f t="shared" si="111"/>
        <v>-</v>
      </c>
      <c r="W194" s="51" t="str">
        <f t="shared" si="111"/>
        <v>-</v>
      </c>
      <c r="X194" s="51" t="str">
        <f t="shared" si="111"/>
        <v>-</v>
      </c>
      <c r="Y194" s="51" t="str">
        <f t="shared" si="111"/>
        <v>-</v>
      </c>
      <c r="Z194" s="51" t="str">
        <f t="shared" si="111"/>
        <v>-</v>
      </c>
      <c r="AA194" s="51" t="str">
        <f t="shared" si="111"/>
        <v>-</v>
      </c>
      <c r="AB194" s="51" t="str">
        <f t="shared" si="111"/>
        <v>-</v>
      </c>
      <c r="AC194" s="51" t="str">
        <f t="shared" si="111"/>
        <v>-</v>
      </c>
      <c r="AD194" s="51" t="str">
        <f t="shared" si="111"/>
        <v>-</v>
      </c>
      <c r="AE194" s="51" t="str">
        <f t="shared" si="111"/>
        <v>-</v>
      </c>
      <c r="AF194" s="74"/>
      <c r="AG194" s="49"/>
      <c r="AH194" s="49"/>
      <c r="AI194" s="49"/>
      <c r="AJ194" s="49"/>
      <c r="AK194" s="49"/>
      <c r="AL194" s="49"/>
      <c r="AM194" s="49"/>
      <c r="AN194" s="49"/>
      <c r="AO194" s="49"/>
      <c r="AP194" s="49"/>
      <c r="AQ194" s="49"/>
      <c r="AR194" s="49"/>
      <c r="AS194" s="68"/>
      <c r="AT194" s="49"/>
      <c r="AU194" s="49"/>
      <c r="AW194" s="49"/>
    </row>
    <row r="195" spans="2:49" ht="15" customHeight="1" x14ac:dyDescent="0.2">
      <c r="B195" s="214">
        <v>3</v>
      </c>
      <c r="C195" s="214"/>
      <c r="D195" s="214"/>
      <c r="E195" s="218" t="str">
        <f>$E$107</f>
        <v>System Response</v>
      </c>
      <c r="F195" s="218"/>
      <c r="G195" s="218"/>
      <c r="H195" s="218"/>
      <c r="I195" s="218"/>
      <c r="J195" s="218"/>
      <c r="K195" s="218"/>
      <c r="L195" s="218"/>
      <c r="M195" s="220">
        <f>$M$107</f>
        <v>1</v>
      </c>
      <c r="N195" s="220"/>
      <c r="O195" s="220"/>
      <c r="P195" s="220"/>
      <c r="Q195" s="220">
        <f>$Q$107</f>
        <v>3</v>
      </c>
      <c r="R195" s="220"/>
      <c r="S195" s="220"/>
      <c r="T195" s="220"/>
      <c r="U195" s="51" t="str">
        <f t="shared" ref="U195:AE195" si="112">IF(OR($E195="Secondary Hazard",$E195="Transform"),IF(U148=1,"+","-"),IF(OR($E195="Life Loss",$E195="Economic Cost"),IF(ISNUMBER(U148),"+","-"),"-"))</f>
        <v>-</v>
      </c>
      <c r="V195" s="51" t="str">
        <f t="shared" si="112"/>
        <v>-</v>
      </c>
      <c r="W195" s="51" t="str">
        <f t="shared" si="112"/>
        <v>-</v>
      </c>
      <c r="X195" s="51" t="str">
        <f t="shared" si="112"/>
        <v>-</v>
      </c>
      <c r="Y195" s="51" t="str">
        <f t="shared" si="112"/>
        <v>-</v>
      </c>
      <c r="Z195" s="51" t="str">
        <f t="shared" si="112"/>
        <v>-</v>
      </c>
      <c r="AA195" s="51" t="str">
        <f t="shared" si="112"/>
        <v>-</v>
      </c>
      <c r="AB195" s="51" t="str">
        <f t="shared" si="112"/>
        <v>-</v>
      </c>
      <c r="AC195" s="51" t="str">
        <f t="shared" si="112"/>
        <v>-</v>
      </c>
      <c r="AD195" s="51" t="str">
        <f t="shared" si="112"/>
        <v>-</v>
      </c>
      <c r="AE195" s="51" t="str">
        <f t="shared" si="112"/>
        <v>-</v>
      </c>
      <c r="AF195" s="74"/>
      <c r="AG195" s="49"/>
      <c r="AH195" s="49"/>
      <c r="AI195" s="49"/>
      <c r="AJ195" s="49"/>
      <c r="AK195" s="49"/>
      <c r="AL195" s="49"/>
      <c r="AM195" s="49"/>
      <c r="AN195" s="49"/>
      <c r="AO195" s="49"/>
      <c r="AP195" s="49"/>
      <c r="AQ195" s="49"/>
      <c r="AR195" s="49"/>
      <c r="AS195" s="68"/>
      <c r="AT195" s="49"/>
      <c r="AU195" s="49"/>
      <c r="AW195" s="49"/>
    </row>
    <row r="196" spans="2:49" ht="15" customHeight="1" x14ac:dyDescent="0.2">
      <c r="B196" s="214">
        <v>4</v>
      </c>
      <c r="C196" s="214"/>
      <c r="D196" s="214"/>
      <c r="E196" s="218" t="str">
        <f>$E$108</f>
        <v>Life Loss</v>
      </c>
      <c r="F196" s="218"/>
      <c r="G196" s="218"/>
      <c r="H196" s="218"/>
      <c r="I196" s="218"/>
      <c r="J196" s="218"/>
      <c r="K196" s="218"/>
      <c r="L196" s="218"/>
      <c r="M196" s="220">
        <f>$M$108</f>
        <v>1</v>
      </c>
      <c r="N196" s="220"/>
      <c r="O196" s="220"/>
      <c r="P196" s="220"/>
      <c r="Q196" s="220">
        <f>$Q$108</f>
        <v>3</v>
      </c>
      <c r="R196" s="220"/>
      <c r="S196" s="220"/>
      <c r="T196" s="220"/>
      <c r="U196" s="51" t="str">
        <f t="shared" ref="U196:AE196" si="113">IF(OR($E196="Secondary Hazard",$E196="Transform"),IF(U149=1,"+","-"),IF(OR($E196="Life Loss",$E196="Economic Cost"),IF(ISNUMBER(U149),"+","-"),"-"))</f>
        <v>+</v>
      </c>
      <c r="V196" s="51" t="str">
        <f t="shared" si="113"/>
        <v>+</v>
      </c>
      <c r="W196" s="51" t="str">
        <f t="shared" si="113"/>
        <v>+</v>
      </c>
      <c r="X196" s="51" t="str">
        <f t="shared" si="113"/>
        <v>-</v>
      </c>
      <c r="Y196" s="51" t="str">
        <f t="shared" si="113"/>
        <v>-</v>
      </c>
      <c r="Z196" s="51" t="str">
        <f t="shared" si="113"/>
        <v>-</v>
      </c>
      <c r="AA196" s="51" t="str">
        <f t="shared" si="113"/>
        <v>-</v>
      </c>
      <c r="AB196" s="51" t="str">
        <f t="shared" si="113"/>
        <v>-</v>
      </c>
      <c r="AC196" s="51" t="str">
        <f t="shared" si="113"/>
        <v>-</v>
      </c>
      <c r="AD196" s="51" t="str">
        <f t="shared" si="113"/>
        <v>-</v>
      </c>
      <c r="AE196" s="51" t="str">
        <f t="shared" si="113"/>
        <v>-</v>
      </c>
      <c r="AF196" s="74"/>
      <c r="AG196" s="49"/>
      <c r="AH196" s="49"/>
      <c r="AI196" s="49"/>
      <c r="AJ196" s="49"/>
      <c r="AK196" s="49"/>
      <c r="AL196" s="49"/>
      <c r="AM196" s="49"/>
      <c r="AN196" s="49"/>
      <c r="AO196" s="49"/>
      <c r="AP196" s="49"/>
      <c r="AQ196" s="49"/>
      <c r="AR196" s="49"/>
      <c r="AS196" s="68"/>
      <c r="AT196" s="49"/>
      <c r="AU196" s="49"/>
      <c r="AW196" s="49"/>
    </row>
    <row r="197" spans="2:49" ht="15" customHeight="1" x14ac:dyDescent="0.2">
      <c r="B197" s="214">
        <v>5</v>
      </c>
      <c r="C197" s="214"/>
      <c r="D197" s="214"/>
      <c r="E197" s="218" t="str">
        <f>$E$109</f>
        <v>Economic Cost</v>
      </c>
      <c r="F197" s="218"/>
      <c r="G197" s="218"/>
      <c r="H197" s="218"/>
      <c r="I197" s="218"/>
      <c r="J197" s="218"/>
      <c r="K197" s="218"/>
      <c r="L197" s="218"/>
      <c r="M197" s="220">
        <f>$M$109</f>
        <v>1</v>
      </c>
      <c r="N197" s="220"/>
      <c r="O197" s="220"/>
      <c r="P197" s="220"/>
      <c r="Q197" s="220">
        <f>$Q$109</f>
        <v>3</v>
      </c>
      <c r="R197" s="220"/>
      <c r="S197" s="220"/>
      <c r="T197" s="220"/>
      <c r="U197" s="51" t="str">
        <f t="shared" ref="U197:AE197" si="114">IF(OR($E197="Secondary Hazard",$E197="Transform"),IF(U150=1,"+","-"),IF(OR($E197="Life Loss",$E197="Economic Cost"),IF(ISNUMBER(U150),"+","-"),"-"))</f>
        <v>+</v>
      </c>
      <c r="V197" s="51" t="str">
        <f t="shared" si="114"/>
        <v>+</v>
      </c>
      <c r="W197" s="51" t="str">
        <f t="shared" si="114"/>
        <v>+</v>
      </c>
      <c r="X197" s="51" t="str">
        <f t="shared" si="114"/>
        <v>-</v>
      </c>
      <c r="Y197" s="51" t="str">
        <f t="shared" si="114"/>
        <v>-</v>
      </c>
      <c r="Z197" s="51" t="str">
        <f t="shared" si="114"/>
        <v>-</v>
      </c>
      <c r="AA197" s="51" t="str">
        <f t="shared" si="114"/>
        <v>-</v>
      </c>
      <c r="AB197" s="51" t="str">
        <f t="shared" si="114"/>
        <v>-</v>
      </c>
      <c r="AC197" s="51" t="str">
        <f t="shared" si="114"/>
        <v>-</v>
      </c>
      <c r="AD197" s="51" t="str">
        <f t="shared" si="114"/>
        <v>-</v>
      </c>
      <c r="AE197" s="51" t="str">
        <f t="shared" si="114"/>
        <v>-</v>
      </c>
      <c r="AF197" s="74"/>
      <c r="AG197" s="49"/>
      <c r="AH197" s="49"/>
      <c r="AI197" s="49"/>
      <c r="AJ197" s="49"/>
      <c r="AK197" s="49"/>
      <c r="AL197" s="49"/>
      <c r="AM197" s="49"/>
      <c r="AN197" s="49"/>
      <c r="AO197" s="49"/>
      <c r="AP197" s="49"/>
      <c r="AQ197" s="49"/>
      <c r="AR197" s="49"/>
      <c r="AS197" s="68"/>
      <c r="AT197" s="49"/>
      <c r="AU197" s="49"/>
      <c r="AW197" s="49"/>
    </row>
    <row r="198" spans="2:49" ht="15" customHeight="1" x14ac:dyDescent="0.2">
      <c r="B198" s="214">
        <v>6</v>
      </c>
      <c r="C198" s="214"/>
      <c r="D198" s="214"/>
      <c r="E198" s="218" t="str">
        <f>$E$110</f>
        <v>-</v>
      </c>
      <c r="F198" s="218"/>
      <c r="G198" s="218"/>
      <c r="H198" s="218"/>
      <c r="I198" s="218"/>
      <c r="J198" s="218"/>
      <c r="K198" s="218"/>
      <c r="L198" s="218"/>
      <c r="M198" s="220" t="str">
        <f>$M$110</f>
        <v>-</v>
      </c>
      <c r="N198" s="220"/>
      <c r="O198" s="220"/>
      <c r="P198" s="220"/>
      <c r="Q198" s="220" t="str">
        <f>$Q$110</f>
        <v>-</v>
      </c>
      <c r="R198" s="220"/>
      <c r="S198" s="220"/>
      <c r="T198" s="220"/>
      <c r="U198" s="51" t="str">
        <f t="shared" ref="U198:AE198" si="115">IF(OR($E198="Secondary Hazard",$E198="Transform"),IF(U151=1,"+","-"),IF(OR($E198="Life Loss",$E198="Economic Cost"),IF(ISNUMBER(U151),"+","-"),"-"))</f>
        <v>-</v>
      </c>
      <c r="V198" s="51" t="str">
        <f t="shared" si="115"/>
        <v>-</v>
      </c>
      <c r="W198" s="51" t="str">
        <f t="shared" si="115"/>
        <v>-</v>
      </c>
      <c r="X198" s="51" t="str">
        <f t="shared" si="115"/>
        <v>-</v>
      </c>
      <c r="Y198" s="51" t="str">
        <f t="shared" si="115"/>
        <v>-</v>
      </c>
      <c r="Z198" s="51" t="str">
        <f t="shared" si="115"/>
        <v>-</v>
      </c>
      <c r="AA198" s="51" t="str">
        <f t="shared" si="115"/>
        <v>-</v>
      </c>
      <c r="AB198" s="51" t="str">
        <f t="shared" si="115"/>
        <v>-</v>
      </c>
      <c r="AC198" s="51" t="str">
        <f t="shared" si="115"/>
        <v>-</v>
      </c>
      <c r="AD198" s="51" t="str">
        <f t="shared" si="115"/>
        <v>-</v>
      </c>
      <c r="AE198" s="51" t="str">
        <f t="shared" si="115"/>
        <v>-</v>
      </c>
      <c r="AF198" s="74"/>
      <c r="AG198" s="49"/>
      <c r="AH198" s="49"/>
      <c r="AI198" s="49"/>
      <c r="AJ198" s="49"/>
      <c r="AK198" s="49"/>
      <c r="AL198" s="49"/>
      <c r="AM198" s="49"/>
      <c r="AN198" s="49"/>
      <c r="AO198" s="49"/>
      <c r="AP198" s="49"/>
      <c r="AQ198" s="49"/>
      <c r="AR198" s="49"/>
      <c r="AS198" s="68"/>
      <c r="AT198" s="49"/>
      <c r="AU198" s="49"/>
      <c r="AW198" s="49"/>
    </row>
    <row r="199" spans="2:49" ht="15" customHeight="1" x14ac:dyDescent="0.2">
      <c r="AS199" s="69"/>
    </row>
    <row r="200" spans="2:49" ht="15" customHeight="1" x14ac:dyDescent="0.2">
      <c r="B200" s="49"/>
      <c r="C200" s="49"/>
      <c r="D200" s="49"/>
      <c r="M200" s="49"/>
      <c r="N200" s="49"/>
      <c r="O200" s="49"/>
      <c r="P200" s="49"/>
      <c r="Q200" s="49"/>
      <c r="R200" s="49"/>
      <c r="S200" s="49"/>
      <c r="T200" s="49"/>
      <c r="U200" s="51">
        <v>10</v>
      </c>
      <c r="V200" s="51">
        <f>U200+5</f>
        <v>15</v>
      </c>
      <c r="W200" s="51">
        <f t="shared" ref="W200:AE200" si="116">V200+5</f>
        <v>20</v>
      </c>
      <c r="X200" s="51">
        <f t="shared" si="116"/>
        <v>25</v>
      </c>
      <c r="Y200" s="51">
        <f t="shared" si="116"/>
        <v>30</v>
      </c>
      <c r="Z200" s="51">
        <f t="shared" si="116"/>
        <v>35</v>
      </c>
      <c r="AA200" s="51">
        <f t="shared" si="116"/>
        <v>40</v>
      </c>
      <c r="AB200" s="51">
        <f t="shared" si="116"/>
        <v>45</v>
      </c>
      <c r="AC200" s="51">
        <f t="shared" si="116"/>
        <v>50</v>
      </c>
      <c r="AD200" s="51">
        <f t="shared" si="116"/>
        <v>55</v>
      </c>
      <c r="AE200" s="51">
        <f t="shared" si="116"/>
        <v>60</v>
      </c>
      <c r="AF200" s="74"/>
      <c r="AG200" s="49"/>
      <c r="AH200" s="49"/>
      <c r="AI200" s="49"/>
      <c r="AJ200" s="49"/>
      <c r="AK200" s="49"/>
      <c r="AL200" s="49"/>
      <c r="AM200" s="49"/>
      <c r="AN200" s="49"/>
      <c r="AO200" s="49"/>
      <c r="AP200" s="49"/>
      <c r="AQ200" s="49"/>
      <c r="AR200" s="49"/>
      <c r="AS200" s="49"/>
      <c r="AT200" s="49"/>
      <c r="AU200" s="49"/>
      <c r="AV200" s="49"/>
      <c r="AW200" s="49"/>
    </row>
    <row r="201" spans="2:49" ht="15" customHeight="1" x14ac:dyDescent="0.2">
      <c r="B201" s="214" t="s">
        <v>98</v>
      </c>
      <c r="C201" s="214"/>
      <c r="D201" s="214"/>
      <c r="E201" s="218" t="s">
        <v>147</v>
      </c>
      <c r="F201" s="218"/>
      <c r="G201" s="218"/>
      <c r="H201" s="218"/>
      <c r="I201" s="218"/>
      <c r="J201" s="218"/>
      <c r="K201" s="218"/>
      <c r="L201" s="218"/>
      <c r="M201" s="218" t="s">
        <v>97</v>
      </c>
      <c r="N201" s="218"/>
      <c r="O201" s="218"/>
      <c r="P201" s="218"/>
      <c r="Q201" s="218" t="s">
        <v>118</v>
      </c>
      <c r="R201" s="218"/>
      <c r="S201" s="218"/>
      <c r="T201" s="218"/>
      <c r="U201" s="52">
        <v>1</v>
      </c>
      <c r="V201" s="52">
        <v>2</v>
      </c>
      <c r="W201" s="52">
        <v>3</v>
      </c>
      <c r="X201" s="52">
        <v>4</v>
      </c>
      <c r="Y201" s="52">
        <v>5</v>
      </c>
      <c r="Z201" s="52">
        <v>6</v>
      </c>
      <c r="AA201" s="52">
        <v>7</v>
      </c>
      <c r="AB201" s="52">
        <v>8</v>
      </c>
      <c r="AC201" s="52">
        <v>9</v>
      </c>
      <c r="AD201" s="52">
        <v>10</v>
      </c>
      <c r="AE201" s="52">
        <v>11</v>
      </c>
      <c r="AF201" s="75"/>
      <c r="AG201" s="53"/>
      <c r="AH201" s="53"/>
      <c r="AI201" s="53"/>
      <c r="AJ201" s="53"/>
      <c r="AK201" s="53"/>
      <c r="AL201" s="53"/>
      <c r="AM201" s="53"/>
      <c r="AN201" s="53"/>
      <c r="AO201" s="53"/>
      <c r="AP201" s="53"/>
      <c r="AQ201" s="53"/>
      <c r="AR201" s="53"/>
      <c r="AS201" s="53"/>
      <c r="AT201" s="53"/>
      <c r="AU201" s="53"/>
      <c r="AV201" s="53"/>
      <c r="AW201" s="53"/>
    </row>
    <row r="202" spans="2:49" ht="15" customHeight="1" x14ac:dyDescent="0.2">
      <c r="B202" s="214">
        <v>1</v>
      </c>
      <c r="C202" s="214"/>
      <c r="D202" s="214"/>
      <c r="E202" s="218" t="str">
        <f>$E$105</f>
        <v>Hazard</v>
      </c>
      <c r="F202" s="218"/>
      <c r="G202" s="218"/>
      <c r="H202" s="218"/>
      <c r="I202" s="218"/>
      <c r="J202" s="218"/>
      <c r="K202" s="218"/>
      <c r="L202" s="218"/>
      <c r="M202" s="220">
        <f>$M$105</f>
        <v>1</v>
      </c>
      <c r="N202" s="220"/>
      <c r="O202" s="220"/>
      <c r="P202" s="220"/>
      <c r="Q202" s="220">
        <f>$Q$105</f>
        <v>1</v>
      </c>
      <c r="R202" s="220"/>
      <c r="S202" s="220"/>
      <c r="T202" s="220"/>
      <c r="U202" s="196"/>
      <c r="V202" s="197"/>
      <c r="W202" s="197"/>
      <c r="X202" s="197"/>
      <c r="Y202" s="197"/>
      <c r="Z202" s="197"/>
      <c r="AA202" s="197"/>
      <c r="AB202" s="197"/>
      <c r="AC202" s="197"/>
      <c r="AD202" s="197"/>
      <c r="AE202" s="198"/>
      <c r="AF202" s="74"/>
      <c r="AG202" s="49"/>
      <c r="AH202" s="49"/>
      <c r="AI202" s="49"/>
      <c r="AJ202" s="49"/>
      <c r="AK202" s="49"/>
      <c r="AL202" s="49"/>
      <c r="AM202" s="49"/>
      <c r="AN202" s="49"/>
      <c r="AO202" s="49"/>
      <c r="AP202" s="49"/>
      <c r="AQ202" s="49"/>
      <c r="AR202" s="49"/>
      <c r="AS202" s="49"/>
      <c r="AT202" s="49"/>
      <c r="AU202" s="49"/>
      <c r="AV202" s="49"/>
      <c r="AW202" s="49"/>
    </row>
    <row r="203" spans="2:49" ht="15" customHeight="1" x14ac:dyDescent="0.2">
      <c r="B203" s="214">
        <v>2</v>
      </c>
      <c r="C203" s="214"/>
      <c r="D203" s="214"/>
      <c r="E203" s="218" t="str">
        <f>$E$106</f>
        <v>Transform</v>
      </c>
      <c r="F203" s="218"/>
      <c r="G203" s="218"/>
      <c r="H203" s="218"/>
      <c r="I203" s="218"/>
      <c r="J203" s="218"/>
      <c r="K203" s="218"/>
      <c r="L203" s="218"/>
      <c r="M203" s="220">
        <f>$M$106</f>
        <v>3</v>
      </c>
      <c r="N203" s="220"/>
      <c r="O203" s="220"/>
      <c r="P203" s="220"/>
      <c r="Q203" s="220">
        <f>$Q$106</f>
        <v>3</v>
      </c>
      <c r="R203" s="220"/>
      <c r="S203" s="220"/>
      <c r="T203" s="220"/>
      <c r="U203" s="51">
        <v>1</v>
      </c>
      <c r="V203" s="51">
        <f>U203+1</f>
        <v>2</v>
      </c>
      <c r="W203" s="51">
        <f t="shared" ref="W203:AE203" si="117">V203+1</f>
        <v>3</v>
      </c>
      <c r="X203" s="51">
        <f t="shared" si="117"/>
        <v>4</v>
      </c>
      <c r="Y203" s="51">
        <f t="shared" si="117"/>
        <v>5</v>
      </c>
      <c r="Z203" s="51">
        <f t="shared" si="117"/>
        <v>6</v>
      </c>
      <c r="AA203" s="51">
        <f t="shared" si="117"/>
        <v>7</v>
      </c>
      <c r="AB203" s="51">
        <f t="shared" si="117"/>
        <v>8</v>
      </c>
      <c r="AC203" s="51">
        <f t="shared" si="117"/>
        <v>9</v>
      </c>
      <c r="AD203" s="51">
        <f t="shared" si="117"/>
        <v>10</v>
      </c>
      <c r="AE203" s="51">
        <f t="shared" si="117"/>
        <v>11</v>
      </c>
      <c r="AF203" s="74"/>
      <c r="AG203" s="49"/>
      <c r="AH203" s="49"/>
      <c r="AI203" s="49"/>
      <c r="AJ203" s="49"/>
      <c r="AK203" s="49"/>
      <c r="AL203" s="49"/>
      <c r="AM203" s="49"/>
      <c r="AN203" s="49"/>
      <c r="AO203" s="49"/>
      <c r="AP203" s="49"/>
      <c r="AQ203" s="49"/>
      <c r="AR203" s="49"/>
      <c r="AS203" s="49"/>
      <c r="AT203" s="49"/>
      <c r="AU203" s="49"/>
      <c r="AV203" s="49"/>
      <c r="AW203" s="49"/>
    </row>
    <row r="204" spans="2:49" ht="15" customHeight="1" x14ac:dyDescent="0.2">
      <c r="B204" s="214">
        <v>3</v>
      </c>
      <c r="C204" s="214"/>
      <c r="D204" s="214"/>
      <c r="E204" s="218" t="str">
        <f>$E$107</f>
        <v>System Response</v>
      </c>
      <c r="F204" s="218"/>
      <c r="G204" s="218"/>
      <c r="H204" s="218"/>
      <c r="I204" s="218"/>
      <c r="J204" s="218"/>
      <c r="K204" s="218"/>
      <c r="L204" s="218"/>
      <c r="M204" s="220">
        <f>$M$107</f>
        <v>1</v>
      </c>
      <c r="N204" s="220"/>
      <c r="O204" s="220"/>
      <c r="P204" s="220"/>
      <c r="Q204" s="220">
        <f>$Q$107</f>
        <v>3</v>
      </c>
      <c r="R204" s="220"/>
      <c r="S204" s="220"/>
      <c r="T204" s="220"/>
      <c r="U204" s="51">
        <f>AE203+1</f>
        <v>12</v>
      </c>
      <c r="V204" s="51">
        <f t="shared" ref="V204:AE207" si="118">U204+1</f>
        <v>13</v>
      </c>
      <c r="W204" s="51">
        <f t="shared" si="118"/>
        <v>14</v>
      </c>
      <c r="X204" s="51">
        <f t="shared" si="118"/>
        <v>15</v>
      </c>
      <c r="Y204" s="51">
        <f t="shared" si="118"/>
        <v>16</v>
      </c>
      <c r="Z204" s="51">
        <f t="shared" si="118"/>
        <v>17</v>
      </c>
      <c r="AA204" s="51">
        <f t="shared" si="118"/>
        <v>18</v>
      </c>
      <c r="AB204" s="51">
        <f t="shared" si="118"/>
        <v>19</v>
      </c>
      <c r="AC204" s="51">
        <f t="shared" si="118"/>
        <v>20</v>
      </c>
      <c r="AD204" s="51">
        <f t="shared" si="118"/>
        <v>21</v>
      </c>
      <c r="AE204" s="51">
        <f t="shared" si="118"/>
        <v>22</v>
      </c>
      <c r="AF204" s="74"/>
      <c r="AG204" s="49"/>
      <c r="AH204" s="49"/>
      <c r="AI204" s="49"/>
      <c r="AJ204" s="49"/>
      <c r="AK204" s="49"/>
      <c r="AL204" s="49"/>
      <c r="AM204" s="49"/>
      <c r="AN204" s="49"/>
      <c r="AO204" s="49"/>
      <c r="AP204" s="49"/>
      <c r="AQ204" s="49"/>
      <c r="AR204" s="49"/>
      <c r="AS204" s="49"/>
      <c r="AT204" s="49"/>
      <c r="AU204" s="49"/>
      <c r="AV204" s="49"/>
      <c r="AW204" s="49"/>
    </row>
    <row r="205" spans="2:49" ht="15" customHeight="1" x14ac:dyDescent="0.2">
      <c r="B205" s="214">
        <v>4</v>
      </c>
      <c r="C205" s="214"/>
      <c r="D205" s="214"/>
      <c r="E205" s="218" t="str">
        <f>$E$108</f>
        <v>Life Loss</v>
      </c>
      <c r="F205" s="218"/>
      <c r="G205" s="218"/>
      <c r="H205" s="218"/>
      <c r="I205" s="218"/>
      <c r="J205" s="218"/>
      <c r="K205" s="218"/>
      <c r="L205" s="218"/>
      <c r="M205" s="220">
        <f>$M$108</f>
        <v>1</v>
      </c>
      <c r="N205" s="220"/>
      <c r="O205" s="220"/>
      <c r="P205" s="220"/>
      <c r="Q205" s="220">
        <f>$Q$108</f>
        <v>3</v>
      </c>
      <c r="R205" s="220"/>
      <c r="S205" s="220"/>
      <c r="T205" s="220"/>
      <c r="U205" s="51">
        <f t="shared" ref="U205:U207" si="119">AE204+1</f>
        <v>23</v>
      </c>
      <c r="V205" s="51">
        <f t="shared" si="118"/>
        <v>24</v>
      </c>
      <c r="W205" s="51">
        <f t="shared" si="118"/>
        <v>25</v>
      </c>
      <c r="X205" s="51">
        <f t="shared" si="118"/>
        <v>26</v>
      </c>
      <c r="Y205" s="51">
        <f t="shared" si="118"/>
        <v>27</v>
      </c>
      <c r="Z205" s="51">
        <f t="shared" si="118"/>
        <v>28</v>
      </c>
      <c r="AA205" s="51">
        <f t="shared" si="118"/>
        <v>29</v>
      </c>
      <c r="AB205" s="51">
        <f t="shared" si="118"/>
        <v>30</v>
      </c>
      <c r="AC205" s="51">
        <f t="shared" si="118"/>
        <v>31</v>
      </c>
      <c r="AD205" s="51">
        <f t="shared" si="118"/>
        <v>32</v>
      </c>
      <c r="AE205" s="51">
        <f t="shared" si="118"/>
        <v>33</v>
      </c>
      <c r="AF205" s="74"/>
      <c r="AG205" s="49"/>
      <c r="AH205" s="49"/>
      <c r="AI205" s="49"/>
      <c r="AJ205" s="49"/>
      <c r="AK205" s="49"/>
      <c r="AL205" s="49"/>
      <c r="AM205" s="49"/>
      <c r="AN205" s="49"/>
      <c r="AO205" s="49"/>
      <c r="AP205" s="49"/>
      <c r="AQ205" s="49"/>
      <c r="AR205" s="49"/>
      <c r="AS205" s="49"/>
      <c r="AT205" s="49"/>
      <c r="AU205" s="49"/>
      <c r="AV205" s="49"/>
      <c r="AW205" s="49"/>
    </row>
    <row r="206" spans="2:49" ht="15" customHeight="1" x14ac:dyDescent="0.2">
      <c r="B206" s="214">
        <v>5</v>
      </c>
      <c r="C206" s="214"/>
      <c r="D206" s="214"/>
      <c r="E206" s="218" t="str">
        <f>$E$109</f>
        <v>Economic Cost</v>
      </c>
      <c r="F206" s="218"/>
      <c r="G206" s="218"/>
      <c r="H206" s="218"/>
      <c r="I206" s="218"/>
      <c r="J206" s="218"/>
      <c r="K206" s="218"/>
      <c r="L206" s="218"/>
      <c r="M206" s="220">
        <f>$M$109</f>
        <v>1</v>
      </c>
      <c r="N206" s="220"/>
      <c r="O206" s="220"/>
      <c r="P206" s="220"/>
      <c r="Q206" s="220">
        <f>$Q$109</f>
        <v>3</v>
      </c>
      <c r="R206" s="220"/>
      <c r="S206" s="220"/>
      <c r="T206" s="220"/>
      <c r="U206" s="51">
        <f t="shared" si="119"/>
        <v>34</v>
      </c>
      <c r="V206" s="51">
        <f t="shared" si="118"/>
        <v>35</v>
      </c>
      <c r="W206" s="51">
        <f t="shared" si="118"/>
        <v>36</v>
      </c>
      <c r="X206" s="51">
        <f t="shared" si="118"/>
        <v>37</v>
      </c>
      <c r="Y206" s="51">
        <f t="shared" si="118"/>
        <v>38</v>
      </c>
      <c r="Z206" s="51">
        <f t="shared" si="118"/>
        <v>39</v>
      </c>
      <c r="AA206" s="51">
        <f t="shared" si="118"/>
        <v>40</v>
      </c>
      <c r="AB206" s="51">
        <f t="shared" si="118"/>
        <v>41</v>
      </c>
      <c r="AC206" s="51">
        <f t="shared" si="118"/>
        <v>42</v>
      </c>
      <c r="AD206" s="51">
        <f t="shared" si="118"/>
        <v>43</v>
      </c>
      <c r="AE206" s="51">
        <f t="shared" si="118"/>
        <v>44</v>
      </c>
      <c r="AF206" s="74"/>
      <c r="AG206" s="49"/>
      <c r="AH206" s="49"/>
      <c r="AI206" s="49"/>
      <c r="AJ206" s="49"/>
      <c r="AK206" s="49"/>
      <c r="AL206" s="49"/>
      <c r="AM206" s="49"/>
      <c r="AN206" s="49"/>
      <c r="AO206" s="49"/>
      <c r="AP206" s="49"/>
      <c r="AQ206" s="49"/>
      <c r="AR206" s="49"/>
      <c r="AS206" s="49"/>
      <c r="AT206" s="49"/>
      <c r="AU206" s="49"/>
      <c r="AV206" s="49"/>
      <c r="AW206" s="49"/>
    </row>
    <row r="207" spans="2:49" ht="15" customHeight="1" x14ac:dyDescent="0.2">
      <c r="B207" s="214">
        <v>6</v>
      </c>
      <c r="C207" s="214"/>
      <c r="D207" s="214"/>
      <c r="E207" s="218" t="str">
        <f>$E$110</f>
        <v>-</v>
      </c>
      <c r="F207" s="218"/>
      <c r="G207" s="218"/>
      <c r="H207" s="218"/>
      <c r="I207" s="218"/>
      <c r="J207" s="218"/>
      <c r="K207" s="218"/>
      <c r="L207" s="218"/>
      <c r="M207" s="220" t="str">
        <f>$M$110</f>
        <v>-</v>
      </c>
      <c r="N207" s="220"/>
      <c r="O207" s="220"/>
      <c r="P207" s="220"/>
      <c r="Q207" s="220" t="str">
        <f>$Q$110</f>
        <v>-</v>
      </c>
      <c r="R207" s="220"/>
      <c r="S207" s="220"/>
      <c r="T207" s="220"/>
      <c r="U207" s="51">
        <f t="shared" si="119"/>
        <v>45</v>
      </c>
      <c r="V207" s="51">
        <f t="shared" si="118"/>
        <v>46</v>
      </c>
      <c r="W207" s="51">
        <f t="shared" si="118"/>
        <v>47</v>
      </c>
      <c r="X207" s="51">
        <f t="shared" si="118"/>
        <v>48</v>
      </c>
      <c r="Y207" s="51">
        <f t="shared" si="118"/>
        <v>49</v>
      </c>
      <c r="Z207" s="51">
        <f t="shared" si="118"/>
        <v>50</v>
      </c>
      <c r="AA207" s="51">
        <f t="shared" si="118"/>
        <v>51</v>
      </c>
      <c r="AB207" s="51">
        <f t="shared" si="118"/>
        <v>52</v>
      </c>
      <c r="AC207" s="51">
        <f t="shared" si="118"/>
        <v>53</v>
      </c>
      <c r="AD207" s="51">
        <f t="shared" si="118"/>
        <v>54</v>
      </c>
      <c r="AE207" s="51">
        <f t="shared" si="118"/>
        <v>55</v>
      </c>
      <c r="AF207" s="74"/>
      <c r="AG207" s="49"/>
      <c r="AH207" s="49"/>
      <c r="AI207" s="49"/>
      <c r="AJ207" s="49"/>
      <c r="AK207" s="49"/>
      <c r="AL207" s="49"/>
      <c r="AM207" s="49"/>
      <c r="AN207" s="49"/>
      <c r="AO207" s="49"/>
      <c r="AP207" s="49"/>
      <c r="AQ207" s="49"/>
      <c r="AR207" s="49"/>
      <c r="AS207" s="49"/>
      <c r="AT207" s="49"/>
      <c r="AU207" s="49"/>
      <c r="AV207" s="49"/>
      <c r="AW207" s="49"/>
    </row>
    <row r="208" spans="2:49" ht="15" customHeight="1" x14ac:dyDescent="0.2"/>
    <row r="209" spans="2:49" ht="15" customHeight="1" x14ac:dyDescent="0.2">
      <c r="B209" s="49"/>
      <c r="C209" s="49"/>
      <c r="D209" s="49"/>
      <c r="M209" s="49"/>
      <c r="N209" s="49"/>
      <c r="O209" s="49"/>
      <c r="P209" s="49"/>
      <c r="Q209" s="49"/>
      <c r="R209" s="49"/>
      <c r="S209" s="49"/>
      <c r="T209" s="49"/>
      <c r="U209" s="51">
        <v>10</v>
      </c>
      <c r="V209" s="51">
        <f>U209+5</f>
        <v>15</v>
      </c>
      <c r="W209" s="51">
        <f t="shared" ref="W209:AE209" si="120">V209+5</f>
        <v>20</v>
      </c>
      <c r="X209" s="51">
        <f t="shared" si="120"/>
        <v>25</v>
      </c>
      <c r="Y209" s="51">
        <f t="shared" si="120"/>
        <v>30</v>
      </c>
      <c r="Z209" s="51">
        <f t="shared" si="120"/>
        <v>35</v>
      </c>
      <c r="AA209" s="51">
        <f t="shared" si="120"/>
        <v>40</v>
      </c>
      <c r="AB209" s="51">
        <f t="shared" si="120"/>
        <v>45</v>
      </c>
      <c r="AC209" s="51">
        <f t="shared" si="120"/>
        <v>50</v>
      </c>
      <c r="AD209" s="51">
        <f t="shared" si="120"/>
        <v>55</v>
      </c>
      <c r="AE209" s="51">
        <f t="shared" si="120"/>
        <v>60</v>
      </c>
      <c r="AF209" s="74"/>
      <c r="AG209" s="49"/>
      <c r="AH209" s="49"/>
      <c r="AI209" s="49"/>
      <c r="AJ209" s="49"/>
      <c r="AK209" s="49"/>
      <c r="AL209" s="49"/>
      <c r="AM209" s="49"/>
      <c r="AN209" s="49"/>
      <c r="AO209" s="49"/>
      <c r="AP209" s="49"/>
      <c r="AQ209" s="49"/>
      <c r="AR209" s="49"/>
      <c r="AS209" s="49"/>
      <c r="AT209" s="49"/>
      <c r="AU209" s="49"/>
      <c r="AV209" s="49"/>
      <c r="AW209" s="49"/>
    </row>
    <row r="210" spans="2:49" ht="15" customHeight="1" x14ac:dyDescent="0.2">
      <c r="B210" s="214" t="s">
        <v>98</v>
      </c>
      <c r="C210" s="214"/>
      <c r="D210" s="214"/>
      <c r="E210" s="218" t="s">
        <v>147</v>
      </c>
      <c r="F210" s="218"/>
      <c r="G210" s="218"/>
      <c r="H210" s="218"/>
      <c r="I210" s="218"/>
      <c r="J210" s="218"/>
      <c r="K210" s="218"/>
      <c r="L210" s="218"/>
      <c r="M210" s="218" t="s">
        <v>97</v>
      </c>
      <c r="N210" s="218"/>
      <c r="O210" s="218"/>
      <c r="P210" s="218"/>
      <c r="Q210" s="218" t="s">
        <v>118</v>
      </c>
      <c r="R210" s="218"/>
      <c r="S210" s="218"/>
      <c r="T210" s="218"/>
      <c r="U210" s="52">
        <v>1</v>
      </c>
      <c r="V210" s="52">
        <v>2</v>
      </c>
      <c r="W210" s="52">
        <v>3</v>
      </c>
      <c r="X210" s="52">
        <v>4</v>
      </c>
      <c r="Y210" s="52">
        <v>5</v>
      </c>
      <c r="Z210" s="52">
        <v>6</v>
      </c>
      <c r="AA210" s="52">
        <v>7</v>
      </c>
      <c r="AB210" s="52">
        <v>8</v>
      </c>
      <c r="AC210" s="52">
        <v>9</v>
      </c>
      <c r="AD210" s="52">
        <v>10</v>
      </c>
      <c r="AE210" s="52">
        <v>11</v>
      </c>
      <c r="AF210" s="75"/>
      <c r="AG210" s="53"/>
      <c r="AH210" s="53"/>
      <c r="AI210" s="53"/>
      <c r="AJ210" s="53"/>
      <c r="AK210" s="53"/>
      <c r="AL210" s="53"/>
      <c r="AM210" s="53"/>
      <c r="AN210" s="53"/>
      <c r="AO210" s="53"/>
      <c r="AP210" s="53"/>
      <c r="AQ210" s="53"/>
      <c r="AR210" s="53"/>
      <c r="AS210" s="53"/>
      <c r="AT210" s="53"/>
      <c r="AU210" s="53"/>
      <c r="AV210" s="53"/>
      <c r="AW210" s="53"/>
    </row>
    <row r="211" spans="2:49" ht="15" customHeight="1" x14ac:dyDescent="0.2">
      <c r="B211" s="214">
        <v>1</v>
      </c>
      <c r="C211" s="214"/>
      <c r="D211" s="214"/>
      <c r="E211" s="218" t="str">
        <f>$E$105</f>
        <v>Hazard</v>
      </c>
      <c r="F211" s="218"/>
      <c r="G211" s="218"/>
      <c r="H211" s="218"/>
      <c r="I211" s="218"/>
      <c r="J211" s="218"/>
      <c r="K211" s="218"/>
      <c r="L211" s="218"/>
      <c r="M211" s="220">
        <f>$M$105</f>
        <v>1</v>
      </c>
      <c r="N211" s="220"/>
      <c r="O211" s="220"/>
      <c r="P211" s="220"/>
      <c r="Q211" s="220">
        <f>$Q$105</f>
        <v>1</v>
      </c>
      <c r="R211" s="220"/>
      <c r="S211" s="220"/>
      <c r="T211" s="220"/>
      <c r="U211" s="196"/>
      <c r="V211" s="197"/>
      <c r="W211" s="197"/>
      <c r="X211" s="197"/>
      <c r="Y211" s="197"/>
      <c r="Z211" s="197"/>
      <c r="AA211" s="197"/>
      <c r="AB211" s="197"/>
      <c r="AC211" s="197"/>
      <c r="AD211" s="197"/>
      <c r="AE211" s="198"/>
      <c r="AF211" s="74"/>
      <c r="AG211" s="49"/>
      <c r="AH211" s="49"/>
      <c r="AI211" s="49"/>
      <c r="AJ211" s="49"/>
      <c r="AK211" s="49"/>
      <c r="AL211" s="49"/>
      <c r="AM211" s="49"/>
      <c r="AN211" s="49"/>
      <c r="AO211" s="49"/>
      <c r="AP211" s="49"/>
      <c r="AQ211" s="49"/>
      <c r="AR211" s="49"/>
      <c r="AS211" s="49"/>
      <c r="AT211" s="49"/>
      <c r="AU211" s="49"/>
      <c r="AV211" s="49"/>
      <c r="AW211" s="49"/>
    </row>
    <row r="212" spans="2:49" ht="15" customHeight="1" x14ac:dyDescent="0.2">
      <c r="B212" s="214">
        <v>2</v>
      </c>
      <c r="C212" s="214"/>
      <c r="D212" s="214"/>
      <c r="E212" s="218" t="str">
        <f>$E$106</f>
        <v>Transform</v>
      </c>
      <c r="F212" s="218"/>
      <c r="G212" s="218"/>
      <c r="H212" s="218"/>
      <c r="I212" s="218"/>
      <c r="J212" s="218"/>
      <c r="K212" s="218"/>
      <c r="L212" s="218"/>
      <c r="M212" s="220">
        <f>$M$106</f>
        <v>3</v>
      </c>
      <c r="N212" s="220"/>
      <c r="O212" s="220"/>
      <c r="P212" s="220"/>
      <c r="Q212" s="220">
        <f>$Q$106</f>
        <v>3</v>
      </c>
      <c r="R212" s="220"/>
      <c r="S212" s="220"/>
      <c r="T212" s="220"/>
      <c r="U212" s="51">
        <f t="shared" ref="U212:AE212" si="121">IF(U194="+",U203,"-")</f>
        <v>1</v>
      </c>
      <c r="V212" s="51" t="str">
        <f t="shared" si="121"/>
        <v>-</v>
      </c>
      <c r="W212" s="51" t="str">
        <f t="shared" si="121"/>
        <v>-</v>
      </c>
      <c r="X212" s="51" t="str">
        <f t="shared" si="121"/>
        <v>-</v>
      </c>
      <c r="Y212" s="51" t="str">
        <f t="shared" si="121"/>
        <v>-</v>
      </c>
      <c r="Z212" s="51" t="str">
        <f t="shared" si="121"/>
        <v>-</v>
      </c>
      <c r="AA212" s="51" t="str">
        <f t="shared" si="121"/>
        <v>-</v>
      </c>
      <c r="AB212" s="51" t="str">
        <f t="shared" si="121"/>
        <v>-</v>
      </c>
      <c r="AC212" s="51" t="str">
        <f t="shared" si="121"/>
        <v>-</v>
      </c>
      <c r="AD212" s="51" t="str">
        <f t="shared" si="121"/>
        <v>-</v>
      </c>
      <c r="AE212" s="51" t="str">
        <f t="shared" si="121"/>
        <v>-</v>
      </c>
      <c r="AF212" s="74"/>
      <c r="AG212" s="49"/>
      <c r="AH212" s="49"/>
      <c r="AI212" s="49"/>
      <c r="AJ212" s="49"/>
      <c r="AK212" s="49"/>
      <c r="AL212" s="49"/>
      <c r="AM212" s="49"/>
      <c r="AN212" s="49"/>
      <c r="AO212" s="49"/>
      <c r="AP212" s="49"/>
      <c r="AQ212" s="49"/>
      <c r="AR212" s="49"/>
      <c r="AS212" s="49"/>
      <c r="AT212" s="49"/>
      <c r="AU212" s="49"/>
      <c r="AV212" s="49"/>
      <c r="AW212" s="49"/>
    </row>
    <row r="213" spans="2:49" ht="15" customHeight="1" x14ac:dyDescent="0.2">
      <c r="B213" s="214">
        <v>3</v>
      </c>
      <c r="C213" s="214"/>
      <c r="D213" s="214"/>
      <c r="E213" s="218" t="str">
        <f>$E$107</f>
        <v>System Response</v>
      </c>
      <c r="F213" s="218"/>
      <c r="G213" s="218"/>
      <c r="H213" s="218"/>
      <c r="I213" s="218"/>
      <c r="J213" s="218"/>
      <c r="K213" s="218"/>
      <c r="L213" s="218"/>
      <c r="M213" s="220">
        <f>$M$107</f>
        <v>1</v>
      </c>
      <c r="N213" s="220"/>
      <c r="O213" s="220"/>
      <c r="P213" s="220"/>
      <c r="Q213" s="220">
        <f>$Q$107</f>
        <v>3</v>
      </c>
      <c r="R213" s="220"/>
      <c r="S213" s="220"/>
      <c r="T213" s="220"/>
      <c r="U213" s="51" t="str">
        <f t="shared" ref="U213:AE213" si="122">IF(U195="+",U204,"-")</f>
        <v>-</v>
      </c>
      <c r="V213" s="51" t="str">
        <f t="shared" si="122"/>
        <v>-</v>
      </c>
      <c r="W213" s="51" t="str">
        <f t="shared" si="122"/>
        <v>-</v>
      </c>
      <c r="X213" s="51" t="str">
        <f t="shared" si="122"/>
        <v>-</v>
      </c>
      <c r="Y213" s="51" t="str">
        <f t="shared" si="122"/>
        <v>-</v>
      </c>
      <c r="Z213" s="51" t="str">
        <f t="shared" si="122"/>
        <v>-</v>
      </c>
      <c r="AA213" s="51" t="str">
        <f t="shared" si="122"/>
        <v>-</v>
      </c>
      <c r="AB213" s="51" t="str">
        <f t="shared" si="122"/>
        <v>-</v>
      </c>
      <c r="AC213" s="51" t="str">
        <f t="shared" si="122"/>
        <v>-</v>
      </c>
      <c r="AD213" s="51" t="str">
        <f t="shared" si="122"/>
        <v>-</v>
      </c>
      <c r="AE213" s="51" t="str">
        <f t="shared" si="122"/>
        <v>-</v>
      </c>
      <c r="AF213" s="74"/>
      <c r="AG213" s="49"/>
      <c r="AH213" s="49"/>
      <c r="AI213" s="49"/>
      <c r="AJ213" s="49"/>
      <c r="AK213" s="49"/>
      <c r="AL213" s="49"/>
      <c r="AM213" s="49"/>
      <c r="AN213" s="49"/>
      <c r="AO213" s="49"/>
      <c r="AP213" s="49"/>
      <c r="AQ213" s="49"/>
      <c r="AR213" s="49"/>
      <c r="AS213" s="49"/>
      <c r="AT213" s="49"/>
      <c r="AU213" s="49"/>
      <c r="AV213" s="49"/>
      <c r="AW213" s="49"/>
    </row>
    <row r="214" spans="2:49" ht="15" customHeight="1" x14ac:dyDescent="0.2">
      <c r="B214" s="214">
        <v>4</v>
      </c>
      <c r="C214" s="214"/>
      <c r="D214" s="214"/>
      <c r="E214" s="218" t="str">
        <f>$E$108</f>
        <v>Life Loss</v>
      </c>
      <c r="F214" s="218"/>
      <c r="G214" s="218"/>
      <c r="H214" s="218"/>
      <c r="I214" s="218"/>
      <c r="J214" s="218"/>
      <c r="K214" s="218"/>
      <c r="L214" s="218"/>
      <c r="M214" s="220">
        <f>$M$108</f>
        <v>1</v>
      </c>
      <c r="N214" s="220"/>
      <c r="O214" s="220"/>
      <c r="P214" s="220"/>
      <c r="Q214" s="220">
        <f>$Q$108</f>
        <v>3</v>
      </c>
      <c r="R214" s="220"/>
      <c r="S214" s="220"/>
      <c r="T214" s="220"/>
      <c r="U214" s="51">
        <f t="shared" ref="U214:AE214" si="123">IF(U196="+",U205,"-")</f>
        <v>23</v>
      </c>
      <c r="V214" s="51">
        <f t="shared" si="123"/>
        <v>24</v>
      </c>
      <c r="W214" s="51">
        <f t="shared" si="123"/>
        <v>25</v>
      </c>
      <c r="X214" s="51" t="str">
        <f t="shared" si="123"/>
        <v>-</v>
      </c>
      <c r="Y214" s="51" t="str">
        <f t="shared" si="123"/>
        <v>-</v>
      </c>
      <c r="Z214" s="51" t="str">
        <f t="shared" si="123"/>
        <v>-</v>
      </c>
      <c r="AA214" s="51" t="str">
        <f t="shared" si="123"/>
        <v>-</v>
      </c>
      <c r="AB214" s="51" t="str">
        <f t="shared" si="123"/>
        <v>-</v>
      </c>
      <c r="AC214" s="51" t="str">
        <f t="shared" si="123"/>
        <v>-</v>
      </c>
      <c r="AD214" s="51" t="str">
        <f t="shared" si="123"/>
        <v>-</v>
      </c>
      <c r="AE214" s="51" t="str">
        <f t="shared" si="123"/>
        <v>-</v>
      </c>
      <c r="AF214" s="74"/>
      <c r="AG214" s="49"/>
      <c r="AH214" s="49"/>
      <c r="AI214" s="49"/>
      <c r="AJ214" s="49"/>
      <c r="AK214" s="49"/>
      <c r="AL214" s="49"/>
      <c r="AM214" s="49"/>
      <c r="AN214" s="49"/>
      <c r="AO214" s="49"/>
      <c r="AP214" s="49"/>
      <c r="AQ214" s="49"/>
      <c r="AR214" s="49"/>
      <c r="AS214" s="49"/>
      <c r="AT214" s="49"/>
      <c r="AU214" s="49"/>
      <c r="AV214" s="49"/>
      <c r="AW214" s="49"/>
    </row>
    <row r="215" spans="2:49" ht="15" customHeight="1" x14ac:dyDescent="0.2">
      <c r="B215" s="214">
        <v>5</v>
      </c>
      <c r="C215" s="214"/>
      <c r="D215" s="214"/>
      <c r="E215" s="218" t="str">
        <f>$E$109</f>
        <v>Economic Cost</v>
      </c>
      <c r="F215" s="218"/>
      <c r="G215" s="218"/>
      <c r="H215" s="218"/>
      <c r="I215" s="218"/>
      <c r="J215" s="218"/>
      <c r="K215" s="218"/>
      <c r="L215" s="218"/>
      <c r="M215" s="220">
        <f>$M$109</f>
        <v>1</v>
      </c>
      <c r="N215" s="220"/>
      <c r="O215" s="220"/>
      <c r="P215" s="220"/>
      <c r="Q215" s="220">
        <f>$Q$109</f>
        <v>3</v>
      </c>
      <c r="R215" s="220"/>
      <c r="S215" s="220"/>
      <c r="T215" s="220"/>
      <c r="U215" s="51">
        <f t="shared" ref="U215:AE215" si="124">IF(U197="+",U206,"-")</f>
        <v>34</v>
      </c>
      <c r="V215" s="51">
        <f t="shared" si="124"/>
        <v>35</v>
      </c>
      <c r="W215" s="51">
        <f t="shared" si="124"/>
        <v>36</v>
      </c>
      <c r="X215" s="51" t="str">
        <f t="shared" si="124"/>
        <v>-</v>
      </c>
      <c r="Y215" s="51" t="str">
        <f t="shared" si="124"/>
        <v>-</v>
      </c>
      <c r="Z215" s="51" t="str">
        <f t="shared" si="124"/>
        <v>-</v>
      </c>
      <c r="AA215" s="51" t="str">
        <f t="shared" si="124"/>
        <v>-</v>
      </c>
      <c r="AB215" s="51" t="str">
        <f t="shared" si="124"/>
        <v>-</v>
      </c>
      <c r="AC215" s="51" t="str">
        <f t="shared" si="124"/>
        <v>-</v>
      </c>
      <c r="AD215" s="51" t="str">
        <f t="shared" si="124"/>
        <v>-</v>
      </c>
      <c r="AE215" s="51" t="str">
        <f t="shared" si="124"/>
        <v>-</v>
      </c>
      <c r="AF215" s="74"/>
      <c r="AG215" s="49"/>
      <c r="AH215" s="49"/>
      <c r="AI215" s="49"/>
      <c r="AJ215" s="49"/>
      <c r="AK215" s="49"/>
      <c r="AL215" s="49"/>
      <c r="AM215" s="49"/>
      <c r="AN215" s="49"/>
      <c r="AO215" s="49"/>
      <c r="AP215" s="49"/>
      <c r="AQ215" s="49"/>
      <c r="AR215" s="49"/>
      <c r="AS215" s="49"/>
      <c r="AT215" s="49"/>
      <c r="AU215" s="49"/>
      <c r="AV215" s="49"/>
      <c r="AW215" s="49"/>
    </row>
    <row r="216" spans="2:49" ht="15" customHeight="1" x14ac:dyDescent="0.2">
      <c r="B216" s="214">
        <v>6</v>
      </c>
      <c r="C216" s="214"/>
      <c r="D216" s="214"/>
      <c r="E216" s="218" t="str">
        <f>$E$110</f>
        <v>-</v>
      </c>
      <c r="F216" s="218"/>
      <c r="G216" s="218"/>
      <c r="H216" s="218"/>
      <c r="I216" s="218"/>
      <c r="J216" s="218"/>
      <c r="K216" s="218"/>
      <c r="L216" s="218"/>
      <c r="M216" s="220" t="str">
        <f>$M$110</f>
        <v>-</v>
      </c>
      <c r="N216" s="220"/>
      <c r="O216" s="220"/>
      <c r="P216" s="220"/>
      <c r="Q216" s="220" t="str">
        <f>$Q$110</f>
        <v>-</v>
      </c>
      <c r="R216" s="220"/>
      <c r="S216" s="220"/>
      <c r="T216" s="220"/>
      <c r="U216" s="51" t="str">
        <f t="shared" ref="U216:AE216" si="125">IF(U198="+",U207,"-")</f>
        <v>-</v>
      </c>
      <c r="V216" s="51" t="str">
        <f t="shared" si="125"/>
        <v>-</v>
      </c>
      <c r="W216" s="51" t="str">
        <f t="shared" si="125"/>
        <v>-</v>
      </c>
      <c r="X216" s="51" t="str">
        <f t="shared" si="125"/>
        <v>-</v>
      </c>
      <c r="Y216" s="51" t="str">
        <f t="shared" si="125"/>
        <v>-</v>
      </c>
      <c r="Z216" s="51" t="str">
        <f t="shared" si="125"/>
        <v>-</v>
      </c>
      <c r="AA216" s="51" t="str">
        <f t="shared" si="125"/>
        <v>-</v>
      </c>
      <c r="AB216" s="51" t="str">
        <f t="shared" si="125"/>
        <v>-</v>
      </c>
      <c r="AC216" s="51" t="str">
        <f t="shared" si="125"/>
        <v>-</v>
      </c>
      <c r="AD216" s="51" t="str">
        <f t="shared" si="125"/>
        <v>-</v>
      </c>
      <c r="AE216" s="51" t="str">
        <f t="shared" si="125"/>
        <v>-</v>
      </c>
      <c r="AF216" s="74"/>
      <c r="AG216" s="49"/>
      <c r="AH216" s="49"/>
      <c r="AI216" s="49"/>
      <c r="AJ216" s="49"/>
      <c r="AK216" s="49"/>
      <c r="AL216" s="49"/>
      <c r="AM216" s="49"/>
      <c r="AN216" s="49"/>
      <c r="AO216" s="49"/>
      <c r="AP216" s="49"/>
      <c r="AQ216" s="49"/>
      <c r="AR216" s="49"/>
      <c r="AS216" s="49"/>
      <c r="AT216" s="49"/>
      <c r="AU216" s="49"/>
      <c r="AV216" s="49"/>
      <c r="AW216" s="49"/>
    </row>
    <row r="217" spans="2:49" ht="15" customHeight="1" x14ac:dyDescent="0.2"/>
    <row r="218" spans="2:49" ht="15" customHeight="1" x14ac:dyDescent="0.2">
      <c r="B218" s="50" t="s">
        <v>140</v>
      </c>
      <c r="C218" s="49"/>
      <c r="D218" s="49"/>
      <c r="E218" s="49"/>
      <c r="F218" s="49"/>
      <c r="G218" s="49"/>
      <c r="H218" s="49"/>
      <c r="I218" s="49"/>
      <c r="J218" s="49"/>
      <c r="K218" s="49"/>
      <c r="L218" s="49"/>
      <c r="M218" s="49"/>
      <c r="N218" s="49"/>
      <c r="O218" s="49"/>
      <c r="P218" s="49"/>
      <c r="Q218" s="49"/>
      <c r="R218" s="49"/>
      <c r="S218" s="49"/>
      <c r="T218" s="49"/>
      <c r="U218" s="49"/>
      <c r="V218" s="49"/>
      <c r="W218" s="49"/>
      <c r="X218" s="49"/>
      <c r="Y218" s="49"/>
      <c r="Z218" s="49"/>
      <c r="AA218" s="49"/>
      <c r="AB218" s="49"/>
      <c r="AC218" s="49"/>
      <c r="AD218" s="49"/>
      <c r="AE218" s="49"/>
      <c r="AF218" s="49"/>
      <c r="AG218" s="49"/>
      <c r="AH218" s="49"/>
      <c r="AI218" s="49"/>
      <c r="AJ218" s="49"/>
      <c r="AK218" s="49"/>
      <c r="AL218" s="49"/>
      <c r="AM218" s="49"/>
      <c r="AN218" s="49"/>
      <c r="AO218" s="49"/>
      <c r="AP218" s="49"/>
      <c r="AQ218" s="49"/>
      <c r="AR218" s="49"/>
      <c r="AS218" s="49"/>
      <c r="AT218" s="58"/>
      <c r="AU218" s="58"/>
      <c r="AV218" s="58"/>
      <c r="AW218" s="49"/>
    </row>
    <row r="219" spans="2:49" ht="15" customHeight="1" x14ac:dyDescent="0.2">
      <c r="AE219" s="76"/>
      <c r="AF219" s="49"/>
      <c r="AG219" s="49"/>
      <c r="AH219" s="49"/>
      <c r="AI219" s="49"/>
      <c r="AJ219" s="49"/>
      <c r="AK219" s="49"/>
      <c r="AL219" s="49"/>
      <c r="AM219" s="49"/>
      <c r="AN219" s="49"/>
      <c r="AO219" s="49"/>
      <c r="AP219" s="49"/>
      <c r="AT219" s="58"/>
      <c r="AU219" s="58"/>
      <c r="AV219" s="58"/>
    </row>
    <row r="220" spans="2:49" ht="15" customHeight="1" x14ac:dyDescent="0.2">
      <c r="B220" s="49"/>
      <c r="C220" s="49"/>
      <c r="D220" s="49"/>
      <c r="M220" s="49"/>
      <c r="N220" s="49"/>
      <c r="O220" s="49"/>
      <c r="P220" s="49"/>
      <c r="Q220" s="49"/>
      <c r="R220" s="49"/>
      <c r="S220" s="49"/>
      <c r="T220" s="49"/>
      <c r="U220" s="51">
        <v>10</v>
      </c>
      <c r="V220" s="51">
        <f>U220+5</f>
        <v>15</v>
      </c>
      <c r="W220" s="51">
        <f t="shared" ref="W220:AE220" si="126">V220+5</f>
        <v>20</v>
      </c>
      <c r="X220" s="51">
        <f t="shared" si="126"/>
        <v>25</v>
      </c>
      <c r="Y220" s="51">
        <f t="shared" si="126"/>
        <v>30</v>
      </c>
      <c r="Z220" s="51">
        <f t="shared" si="126"/>
        <v>35</v>
      </c>
      <c r="AA220" s="51">
        <f t="shared" si="126"/>
        <v>40</v>
      </c>
      <c r="AB220" s="51">
        <f t="shared" si="126"/>
        <v>45</v>
      </c>
      <c r="AC220" s="51">
        <f t="shared" si="126"/>
        <v>50</v>
      </c>
      <c r="AD220" s="51">
        <f t="shared" si="126"/>
        <v>55</v>
      </c>
      <c r="AE220" s="51">
        <f t="shared" si="126"/>
        <v>60</v>
      </c>
      <c r="AF220" s="74"/>
      <c r="AG220" s="49"/>
      <c r="AH220" s="49"/>
      <c r="AI220" s="49"/>
      <c r="AJ220" s="49"/>
      <c r="AK220" s="49"/>
      <c r="AL220" s="49"/>
      <c r="AM220" s="49"/>
      <c r="AN220" s="49"/>
      <c r="AO220" s="49"/>
      <c r="AP220" s="49"/>
      <c r="AQ220" s="49"/>
      <c r="AR220" s="49"/>
      <c r="AS220" s="49"/>
      <c r="AT220" s="49"/>
      <c r="AU220" s="49"/>
      <c r="AV220" s="49"/>
      <c r="AW220" s="49"/>
    </row>
    <row r="221" spans="2:49" ht="15" customHeight="1" x14ac:dyDescent="0.2">
      <c r="B221" s="214" t="s">
        <v>98</v>
      </c>
      <c r="C221" s="214"/>
      <c r="D221" s="214"/>
      <c r="E221" s="218" t="s">
        <v>147</v>
      </c>
      <c r="F221" s="218"/>
      <c r="G221" s="218"/>
      <c r="H221" s="218"/>
      <c r="I221" s="218"/>
      <c r="J221" s="218"/>
      <c r="K221" s="218"/>
      <c r="L221" s="218"/>
      <c r="M221" s="218" t="s">
        <v>97</v>
      </c>
      <c r="N221" s="218"/>
      <c r="O221" s="218"/>
      <c r="P221" s="218"/>
      <c r="Q221" s="218" t="s">
        <v>118</v>
      </c>
      <c r="R221" s="218"/>
      <c r="S221" s="218"/>
      <c r="T221" s="218"/>
      <c r="U221" s="52">
        <v>1</v>
      </c>
      <c r="V221" s="52">
        <v>2</v>
      </c>
      <c r="W221" s="52">
        <v>3</v>
      </c>
      <c r="X221" s="52">
        <v>4</v>
      </c>
      <c r="Y221" s="52">
        <v>5</v>
      </c>
      <c r="Z221" s="52">
        <v>6</v>
      </c>
      <c r="AA221" s="52">
        <v>7</v>
      </c>
      <c r="AB221" s="52">
        <v>8</v>
      </c>
      <c r="AC221" s="52">
        <v>9</v>
      </c>
      <c r="AD221" s="52">
        <v>10</v>
      </c>
      <c r="AE221" s="52">
        <v>11</v>
      </c>
      <c r="AF221" s="75"/>
      <c r="AG221" s="53"/>
      <c r="AH221" s="53"/>
      <c r="AI221" s="53"/>
      <c r="AJ221" s="53"/>
      <c r="AK221" s="53"/>
      <c r="AL221" s="53"/>
      <c r="AM221" s="53"/>
      <c r="AN221" s="53"/>
      <c r="AO221" s="53"/>
      <c r="AP221" s="53"/>
      <c r="AQ221" s="53"/>
      <c r="AR221" s="53"/>
      <c r="AS221" s="53"/>
      <c r="AT221" s="53"/>
      <c r="AU221" s="53"/>
      <c r="AV221" s="53"/>
      <c r="AW221" s="53"/>
    </row>
    <row r="222" spans="2:49" ht="15" customHeight="1" x14ac:dyDescent="0.2">
      <c r="B222" s="214">
        <v>1</v>
      </c>
      <c r="C222" s="214"/>
      <c r="D222" s="214"/>
      <c r="E222" s="218" t="str">
        <f>$E$105</f>
        <v>Hazard</v>
      </c>
      <c r="F222" s="218"/>
      <c r="G222" s="218"/>
      <c r="H222" s="218"/>
      <c r="I222" s="218"/>
      <c r="J222" s="218"/>
      <c r="K222" s="218"/>
      <c r="L222" s="218"/>
      <c r="M222" s="220">
        <f>$M$105</f>
        <v>1</v>
      </c>
      <c r="N222" s="220"/>
      <c r="O222" s="220"/>
      <c r="P222" s="220"/>
      <c r="Q222" s="220">
        <f>$Q$105</f>
        <v>1</v>
      </c>
      <c r="R222" s="220"/>
      <c r="S222" s="220"/>
      <c r="T222" s="220"/>
      <c r="U222" s="199"/>
      <c r="V222" s="200"/>
      <c r="W222" s="200"/>
      <c r="X222" s="200"/>
      <c r="Y222" s="200"/>
      <c r="Z222" s="200"/>
      <c r="AA222" s="200"/>
      <c r="AB222" s="200"/>
      <c r="AC222" s="200"/>
      <c r="AD222" s="200"/>
      <c r="AE222" s="201"/>
      <c r="AF222" s="74"/>
      <c r="AG222" s="49"/>
      <c r="AH222" s="49"/>
      <c r="AI222" s="49"/>
      <c r="AJ222" s="49"/>
      <c r="AK222" s="49"/>
      <c r="AL222" s="49"/>
      <c r="AM222" s="49"/>
      <c r="AN222" s="49"/>
      <c r="AO222" s="49"/>
      <c r="AP222" s="49"/>
      <c r="AQ222" s="49"/>
      <c r="AR222" s="49"/>
      <c r="AS222" s="49"/>
      <c r="AT222" s="49"/>
      <c r="AU222" s="49"/>
      <c r="AV222" s="49"/>
      <c r="AW222" s="49"/>
    </row>
    <row r="223" spans="2:49" ht="15" customHeight="1" x14ac:dyDescent="0.2">
      <c r="B223" s="214">
        <v>2</v>
      </c>
      <c r="C223" s="214"/>
      <c r="D223" s="214"/>
      <c r="E223" s="218" t="str">
        <f>$E$106</f>
        <v>Transform</v>
      </c>
      <c r="F223" s="218"/>
      <c r="G223" s="218"/>
      <c r="H223" s="218"/>
      <c r="I223" s="218"/>
      <c r="J223" s="218"/>
      <c r="K223" s="218"/>
      <c r="L223" s="218"/>
      <c r="M223" s="220">
        <f>$M$106</f>
        <v>3</v>
      </c>
      <c r="N223" s="220"/>
      <c r="O223" s="220"/>
      <c r="P223" s="220"/>
      <c r="Q223" s="220">
        <f>$Q$106</f>
        <v>3</v>
      </c>
      <c r="R223" s="220"/>
      <c r="S223" s="220"/>
      <c r="T223" s="220"/>
      <c r="U223" s="202"/>
      <c r="V223" s="203"/>
      <c r="W223" s="203"/>
      <c r="X223" s="203"/>
      <c r="Y223" s="203"/>
      <c r="Z223" s="203"/>
      <c r="AA223" s="203"/>
      <c r="AB223" s="203"/>
      <c r="AC223" s="203"/>
      <c r="AD223" s="203"/>
      <c r="AE223" s="204"/>
      <c r="AF223" s="74"/>
      <c r="AG223" s="49"/>
      <c r="AH223" s="49"/>
      <c r="AI223" s="49"/>
      <c r="AJ223" s="49"/>
      <c r="AK223" s="49"/>
      <c r="AL223" s="49"/>
      <c r="AM223" s="49"/>
      <c r="AN223" s="49"/>
      <c r="AO223" s="49"/>
      <c r="AP223" s="49"/>
      <c r="AQ223" s="49"/>
      <c r="AR223" s="49"/>
      <c r="AS223" s="49"/>
      <c r="AT223" s="49"/>
      <c r="AU223" s="49"/>
      <c r="AV223" s="49"/>
      <c r="AW223" s="49"/>
    </row>
    <row r="224" spans="2:49" ht="15" customHeight="1" x14ac:dyDescent="0.2">
      <c r="B224" s="214">
        <v>3</v>
      </c>
      <c r="C224" s="214"/>
      <c r="D224" s="214"/>
      <c r="E224" s="218" t="str">
        <f>$E$107</f>
        <v>System Response</v>
      </c>
      <c r="F224" s="218"/>
      <c r="G224" s="218"/>
      <c r="H224" s="218"/>
      <c r="I224" s="218"/>
      <c r="J224" s="218"/>
      <c r="K224" s="218"/>
      <c r="L224" s="218"/>
      <c r="M224" s="220">
        <f>$M$107</f>
        <v>1</v>
      </c>
      <c r="N224" s="220"/>
      <c r="O224" s="220"/>
      <c r="P224" s="220"/>
      <c r="Q224" s="220">
        <f>$Q$107</f>
        <v>3</v>
      </c>
      <c r="R224" s="220"/>
      <c r="S224" s="220"/>
      <c r="T224" s="220"/>
      <c r="U224" s="202"/>
      <c r="V224" s="203"/>
      <c r="W224" s="203"/>
      <c r="X224" s="203"/>
      <c r="Y224" s="203"/>
      <c r="Z224" s="203"/>
      <c r="AA224" s="203"/>
      <c r="AB224" s="203"/>
      <c r="AC224" s="203"/>
      <c r="AD224" s="203"/>
      <c r="AE224" s="204"/>
      <c r="AF224" s="74"/>
      <c r="AG224" s="49"/>
      <c r="AH224" s="49"/>
      <c r="AI224" s="49"/>
      <c r="AJ224" s="49"/>
      <c r="AK224" s="49"/>
      <c r="AL224" s="49"/>
      <c r="AM224" s="49"/>
      <c r="AN224" s="49"/>
      <c r="AO224" s="49"/>
      <c r="AP224" s="49"/>
      <c r="AQ224" s="49"/>
      <c r="AR224" s="49"/>
      <c r="AS224" s="49"/>
      <c r="AT224" s="49"/>
      <c r="AU224" s="49"/>
      <c r="AV224" s="49"/>
      <c r="AW224" s="49"/>
    </row>
    <row r="225" spans="2:49" ht="15" customHeight="1" x14ac:dyDescent="0.2">
      <c r="B225" s="214">
        <v>4</v>
      </c>
      <c r="C225" s="214"/>
      <c r="D225" s="214"/>
      <c r="E225" s="218" t="str">
        <f>$E$108</f>
        <v>Life Loss</v>
      </c>
      <c r="F225" s="218"/>
      <c r="G225" s="218"/>
      <c r="H225" s="218"/>
      <c r="I225" s="218"/>
      <c r="J225" s="218"/>
      <c r="K225" s="218"/>
      <c r="L225" s="218"/>
      <c r="M225" s="220">
        <f>$M$108</f>
        <v>1</v>
      </c>
      <c r="N225" s="220"/>
      <c r="O225" s="220"/>
      <c r="P225" s="220"/>
      <c r="Q225" s="220">
        <f>$Q$108</f>
        <v>3</v>
      </c>
      <c r="R225" s="220"/>
      <c r="S225" s="220"/>
      <c r="T225" s="220"/>
      <c r="U225" s="205"/>
      <c r="V225" s="206"/>
      <c r="W225" s="206"/>
      <c r="X225" s="206"/>
      <c r="Y225" s="206"/>
      <c r="Z225" s="206"/>
      <c r="AA225" s="206"/>
      <c r="AB225" s="206"/>
      <c r="AC225" s="206"/>
      <c r="AD225" s="206"/>
      <c r="AE225" s="207"/>
      <c r="AF225" s="74"/>
      <c r="AG225" s="49"/>
      <c r="AH225" s="49"/>
      <c r="AI225" s="49"/>
      <c r="AJ225" s="49"/>
      <c r="AK225" s="49"/>
      <c r="AL225" s="49"/>
      <c r="AM225" s="49"/>
      <c r="AN225" s="49"/>
      <c r="AO225" s="49"/>
      <c r="AP225" s="49"/>
      <c r="AQ225" s="49"/>
      <c r="AR225" s="49"/>
      <c r="AS225" s="49"/>
      <c r="AT225" s="49"/>
      <c r="AU225" s="49"/>
      <c r="AV225" s="49"/>
      <c r="AW225" s="49"/>
    </row>
    <row r="226" spans="2:49" ht="15" customHeight="1" x14ac:dyDescent="0.2">
      <c r="B226" s="214">
        <v>5</v>
      </c>
      <c r="C226" s="214"/>
      <c r="D226" s="214"/>
      <c r="E226" s="218" t="str">
        <f>$E$109</f>
        <v>Economic Cost</v>
      </c>
      <c r="F226" s="218"/>
      <c r="G226" s="218"/>
      <c r="H226" s="218"/>
      <c r="I226" s="218"/>
      <c r="J226" s="218"/>
      <c r="K226" s="218"/>
      <c r="L226" s="218"/>
      <c r="M226" s="220">
        <f>$M$109</f>
        <v>1</v>
      </c>
      <c r="N226" s="220"/>
      <c r="O226" s="220"/>
      <c r="P226" s="220"/>
      <c r="Q226" s="220">
        <f>$Q$109</f>
        <v>3</v>
      </c>
      <c r="R226" s="220"/>
      <c r="S226" s="220"/>
      <c r="T226" s="220"/>
      <c r="U226" s="51" t="str">
        <f t="shared" ref="U226:AE226" si="127">IF($E226&lt;&gt;"Economic Cost","-",IF(ISNUMBER(U109),"+","-"))</f>
        <v>+</v>
      </c>
      <c r="V226" s="51" t="str">
        <f t="shared" si="127"/>
        <v>+</v>
      </c>
      <c r="W226" s="51" t="str">
        <f t="shared" si="127"/>
        <v>+</v>
      </c>
      <c r="X226" s="51" t="str">
        <f t="shared" si="127"/>
        <v>-</v>
      </c>
      <c r="Y226" s="51" t="str">
        <f t="shared" si="127"/>
        <v>-</v>
      </c>
      <c r="Z226" s="51" t="str">
        <f t="shared" si="127"/>
        <v>-</v>
      </c>
      <c r="AA226" s="51" t="str">
        <f t="shared" si="127"/>
        <v>-</v>
      </c>
      <c r="AB226" s="51" t="str">
        <f t="shared" si="127"/>
        <v>-</v>
      </c>
      <c r="AC226" s="51" t="str">
        <f t="shared" si="127"/>
        <v>-</v>
      </c>
      <c r="AD226" s="51" t="str">
        <f t="shared" si="127"/>
        <v>-</v>
      </c>
      <c r="AE226" s="51" t="str">
        <f t="shared" si="127"/>
        <v>-</v>
      </c>
      <c r="AF226" s="74"/>
      <c r="AG226" s="49"/>
      <c r="AH226" s="49"/>
      <c r="AI226" s="49"/>
      <c r="AJ226" s="49"/>
      <c r="AK226" s="49"/>
      <c r="AL226" s="49"/>
      <c r="AM226" s="49"/>
      <c r="AN226" s="49"/>
      <c r="AO226" s="49"/>
      <c r="AP226" s="49"/>
      <c r="AQ226" s="49"/>
      <c r="AR226" s="49"/>
      <c r="AS226" s="49"/>
      <c r="AT226" s="49"/>
      <c r="AU226" s="49"/>
      <c r="AV226" s="49"/>
      <c r="AW226" s="49"/>
    </row>
    <row r="227" spans="2:49" ht="15" customHeight="1" x14ac:dyDescent="0.2">
      <c r="B227" s="214">
        <v>6</v>
      </c>
      <c r="C227" s="214"/>
      <c r="D227" s="214"/>
      <c r="E227" s="218" t="str">
        <f>$E$110</f>
        <v>-</v>
      </c>
      <c r="F227" s="218"/>
      <c r="G227" s="218"/>
      <c r="H227" s="218"/>
      <c r="I227" s="218"/>
      <c r="J227" s="218"/>
      <c r="K227" s="218"/>
      <c r="L227" s="218"/>
      <c r="M227" s="220" t="str">
        <f>$M$110</f>
        <v>-</v>
      </c>
      <c r="N227" s="220"/>
      <c r="O227" s="220"/>
      <c r="P227" s="220"/>
      <c r="Q227" s="220" t="str">
        <f>$Q$110</f>
        <v>-</v>
      </c>
      <c r="R227" s="220"/>
      <c r="S227" s="220"/>
      <c r="T227" s="220"/>
      <c r="U227" s="51" t="str">
        <f t="shared" ref="U227:AE227" si="128">IF($E227&lt;&gt;"Economic Cost","-",IF(ISNUMBER(U110),"+","-"))</f>
        <v>-</v>
      </c>
      <c r="V227" s="51" t="str">
        <f t="shared" si="128"/>
        <v>-</v>
      </c>
      <c r="W227" s="51" t="str">
        <f t="shared" si="128"/>
        <v>-</v>
      </c>
      <c r="X227" s="51" t="str">
        <f t="shared" si="128"/>
        <v>-</v>
      </c>
      <c r="Y227" s="51" t="str">
        <f t="shared" si="128"/>
        <v>-</v>
      </c>
      <c r="Z227" s="51" t="str">
        <f t="shared" si="128"/>
        <v>-</v>
      </c>
      <c r="AA227" s="51" t="str">
        <f t="shared" si="128"/>
        <v>-</v>
      </c>
      <c r="AB227" s="51" t="str">
        <f t="shared" si="128"/>
        <v>-</v>
      </c>
      <c r="AC227" s="51" t="str">
        <f t="shared" si="128"/>
        <v>-</v>
      </c>
      <c r="AD227" s="51" t="str">
        <f t="shared" si="128"/>
        <v>-</v>
      </c>
      <c r="AE227" s="51" t="str">
        <f t="shared" si="128"/>
        <v>-</v>
      </c>
      <c r="AF227" s="74"/>
      <c r="AG227" s="49"/>
      <c r="AH227" s="49"/>
      <c r="AI227" s="49"/>
      <c r="AJ227" s="49"/>
      <c r="AK227" s="49"/>
      <c r="AL227" s="49"/>
      <c r="AM227" s="49"/>
      <c r="AN227" s="49"/>
      <c r="AO227" s="49"/>
      <c r="AP227" s="49"/>
      <c r="AQ227" s="49"/>
      <c r="AR227" s="49"/>
      <c r="AS227" s="49"/>
      <c r="AT227" s="49"/>
      <c r="AU227" s="49"/>
      <c r="AV227" s="49"/>
      <c r="AW227" s="49"/>
    </row>
    <row r="228" spans="2:49" ht="15" customHeight="1" x14ac:dyDescent="0.2"/>
    <row r="229" spans="2:49" ht="15" customHeight="1" x14ac:dyDescent="0.2">
      <c r="B229" s="49"/>
      <c r="C229" s="49"/>
      <c r="D229" s="49"/>
      <c r="M229" s="49"/>
      <c r="N229" s="49"/>
      <c r="O229" s="49"/>
      <c r="P229" s="49"/>
      <c r="Q229" s="49"/>
      <c r="R229" s="49"/>
      <c r="S229" s="49"/>
      <c r="T229" s="49"/>
      <c r="U229" s="51">
        <v>10</v>
      </c>
      <c r="V229" s="51">
        <f>U229+5</f>
        <v>15</v>
      </c>
      <c r="W229" s="51">
        <f t="shared" ref="W229:AE229" si="129">V229+5</f>
        <v>20</v>
      </c>
      <c r="X229" s="51">
        <f t="shared" si="129"/>
        <v>25</v>
      </c>
      <c r="Y229" s="51">
        <f t="shared" si="129"/>
        <v>30</v>
      </c>
      <c r="Z229" s="51">
        <f t="shared" si="129"/>
        <v>35</v>
      </c>
      <c r="AA229" s="51">
        <f t="shared" si="129"/>
        <v>40</v>
      </c>
      <c r="AB229" s="51">
        <f t="shared" si="129"/>
        <v>45</v>
      </c>
      <c r="AC229" s="51">
        <f t="shared" si="129"/>
        <v>50</v>
      </c>
      <c r="AD229" s="51">
        <f t="shared" si="129"/>
        <v>55</v>
      </c>
      <c r="AE229" s="51">
        <f t="shared" si="129"/>
        <v>60</v>
      </c>
      <c r="AF229" s="74"/>
      <c r="AG229" s="49"/>
      <c r="AH229" s="49"/>
      <c r="AI229" s="49"/>
      <c r="AJ229" s="49"/>
      <c r="AK229" s="49"/>
      <c r="AL229" s="49"/>
      <c r="AM229" s="49"/>
      <c r="AN229" s="49"/>
      <c r="AO229" s="49"/>
      <c r="AP229" s="49"/>
      <c r="AQ229" s="49"/>
      <c r="AR229" s="49"/>
      <c r="AS229" s="49"/>
      <c r="AT229" s="49"/>
      <c r="AU229" s="49"/>
      <c r="AV229" s="49"/>
      <c r="AW229" s="49"/>
    </row>
    <row r="230" spans="2:49" ht="15" customHeight="1" x14ac:dyDescent="0.2">
      <c r="B230" s="214" t="s">
        <v>98</v>
      </c>
      <c r="C230" s="214"/>
      <c r="D230" s="214"/>
      <c r="E230" s="218" t="s">
        <v>147</v>
      </c>
      <c r="F230" s="218"/>
      <c r="G230" s="218"/>
      <c r="H230" s="218"/>
      <c r="I230" s="218"/>
      <c r="J230" s="218"/>
      <c r="K230" s="218"/>
      <c r="L230" s="218"/>
      <c r="M230" s="218" t="s">
        <v>97</v>
      </c>
      <c r="N230" s="218"/>
      <c r="O230" s="218"/>
      <c r="P230" s="218"/>
      <c r="Q230" s="218" t="s">
        <v>118</v>
      </c>
      <c r="R230" s="218"/>
      <c r="S230" s="218"/>
      <c r="T230" s="218"/>
      <c r="U230" s="52">
        <v>1</v>
      </c>
      <c r="V230" s="52">
        <v>2</v>
      </c>
      <c r="W230" s="52">
        <v>3</v>
      </c>
      <c r="X230" s="52">
        <v>4</v>
      </c>
      <c r="Y230" s="52">
        <v>5</v>
      </c>
      <c r="Z230" s="52">
        <v>6</v>
      </c>
      <c r="AA230" s="52">
        <v>7</v>
      </c>
      <c r="AB230" s="52">
        <v>8</v>
      </c>
      <c r="AC230" s="52">
        <v>9</v>
      </c>
      <c r="AD230" s="52">
        <v>10</v>
      </c>
      <c r="AE230" s="52">
        <v>11</v>
      </c>
      <c r="AF230" s="75"/>
      <c r="AG230" s="53"/>
      <c r="AH230" s="53"/>
      <c r="AI230" s="53"/>
      <c r="AJ230" s="53"/>
      <c r="AK230" s="53"/>
      <c r="AL230" s="53"/>
      <c r="AM230" s="53"/>
      <c r="AN230" s="53"/>
      <c r="AO230" s="53"/>
      <c r="AP230" s="53"/>
      <c r="AQ230" s="53"/>
      <c r="AR230" s="53"/>
      <c r="AS230" s="53"/>
      <c r="AT230" s="53"/>
      <c r="AU230" s="53"/>
      <c r="AV230" s="53"/>
      <c r="AW230" s="53"/>
    </row>
    <row r="231" spans="2:49" ht="15" customHeight="1" x14ac:dyDescent="0.2">
      <c r="B231" s="214">
        <v>1</v>
      </c>
      <c r="C231" s="214"/>
      <c r="D231" s="214"/>
      <c r="E231" s="218" t="str">
        <f>$E$105</f>
        <v>Hazard</v>
      </c>
      <c r="F231" s="218"/>
      <c r="G231" s="218"/>
      <c r="H231" s="218"/>
      <c r="I231" s="218"/>
      <c r="J231" s="218"/>
      <c r="K231" s="218"/>
      <c r="L231" s="218"/>
      <c r="M231" s="220">
        <f>$M$105</f>
        <v>1</v>
      </c>
      <c r="N231" s="220"/>
      <c r="O231" s="220"/>
      <c r="P231" s="220"/>
      <c r="Q231" s="220">
        <f>$Q$105</f>
        <v>1</v>
      </c>
      <c r="R231" s="220"/>
      <c r="S231" s="220"/>
      <c r="T231" s="220"/>
      <c r="U231" s="199"/>
      <c r="V231" s="200"/>
      <c r="W231" s="200"/>
      <c r="X231" s="200"/>
      <c r="Y231" s="200"/>
      <c r="Z231" s="200"/>
      <c r="AA231" s="200"/>
      <c r="AB231" s="200"/>
      <c r="AC231" s="200"/>
      <c r="AD231" s="200"/>
      <c r="AE231" s="201"/>
      <c r="AF231" s="74"/>
      <c r="AG231" s="49"/>
      <c r="AH231" s="49"/>
      <c r="AI231" s="49"/>
      <c r="AJ231" s="49"/>
      <c r="AK231" s="49"/>
      <c r="AL231" s="49"/>
      <c r="AM231" s="49"/>
      <c r="AN231" s="49"/>
      <c r="AO231" s="49"/>
      <c r="AP231" s="49"/>
      <c r="AQ231" s="49"/>
      <c r="AR231" s="49"/>
      <c r="AS231" s="49"/>
      <c r="AT231" s="49"/>
      <c r="AU231" s="49"/>
      <c r="AV231" s="49"/>
      <c r="AW231" s="49"/>
    </row>
    <row r="232" spans="2:49" ht="15" customHeight="1" x14ac:dyDescent="0.2">
      <c r="B232" s="214">
        <v>2</v>
      </c>
      <c r="C232" s="214"/>
      <c r="D232" s="214"/>
      <c r="E232" s="218" t="str">
        <f>$E$106</f>
        <v>Transform</v>
      </c>
      <c r="F232" s="218"/>
      <c r="G232" s="218"/>
      <c r="H232" s="218"/>
      <c r="I232" s="218"/>
      <c r="J232" s="218"/>
      <c r="K232" s="218"/>
      <c r="L232" s="218"/>
      <c r="M232" s="220">
        <f>$M$106</f>
        <v>3</v>
      </c>
      <c r="N232" s="220"/>
      <c r="O232" s="220"/>
      <c r="P232" s="220"/>
      <c r="Q232" s="220">
        <f>$Q$106</f>
        <v>3</v>
      </c>
      <c r="R232" s="220"/>
      <c r="S232" s="220"/>
      <c r="T232" s="220"/>
      <c r="U232" s="202"/>
      <c r="V232" s="203"/>
      <c r="W232" s="203"/>
      <c r="X232" s="203"/>
      <c r="Y232" s="203"/>
      <c r="Z232" s="203"/>
      <c r="AA232" s="203"/>
      <c r="AB232" s="203"/>
      <c r="AC232" s="203"/>
      <c r="AD232" s="203"/>
      <c r="AE232" s="204"/>
      <c r="AF232" s="74"/>
      <c r="AG232" s="49"/>
      <c r="AH232" s="49"/>
      <c r="AI232" s="49"/>
      <c r="AJ232" s="49"/>
      <c r="AK232" s="49"/>
      <c r="AL232" s="49"/>
      <c r="AM232" s="49"/>
      <c r="AN232" s="49"/>
      <c r="AO232" s="49"/>
      <c r="AP232" s="49"/>
      <c r="AQ232" s="49"/>
      <c r="AR232" s="49"/>
      <c r="AS232" s="49"/>
      <c r="AT232" s="49"/>
      <c r="AU232" s="49"/>
      <c r="AV232" s="49"/>
      <c r="AW232" s="49"/>
    </row>
    <row r="233" spans="2:49" ht="15" customHeight="1" x14ac:dyDescent="0.2">
      <c r="B233" s="214">
        <v>3</v>
      </c>
      <c r="C233" s="214"/>
      <c r="D233" s="214"/>
      <c r="E233" s="218" t="str">
        <f>$E$107</f>
        <v>System Response</v>
      </c>
      <c r="F233" s="218"/>
      <c r="G233" s="218"/>
      <c r="H233" s="218"/>
      <c r="I233" s="218"/>
      <c r="J233" s="218"/>
      <c r="K233" s="218"/>
      <c r="L233" s="218"/>
      <c r="M233" s="220">
        <f>$M$107</f>
        <v>1</v>
      </c>
      <c r="N233" s="220"/>
      <c r="O233" s="220"/>
      <c r="P233" s="220"/>
      <c r="Q233" s="220">
        <f>$Q$107</f>
        <v>3</v>
      </c>
      <c r="R233" s="220"/>
      <c r="S233" s="220"/>
      <c r="T233" s="220"/>
      <c r="U233" s="202"/>
      <c r="V233" s="203"/>
      <c r="W233" s="203"/>
      <c r="X233" s="203"/>
      <c r="Y233" s="203"/>
      <c r="Z233" s="203"/>
      <c r="AA233" s="203"/>
      <c r="AB233" s="203"/>
      <c r="AC233" s="203"/>
      <c r="AD233" s="203"/>
      <c r="AE233" s="204"/>
      <c r="AF233" s="74"/>
      <c r="AG233" s="49"/>
      <c r="AH233" s="49"/>
      <c r="AI233" s="49"/>
      <c r="AJ233" s="49"/>
      <c r="AK233" s="49"/>
      <c r="AL233" s="49"/>
      <c r="AM233" s="49"/>
      <c r="AN233" s="49"/>
      <c r="AO233" s="49"/>
      <c r="AP233" s="49"/>
      <c r="AQ233" s="49"/>
      <c r="AR233" s="49"/>
      <c r="AS233" s="49"/>
      <c r="AT233" s="49"/>
      <c r="AU233" s="49"/>
      <c r="AV233" s="49"/>
      <c r="AW233" s="49"/>
    </row>
    <row r="234" spans="2:49" ht="15" customHeight="1" x14ac:dyDescent="0.2">
      <c r="B234" s="214">
        <v>4</v>
      </c>
      <c r="C234" s="214"/>
      <c r="D234" s="214"/>
      <c r="E234" s="218" t="str">
        <f>$E$108</f>
        <v>Life Loss</v>
      </c>
      <c r="F234" s="218"/>
      <c r="G234" s="218"/>
      <c r="H234" s="218"/>
      <c r="I234" s="218"/>
      <c r="J234" s="218"/>
      <c r="K234" s="218"/>
      <c r="L234" s="218"/>
      <c r="M234" s="220">
        <f>$M$108</f>
        <v>1</v>
      </c>
      <c r="N234" s="220"/>
      <c r="O234" s="220"/>
      <c r="P234" s="220"/>
      <c r="Q234" s="220">
        <f>$Q$108</f>
        <v>3</v>
      </c>
      <c r="R234" s="220"/>
      <c r="S234" s="220"/>
      <c r="T234" s="220"/>
      <c r="U234" s="205"/>
      <c r="V234" s="206"/>
      <c r="W234" s="206"/>
      <c r="X234" s="206"/>
      <c r="Y234" s="206"/>
      <c r="Z234" s="206"/>
      <c r="AA234" s="206"/>
      <c r="AB234" s="206"/>
      <c r="AC234" s="206"/>
      <c r="AD234" s="206"/>
      <c r="AE234" s="207"/>
      <c r="AF234" s="74"/>
      <c r="AG234" s="49"/>
      <c r="AH234" s="49"/>
      <c r="AI234" s="49"/>
      <c r="AJ234" s="49"/>
      <c r="AK234" s="49"/>
      <c r="AL234" s="49"/>
      <c r="AM234" s="49"/>
      <c r="AN234" s="49"/>
      <c r="AO234" s="49"/>
      <c r="AP234" s="49"/>
      <c r="AQ234" s="49"/>
      <c r="AR234" s="49"/>
      <c r="AS234" s="49"/>
      <c r="AT234" s="49"/>
      <c r="AU234" s="49"/>
      <c r="AV234" s="49"/>
      <c r="AW234" s="49"/>
    </row>
    <row r="235" spans="2:49" ht="15" customHeight="1" x14ac:dyDescent="0.2">
      <c r="B235" s="214">
        <v>5</v>
      </c>
      <c r="C235" s="214"/>
      <c r="D235" s="214"/>
      <c r="E235" s="218" t="str">
        <f>$E$109</f>
        <v>Economic Cost</v>
      </c>
      <c r="F235" s="218"/>
      <c r="G235" s="218"/>
      <c r="H235" s="218"/>
      <c r="I235" s="218"/>
      <c r="J235" s="218"/>
      <c r="K235" s="218"/>
      <c r="L235" s="218"/>
      <c r="M235" s="220">
        <f>$M$109</f>
        <v>1</v>
      </c>
      <c r="N235" s="220"/>
      <c r="O235" s="220"/>
      <c r="P235" s="220"/>
      <c r="Q235" s="220">
        <f>$Q$109</f>
        <v>3</v>
      </c>
      <c r="R235" s="220"/>
      <c r="S235" s="220"/>
      <c r="T235" s="220"/>
      <c r="U235" s="51">
        <v>1323</v>
      </c>
      <c r="V235" s="51">
        <f t="shared" ref="V235:V236" si="130">U235+1</f>
        <v>1324</v>
      </c>
      <c r="W235" s="51">
        <f t="shared" ref="W235:AE236" si="131">V235+1</f>
        <v>1325</v>
      </c>
      <c r="X235" s="51">
        <f t="shared" si="131"/>
        <v>1326</v>
      </c>
      <c r="Y235" s="51">
        <f t="shared" si="131"/>
        <v>1327</v>
      </c>
      <c r="Z235" s="51">
        <f t="shared" si="131"/>
        <v>1328</v>
      </c>
      <c r="AA235" s="51">
        <f t="shared" si="131"/>
        <v>1329</v>
      </c>
      <c r="AB235" s="51">
        <f t="shared" si="131"/>
        <v>1330</v>
      </c>
      <c r="AC235" s="51">
        <f t="shared" si="131"/>
        <v>1331</v>
      </c>
      <c r="AD235" s="51">
        <f t="shared" si="131"/>
        <v>1332</v>
      </c>
      <c r="AE235" s="51">
        <f t="shared" si="131"/>
        <v>1333</v>
      </c>
      <c r="AF235" s="74"/>
      <c r="AG235" s="49"/>
      <c r="AH235" s="49"/>
      <c r="AI235" s="49"/>
      <c r="AJ235" s="49"/>
      <c r="AK235" s="49"/>
      <c r="AL235" s="49"/>
      <c r="AM235" s="49"/>
      <c r="AN235" s="49"/>
      <c r="AO235" s="49"/>
      <c r="AP235" s="49"/>
      <c r="AQ235" s="49"/>
      <c r="AR235" s="49"/>
      <c r="AS235" s="49"/>
      <c r="AT235" s="49"/>
      <c r="AU235" s="49"/>
      <c r="AV235" s="49"/>
      <c r="AW235" s="49"/>
    </row>
    <row r="236" spans="2:49" ht="15" customHeight="1" x14ac:dyDescent="0.2">
      <c r="B236" s="214">
        <v>6</v>
      </c>
      <c r="C236" s="214"/>
      <c r="D236" s="214"/>
      <c r="E236" s="218" t="str">
        <f>$E$110</f>
        <v>-</v>
      </c>
      <c r="F236" s="218"/>
      <c r="G236" s="218"/>
      <c r="H236" s="218"/>
      <c r="I236" s="218"/>
      <c r="J236" s="218"/>
      <c r="K236" s="218"/>
      <c r="L236" s="218"/>
      <c r="M236" s="220" t="str">
        <f>$M$110</f>
        <v>-</v>
      </c>
      <c r="N236" s="220"/>
      <c r="O236" s="220"/>
      <c r="P236" s="220"/>
      <c r="Q236" s="220" t="str">
        <f>$Q$110</f>
        <v>-</v>
      </c>
      <c r="R236" s="220"/>
      <c r="S236" s="220"/>
      <c r="T236" s="220"/>
      <c r="U236" s="51">
        <f>AE235+1</f>
        <v>1334</v>
      </c>
      <c r="V236" s="51">
        <f t="shared" si="130"/>
        <v>1335</v>
      </c>
      <c r="W236" s="51">
        <f t="shared" si="131"/>
        <v>1336</v>
      </c>
      <c r="X236" s="51">
        <f t="shared" si="131"/>
        <v>1337</v>
      </c>
      <c r="Y236" s="51">
        <f t="shared" si="131"/>
        <v>1338</v>
      </c>
      <c r="Z236" s="51">
        <f t="shared" si="131"/>
        <v>1339</v>
      </c>
      <c r="AA236" s="51">
        <f t="shared" si="131"/>
        <v>1340</v>
      </c>
      <c r="AB236" s="51">
        <f t="shared" si="131"/>
        <v>1341</v>
      </c>
      <c r="AC236" s="51">
        <f t="shared" si="131"/>
        <v>1342</v>
      </c>
      <c r="AD236" s="51">
        <f t="shared" si="131"/>
        <v>1343</v>
      </c>
      <c r="AE236" s="51">
        <f t="shared" si="131"/>
        <v>1344</v>
      </c>
      <c r="AF236" s="74"/>
      <c r="AG236" s="49"/>
      <c r="AH236" s="49"/>
      <c r="AI236" s="49"/>
      <c r="AJ236" s="49"/>
      <c r="AK236" s="49"/>
      <c r="AL236" s="49"/>
      <c r="AM236" s="49"/>
      <c r="AN236" s="49"/>
      <c r="AO236" s="49"/>
      <c r="AP236" s="49"/>
      <c r="AQ236" s="49"/>
      <c r="AR236" s="49"/>
      <c r="AS236" s="49"/>
      <c r="AT236" s="49"/>
      <c r="AU236" s="49"/>
      <c r="AV236" s="49"/>
      <c r="AW236" s="49"/>
    </row>
    <row r="237" spans="2:49" ht="15" customHeight="1" x14ac:dyDescent="0.2"/>
    <row r="238" spans="2:49" ht="15" customHeight="1" x14ac:dyDescent="0.2">
      <c r="B238" s="49"/>
      <c r="C238" s="49"/>
      <c r="D238" s="49"/>
      <c r="M238" s="49"/>
      <c r="N238" s="49"/>
      <c r="O238" s="49"/>
      <c r="P238" s="49"/>
      <c r="Q238" s="49"/>
      <c r="R238" s="49"/>
      <c r="S238" s="49"/>
      <c r="T238" s="49"/>
      <c r="U238" s="51">
        <v>10</v>
      </c>
      <c r="V238" s="51">
        <f>U238+5</f>
        <v>15</v>
      </c>
      <c r="W238" s="51">
        <f t="shared" ref="W238:AE238" si="132">V238+5</f>
        <v>20</v>
      </c>
      <c r="X238" s="51">
        <f t="shared" si="132"/>
        <v>25</v>
      </c>
      <c r="Y238" s="51">
        <f t="shared" si="132"/>
        <v>30</v>
      </c>
      <c r="Z238" s="51">
        <f t="shared" si="132"/>
        <v>35</v>
      </c>
      <c r="AA238" s="51">
        <f t="shared" si="132"/>
        <v>40</v>
      </c>
      <c r="AB238" s="51">
        <f t="shared" si="132"/>
        <v>45</v>
      </c>
      <c r="AC238" s="51">
        <f t="shared" si="132"/>
        <v>50</v>
      </c>
      <c r="AD238" s="51">
        <f t="shared" si="132"/>
        <v>55</v>
      </c>
      <c r="AE238" s="51">
        <f t="shared" si="132"/>
        <v>60</v>
      </c>
      <c r="AF238" s="74"/>
      <c r="AG238" s="49"/>
      <c r="AH238" s="49"/>
      <c r="AI238" s="49"/>
      <c r="AJ238" s="49"/>
      <c r="AK238" s="49"/>
      <c r="AL238" s="49"/>
      <c r="AM238" s="49"/>
      <c r="AN238" s="49"/>
      <c r="AO238" s="49"/>
      <c r="AP238" s="49"/>
      <c r="AQ238" s="49"/>
      <c r="AR238" s="49"/>
      <c r="AS238" s="49"/>
      <c r="AT238" s="49"/>
      <c r="AU238" s="49"/>
      <c r="AV238" s="49"/>
      <c r="AW238" s="49"/>
    </row>
    <row r="239" spans="2:49" ht="15" customHeight="1" x14ac:dyDescent="0.2">
      <c r="B239" s="214" t="s">
        <v>98</v>
      </c>
      <c r="C239" s="214"/>
      <c r="D239" s="214"/>
      <c r="E239" s="218" t="s">
        <v>147</v>
      </c>
      <c r="F239" s="218"/>
      <c r="G239" s="218"/>
      <c r="H239" s="218"/>
      <c r="I239" s="218"/>
      <c r="J239" s="218"/>
      <c r="K239" s="218"/>
      <c r="L239" s="218"/>
      <c r="M239" s="218" t="s">
        <v>97</v>
      </c>
      <c r="N239" s="218"/>
      <c r="O239" s="218"/>
      <c r="P239" s="218"/>
      <c r="Q239" s="218" t="s">
        <v>118</v>
      </c>
      <c r="R239" s="218"/>
      <c r="S239" s="218"/>
      <c r="T239" s="218"/>
      <c r="U239" s="52">
        <v>1</v>
      </c>
      <c r="V239" s="52">
        <v>2</v>
      </c>
      <c r="W239" s="52">
        <v>3</v>
      </c>
      <c r="X239" s="52">
        <v>4</v>
      </c>
      <c r="Y239" s="52">
        <v>5</v>
      </c>
      <c r="Z239" s="52">
        <v>6</v>
      </c>
      <c r="AA239" s="52">
        <v>7</v>
      </c>
      <c r="AB239" s="52">
        <v>8</v>
      </c>
      <c r="AC239" s="52">
        <v>9</v>
      </c>
      <c r="AD239" s="52">
        <v>10</v>
      </c>
      <c r="AE239" s="52">
        <v>11</v>
      </c>
      <c r="AF239" s="75"/>
      <c r="AG239" s="53"/>
      <c r="AH239" s="53"/>
      <c r="AI239" s="53"/>
      <c r="AJ239" s="53"/>
      <c r="AK239" s="53"/>
      <c r="AL239" s="53"/>
      <c r="AM239" s="53"/>
      <c r="AN239" s="53"/>
      <c r="AO239" s="53"/>
      <c r="AP239" s="53"/>
      <c r="AQ239" s="53"/>
      <c r="AR239" s="53"/>
      <c r="AS239" s="53"/>
      <c r="AT239" s="53"/>
      <c r="AU239" s="53"/>
      <c r="AV239" s="53"/>
      <c r="AW239" s="53"/>
    </row>
    <row r="240" spans="2:49" ht="15" customHeight="1" x14ac:dyDescent="0.2">
      <c r="B240" s="214">
        <v>1</v>
      </c>
      <c r="C240" s="214"/>
      <c r="D240" s="214"/>
      <c r="E240" s="218" t="str">
        <f>$E$105</f>
        <v>Hazard</v>
      </c>
      <c r="F240" s="218"/>
      <c r="G240" s="218"/>
      <c r="H240" s="218"/>
      <c r="I240" s="218"/>
      <c r="J240" s="218"/>
      <c r="K240" s="218"/>
      <c r="L240" s="218"/>
      <c r="M240" s="220">
        <f>$M$105</f>
        <v>1</v>
      </c>
      <c r="N240" s="220"/>
      <c r="O240" s="220"/>
      <c r="P240" s="220"/>
      <c r="Q240" s="220">
        <f>$Q$105</f>
        <v>1</v>
      </c>
      <c r="R240" s="220"/>
      <c r="S240" s="220"/>
      <c r="T240" s="220"/>
      <c r="U240" s="199"/>
      <c r="V240" s="200"/>
      <c r="W240" s="200"/>
      <c r="X240" s="200"/>
      <c r="Y240" s="200"/>
      <c r="Z240" s="200"/>
      <c r="AA240" s="200"/>
      <c r="AB240" s="200"/>
      <c r="AC240" s="200"/>
      <c r="AD240" s="200"/>
      <c r="AE240" s="201"/>
      <c r="AF240" s="74"/>
      <c r="AG240" s="49"/>
      <c r="AH240" s="49"/>
      <c r="AI240" s="49"/>
      <c r="AJ240" s="49"/>
      <c r="AK240" s="49"/>
      <c r="AL240" s="49"/>
      <c r="AM240" s="49"/>
      <c r="AN240" s="49"/>
      <c r="AO240" s="49"/>
      <c r="AP240" s="49"/>
      <c r="AQ240" s="49"/>
      <c r="AR240" s="49"/>
      <c r="AS240" s="49"/>
      <c r="AT240" s="49"/>
      <c r="AU240" s="49"/>
      <c r="AV240" s="49"/>
      <c r="AW240" s="49"/>
    </row>
    <row r="241" spans="2:49" ht="15" customHeight="1" x14ac:dyDescent="0.2">
      <c r="B241" s="214">
        <v>2</v>
      </c>
      <c r="C241" s="214"/>
      <c r="D241" s="214"/>
      <c r="E241" s="218" t="str">
        <f>$E$106</f>
        <v>Transform</v>
      </c>
      <c r="F241" s="218"/>
      <c r="G241" s="218"/>
      <c r="H241" s="218"/>
      <c r="I241" s="218"/>
      <c r="J241" s="218"/>
      <c r="K241" s="218"/>
      <c r="L241" s="218"/>
      <c r="M241" s="220">
        <f>$M$106</f>
        <v>3</v>
      </c>
      <c r="N241" s="220"/>
      <c r="O241" s="220"/>
      <c r="P241" s="220"/>
      <c r="Q241" s="220">
        <f>$Q$106</f>
        <v>3</v>
      </c>
      <c r="R241" s="220"/>
      <c r="S241" s="220"/>
      <c r="T241" s="220"/>
      <c r="U241" s="202"/>
      <c r="V241" s="203"/>
      <c r="W241" s="203"/>
      <c r="X241" s="203"/>
      <c r="Y241" s="203"/>
      <c r="Z241" s="203"/>
      <c r="AA241" s="203"/>
      <c r="AB241" s="203"/>
      <c r="AC241" s="203"/>
      <c r="AD241" s="203"/>
      <c r="AE241" s="204"/>
      <c r="AF241" s="74"/>
      <c r="AG241" s="49"/>
      <c r="AH241" s="49"/>
      <c r="AI241" s="49"/>
      <c r="AJ241" s="49"/>
      <c r="AK241" s="49"/>
      <c r="AL241" s="49"/>
      <c r="AM241" s="49"/>
      <c r="AN241" s="49"/>
      <c r="AO241" s="49"/>
      <c r="AP241" s="49"/>
      <c r="AQ241" s="49"/>
      <c r="AR241" s="49"/>
      <c r="AS241" s="49"/>
      <c r="AT241" s="49"/>
      <c r="AU241" s="49"/>
      <c r="AV241" s="49"/>
      <c r="AW241" s="49"/>
    </row>
    <row r="242" spans="2:49" ht="15" customHeight="1" x14ac:dyDescent="0.2">
      <c r="B242" s="214">
        <v>3</v>
      </c>
      <c r="C242" s="214"/>
      <c r="D242" s="214"/>
      <c r="E242" s="218" t="str">
        <f>$E$107</f>
        <v>System Response</v>
      </c>
      <c r="F242" s="218"/>
      <c r="G242" s="218"/>
      <c r="H242" s="218"/>
      <c r="I242" s="218"/>
      <c r="J242" s="218"/>
      <c r="K242" s="218"/>
      <c r="L242" s="218"/>
      <c r="M242" s="220">
        <f>$M$107</f>
        <v>1</v>
      </c>
      <c r="N242" s="220"/>
      <c r="O242" s="220"/>
      <c r="P242" s="220"/>
      <c r="Q242" s="220">
        <f>$Q$107</f>
        <v>3</v>
      </c>
      <c r="R242" s="220"/>
      <c r="S242" s="220"/>
      <c r="T242" s="220"/>
      <c r="U242" s="202"/>
      <c r="V242" s="203"/>
      <c r="W242" s="203"/>
      <c r="X242" s="203"/>
      <c r="Y242" s="203"/>
      <c r="Z242" s="203"/>
      <c r="AA242" s="203"/>
      <c r="AB242" s="203"/>
      <c r="AC242" s="203"/>
      <c r="AD242" s="203"/>
      <c r="AE242" s="204"/>
      <c r="AF242" s="74"/>
      <c r="AG242" s="49"/>
      <c r="AH242" s="49"/>
      <c r="AI242" s="49"/>
      <c r="AJ242" s="49"/>
      <c r="AK242" s="49"/>
      <c r="AL242" s="49"/>
      <c r="AM242" s="49"/>
      <c r="AN242" s="49"/>
      <c r="AO242" s="49"/>
      <c r="AP242" s="49"/>
      <c r="AQ242" s="49"/>
      <c r="AR242" s="49"/>
      <c r="AS242" s="49"/>
      <c r="AT242" s="49"/>
      <c r="AU242" s="49"/>
      <c r="AV242" s="49"/>
      <c r="AW242" s="49"/>
    </row>
    <row r="243" spans="2:49" ht="15" customHeight="1" x14ac:dyDescent="0.2">
      <c r="B243" s="214">
        <v>4</v>
      </c>
      <c r="C243" s="214"/>
      <c r="D243" s="214"/>
      <c r="E243" s="218" t="str">
        <f>$E$108</f>
        <v>Life Loss</v>
      </c>
      <c r="F243" s="218"/>
      <c r="G243" s="218"/>
      <c r="H243" s="218"/>
      <c r="I243" s="218"/>
      <c r="J243" s="218"/>
      <c r="K243" s="218"/>
      <c r="L243" s="218"/>
      <c r="M243" s="220">
        <f>$M$108</f>
        <v>1</v>
      </c>
      <c r="N243" s="220"/>
      <c r="O243" s="220"/>
      <c r="P243" s="220"/>
      <c r="Q243" s="220">
        <f>$Q$108</f>
        <v>3</v>
      </c>
      <c r="R243" s="220"/>
      <c r="S243" s="220"/>
      <c r="T243" s="220"/>
      <c r="U243" s="205"/>
      <c r="V243" s="206"/>
      <c r="W243" s="206"/>
      <c r="X243" s="206"/>
      <c r="Y243" s="206"/>
      <c r="Z243" s="206"/>
      <c r="AA243" s="206"/>
      <c r="AB243" s="206"/>
      <c r="AC243" s="206"/>
      <c r="AD243" s="206"/>
      <c r="AE243" s="207"/>
      <c r="AF243" s="74"/>
      <c r="AG243" s="49"/>
      <c r="AH243" s="49"/>
      <c r="AI243" s="49"/>
      <c r="AJ243" s="49"/>
      <c r="AK243" s="49"/>
      <c r="AL243" s="49"/>
      <c r="AM243" s="49"/>
      <c r="AN243" s="49"/>
      <c r="AO243" s="49"/>
      <c r="AP243" s="49"/>
      <c r="AQ243" s="49"/>
      <c r="AR243" s="49"/>
      <c r="AS243" s="49"/>
      <c r="AT243" s="49"/>
      <c r="AU243" s="49"/>
      <c r="AV243" s="49"/>
      <c r="AW243" s="49"/>
    </row>
    <row r="244" spans="2:49" ht="15" customHeight="1" x14ac:dyDescent="0.2">
      <c r="B244" s="214">
        <v>5</v>
      </c>
      <c r="C244" s="214"/>
      <c r="D244" s="214"/>
      <c r="E244" s="218" t="str">
        <f>$E$109</f>
        <v>Economic Cost</v>
      </c>
      <c r="F244" s="218"/>
      <c r="G244" s="218"/>
      <c r="H244" s="218"/>
      <c r="I244" s="218"/>
      <c r="J244" s="218"/>
      <c r="K244" s="218"/>
      <c r="L244" s="218"/>
      <c r="M244" s="220">
        <f>$M$109</f>
        <v>1</v>
      </c>
      <c r="N244" s="220"/>
      <c r="O244" s="220"/>
      <c r="P244" s="220"/>
      <c r="Q244" s="220">
        <f>$Q$109</f>
        <v>3</v>
      </c>
      <c r="R244" s="220"/>
      <c r="S244" s="220"/>
      <c r="T244" s="220"/>
      <c r="U244" s="51">
        <f t="shared" ref="U244:AE244" si="133">IF(U226="+",U235,"-")</f>
        <v>1323</v>
      </c>
      <c r="V244" s="51">
        <f t="shared" si="133"/>
        <v>1324</v>
      </c>
      <c r="W244" s="51">
        <f t="shared" si="133"/>
        <v>1325</v>
      </c>
      <c r="X244" s="51" t="str">
        <f t="shared" si="133"/>
        <v>-</v>
      </c>
      <c r="Y244" s="51" t="str">
        <f t="shared" si="133"/>
        <v>-</v>
      </c>
      <c r="Z244" s="51" t="str">
        <f t="shared" si="133"/>
        <v>-</v>
      </c>
      <c r="AA244" s="51" t="str">
        <f t="shared" si="133"/>
        <v>-</v>
      </c>
      <c r="AB244" s="51" t="str">
        <f t="shared" si="133"/>
        <v>-</v>
      </c>
      <c r="AC244" s="51" t="str">
        <f t="shared" si="133"/>
        <v>-</v>
      </c>
      <c r="AD244" s="51" t="str">
        <f t="shared" si="133"/>
        <v>-</v>
      </c>
      <c r="AE244" s="51" t="str">
        <f t="shared" si="133"/>
        <v>-</v>
      </c>
      <c r="AF244" s="74"/>
      <c r="AG244" s="49"/>
      <c r="AH244" s="49"/>
      <c r="AI244" s="49"/>
      <c r="AJ244" s="49"/>
      <c r="AK244" s="49"/>
      <c r="AL244" s="49"/>
      <c r="AM244" s="49"/>
      <c r="AN244" s="49"/>
      <c r="AO244" s="49"/>
      <c r="AP244" s="49"/>
      <c r="AQ244" s="49"/>
      <c r="AR244" s="49"/>
      <c r="AS244" s="49"/>
      <c r="AT244" s="49"/>
      <c r="AU244" s="49"/>
      <c r="AV244" s="49"/>
      <c r="AW244" s="49"/>
    </row>
    <row r="245" spans="2:49" ht="15" customHeight="1" x14ac:dyDescent="0.2">
      <c r="B245" s="214">
        <v>6</v>
      </c>
      <c r="C245" s="214"/>
      <c r="D245" s="214"/>
      <c r="E245" s="218" t="str">
        <f>$E$110</f>
        <v>-</v>
      </c>
      <c r="F245" s="218"/>
      <c r="G245" s="218"/>
      <c r="H245" s="218"/>
      <c r="I245" s="218"/>
      <c r="J245" s="218"/>
      <c r="K245" s="218"/>
      <c r="L245" s="218"/>
      <c r="M245" s="220" t="str">
        <f>$M$110</f>
        <v>-</v>
      </c>
      <c r="N245" s="220"/>
      <c r="O245" s="220"/>
      <c r="P245" s="220"/>
      <c r="Q245" s="220" t="str">
        <f>$Q$110</f>
        <v>-</v>
      </c>
      <c r="R245" s="220"/>
      <c r="S245" s="220"/>
      <c r="T245" s="220"/>
      <c r="U245" s="51" t="str">
        <f t="shared" ref="U245:AE245" si="134">IF(U227="+",U236,"-")</f>
        <v>-</v>
      </c>
      <c r="V245" s="51" t="str">
        <f t="shared" si="134"/>
        <v>-</v>
      </c>
      <c r="W245" s="51" t="str">
        <f t="shared" si="134"/>
        <v>-</v>
      </c>
      <c r="X245" s="51" t="str">
        <f t="shared" si="134"/>
        <v>-</v>
      </c>
      <c r="Y245" s="51" t="str">
        <f t="shared" si="134"/>
        <v>-</v>
      </c>
      <c r="Z245" s="51" t="str">
        <f t="shared" si="134"/>
        <v>-</v>
      </c>
      <c r="AA245" s="51" t="str">
        <f t="shared" si="134"/>
        <v>-</v>
      </c>
      <c r="AB245" s="51" t="str">
        <f t="shared" si="134"/>
        <v>-</v>
      </c>
      <c r="AC245" s="51" t="str">
        <f t="shared" si="134"/>
        <v>-</v>
      </c>
      <c r="AD245" s="51" t="str">
        <f t="shared" si="134"/>
        <v>-</v>
      </c>
      <c r="AE245" s="51" t="str">
        <f t="shared" si="134"/>
        <v>-</v>
      </c>
      <c r="AF245" s="74"/>
      <c r="AG245" s="49"/>
      <c r="AH245" s="49"/>
      <c r="AI245" s="49"/>
      <c r="AJ245" s="49"/>
      <c r="AK245" s="49"/>
      <c r="AL245" s="49"/>
      <c r="AM245" s="49"/>
      <c r="AN245" s="49"/>
      <c r="AO245" s="49"/>
      <c r="AP245" s="49"/>
      <c r="AQ245" s="49"/>
      <c r="AR245" s="49"/>
      <c r="AS245" s="49"/>
      <c r="AT245" s="49"/>
      <c r="AU245" s="49"/>
      <c r="AV245" s="49"/>
      <c r="AW245" s="49"/>
    </row>
    <row r="246" spans="2:49" ht="15" customHeight="1" x14ac:dyDescent="0.2"/>
    <row r="247" spans="2:49" ht="15" customHeight="1" x14ac:dyDescent="0.2">
      <c r="B247" s="50" t="s">
        <v>151</v>
      </c>
      <c r="C247" s="49"/>
      <c r="D247" s="49"/>
      <c r="E247" s="49"/>
      <c r="F247" s="49"/>
      <c r="G247" s="49"/>
      <c r="H247" s="49"/>
      <c r="I247" s="49"/>
      <c r="J247" s="49"/>
      <c r="K247" s="49"/>
      <c r="L247" s="49"/>
      <c r="M247" s="49"/>
      <c r="N247" s="49"/>
      <c r="O247" s="49"/>
      <c r="P247" s="49"/>
      <c r="Q247" s="49"/>
      <c r="R247" s="49"/>
      <c r="S247" s="49"/>
      <c r="T247" s="49"/>
    </row>
    <row r="248" spans="2:49" ht="15" customHeight="1" x14ac:dyDescent="0.2"/>
    <row r="249" spans="2:49" ht="15" customHeight="1" x14ac:dyDescent="0.2">
      <c r="B249" s="33" t="s">
        <v>207</v>
      </c>
      <c r="G249" s="33" t="str">
        <f>'Project Event Tree Input'!E80</f>
        <v>Hydrologic Hazard</v>
      </c>
    </row>
    <row r="250" spans="2:49" ht="15" customHeight="1" x14ac:dyDescent="0.2">
      <c r="B250" s="33" t="s">
        <v>207</v>
      </c>
      <c r="G250" s="33" t="str">
        <f>'Project Event Tree Input'!E81</f>
        <v>Stage-Frequency</v>
      </c>
    </row>
    <row r="251" spans="2:49" ht="15" customHeight="1" x14ac:dyDescent="0.2">
      <c r="B251" s="33" t="s">
        <v>181</v>
      </c>
      <c r="G251" s="33" t="str">
        <f>'Project Event Tree Input'!E82</f>
        <v>Stage</v>
      </c>
    </row>
    <row r="252" spans="2:49" ht="15" customHeight="1" x14ac:dyDescent="0.2">
      <c r="B252" s="33" t="s">
        <v>208</v>
      </c>
      <c r="G252" s="33" t="str">
        <f>'Project Event Tree Input'!E83</f>
        <v>Total Outflow</v>
      </c>
    </row>
    <row r="253" spans="2:49" ht="15" customHeight="1" x14ac:dyDescent="0.2">
      <c r="H253" s="58"/>
      <c r="I253" s="58"/>
      <c r="J253" s="58"/>
      <c r="K253" s="58"/>
      <c r="L253" s="58"/>
      <c r="M253" s="58"/>
      <c r="N253" s="58"/>
      <c r="O253" s="58"/>
      <c r="P253" s="58"/>
      <c r="Q253" s="58"/>
      <c r="R253" s="58"/>
      <c r="S253" s="58"/>
      <c r="T253" s="58"/>
      <c r="U253" s="58"/>
      <c r="V253" s="58"/>
      <c r="W253" s="58"/>
      <c r="X253" s="58"/>
      <c r="Y253" s="58"/>
      <c r="Z253" s="58"/>
    </row>
    <row r="255" spans="2:49" x14ac:dyDescent="0.2">
      <c r="B255" s="214" t="s">
        <v>98</v>
      </c>
      <c r="C255" s="214"/>
      <c r="D255" s="214"/>
      <c r="E255" s="218" t="s">
        <v>147</v>
      </c>
      <c r="F255" s="218"/>
      <c r="G255" s="218"/>
      <c r="H255" s="218"/>
      <c r="I255" s="218"/>
      <c r="J255" s="218"/>
      <c r="K255" s="218"/>
      <c r="L255" s="218"/>
      <c r="M255" s="218" t="s">
        <v>152</v>
      </c>
      <c r="N255" s="218"/>
      <c r="O255" s="218"/>
      <c r="P255" s="218"/>
      <c r="Q255" s="218"/>
      <c r="R255" s="218"/>
      <c r="S255" s="218"/>
      <c r="T255" s="218"/>
      <c r="U255" s="218"/>
      <c r="V255" s="218"/>
      <c r="W255" s="218"/>
      <c r="X255" s="218"/>
    </row>
    <row r="256" spans="2:49" x14ac:dyDescent="0.2">
      <c r="B256" s="214">
        <v>1</v>
      </c>
      <c r="C256" s="214"/>
      <c r="D256" s="214"/>
      <c r="E256" s="215" t="str">
        <f>IF(G250=0,"",IF('Project Event Tree Input'!H87=FALSE,"Hazard","Composite Hazard"))</f>
        <v>Composite Hazard</v>
      </c>
      <c r="F256" s="216"/>
      <c r="G256" s="216"/>
      <c r="H256" s="216"/>
      <c r="I256" s="216"/>
      <c r="J256" s="216"/>
      <c r="K256" s="216"/>
      <c r="L256" s="217"/>
      <c r="M256" s="218" t="str">
        <f>IF(E256="","",IF(ISBLANK('Project Event Tree Input'!$E$81),"",IF($E$256="Composite Hazard",'Project Event Tree Input'!$E$81 &amp; " (Composite)",'Project Event Tree Input'!$E$81)))</f>
        <v>Stage-Frequency (Composite)</v>
      </c>
      <c r="N256" s="218"/>
      <c r="O256" s="218"/>
      <c r="P256" s="218"/>
      <c r="Q256" s="218"/>
      <c r="R256" s="218"/>
      <c r="S256" s="218"/>
      <c r="T256" s="218"/>
      <c r="U256" s="218"/>
      <c r="V256" s="218"/>
      <c r="W256" s="218"/>
      <c r="X256" s="218"/>
    </row>
    <row r="257" spans="2:24" x14ac:dyDescent="0.2">
      <c r="B257" s="214">
        <v>2</v>
      </c>
      <c r="C257" s="214"/>
      <c r="D257" s="214"/>
      <c r="E257" s="218" t="str">
        <f>IF(E256="","",IF(AND(E256="Composite Hazard",G252&lt;&gt;0),"Transform",IF(AND(E256="Composite Hazard",G252=0),"","Life Loss")))</f>
        <v>Transform</v>
      </c>
      <c r="F257" s="218"/>
      <c r="G257" s="218"/>
      <c r="H257" s="218"/>
      <c r="I257" s="218"/>
      <c r="J257" s="218"/>
      <c r="K257" s="218"/>
      <c r="L257" s="218"/>
      <c r="M257" s="218" t="str">
        <f>IF(E257="","",IF(E257="Transform",IF(ISBLANK('Project Event Tree Input'!$D$24),"","Composite " &amp;G251 &amp; " to " &amp; IF('Project Event Tree Input'!$D$24="Gate Inoperability","100% Reliable ","0% Debris Blockage ") &amp; G252),"Non-Breach" &amp; CHAR(10) &amp; "Life Loss (Composite)"))</f>
        <v>Composite Stage to 100% Reliable Total Outflow</v>
      </c>
      <c r="N257" s="218"/>
      <c r="O257" s="218"/>
      <c r="P257" s="218"/>
      <c r="Q257" s="218"/>
      <c r="R257" s="218"/>
      <c r="S257" s="218"/>
      <c r="T257" s="218"/>
      <c r="U257" s="218"/>
      <c r="V257" s="218"/>
      <c r="W257" s="218"/>
      <c r="X257" s="218"/>
    </row>
    <row r="258" spans="2:24" x14ac:dyDescent="0.2">
      <c r="B258" s="214">
        <v>3</v>
      </c>
      <c r="C258" s="214"/>
      <c r="D258" s="214"/>
      <c r="E258" s="218" t="str">
        <f>IF(E257="","",IF(E257="Transform","Life Loss","Economic Cost"))</f>
        <v>Life Loss</v>
      </c>
      <c r="F258" s="218"/>
      <c r="G258" s="218"/>
      <c r="H258" s="218"/>
      <c r="I258" s="218"/>
      <c r="J258" s="218"/>
      <c r="K258" s="218"/>
      <c r="L258" s="218"/>
      <c r="M258" s="218" t="str">
        <f>IF(E258="","",IF(E257="Transform","Non-Breach" &amp; CHAR(10) &amp; "Life Loss (Composite)","Non-Breach" &amp; CHAR(10) &amp; "Economic Loss"))</f>
        <v>Non-Breach
Life Loss (Composite)</v>
      </c>
      <c r="N258" s="218"/>
      <c r="O258" s="218"/>
      <c r="P258" s="218"/>
      <c r="Q258" s="218"/>
      <c r="R258" s="218"/>
      <c r="S258" s="218"/>
      <c r="T258" s="218"/>
      <c r="U258" s="218"/>
      <c r="V258" s="218"/>
      <c r="W258" s="218"/>
      <c r="X258" s="218"/>
    </row>
    <row r="259" spans="2:24" x14ac:dyDescent="0.2">
      <c r="B259" s="214">
        <v>4</v>
      </c>
      <c r="C259" s="214"/>
      <c r="D259" s="214"/>
      <c r="E259" s="218" t="str">
        <f>IF(E258="","",IF(AND(E257&lt;&gt;"Life Loss",E258="Life Loss"),"Economic Cost",""))</f>
        <v>Economic Cost</v>
      </c>
      <c r="F259" s="218"/>
      <c r="G259" s="218"/>
      <c r="H259" s="218"/>
      <c r="I259" s="218"/>
      <c r="J259" s="218"/>
      <c r="K259" s="218"/>
      <c r="L259" s="218"/>
      <c r="M259" s="218" t="str">
        <f>IF(E259="","","Non-Breach" &amp; CHAR(10) &amp; "Economic Loss")</f>
        <v>Non-Breach
Economic Loss</v>
      </c>
      <c r="N259" s="218"/>
      <c r="O259" s="218"/>
      <c r="P259" s="218"/>
      <c r="Q259" s="218"/>
      <c r="R259" s="218"/>
      <c r="S259" s="218"/>
      <c r="T259" s="218"/>
      <c r="U259" s="218"/>
      <c r="V259" s="218"/>
      <c r="W259" s="218"/>
      <c r="X259" s="218"/>
    </row>
  </sheetData>
  <mergeCells count="507">
    <mergeCell ref="AL1:AN1"/>
    <mergeCell ref="AL2:AN2"/>
    <mergeCell ref="A5:AW5"/>
    <mergeCell ref="B9:H10"/>
    <mergeCell ref="I9:O10"/>
    <mergeCell ref="P9:V10"/>
    <mergeCell ref="Z1:AB1"/>
    <mergeCell ref="A1:C1"/>
    <mergeCell ref="B259:D259"/>
    <mergeCell ref="E259:L259"/>
    <mergeCell ref="M255:X255"/>
    <mergeCell ref="M256:X256"/>
    <mergeCell ref="M257:X257"/>
    <mergeCell ref="M258:X258"/>
    <mergeCell ref="M259:X259"/>
    <mergeCell ref="W9:AC10"/>
    <mergeCell ref="B13:H15"/>
    <mergeCell ref="I13:O15"/>
    <mergeCell ref="P13:V15"/>
    <mergeCell ref="W13:AC15"/>
    <mergeCell ref="AA114:AB114"/>
    <mergeCell ref="AA115:AB115"/>
    <mergeCell ref="AC114:AE114"/>
    <mergeCell ref="AC115:AE115"/>
    <mergeCell ref="AK79:AQ81"/>
    <mergeCell ref="AR79:AW81"/>
    <mergeCell ref="B74:H76"/>
    <mergeCell ref="I74:O76"/>
    <mergeCell ref="P74:V76"/>
    <mergeCell ref="W74:AC76"/>
    <mergeCell ref="B89:H91"/>
    <mergeCell ref="I89:O91"/>
    <mergeCell ref="P89:V91"/>
    <mergeCell ref="W89:AC91"/>
    <mergeCell ref="AD89:AJ91"/>
    <mergeCell ref="AK89:AQ91"/>
    <mergeCell ref="AR89:AW91"/>
    <mergeCell ref="B84:H86"/>
    <mergeCell ref="I84:O86"/>
    <mergeCell ref="P84:V86"/>
    <mergeCell ref="W84:AC86"/>
    <mergeCell ref="AD84:AJ86"/>
    <mergeCell ref="AD74:AJ76"/>
    <mergeCell ref="AR84:AW86"/>
    <mergeCell ref="AR74:AW76"/>
    <mergeCell ref="AR59:AW61"/>
    <mergeCell ref="B54:H56"/>
    <mergeCell ref="I54:O56"/>
    <mergeCell ref="P54:V56"/>
    <mergeCell ref="W54:AC56"/>
    <mergeCell ref="B69:H71"/>
    <mergeCell ref="I69:O71"/>
    <mergeCell ref="P69:V71"/>
    <mergeCell ref="W69:AC71"/>
    <mergeCell ref="AD69:AJ71"/>
    <mergeCell ref="AK69:AQ71"/>
    <mergeCell ref="AR69:AW71"/>
    <mergeCell ref="B64:H66"/>
    <mergeCell ref="I64:O66"/>
    <mergeCell ref="P64:V66"/>
    <mergeCell ref="W64:AC66"/>
    <mergeCell ref="AD64:AJ66"/>
    <mergeCell ref="AD54:AJ56"/>
    <mergeCell ref="AR64:AW66"/>
    <mergeCell ref="AR54:AW56"/>
    <mergeCell ref="AR44:AW46"/>
    <mergeCell ref="B49:H51"/>
    <mergeCell ref="I49:O51"/>
    <mergeCell ref="P49:V51"/>
    <mergeCell ref="W49:AC51"/>
    <mergeCell ref="AD49:AJ51"/>
    <mergeCell ref="AK49:AQ51"/>
    <mergeCell ref="AR49:AW51"/>
    <mergeCell ref="B44:H46"/>
    <mergeCell ref="I44:O46"/>
    <mergeCell ref="P44:V46"/>
    <mergeCell ref="W44:AC46"/>
    <mergeCell ref="AD44:AJ46"/>
    <mergeCell ref="AK44:AQ46"/>
    <mergeCell ref="E171:L171"/>
    <mergeCell ref="B172:D172"/>
    <mergeCell ref="E172:L172"/>
    <mergeCell ref="B169:D169"/>
    <mergeCell ref="E169:L169"/>
    <mergeCell ref="B170:D170"/>
    <mergeCell ref="E170:L170"/>
    <mergeCell ref="X164:AL164"/>
    <mergeCell ref="X153:AL153"/>
    <mergeCell ref="X154:AL154"/>
    <mergeCell ref="X155:AL155"/>
    <mergeCell ref="X156:AL156"/>
    <mergeCell ref="X157:AL157"/>
    <mergeCell ref="X158:AL158"/>
    <mergeCell ref="X159:AL159"/>
    <mergeCell ref="U157:W157"/>
    <mergeCell ref="U158:W158"/>
    <mergeCell ref="X160:AL160"/>
    <mergeCell ref="X161:AL161"/>
    <mergeCell ref="X162:AL162"/>
    <mergeCell ref="X163:AL163"/>
    <mergeCell ref="U156:W156"/>
    <mergeCell ref="G157:Q157"/>
    <mergeCell ref="B167:D167"/>
    <mergeCell ref="E167:L167"/>
    <mergeCell ref="B168:D168"/>
    <mergeCell ref="E168:L168"/>
    <mergeCell ref="B157:F157"/>
    <mergeCell ref="B159:F159"/>
    <mergeCell ref="B160:F160"/>
    <mergeCell ref="G160:Q160"/>
    <mergeCell ref="G159:Q159"/>
    <mergeCell ref="M241:P241"/>
    <mergeCell ref="Q241:T241"/>
    <mergeCell ref="B239:D239"/>
    <mergeCell ref="E239:L239"/>
    <mergeCell ref="M239:P239"/>
    <mergeCell ref="Q239:T239"/>
    <mergeCell ref="B236:D236"/>
    <mergeCell ref="E236:L236"/>
    <mergeCell ref="M236:P236"/>
    <mergeCell ref="Q236:T236"/>
    <mergeCell ref="B235:D235"/>
    <mergeCell ref="E235:L235"/>
    <mergeCell ref="M235:P235"/>
    <mergeCell ref="Q235:T235"/>
    <mergeCell ref="B232:D232"/>
    <mergeCell ref="E232:L232"/>
    <mergeCell ref="Q135:T135"/>
    <mergeCell ref="AM160:AW160"/>
    <mergeCell ref="AM161:AW161"/>
    <mergeCell ref="AM162:AW162"/>
    <mergeCell ref="AM163:AW163"/>
    <mergeCell ref="AM164:AW164"/>
    <mergeCell ref="AM153:AW153"/>
    <mergeCell ref="AM154:AW154"/>
    <mergeCell ref="AM155:AW155"/>
    <mergeCell ref="AM156:AW156"/>
    <mergeCell ref="AM157:AW157"/>
    <mergeCell ref="AM158:AW158"/>
    <mergeCell ref="AM159:AW159"/>
    <mergeCell ref="U159:W159"/>
    <mergeCell ref="U160:W160"/>
    <mergeCell ref="U161:W161"/>
    <mergeCell ref="U162:W162"/>
    <mergeCell ref="U163:W163"/>
    <mergeCell ref="U164:W164"/>
    <mergeCell ref="U153:W153"/>
    <mergeCell ref="U154:W154"/>
    <mergeCell ref="U155:W155"/>
    <mergeCell ref="B234:D234"/>
    <mergeCell ref="E234:L234"/>
    <mergeCell ref="M234:P234"/>
    <mergeCell ref="Q234:T234"/>
    <mergeCell ref="B233:D233"/>
    <mergeCell ref="E233:L233"/>
    <mergeCell ref="M233:P233"/>
    <mergeCell ref="Q233:T233"/>
    <mergeCell ref="B258:D258"/>
    <mergeCell ref="E258:L258"/>
    <mergeCell ref="B255:D255"/>
    <mergeCell ref="E255:L255"/>
    <mergeCell ref="B256:D256"/>
    <mergeCell ref="E256:L256"/>
    <mergeCell ref="Q244:T244"/>
    <mergeCell ref="B245:D245"/>
    <mergeCell ref="E245:L245"/>
    <mergeCell ref="M245:P245"/>
    <mergeCell ref="Q245:T245"/>
    <mergeCell ref="B244:D244"/>
    <mergeCell ref="E244:L244"/>
    <mergeCell ref="M244:P244"/>
    <mergeCell ref="B257:D257"/>
    <mergeCell ref="E257:L257"/>
    <mergeCell ref="B242:D242"/>
    <mergeCell ref="E242:L242"/>
    <mergeCell ref="M242:P242"/>
    <mergeCell ref="Q242:T242"/>
    <mergeCell ref="B243:D243"/>
    <mergeCell ref="E243:L243"/>
    <mergeCell ref="M243:P243"/>
    <mergeCell ref="Q243:T243"/>
    <mergeCell ref="B240:D240"/>
    <mergeCell ref="E240:L240"/>
    <mergeCell ref="M240:P240"/>
    <mergeCell ref="Q240:T240"/>
    <mergeCell ref="B241:D241"/>
    <mergeCell ref="E241:L241"/>
    <mergeCell ref="B226:D226"/>
    <mergeCell ref="E226:L226"/>
    <mergeCell ref="M226:P226"/>
    <mergeCell ref="Q226:T226"/>
    <mergeCell ref="B227:D227"/>
    <mergeCell ref="E227:L227"/>
    <mergeCell ref="M227:P227"/>
    <mergeCell ref="Q227:T227"/>
    <mergeCell ref="M232:P232"/>
    <mergeCell ref="Q232:T232"/>
    <mergeCell ref="B230:D230"/>
    <mergeCell ref="E230:L230"/>
    <mergeCell ref="M230:P230"/>
    <mergeCell ref="Q230:T230"/>
    <mergeCell ref="B231:D231"/>
    <mergeCell ref="E231:L231"/>
    <mergeCell ref="M231:P231"/>
    <mergeCell ref="Q231:T231"/>
    <mergeCell ref="B224:D224"/>
    <mergeCell ref="E224:L224"/>
    <mergeCell ref="M224:P224"/>
    <mergeCell ref="Q224:T224"/>
    <mergeCell ref="B225:D225"/>
    <mergeCell ref="E225:L225"/>
    <mergeCell ref="M225:P225"/>
    <mergeCell ref="Q225:T225"/>
    <mergeCell ref="B222:D222"/>
    <mergeCell ref="E222:L222"/>
    <mergeCell ref="M222:P222"/>
    <mergeCell ref="Q222:T222"/>
    <mergeCell ref="B223:D223"/>
    <mergeCell ref="E223:L223"/>
    <mergeCell ref="M223:P223"/>
    <mergeCell ref="Q223:T223"/>
    <mergeCell ref="B221:D221"/>
    <mergeCell ref="E221:L221"/>
    <mergeCell ref="M221:P221"/>
    <mergeCell ref="Q221:T221"/>
    <mergeCell ref="B216:D216"/>
    <mergeCell ref="E216:L216"/>
    <mergeCell ref="M216:P216"/>
    <mergeCell ref="Q216:T216"/>
    <mergeCell ref="B214:D214"/>
    <mergeCell ref="E214:L214"/>
    <mergeCell ref="M214:P214"/>
    <mergeCell ref="Q214:T214"/>
    <mergeCell ref="B215:D215"/>
    <mergeCell ref="E215:L215"/>
    <mergeCell ref="M215:P215"/>
    <mergeCell ref="Q215:T215"/>
    <mergeCell ref="B213:D213"/>
    <mergeCell ref="E213:L213"/>
    <mergeCell ref="M213:P213"/>
    <mergeCell ref="Q213:T213"/>
    <mergeCell ref="B210:D210"/>
    <mergeCell ref="E210:L210"/>
    <mergeCell ref="M210:P210"/>
    <mergeCell ref="Q210:T210"/>
    <mergeCell ref="B211:D211"/>
    <mergeCell ref="E211:L211"/>
    <mergeCell ref="M211:P211"/>
    <mergeCell ref="Q211:T211"/>
    <mergeCell ref="B206:D206"/>
    <mergeCell ref="E206:L206"/>
    <mergeCell ref="M206:P206"/>
    <mergeCell ref="Q206:T206"/>
    <mergeCell ref="B207:D207"/>
    <mergeCell ref="E207:L207"/>
    <mergeCell ref="M207:P207"/>
    <mergeCell ref="Q207:T207"/>
    <mergeCell ref="B212:D212"/>
    <mergeCell ref="E212:L212"/>
    <mergeCell ref="M212:P212"/>
    <mergeCell ref="Q212:T212"/>
    <mergeCell ref="B205:D205"/>
    <mergeCell ref="E205:L205"/>
    <mergeCell ref="M205:P205"/>
    <mergeCell ref="Q205:T205"/>
    <mergeCell ref="B202:D202"/>
    <mergeCell ref="E202:L202"/>
    <mergeCell ref="M202:P202"/>
    <mergeCell ref="Q202:T202"/>
    <mergeCell ref="B203:D203"/>
    <mergeCell ref="E203:L203"/>
    <mergeCell ref="M203:P203"/>
    <mergeCell ref="Q203:T203"/>
    <mergeCell ref="B201:D201"/>
    <mergeCell ref="E201:L201"/>
    <mergeCell ref="M201:P201"/>
    <mergeCell ref="Q201:T201"/>
    <mergeCell ref="B198:D198"/>
    <mergeCell ref="E198:L198"/>
    <mergeCell ref="M198:P198"/>
    <mergeCell ref="Q198:T198"/>
    <mergeCell ref="B204:D204"/>
    <mergeCell ref="E204:L204"/>
    <mergeCell ref="M204:P204"/>
    <mergeCell ref="Q204:T204"/>
    <mergeCell ref="B196:D196"/>
    <mergeCell ref="E196:L196"/>
    <mergeCell ref="M196:P196"/>
    <mergeCell ref="Q196:T196"/>
    <mergeCell ref="B197:D197"/>
    <mergeCell ref="E197:L197"/>
    <mergeCell ref="M197:P197"/>
    <mergeCell ref="Q197:T197"/>
    <mergeCell ref="B195:D195"/>
    <mergeCell ref="E195:L195"/>
    <mergeCell ref="M195:P195"/>
    <mergeCell ref="Q195:T195"/>
    <mergeCell ref="B192:D192"/>
    <mergeCell ref="E192:L192"/>
    <mergeCell ref="M192:P192"/>
    <mergeCell ref="Q192:T192"/>
    <mergeCell ref="B193:D193"/>
    <mergeCell ref="E193:L193"/>
    <mergeCell ref="M193:P193"/>
    <mergeCell ref="Q193:T193"/>
    <mergeCell ref="B146:D146"/>
    <mergeCell ref="E146:L146"/>
    <mergeCell ref="M146:P146"/>
    <mergeCell ref="Q146:T146"/>
    <mergeCell ref="B147:D147"/>
    <mergeCell ref="E147:L147"/>
    <mergeCell ref="M147:P147"/>
    <mergeCell ref="Q147:T147"/>
    <mergeCell ref="B176:D176"/>
    <mergeCell ref="E176:L176"/>
    <mergeCell ref="B175:T175"/>
    <mergeCell ref="Q148:T148"/>
    <mergeCell ref="B149:D149"/>
    <mergeCell ref="E149:L149"/>
    <mergeCell ref="E173:L173"/>
    <mergeCell ref="B171:D171"/>
    <mergeCell ref="M178:P178"/>
    <mergeCell ref="Q178:T178"/>
    <mergeCell ref="B182:D182"/>
    <mergeCell ref="E182:L182"/>
    <mergeCell ref="M182:P182"/>
    <mergeCell ref="Q182:T182"/>
    <mergeCell ref="M179:P179"/>
    <mergeCell ref="Q179:T179"/>
    <mergeCell ref="B180:D180"/>
    <mergeCell ref="E180:L180"/>
    <mergeCell ref="M180:P180"/>
    <mergeCell ref="Q180:T180"/>
    <mergeCell ref="B135:D135"/>
    <mergeCell ref="E135:L135"/>
    <mergeCell ref="M135:P135"/>
    <mergeCell ref="B194:D194"/>
    <mergeCell ref="E194:L194"/>
    <mergeCell ref="M194:P194"/>
    <mergeCell ref="B148:D148"/>
    <mergeCell ref="E148:L148"/>
    <mergeCell ref="M148:P148"/>
    <mergeCell ref="M149:P149"/>
    <mergeCell ref="G156:Q156"/>
    <mergeCell ref="B181:D181"/>
    <mergeCell ref="E181:L181"/>
    <mergeCell ref="M181:P181"/>
    <mergeCell ref="Q181:T181"/>
    <mergeCell ref="M176:P176"/>
    <mergeCell ref="Q176:T176"/>
    <mergeCell ref="B177:D177"/>
    <mergeCell ref="E177:L177"/>
    <mergeCell ref="B145:D145"/>
    <mergeCell ref="Q194:T194"/>
    <mergeCell ref="M177:P177"/>
    <mergeCell ref="Q177:T177"/>
    <mergeCell ref="B178:D178"/>
    <mergeCell ref="E145:L145"/>
    <mergeCell ref="M145:P145"/>
    <mergeCell ref="Q145:T145"/>
    <mergeCell ref="J153:R153"/>
    <mergeCell ref="M166:W166"/>
    <mergeCell ref="J154:R154"/>
    <mergeCell ref="B166:L166"/>
    <mergeCell ref="B144:T144"/>
    <mergeCell ref="B179:D179"/>
    <mergeCell ref="E179:L179"/>
    <mergeCell ref="B153:I153"/>
    <mergeCell ref="B154:I154"/>
    <mergeCell ref="B156:F156"/>
    <mergeCell ref="B173:D173"/>
    <mergeCell ref="B150:D150"/>
    <mergeCell ref="E150:L150"/>
    <mergeCell ref="M150:P150"/>
    <mergeCell ref="Q150:T150"/>
    <mergeCell ref="B151:D151"/>
    <mergeCell ref="E151:L151"/>
    <mergeCell ref="M151:P151"/>
    <mergeCell ref="Q151:T151"/>
    <mergeCell ref="Q149:T149"/>
    <mergeCell ref="E178:L178"/>
    <mergeCell ref="B134:D134"/>
    <mergeCell ref="E134:L134"/>
    <mergeCell ref="M134:P134"/>
    <mergeCell ref="Q134:T134"/>
    <mergeCell ref="B131:D131"/>
    <mergeCell ref="E131:L131"/>
    <mergeCell ref="M131:P131"/>
    <mergeCell ref="Q131:T131"/>
    <mergeCell ref="B132:D132"/>
    <mergeCell ref="E132:L132"/>
    <mergeCell ref="M132:P132"/>
    <mergeCell ref="Q132:T132"/>
    <mergeCell ref="B129:D129"/>
    <mergeCell ref="E129:L129"/>
    <mergeCell ref="M129:P129"/>
    <mergeCell ref="Q129:T129"/>
    <mergeCell ref="B130:D130"/>
    <mergeCell ref="E130:L130"/>
    <mergeCell ref="M130:P130"/>
    <mergeCell ref="Q130:T130"/>
    <mergeCell ref="B133:D133"/>
    <mergeCell ref="E133:L133"/>
    <mergeCell ref="M133:P133"/>
    <mergeCell ref="Q133:T133"/>
    <mergeCell ref="B125:D125"/>
    <mergeCell ref="E125:L125"/>
    <mergeCell ref="M125:P125"/>
    <mergeCell ref="Q125:T125"/>
    <mergeCell ref="B126:D126"/>
    <mergeCell ref="E126:L126"/>
    <mergeCell ref="M126:P126"/>
    <mergeCell ref="Q126:T126"/>
    <mergeCell ref="B128:T128"/>
    <mergeCell ref="B124:D124"/>
    <mergeCell ref="E124:L124"/>
    <mergeCell ref="M124:P124"/>
    <mergeCell ref="Q124:T124"/>
    <mergeCell ref="B121:D121"/>
    <mergeCell ref="E121:L121"/>
    <mergeCell ref="M121:P121"/>
    <mergeCell ref="Q121:T121"/>
    <mergeCell ref="B122:D122"/>
    <mergeCell ref="E122:L122"/>
    <mergeCell ref="M122:P122"/>
    <mergeCell ref="Q122:T122"/>
    <mergeCell ref="M120:P120"/>
    <mergeCell ref="Q120:T120"/>
    <mergeCell ref="B110:D110"/>
    <mergeCell ref="E110:L110"/>
    <mergeCell ref="M110:P110"/>
    <mergeCell ref="Q110:T110"/>
    <mergeCell ref="B120:D120"/>
    <mergeCell ref="E120:L120"/>
    <mergeCell ref="B123:D123"/>
    <mergeCell ref="E123:L123"/>
    <mergeCell ref="M123:P123"/>
    <mergeCell ref="Q123:T123"/>
    <mergeCell ref="B108:D108"/>
    <mergeCell ref="E108:L108"/>
    <mergeCell ref="M108:P108"/>
    <mergeCell ref="Q108:T108"/>
    <mergeCell ref="B109:D109"/>
    <mergeCell ref="E109:L109"/>
    <mergeCell ref="M109:P109"/>
    <mergeCell ref="Q109:T109"/>
    <mergeCell ref="B119:T119"/>
    <mergeCell ref="B107:D107"/>
    <mergeCell ref="E107:L107"/>
    <mergeCell ref="M107:P107"/>
    <mergeCell ref="Q107:T107"/>
    <mergeCell ref="B104:D104"/>
    <mergeCell ref="E104:L104"/>
    <mergeCell ref="M104:P104"/>
    <mergeCell ref="Q104:T104"/>
    <mergeCell ref="B105:D105"/>
    <mergeCell ref="E105:L105"/>
    <mergeCell ref="M105:P105"/>
    <mergeCell ref="Q105:T105"/>
    <mergeCell ref="W39:AC41"/>
    <mergeCell ref="AD39:AJ41"/>
    <mergeCell ref="AK39:AQ41"/>
    <mergeCell ref="A3:D3"/>
    <mergeCell ref="A2:C2"/>
    <mergeCell ref="B106:D106"/>
    <mergeCell ref="E106:L106"/>
    <mergeCell ref="M106:P106"/>
    <mergeCell ref="Q106:T106"/>
    <mergeCell ref="AK54:AQ56"/>
    <mergeCell ref="AK64:AQ66"/>
    <mergeCell ref="AK74:AQ76"/>
    <mergeCell ref="AK84:AQ86"/>
    <mergeCell ref="B59:H61"/>
    <mergeCell ref="I59:O61"/>
    <mergeCell ref="P59:V61"/>
    <mergeCell ref="W59:AC61"/>
    <mergeCell ref="AD59:AJ61"/>
    <mergeCell ref="AK59:AQ61"/>
    <mergeCell ref="B79:H81"/>
    <mergeCell ref="I79:O81"/>
    <mergeCell ref="P79:V81"/>
    <mergeCell ref="W79:AC81"/>
    <mergeCell ref="AD79:AJ81"/>
    <mergeCell ref="U202:AE202"/>
    <mergeCell ref="U211:AE211"/>
    <mergeCell ref="U222:AE225"/>
    <mergeCell ref="U231:AE234"/>
    <mergeCell ref="U240:AE243"/>
    <mergeCell ref="AO1:AW1"/>
    <mergeCell ref="AO2:AW2"/>
    <mergeCell ref="AC1:AK1"/>
    <mergeCell ref="AC2:AK2"/>
    <mergeCell ref="D1:Y1"/>
    <mergeCell ref="D2:Y2"/>
    <mergeCell ref="E3:AW3"/>
    <mergeCell ref="AR39:AW41"/>
    <mergeCell ref="B34:H35"/>
    <mergeCell ref="I34:O35"/>
    <mergeCell ref="Z2:AB2"/>
    <mergeCell ref="P34:V35"/>
    <mergeCell ref="W34:AC35"/>
    <mergeCell ref="AD34:AJ35"/>
    <mergeCell ref="AK34:AQ35"/>
    <mergeCell ref="AR34:AW35"/>
    <mergeCell ref="B39:H41"/>
    <mergeCell ref="I39:O41"/>
    <mergeCell ref="P39:V41"/>
  </mergeCells>
  <conditionalFormatting sqref="B37">
    <cfRule type="expression" dxfId="1643" priority="753">
      <formula>B37="-"</formula>
    </cfRule>
  </conditionalFormatting>
  <conditionalFormatting sqref="I37">
    <cfRule type="expression" dxfId="1642" priority="752">
      <formula>I37="-"</formula>
    </cfRule>
  </conditionalFormatting>
  <conditionalFormatting sqref="P37">
    <cfRule type="expression" dxfId="1641" priority="751">
      <formula>P37="-"</formula>
    </cfRule>
  </conditionalFormatting>
  <conditionalFormatting sqref="W37">
    <cfRule type="expression" dxfId="1640" priority="750">
      <formula>W37="-"</formula>
    </cfRule>
  </conditionalFormatting>
  <conditionalFormatting sqref="AD37">
    <cfRule type="expression" dxfId="1639" priority="749">
      <formula>AD37="-"</formula>
    </cfRule>
  </conditionalFormatting>
  <conditionalFormatting sqref="AK37">
    <cfRule type="expression" dxfId="1638" priority="748">
      <formula>AK37="-"</formula>
    </cfRule>
  </conditionalFormatting>
  <conditionalFormatting sqref="AR37">
    <cfRule type="expression" dxfId="1637" priority="747">
      <formula>AR37="-"</formula>
    </cfRule>
  </conditionalFormatting>
  <conditionalFormatting sqref="B37:AW37">
    <cfRule type="expression" dxfId="1636" priority="599">
      <formula>B37="-"</formula>
    </cfRule>
  </conditionalFormatting>
  <conditionalFormatting sqref="B42">
    <cfRule type="expression" dxfId="1635" priority="598">
      <formula>B42="-"</formula>
    </cfRule>
  </conditionalFormatting>
  <conditionalFormatting sqref="B42:AW42">
    <cfRule type="expression" dxfId="1634" priority="591">
      <formula>B42="-"</formula>
    </cfRule>
  </conditionalFormatting>
  <conditionalFormatting sqref="B38:H42 AR38:AW42">
    <cfRule type="expression" dxfId="1633" priority="420">
      <formula>B$43="+"</formula>
    </cfRule>
  </conditionalFormatting>
  <conditionalFormatting sqref="I42">
    <cfRule type="expression" dxfId="1632" priority="419">
      <formula>I42="-"</formula>
    </cfRule>
  </conditionalFormatting>
  <conditionalFormatting sqref="I38:O42">
    <cfRule type="expression" dxfId="1631" priority="418">
      <formula>I$43="+"</formula>
    </cfRule>
  </conditionalFormatting>
  <conditionalFormatting sqref="P42">
    <cfRule type="expression" dxfId="1630" priority="417">
      <formula>P42="-"</formula>
    </cfRule>
  </conditionalFormatting>
  <conditionalFormatting sqref="P38:V42">
    <cfRule type="expression" dxfId="1629" priority="416">
      <formula>P$43="+"</formula>
    </cfRule>
  </conditionalFormatting>
  <conditionalFormatting sqref="W42">
    <cfRule type="expression" dxfId="1628" priority="415">
      <formula>W42="-"</formula>
    </cfRule>
  </conditionalFormatting>
  <conditionalFormatting sqref="W38:AC42">
    <cfRule type="expression" dxfId="1627" priority="414">
      <formula>W$43="+"</formula>
    </cfRule>
  </conditionalFormatting>
  <conditionalFormatting sqref="AD42">
    <cfRule type="expression" dxfId="1626" priority="413">
      <formula>AD42="-"</formula>
    </cfRule>
  </conditionalFormatting>
  <conditionalFormatting sqref="AD38:AJ42">
    <cfRule type="expression" dxfId="1625" priority="412">
      <formula>AD$43="+"</formula>
    </cfRule>
  </conditionalFormatting>
  <conditionalFormatting sqref="AK42">
    <cfRule type="expression" dxfId="1624" priority="411">
      <formula>AK42="-"</formula>
    </cfRule>
  </conditionalFormatting>
  <conditionalFormatting sqref="AK38:AQ42">
    <cfRule type="expression" dxfId="1623" priority="410">
      <formula>AK$43="+"</formula>
    </cfRule>
  </conditionalFormatting>
  <conditionalFormatting sqref="AR42">
    <cfRule type="expression" dxfId="1622" priority="409">
      <formula>AR42="-"</formula>
    </cfRule>
  </conditionalFormatting>
  <conditionalFormatting sqref="B47">
    <cfRule type="expression" dxfId="1621" priority="407">
      <formula>B47="-"</formula>
    </cfRule>
  </conditionalFormatting>
  <conditionalFormatting sqref="B47:AW47">
    <cfRule type="expression" dxfId="1620" priority="406">
      <formula>B47="-"</formula>
    </cfRule>
  </conditionalFormatting>
  <conditionalFormatting sqref="B43:H47 AR43:AW47">
    <cfRule type="expression" dxfId="1619" priority="405">
      <formula>B$48="+"</formula>
    </cfRule>
  </conditionalFormatting>
  <conditionalFormatting sqref="I47">
    <cfRule type="expression" dxfId="1618" priority="404">
      <formula>I47="-"</formula>
    </cfRule>
  </conditionalFormatting>
  <conditionalFormatting sqref="I43:O47">
    <cfRule type="expression" dxfId="1617" priority="403">
      <formula>I$48="+"</formula>
    </cfRule>
  </conditionalFormatting>
  <conditionalFormatting sqref="P47">
    <cfRule type="expression" dxfId="1616" priority="402">
      <formula>P47="-"</formula>
    </cfRule>
  </conditionalFormatting>
  <conditionalFormatting sqref="P43:V47">
    <cfRule type="expression" dxfId="1615" priority="401">
      <formula>P$48="+"</formula>
    </cfRule>
  </conditionalFormatting>
  <conditionalFormatting sqref="W47">
    <cfRule type="expression" dxfId="1614" priority="400">
      <formula>W47="-"</formula>
    </cfRule>
  </conditionalFormatting>
  <conditionalFormatting sqref="W43:AC47">
    <cfRule type="expression" dxfId="1613" priority="399">
      <formula>W$48="+"</formula>
    </cfRule>
  </conditionalFormatting>
  <conditionalFormatting sqref="AD47">
    <cfRule type="expression" dxfId="1612" priority="398">
      <formula>AD47="-"</formula>
    </cfRule>
  </conditionalFormatting>
  <conditionalFormatting sqref="AD43:AJ47">
    <cfRule type="expression" dxfId="1611" priority="397">
      <formula>AD$48="+"</formula>
    </cfRule>
  </conditionalFormatting>
  <conditionalFormatting sqref="AK47">
    <cfRule type="expression" dxfId="1610" priority="396">
      <formula>AK47="-"</formula>
    </cfRule>
  </conditionalFormatting>
  <conditionalFormatting sqref="AK43:AQ47">
    <cfRule type="expression" dxfId="1609" priority="395">
      <formula>AK$48="+"</formula>
    </cfRule>
  </conditionalFormatting>
  <conditionalFormatting sqref="AR47">
    <cfRule type="expression" dxfId="1608" priority="394">
      <formula>AR47="-"</formula>
    </cfRule>
  </conditionalFormatting>
  <conditionalFormatting sqref="B52">
    <cfRule type="expression" dxfId="1607" priority="392">
      <formula>B52="-"</formula>
    </cfRule>
  </conditionalFormatting>
  <conditionalFormatting sqref="B52:AW52">
    <cfRule type="expression" dxfId="1606" priority="391">
      <formula>B52="-"</formula>
    </cfRule>
  </conditionalFormatting>
  <conditionalFormatting sqref="B48:H52 AR48:AW52">
    <cfRule type="expression" dxfId="1605" priority="390">
      <formula>B$53="+"</formula>
    </cfRule>
  </conditionalFormatting>
  <conditionalFormatting sqref="I52">
    <cfRule type="expression" dxfId="1604" priority="389">
      <formula>I52="-"</formula>
    </cfRule>
  </conditionalFormatting>
  <conditionalFormatting sqref="I48:O52">
    <cfRule type="expression" dxfId="1603" priority="388">
      <formula>I$53="+"</formula>
    </cfRule>
  </conditionalFormatting>
  <conditionalFormatting sqref="P52">
    <cfRule type="expression" dxfId="1602" priority="387">
      <formula>P52="-"</formula>
    </cfRule>
  </conditionalFormatting>
  <conditionalFormatting sqref="P48:V52">
    <cfRule type="expression" dxfId="1601" priority="386">
      <formula>P$53="+"</formula>
    </cfRule>
  </conditionalFormatting>
  <conditionalFormatting sqref="W52">
    <cfRule type="expression" dxfId="1600" priority="385">
      <formula>W52="-"</formula>
    </cfRule>
  </conditionalFormatting>
  <conditionalFormatting sqref="W48:AC52">
    <cfRule type="expression" dxfId="1599" priority="384">
      <formula>W$53="+"</formula>
    </cfRule>
  </conditionalFormatting>
  <conditionalFormatting sqref="AD52">
    <cfRule type="expression" dxfId="1598" priority="383">
      <formula>AD52="-"</formula>
    </cfRule>
  </conditionalFormatting>
  <conditionalFormatting sqref="AD48:AJ52">
    <cfRule type="expression" dxfId="1597" priority="382">
      <formula>AD$53="+"</formula>
    </cfRule>
  </conditionalFormatting>
  <conditionalFormatting sqref="AK52">
    <cfRule type="expression" dxfId="1596" priority="381">
      <formula>AK52="-"</formula>
    </cfRule>
  </conditionalFormatting>
  <conditionalFormatting sqref="AK48:AQ52">
    <cfRule type="expression" dxfId="1595" priority="380">
      <formula>AK$53="+"</formula>
    </cfRule>
  </conditionalFormatting>
  <conditionalFormatting sqref="AR52">
    <cfRule type="expression" dxfId="1594" priority="379">
      <formula>AR52="-"</formula>
    </cfRule>
  </conditionalFormatting>
  <conditionalFormatting sqref="B57">
    <cfRule type="expression" dxfId="1593" priority="377">
      <formula>B57="-"</formula>
    </cfRule>
  </conditionalFormatting>
  <conditionalFormatting sqref="B57:AW57">
    <cfRule type="expression" dxfId="1592" priority="376">
      <formula>B57="-"</formula>
    </cfRule>
  </conditionalFormatting>
  <conditionalFormatting sqref="B53:H57 AR53:AW57">
    <cfRule type="expression" dxfId="1591" priority="375">
      <formula>B$58="+"</formula>
    </cfRule>
  </conditionalFormatting>
  <conditionalFormatting sqref="I57">
    <cfRule type="expression" dxfId="1590" priority="374">
      <formula>I57="-"</formula>
    </cfRule>
  </conditionalFormatting>
  <conditionalFormatting sqref="I53:O57">
    <cfRule type="expression" dxfId="1589" priority="373">
      <formula>I$58="+"</formula>
    </cfRule>
  </conditionalFormatting>
  <conditionalFormatting sqref="P57">
    <cfRule type="expression" dxfId="1588" priority="372">
      <formula>P57="-"</formula>
    </cfRule>
  </conditionalFormatting>
  <conditionalFormatting sqref="P53:V57">
    <cfRule type="expression" dxfId="1587" priority="371">
      <formula>P$58="+"</formula>
    </cfRule>
  </conditionalFormatting>
  <conditionalFormatting sqref="W57">
    <cfRule type="expression" dxfId="1586" priority="370">
      <formula>W57="-"</formula>
    </cfRule>
  </conditionalFormatting>
  <conditionalFormatting sqref="W53:AC57">
    <cfRule type="expression" dxfId="1585" priority="369">
      <formula>W$58="+"</formula>
    </cfRule>
  </conditionalFormatting>
  <conditionalFormatting sqref="AD57">
    <cfRule type="expression" dxfId="1584" priority="368">
      <formula>AD57="-"</formula>
    </cfRule>
  </conditionalFormatting>
  <conditionalFormatting sqref="AD53:AJ57">
    <cfRule type="expression" dxfId="1583" priority="367">
      <formula>AD$58="+"</formula>
    </cfRule>
  </conditionalFormatting>
  <conditionalFormatting sqref="AK57">
    <cfRule type="expression" dxfId="1582" priority="366">
      <formula>AK57="-"</formula>
    </cfRule>
  </conditionalFormatting>
  <conditionalFormatting sqref="AK53:AQ57">
    <cfRule type="expression" dxfId="1581" priority="365">
      <formula>AK$58="+"</formula>
    </cfRule>
  </conditionalFormatting>
  <conditionalFormatting sqref="AR57">
    <cfRule type="expression" dxfId="1580" priority="364">
      <formula>AR57="-"</formula>
    </cfRule>
  </conditionalFormatting>
  <conditionalFormatting sqref="B62">
    <cfRule type="expression" dxfId="1579" priority="362">
      <formula>B62="-"</formula>
    </cfRule>
  </conditionalFormatting>
  <conditionalFormatting sqref="B62:AW62">
    <cfRule type="expression" dxfId="1578" priority="361">
      <formula>B62="-"</formula>
    </cfRule>
  </conditionalFormatting>
  <conditionalFormatting sqref="B58:H62 AR58:AW62">
    <cfRule type="expression" dxfId="1577" priority="360">
      <formula>B$63="+"</formula>
    </cfRule>
  </conditionalFormatting>
  <conditionalFormatting sqref="I62">
    <cfRule type="expression" dxfId="1576" priority="359">
      <formula>I62="-"</formula>
    </cfRule>
  </conditionalFormatting>
  <conditionalFormatting sqref="I58:O62">
    <cfRule type="expression" dxfId="1575" priority="358">
      <formula>I$63="+"</formula>
    </cfRule>
  </conditionalFormatting>
  <conditionalFormatting sqref="P62">
    <cfRule type="expression" dxfId="1574" priority="357">
      <formula>P62="-"</formula>
    </cfRule>
  </conditionalFormatting>
  <conditionalFormatting sqref="P58:V62">
    <cfRule type="expression" dxfId="1573" priority="356">
      <formula>P$63="+"</formula>
    </cfRule>
  </conditionalFormatting>
  <conditionalFormatting sqref="W62">
    <cfRule type="expression" dxfId="1572" priority="355">
      <formula>W62="-"</formula>
    </cfRule>
  </conditionalFormatting>
  <conditionalFormatting sqref="W58:AC62">
    <cfRule type="expression" dxfId="1571" priority="354">
      <formula>W$63="+"</formula>
    </cfRule>
  </conditionalFormatting>
  <conditionalFormatting sqref="AD62">
    <cfRule type="expression" dxfId="1570" priority="353">
      <formula>AD62="-"</formula>
    </cfRule>
  </conditionalFormatting>
  <conditionalFormatting sqref="AD58:AJ62">
    <cfRule type="expression" dxfId="1569" priority="352">
      <formula>AD$63="+"</formula>
    </cfRule>
  </conditionalFormatting>
  <conditionalFormatting sqref="AK62">
    <cfRule type="expression" dxfId="1568" priority="351">
      <formula>AK62="-"</formula>
    </cfRule>
  </conditionalFormatting>
  <conditionalFormatting sqref="AK58:AQ62">
    <cfRule type="expression" dxfId="1567" priority="350">
      <formula>AK$63="+"</formula>
    </cfRule>
  </conditionalFormatting>
  <conditionalFormatting sqref="AR62">
    <cfRule type="expression" dxfId="1566" priority="349">
      <formula>AR62="-"</formula>
    </cfRule>
  </conditionalFormatting>
  <conditionalFormatting sqref="B67">
    <cfRule type="expression" dxfId="1565" priority="347">
      <formula>B67="-"</formula>
    </cfRule>
  </conditionalFormatting>
  <conditionalFormatting sqref="B67:AW67">
    <cfRule type="expression" dxfId="1564" priority="346">
      <formula>B67="-"</formula>
    </cfRule>
  </conditionalFormatting>
  <conditionalFormatting sqref="B63:H67 AR63:AW67">
    <cfRule type="expression" dxfId="1563" priority="345">
      <formula>B$68="+"</formula>
    </cfRule>
  </conditionalFormatting>
  <conditionalFormatting sqref="I67">
    <cfRule type="expression" dxfId="1562" priority="344">
      <formula>I67="-"</formula>
    </cfRule>
  </conditionalFormatting>
  <conditionalFormatting sqref="I63:O67">
    <cfRule type="expression" dxfId="1561" priority="343">
      <formula>I$68="+"</formula>
    </cfRule>
  </conditionalFormatting>
  <conditionalFormatting sqref="P67">
    <cfRule type="expression" dxfId="1560" priority="342">
      <formula>P67="-"</formula>
    </cfRule>
  </conditionalFormatting>
  <conditionalFormatting sqref="P63:V67">
    <cfRule type="expression" dxfId="1559" priority="341">
      <formula>P$68="+"</formula>
    </cfRule>
  </conditionalFormatting>
  <conditionalFormatting sqref="W67">
    <cfRule type="expression" dxfId="1558" priority="340">
      <formula>W67="-"</formula>
    </cfRule>
  </conditionalFormatting>
  <conditionalFormatting sqref="W63:AC67">
    <cfRule type="expression" dxfId="1557" priority="339">
      <formula>W$68="+"</formula>
    </cfRule>
  </conditionalFormatting>
  <conditionalFormatting sqref="AD67">
    <cfRule type="expression" dxfId="1556" priority="338">
      <formula>AD67="-"</formula>
    </cfRule>
  </conditionalFormatting>
  <conditionalFormatting sqref="AD63:AJ67">
    <cfRule type="expression" dxfId="1555" priority="337">
      <formula>AD$68="+"</formula>
    </cfRule>
  </conditionalFormatting>
  <conditionalFormatting sqref="AK67">
    <cfRule type="expression" dxfId="1554" priority="336">
      <formula>AK67="-"</formula>
    </cfRule>
  </conditionalFormatting>
  <conditionalFormatting sqref="AK63:AQ67">
    <cfRule type="expression" dxfId="1553" priority="335">
      <formula>AK$68="+"</formula>
    </cfRule>
  </conditionalFormatting>
  <conditionalFormatting sqref="AR67">
    <cfRule type="expression" dxfId="1552" priority="334">
      <formula>AR67="-"</formula>
    </cfRule>
  </conditionalFormatting>
  <conditionalFormatting sqref="B72">
    <cfRule type="expression" dxfId="1551" priority="332">
      <formula>B72="-"</formula>
    </cfRule>
  </conditionalFormatting>
  <conditionalFormatting sqref="B72:AW72">
    <cfRule type="expression" dxfId="1550" priority="331">
      <formula>B72="-"</formula>
    </cfRule>
  </conditionalFormatting>
  <conditionalFormatting sqref="B68:H72 AR68:AW72">
    <cfRule type="expression" dxfId="1549" priority="330">
      <formula>B$73="+"</formula>
    </cfRule>
  </conditionalFormatting>
  <conditionalFormatting sqref="I72">
    <cfRule type="expression" dxfId="1548" priority="329">
      <formula>I72="-"</formula>
    </cfRule>
  </conditionalFormatting>
  <conditionalFormatting sqref="I68:O72">
    <cfRule type="expression" dxfId="1547" priority="328">
      <formula>I$73="+"</formula>
    </cfRule>
  </conditionalFormatting>
  <conditionalFormatting sqref="P72">
    <cfRule type="expression" dxfId="1546" priority="327">
      <formula>P72="-"</formula>
    </cfRule>
  </conditionalFormatting>
  <conditionalFormatting sqref="P68:V72">
    <cfRule type="expression" dxfId="1545" priority="326">
      <formula>P$73="+"</formula>
    </cfRule>
  </conditionalFormatting>
  <conditionalFormatting sqref="W72">
    <cfRule type="expression" dxfId="1544" priority="325">
      <formula>W72="-"</formula>
    </cfRule>
  </conditionalFormatting>
  <conditionalFormatting sqref="W68:AC72">
    <cfRule type="expression" dxfId="1543" priority="324">
      <formula>W$73="+"</formula>
    </cfRule>
  </conditionalFormatting>
  <conditionalFormatting sqref="AD72">
    <cfRule type="expression" dxfId="1542" priority="323">
      <formula>AD72="-"</formula>
    </cfRule>
  </conditionalFormatting>
  <conditionalFormatting sqref="AD68:AJ72">
    <cfRule type="expression" dxfId="1541" priority="322">
      <formula>AD$73="+"</formula>
    </cfRule>
  </conditionalFormatting>
  <conditionalFormatting sqref="AK72">
    <cfRule type="expression" dxfId="1540" priority="321">
      <formula>AK72="-"</formula>
    </cfRule>
  </conditionalFormatting>
  <conditionalFormatting sqref="AK68:AQ72">
    <cfRule type="expression" dxfId="1539" priority="320">
      <formula>AK$73="+"</formula>
    </cfRule>
  </conditionalFormatting>
  <conditionalFormatting sqref="AR72">
    <cfRule type="expression" dxfId="1538" priority="319">
      <formula>AR72="-"</formula>
    </cfRule>
  </conditionalFormatting>
  <conditionalFormatting sqref="B77">
    <cfRule type="expression" dxfId="1537" priority="317">
      <formula>B77="-"</formula>
    </cfRule>
  </conditionalFormatting>
  <conditionalFormatting sqref="B77:AW77">
    <cfRule type="expression" dxfId="1536" priority="316">
      <formula>B77="-"</formula>
    </cfRule>
  </conditionalFormatting>
  <conditionalFormatting sqref="B73:H77 AR73:AW77">
    <cfRule type="expression" dxfId="1535" priority="315">
      <formula>B$78="+"</formula>
    </cfRule>
  </conditionalFormatting>
  <conditionalFormatting sqref="I77">
    <cfRule type="expression" dxfId="1534" priority="314">
      <formula>I77="-"</formula>
    </cfRule>
  </conditionalFormatting>
  <conditionalFormatting sqref="I73:O77">
    <cfRule type="expression" dxfId="1533" priority="313">
      <formula>I$78="+"</formula>
    </cfRule>
  </conditionalFormatting>
  <conditionalFormatting sqref="P77">
    <cfRule type="expression" dxfId="1532" priority="312">
      <formula>P77="-"</formula>
    </cfRule>
  </conditionalFormatting>
  <conditionalFormatting sqref="P73:V77">
    <cfRule type="expression" dxfId="1531" priority="311">
      <formula>P$78="+"</formula>
    </cfRule>
  </conditionalFormatting>
  <conditionalFormatting sqref="W77">
    <cfRule type="expression" dxfId="1530" priority="310">
      <formula>W77="-"</formula>
    </cfRule>
  </conditionalFormatting>
  <conditionalFormatting sqref="W73:AC77">
    <cfRule type="expression" dxfId="1529" priority="309">
      <formula>W$78="+"</formula>
    </cfRule>
  </conditionalFormatting>
  <conditionalFormatting sqref="AD77">
    <cfRule type="expression" dxfId="1528" priority="308">
      <formula>AD77="-"</formula>
    </cfRule>
  </conditionalFormatting>
  <conditionalFormatting sqref="AD73:AJ77">
    <cfRule type="expression" dxfId="1527" priority="307">
      <formula>AD$78="+"</formula>
    </cfRule>
  </conditionalFormatting>
  <conditionalFormatting sqref="AK77">
    <cfRule type="expression" dxfId="1526" priority="306">
      <formula>AK77="-"</formula>
    </cfRule>
  </conditionalFormatting>
  <conditionalFormatting sqref="AK73:AQ77">
    <cfRule type="expression" dxfId="1525" priority="305">
      <formula>AK$78="+"</formula>
    </cfRule>
  </conditionalFormatting>
  <conditionalFormatting sqref="AR77">
    <cfRule type="expression" dxfId="1524" priority="304">
      <formula>AR77="-"</formula>
    </cfRule>
  </conditionalFormatting>
  <conditionalFormatting sqref="B82">
    <cfRule type="expression" dxfId="1523" priority="302">
      <formula>B82="-"</formula>
    </cfRule>
  </conditionalFormatting>
  <conditionalFormatting sqref="B82:AW82">
    <cfRule type="expression" dxfId="1522" priority="301">
      <formula>B82="-"</formula>
    </cfRule>
  </conditionalFormatting>
  <conditionalFormatting sqref="B78:H82 AR78:AW82">
    <cfRule type="expression" dxfId="1521" priority="300">
      <formula>B$83="+"</formula>
    </cfRule>
  </conditionalFormatting>
  <conditionalFormatting sqref="I82">
    <cfRule type="expression" dxfId="1520" priority="299">
      <formula>I82="-"</formula>
    </cfRule>
  </conditionalFormatting>
  <conditionalFormatting sqref="I78:O82">
    <cfRule type="expression" dxfId="1519" priority="298">
      <formula>I$83="+"</formula>
    </cfRule>
  </conditionalFormatting>
  <conditionalFormatting sqref="P82">
    <cfRule type="expression" dxfId="1518" priority="297">
      <formula>P82="-"</formula>
    </cfRule>
  </conditionalFormatting>
  <conditionalFormatting sqref="P78:V82">
    <cfRule type="expression" dxfId="1517" priority="296">
      <formula>P$83="+"</formula>
    </cfRule>
  </conditionalFormatting>
  <conditionalFormatting sqref="W82">
    <cfRule type="expression" dxfId="1516" priority="295">
      <formula>W82="-"</formula>
    </cfRule>
  </conditionalFormatting>
  <conditionalFormatting sqref="W78:AC82">
    <cfRule type="expression" dxfId="1515" priority="294">
      <formula>W$83="+"</formula>
    </cfRule>
  </conditionalFormatting>
  <conditionalFormatting sqref="AD82">
    <cfRule type="expression" dxfId="1514" priority="293">
      <formula>AD82="-"</formula>
    </cfRule>
  </conditionalFormatting>
  <conditionalFormatting sqref="AD78:AJ82">
    <cfRule type="expression" dxfId="1513" priority="292">
      <formula>AD$83="+"</formula>
    </cfRule>
  </conditionalFormatting>
  <conditionalFormatting sqref="AK82">
    <cfRule type="expression" dxfId="1512" priority="291">
      <formula>AK82="-"</formula>
    </cfRule>
  </conditionalFormatting>
  <conditionalFormatting sqref="AK78:AQ82">
    <cfRule type="expression" dxfId="1511" priority="290">
      <formula>AK$83="+"</formula>
    </cfRule>
  </conditionalFormatting>
  <conditionalFormatting sqref="AR82">
    <cfRule type="expression" dxfId="1510" priority="289">
      <formula>AR82="-"</formula>
    </cfRule>
  </conditionalFormatting>
  <conditionalFormatting sqref="B87">
    <cfRule type="expression" dxfId="1509" priority="211">
      <formula>B87="-"</formula>
    </cfRule>
  </conditionalFormatting>
  <conditionalFormatting sqref="B87:AW87">
    <cfRule type="expression" dxfId="1508" priority="210">
      <formula>B87="-"</formula>
    </cfRule>
  </conditionalFormatting>
  <conditionalFormatting sqref="B83:H87 AR83:AW87">
    <cfRule type="expression" dxfId="1507" priority="209">
      <formula>B$88="+"</formula>
    </cfRule>
  </conditionalFormatting>
  <conditionalFormatting sqref="I87">
    <cfRule type="expression" dxfId="1506" priority="208">
      <formula>I87="-"</formula>
    </cfRule>
  </conditionalFormatting>
  <conditionalFormatting sqref="I83:O87">
    <cfRule type="expression" dxfId="1505" priority="207">
      <formula>I$88="+"</formula>
    </cfRule>
  </conditionalFormatting>
  <conditionalFormatting sqref="P87">
    <cfRule type="expression" dxfId="1504" priority="206">
      <formula>P87="-"</formula>
    </cfRule>
  </conditionalFormatting>
  <conditionalFormatting sqref="P83:V87">
    <cfRule type="expression" dxfId="1503" priority="205">
      <formula>P$88="+"</formula>
    </cfRule>
  </conditionalFormatting>
  <conditionalFormatting sqref="W87">
    <cfRule type="expression" dxfId="1502" priority="204">
      <formula>W87="-"</formula>
    </cfRule>
  </conditionalFormatting>
  <conditionalFormatting sqref="W83:AC87">
    <cfRule type="expression" dxfId="1501" priority="203">
      <formula>W$88="+"</formula>
    </cfRule>
  </conditionalFormatting>
  <conditionalFormatting sqref="AD87">
    <cfRule type="expression" dxfId="1500" priority="202">
      <formula>AD87="-"</formula>
    </cfRule>
  </conditionalFormatting>
  <conditionalFormatting sqref="AD83:AJ87">
    <cfRule type="expression" dxfId="1499" priority="201">
      <formula>AD$88="+"</formula>
    </cfRule>
  </conditionalFormatting>
  <conditionalFormatting sqref="AK87">
    <cfRule type="expression" dxfId="1498" priority="200">
      <formula>AK87="-"</formula>
    </cfRule>
  </conditionalFormatting>
  <conditionalFormatting sqref="AK83:AQ87">
    <cfRule type="expression" dxfId="1497" priority="199">
      <formula>AK$88="+"</formula>
    </cfRule>
  </conditionalFormatting>
  <conditionalFormatting sqref="AR87">
    <cfRule type="expression" dxfId="1496" priority="198">
      <formula>AR87="-"</formula>
    </cfRule>
  </conditionalFormatting>
  <conditionalFormatting sqref="B92:B98">
    <cfRule type="expression" dxfId="1495" priority="196">
      <formula>B92="-"</formula>
    </cfRule>
  </conditionalFormatting>
  <conditionalFormatting sqref="B92:AW98">
    <cfRule type="expression" dxfId="1494" priority="195">
      <formula>B92="-"</formula>
    </cfRule>
  </conditionalFormatting>
  <conditionalFormatting sqref="I92:I98">
    <cfRule type="expression" dxfId="1493" priority="193">
      <formula>I92="-"</formula>
    </cfRule>
  </conditionalFormatting>
  <conditionalFormatting sqref="P92:P98">
    <cfRule type="expression" dxfId="1492" priority="191">
      <formula>P92="-"</formula>
    </cfRule>
  </conditionalFormatting>
  <conditionalFormatting sqref="W92:W98">
    <cfRule type="expression" dxfId="1491" priority="189">
      <formula>W92="-"</formula>
    </cfRule>
  </conditionalFormatting>
  <conditionalFormatting sqref="AD92:AD98">
    <cfRule type="expression" dxfId="1490" priority="187">
      <formula>AD92="-"</formula>
    </cfRule>
  </conditionalFormatting>
  <conditionalFormatting sqref="AK92:AK98">
    <cfRule type="expression" dxfId="1489" priority="185">
      <formula>AK92="-"</formula>
    </cfRule>
  </conditionalFormatting>
  <conditionalFormatting sqref="AR92:AR98">
    <cfRule type="expression" dxfId="1488" priority="183">
      <formula>AR92="-"</formula>
    </cfRule>
  </conditionalFormatting>
  <conditionalFormatting sqref="B11:AC11">
    <cfRule type="expression" dxfId="1487" priority="1">
      <formula>B$11="-"</formula>
    </cfRule>
  </conditionalFormatting>
  <conditionalFormatting sqref="B88:AW98">
    <cfRule type="expression" dxfId="1486" priority="10580">
      <formula>#REF!="+"</formula>
    </cfRule>
  </conditionalFormatting>
  <pageMargins left="0.7" right="0.7" top="0.75" bottom="0.75" header="0.3" footer="0.3"/>
  <pageSetup scale="46" orientation="portrait" r:id="rId1"/>
  <headerFooter>
    <oddFooter>&amp;LRMC Event Tree Toolbox &amp;A&amp;RVersion 3.0
Page &amp;P of &amp;N</oddFooter>
  </headerFooter>
  <rowBreaks count="1" manualBreakCount="1">
    <brk id="9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heet1.Transparent_ProjectET_Background">
                <anchor moveWithCells="1" sizeWithCells="1">
                  <from>
                    <xdr:col>43</xdr:col>
                    <xdr:colOff>104775</xdr:colOff>
                    <xdr:row>5</xdr:row>
                    <xdr:rowOff>180975</xdr:rowOff>
                  </from>
                  <to>
                    <xdr:col>48</xdr:col>
                    <xdr:colOff>152400</xdr:colOff>
                    <xdr:row>8</xdr:row>
                    <xdr:rowOff>114300</xdr:rowOff>
                  </to>
                </anchor>
              </controlPr>
            </control>
          </mc:Choice>
        </mc:AlternateContent>
        <mc:AlternateContent xmlns:mc="http://schemas.openxmlformats.org/markup-compatibility/2006">
          <mc:Choice Requires="x14">
            <control shapeId="3074" r:id="rId5" name="Button 2">
              <controlPr defaultSize="0" print="0" autoFill="0" autoPict="0" macro="[0]!Sheet1.White_ET_Background">
                <anchor moveWithCells="1" sizeWithCells="1">
                  <from>
                    <xdr:col>43</xdr:col>
                    <xdr:colOff>104775</xdr:colOff>
                    <xdr:row>9</xdr:row>
                    <xdr:rowOff>28575</xdr:rowOff>
                  </from>
                  <to>
                    <xdr:col>48</xdr:col>
                    <xdr:colOff>152400</xdr:colOff>
                    <xdr:row>11</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87E5E-FECA-4650-BDA6-4C8420553D2A}">
  <sheetPr codeName="Sheet2"/>
  <dimension ref="A1:CH509"/>
  <sheetViews>
    <sheetView zoomScaleNormal="100" workbookViewId="0">
      <selection sqref="A1:C1"/>
    </sheetView>
  </sheetViews>
  <sheetFormatPr defaultColWidth="11.28515625" defaultRowHeight="12.75" x14ac:dyDescent="0.2"/>
  <cols>
    <col min="1" max="8" width="4.7109375" style="33" customWidth="1"/>
    <col min="9" max="87" width="3.85546875" style="33" customWidth="1"/>
    <col min="88" max="16384" width="11.28515625" style="33"/>
  </cols>
  <sheetData>
    <row r="1" spans="1:49" ht="15" customHeight="1" x14ac:dyDescent="0.2">
      <c r="A1" s="147" t="s">
        <v>39</v>
      </c>
      <c r="B1" s="147"/>
      <c r="C1" s="147"/>
      <c r="D1" s="208"/>
      <c r="E1" s="208"/>
      <c r="F1" s="208"/>
      <c r="G1" s="208"/>
      <c r="H1" s="208"/>
      <c r="I1" s="208"/>
      <c r="J1" s="208"/>
      <c r="K1" s="208"/>
      <c r="L1" s="208"/>
      <c r="M1" s="208"/>
      <c r="N1" s="208"/>
      <c r="O1" s="208"/>
      <c r="P1" s="208"/>
      <c r="Q1" s="208"/>
      <c r="R1" s="208"/>
      <c r="S1" s="208"/>
      <c r="T1" s="208"/>
      <c r="U1" s="208"/>
      <c r="V1" s="208"/>
      <c r="W1" s="208"/>
      <c r="X1" s="208"/>
      <c r="Y1" s="208"/>
      <c r="Z1" s="147" t="s">
        <v>40</v>
      </c>
      <c r="AA1" s="147"/>
      <c r="AB1" s="147"/>
      <c r="AC1" s="208"/>
      <c r="AD1" s="208"/>
      <c r="AE1" s="208"/>
      <c r="AF1" s="208"/>
      <c r="AG1" s="208"/>
      <c r="AH1" s="208"/>
      <c r="AI1" s="208"/>
      <c r="AJ1" s="208"/>
      <c r="AK1" s="208"/>
      <c r="AL1" s="147" t="s">
        <v>41</v>
      </c>
      <c r="AM1" s="147"/>
      <c r="AN1" s="147"/>
      <c r="AO1" s="208"/>
      <c r="AP1" s="208"/>
      <c r="AQ1" s="208"/>
      <c r="AR1" s="208"/>
      <c r="AS1" s="208"/>
      <c r="AT1" s="208"/>
      <c r="AU1" s="208"/>
      <c r="AV1" s="208"/>
      <c r="AW1" s="208"/>
    </row>
    <row r="2" spans="1:49" ht="15" customHeight="1" x14ac:dyDescent="0.2">
      <c r="A2" s="147" t="s">
        <v>42</v>
      </c>
      <c r="B2" s="147"/>
      <c r="C2" s="147"/>
      <c r="D2" s="209"/>
      <c r="E2" s="209"/>
      <c r="F2" s="209"/>
      <c r="G2" s="209"/>
      <c r="H2" s="209"/>
      <c r="I2" s="209"/>
      <c r="J2" s="209"/>
      <c r="K2" s="209"/>
      <c r="L2" s="209"/>
      <c r="M2" s="209"/>
      <c r="N2" s="209"/>
      <c r="O2" s="209"/>
      <c r="P2" s="209"/>
      <c r="Q2" s="209"/>
      <c r="R2" s="209"/>
      <c r="S2" s="209"/>
      <c r="T2" s="209"/>
      <c r="U2" s="209"/>
      <c r="V2" s="209"/>
      <c r="W2" s="209"/>
      <c r="X2" s="209"/>
      <c r="Y2" s="209"/>
      <c r="Z2" s="147" t="s">
        <v>40</v>
      </c>
      <c r="AA2" s="147"/>
      <c r="AB2" s="147"/>
      <c r="AC2" s="208"/>
      <c r="AD2" s="208"/>
      <c r="AE2" s="208"/>
      <c r="AF2" s="208"/>
      <c r="AG2" s="208"/>
      <c r="AH2" s="208"/>
      <c r="AI2" s="208"/>
      <c r="AJ2" s="208"/>
      <c r="AK2" s="208"/>
      <c r="AL2" s="147" t="s">
        <v>41</v>
      </c>
      <c r="AM2" s="147"/>
      <c r="AN2" s="147"/>
      <c r="AO2" s="208"/>
      <c r="AP2" s="208"/>
      <c r="AQ2" s="208"/>
      <c r="AR2" s="208"/>
      <c r="AS2" s="208"/>
      <c r="AT2" s="208"/>
      <c r="AU2" s="208"/>
      <c r="AV2" s="208"/>
      <c r="AW2" s="208"/>
    </row>
    <row r="3" spans="1:49" ht="15" customHeight="1" x14ac:dyDescent="0.2">
      <c r="A3" s="148" t="s">
        <v>43</v>
      </c>
      <c r="B3" s="148"/>
      <c r="C3" s="148"/>
      <c r="D3" s="148"/>
      <c r="E3" s="210"/>
      <c r="F3" s="210"/>
      <c r="G3" s="210"/>
      <c r="H3" s="210"/>
      <c r="I3" s="210"/>
      <c r="J3" s="210"/>
      <c r="K3" s="210"/>
      <c r="L3" s="210"/>
      <c r="M3" s="210"/>
      <c r="N3" s="210"/>
      <c r="O3" s="210"/>
      <c r="P3" s="210"/>
      <c r="Q3" s="210"/>
      <c r="R3" s="210"/>
      <c r="S3" s="210"/>
      <c r="T3" s="210"/>
      <c r="U3" s="210"/>
      <c r="V3" s="210"/>
      <c r="W3" s="210"/>
      <c r="X3" s="210"/>
      <c r="Y3" s="210"/>
      <c r="Z3" s="210"/>
      <c r="AA3" s="210"/>
      <c r="AB3" s="210"/>
      <c r="AC3" s="210"/>
      <c r="AD3" s="210"/>
      <c r="AE3" s="210"/>
      <c r="AF3" s="210"/>
      <c r="AG3" s="210"/>
      <c r="AH3" s="210"/>
      <c r="AI3" s="210"/>
      <c r="AJ3" s="210"/>
      <c r="AK3" s="210"/>
      <c r="AL3" s="210"/>
      <c r="AM3" s="210"/>
      <c r="AN3" s="210"/>
      <c r="AO3" s="210"/>
      <c r="AP3" s="210"/>
      <c r="AQ3" s="210"/>
      <c r="AR3" s="210"/>
      <c r="AS3" s="210"/>
      <c r="AT3" s="210"/>
      <c r="AU3" s="210"/>
      <c r="AV3" s="210"/>
      <c r="AW3" s="210"/>
    </row>
    <row r="4" spans="1:49" ht="15" customHeight="1" x14ac:dyDescent="0.2">
      <c r="A4" s="34"/>
      <c r="B4" s="34"/>
      <c r="C4" s="34"/>
      <c r="D4" s="34"/>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row>
    <row r="5" spans="1:49" ht="15" customHeight="1" x14ac:dyDescent="0.2">
      <c r="A5" s="224" t="s">
        <v>96</v>
      </c>
      <c r="B5" s="224"/>
      <c r="C5" s="224"/>
      <c r="D5" s="224"/>
      <c r="E5" s="224"/>
      <c r="F5" s="224"/>
      <c r="G5" s="224"/>
      <c r="H5" s="224"/>
      <c r="I5" s="224"/>
      <c r="J5" s="224"/>
      <c r="K5" s="224"/>
      <c r="L5" s="224"/>
      <c r="M5" s="224"/>
      <c r="N5" s="224"/>
      <c r="O5" s="224"/>
      <c r="P5" s="224"/>
      <c r="Q5" s="224"/>
      <c r="R5" s="224"/>
      <c r="S5" s="224"/>
      <c r="T5" s="224"/>
      <c r="U5" s="224"/>
      <c r="V5" s="224"/>
      <c r="W5" s="224"/>
      <c r="X5" s="224"/>
      <c r="Y5" s="224"/>
      <c r="Z5" s="224"/>
      <c r="AA5" s="224"/>
      <c r="AB5" s="224"/>
      <c r="AC5" s="224"/>
      <c r="AD5" s="224"/>
      <c r="AE5" s="224"/>
      <c r="AF5" s="224"/>
      <c r="AG5" s="224"/>
      <c r="AH5" s="224"/>
      <c r="AI5" s="224"/>
      <c r="AJ5" s="224"/>
      <c r="AK5" s="224"/>
      <c r="AL5" s="224"/>
      <c r="AM5" s="224"/>
      <c r="AN5" s="224"/>
      <c r="AO5" s="224"/>
      <c r="AP5" s="224"/>
      <c r="AQ5" s="224"/>
      <c r="AR5" s="224"/>
      <c r="AS5" s="224"/>
      <c r="AT5" s="224"/>
      <c r="AU5" s="224"/>
      <c r="AV5" s="224"/>
      <c r="AW5" s="224"/>
    </row>
    <row r="6" spans="1:49" ht="15" customHeight="1" x14ac:dyDescent="0.2">
      <c r="A6" s="35"/>
      <c r="B6" s="35"/>
      <c r="C6" s="35"/>
      <c r="D6" s="35"/>
      <c r="E6" s="35"/>
      <c r="F6" s="35"/>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row>
    <row r="7" spans="1:49" ht="15" customHeight="1" x14ac:dyDescent="0.2">
      <c r="A7" s="35"/>
      <c r="B7" s="36" t="s">
        <v>149</v>
      </c>
      <c r="C7" s="34"/>
      <c r="D7" s="36"/>
      <c r="E7" s="36"/>
      <c r="F7" s="36"/>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row>
    <row r="8" spans="1:49" ht="15" customHeight="1" x14ac:dyDescent="0.2">
      <c r="A8" s="35"/>
      <c r="B8" s="36"/>
      <c r="C8" s="36"/>
      <c r="D8" s="36"/>
      <c r="E8" s="36"/>
      <c r="F8" s="36"/>
      <c r="G8" s="35"/>
      <c r="H8" s="35"/>
      <c r="I8" s="35"/>
      <c r="J8" s="35"/>
      <c r="K8" s="35"/>
      <c r="L8" s="35"/>
      <c r="M8" s="35"/>
      <c r="N8" s="35"/>
      <c r="O8" s="35"/>
      <c r="P8" s="35"/>
      <c r="Q8" s="35"/>
      <c r="R8" s="35"/>
      <c r="S8" s="35"/>
      <c r="T8" s="35"/>
      <c r="U8" s="35"/>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row>
    <row r="9" spans="1:49" ht="15" customHeight="1" x14ac:dyDescent="0.2">
      <c r="A9" s="35"/>
      <c r="B9" s="212" t="str">
        <f>E506</f>
        <v>Hazard</v>
      </c>
      <c r="C9" s="212"/>
      <c r="D9" s="212"/>
      <c r="E9" s="212"/>
      <c r="F9" s="212"/>
      <c r="G9" s="212"/>
      <c r="H9" s="212"/>
      <c r="I9" s="212" t="str">
        <f>E507</f>
        <v>Life Loss</v>
      </c>
      <c r="J9" s="212"/>
      <c r="K9" s="212"/>
      <c r="L9" s="212"/>
      <c r="M9" s="212"/>
      <c r="N9" s="212"/>
      <c r="O9" s="212"/>
      <c r="P9" s="212" t="str">
        <f>E508</f>
        <v>Economic Cost</v>
      </c>
      <c r="Q9" s="212"/>
      <c r="R9" s="212"/>
      <c r="S9" s="212"/>
      <c r="T9" s="212"/>
      <c r="U9" s="212"/>
      <c r="V9" s="212"/>
      <c r="W9" s="212"/>
      <c r="X9" s="212"/>
      <c r="Y9" s="212"/>
      <c r="Z9" s="212"/>
      <c r="AA9" s="212"/>
      <c r="AB9" s="212"/>
      <c r="AC9" s="212"/>
      <c r="AD9" s="35"/>
      <c r="AE9" s="35"/>
      <c r="AF9" s="35"/>
      <c r="AG9" s="35"/>
      <c r="AH9" s="35"/>
      <c r="AI9" s="35"/>
      <c r="AJ9" s="35"/>
      <c r="AK9" s="35"/>
      <c r="AL9" s="35"/>
      <c r="AM9" s="35"/>
      <c r="AN9" s="35"/>
      <c r="AO9" s="35"/>
      <c r="AP9" s="35"/>
      <c r="AQ9" s="35"/>
      <c r="AR9" s="35"/>
      <c r="AS9" s="35"/>
      <c r="AT9" s="35"/>
      <c r="AU9" s="35"/>
      <c r="AV9" s="35"/>
      <c r="AW9" s="35"/>
    </row>
    <row r="10" spans="1:49" ht="15" customHeight="1" x14ac:dyDescent="0.2">
      <c r="A10" s="35"/>
      <c r="B10" s="212"/>
      <c r="C10" s="212"/>
      <c r="D10" s="212"/>
      <c r="E10" s="212"/>
      <c r="F10" s="212"/>
      <c r="G10" s="212"/>
      <c r="H10" s="212"/>
      <c r="I10" s="212"/>
      <c r="J10" s="212"/>
      <c r="K10" s="212"/>
      <c r="L10" s="212"/>
      <c r="M10" s="212"/>
      <c r="N10" s="212"/>
      <c r="O10" s="212"/>
      <c r="P10" s="212"/>
      <c r="Q10" s="212"/>
      <c r="R10" s="212"/>
      <c r="S10" s="212"/>
      <c r="T10" s="212"/>
      <c r="U10" s="212"/>
      <c r="V10" s="212"/>
      <c r="W10" s="212"/>
      <c r="X10" s="212"/>
      <c r="Y10" s="212"/>
      <c r="Z10" s="212"/>
      <c r="AA10" s="212"/>
      <c r="AB10" s="212"/>
      <c r="AC10" s="212"/>
      <c r="AD10" s="35"/>
      <c r="AE10" s="35"/>
      <c r="AF10" s="35"/>
      <c r="AG10" s="35"/>
      <c r="AH10" s="35"/>
      <c r="AI10" s="35"/>
      <c r="AJ10" s="35"/>
      <c r="AK10" s="35"/>
      <c r="AL10" s="35"/>
      <c r="AM10" s="35"/>
      <c r="AN10" s="35"/>
      <c r="AO10" s="35"/>
      <c r="AP10" s="35"/>
      <c r="AQ10" s="35"/>
      <c r="AR10" s="35"/>
      <c r="AS10" s="35"/>
      <c r="AT10" s="35"/>
      <c r="AU10" s="35"/>
      <c r="AV10" s="35"/>
      <c r="AW10" s="35"/>
    </row>
    <row r="11" spans="1:49" ht="15" customHeight="1" x14ac:dyDescent="0.2">
      <c r="A11" s="35"/>
      <c r="B11" s="37" t="str">
        <f>IF(E506="","","-")</f>
        <v>-</v>
      </c>
      <c r="C11" s="37" t="str">
        <f>B11</f>
        <v>-</v>
      </c>
      <c r="D11" s="37" t="str">
        <f t="shared" ref="D11:H11" si="0">C11</f>
        <v>-</v>
      </c>
      <c r="E11" s="37" t="str">
        <f t="shared" si="0"/>
        <v>-</v>
      </c>
      <c r="F11" s="37" t="str">
        <f t="shared" si="0"/>
        <v>-</v>
      </c>
      <c r="G11" s="37" t="str">
        <f t="shared" si="0"/>
        <v>-</v>
      </c>
      <c r="H11" s="37" t="str">
        <f t="shared" si="0"/>
        <v>-</v>
      </c>
      <c r="I11" s="37" t="str">
        <f>IF(E507="","","-")</f>
        <v>-</v>
      </c>
      <c r="J11" s="37" t="str">
        <f>I11</f>
        <v>-</v>
      </c>
      <c r="K11" s="37" t="str">
        <f t="shared" ref="K11:O11" si="1">J11</f>
        <v>-</v>
      </c>
      <c r="L11" s="37" t="str">
        <f t="shared" si="1"/>
        <v>-</v>
      </c>
      <c r="M11" s="37" t="str">
        <f t="shared" si="1"/>
        <v>-</v>
      </c>
      <c r="N11" s="37" t="str">
        <f t="shared" si="1"/>
        <v>-</v>
      </c>
      <c r="O11" s="37" t="str">
        <f t="shared" si="1"/>
        <v>-</v>
      </c>
      <c r="P11" s="37" t="str">
        <f>IF(E508="","","-")</f>
        <v>-</v>
      </c>
      <c r="Q11" s="37" t="str">
        <f>P11</f>
        <v>-</v>
      </c>
      <c r="R11" s="37" t="str">
        <f t="shared" ref="R11:V11" si="2">Q11</f>
        <v>-</v>
      </c>
      <c r="S11" s="37" t="str">
        <f t="shared" si="2"/>
        <v>-</v>
      </c>
      <c r="T11" s="37" t="str">
        <f t="shared" si="2"/>
        <v>-</v>
      </c>
      <c r="U11" s="37" t="str">
        <f t="shared" si="2"/>
        <v>-</v>
      </c>
      <c r="V11" s="37" t="str">
        <f t="shared" si="2"/>
        <v>-</v>
      </c>
      <c r="W11" s="37"/>
      <c r="X11" s="38"/>
      <c r="Y11" s="38"/>
      <c r="Z11" s="38"/>
      <c r="AA11" s="38"/>
      <c r="AB11" s="38"/>
      <c r="AC11" s="38"/>
      <c r="AD11" s="39"/>
      <c r="AE11" s="40"/>
      <c r="AF11" s="40"/>
      <c r="AG11" s="40"/>
      <c r="AH11" s="40"/>
      <c r="AI11" s="40"/>
      <c r="AJ11" s="40"/>
      <c r="AK11" s="39"/>
      <c r="AL11" s="40"/>
      <c r="AM11" s="40"/>
      <c r="AN11" s="40"/>
      <c r="AO11" s="40"/>
      <c r="AP11" s="40"/>
      <c r="AQ11" s="40"/>
      <c r="AR11" s="39"/>
      <c r="AS11" s="40"/>
      <c r="AT11" s="35"/>
      <c r="AU11" s="35"/>
      <c r="AV11" s="35"/>
      <c r="AW11" s="35"/>
    </row>
    <row r="12" spans="1:49" ht="15" customHeight="1" x14ac:dyDescent="0.2">
      <c r="A12" s="35"/>
      <c r="B12" s="39"/>
      <c r="C12" s="39"/>
      <c r="D12" s="39"/>
      <c r="E12" s="39"/>
      <c r="F12" s="39"/>
      <c r="G12" s="39"/>
      <c r="H12" s="39"/>
      <c r="I12" s="39"/>
      <c r="J12" s="39"/>
      <c r="K12" s="39"/>
      <c r="L12" s="39"/>
      <c r="M12" s="39"/>
      <c r="N12" s="39"/>
      <c r="O12" s="39"/>
      <c r="P12" s="39"/>
      <c r="Q12" s="39"/>
      <c r="R12" s="39"/>
      <c r="S12" s="39"/>
      <c r="T12" s="39"/>
      <c r="U12" s="39"/>
      <c r="V12" s="39"/>
      <c r="W12" s="39"/>
      <c r="X12" s="40"/>
      <c r="Y12" s="40"/>
      <c r="Z12" s="40"/>
      <c r="AA12" s="40"/>
      <c r="AB12" s="40"/>
      <c r="AC12" s="40"/>
      <c r="AD12" s="39"/>
      <c r="AE12" s="40"/>
      <c r="AF12" s="40"/>
      <c r="AG12" s="40"/>
      <c r="AH12" s="40"/>
      <c r="AI12" s="40"/>
      <c r="AJ12" s="40"/>
      <c r="AK12" s="39"/>
      <c r="AL12" s="40"/>
      <c r="AM12" s="40"/>
      <c r="AN12" s="40"/>
      <c r="AO12" s="40"/>
      <c r="AP12" s="40"/>
      <c r="AQ12" s="40"/>
      <c r="AR12" s="39"/>
      <c r="AS12" s="40"/>
      <c r="AT12" s="35"/>
      <c r="AU12" s="35"/>
      <c r="AV12" s="35"/>
      <c r="AW12" s="35"/>
    </row>
    <row r="13" spans="1:49" ht="15" customHeight="1" x14ac:dyDescent="0.2">
      <c r="A13" s="35"/>
      <c r="B13" s="213" t="str">
        <f>M506</f>
        <v>100% Reliable Stage-Frequency</v>
      </c>
      <c r="C13" s="213"/>
      <c r="D13" s="213"/>
      <c r="E13" s="213"/>
      <c r="F13" s="213"/>
      <c r="G13" s="213"/>
      <c r="H13" s="213"/>
      <c r="I13" s="213" t="str">
        <f>M507</f>
        <v>Non-Breach
Life Loss (Composite)</v>
      </c>
      <c r="J13" s="213"/>
      <c r="K13" s="213"/>
      <c r="L13" s="213"/>
      <c r="M13" s="213"/>
      <c r="N13" s="213"/>
      <c r="O13" s="213"/>
      <c r="P13" s="213" t="str">
        <f>M508</f>
        <v>Non-Breach
Economic Loss</v>
      </c>
      <c r="Q13" s="213"/>
      <c r="R13" s="213"/>
      <c r="S13" s="213"/>
      <c r="T13" s="213"/>
      <c r="U13" s="213"/>
      <c r="V13" s="213"/>
      <c r="W13" s="213"/>
      <c r="X13" s="213"/>
      <c r="Y13" s="213"/>
      <c r="Z13" s="213"/>
      <c r="AA13" s="213"/>
      <c r="AB13" s="213"/>
      <c r="AC13" s="213"/>
      <c r="AD13" s="34"/>
      <c r="AE13" s="40"/>
      <c r="AF13" s="40"/>
      <c r="AG13" s="40"/>
      <c r="AH13" s="40"/>
      <c r="AI13" s="40"/>
      <c r="AJ13" s="40"/>
      <c r="AK13" s="34"/>
      <c r="AL13" s="40"/>
      <c r="AM13" s="40"/>
      <c r="AN13" s="40"/>
      <c r="AO13" s="40"/>
      <c r="AP13" s="40"/>
      <c r="AQ13" s="40"/>
      <c r="AR13" s="34"/>
      <c r="AS13" s="40"/>
      <c r="AT13" s="35"/>
      <c r="AU13" s="35"/>
      <c r="AV13" s="35"/>
      <c r="AW13" s="35"/>
    </row>
    <row r="14" spans="1:49" ht="15" customHeight="1" x14ac:dyDescent="0.2">
      <c r="A14" s="35"/>
      <c r="B14" s="213"/>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E14" s="40"/>
      <c r="AF14" s="40"/>
      <c r="AG14" s="40"/>
      <c r="AH14" s="40"/>
      <c r="AI14" s="40"/>
      <c r="AJ14" s="40"/>
      <c r="AL14" s="40"/>
      <c r="AM14" s="40"/>
      <c r="AN14" s="40"/>
      <c r="AO14" s="40"/>
      <c r="AP14" s="40"/>
      <c r="AQ14" s="40"/>
      <c r="AS14" s="40"/>
      <c r="AT14" s="40"/>
      <c r="AU14" s="40"/>
      <c r="AV14" s="40"/>
      <c r="AW14" s="40"/>
    </row>
    <row r="15" spans="1:49" ht="15" customHeight="1" x14ac:dyDescent="0.2">
      <c r="A15" s="35"/>
      <c r="B15" s="213"/>
      <c r="C15" s="213"/>
      <c r="D15" s="213"/>
      <c r="E15" s="213"/>
      <c r="F15" s="213"/>
      <c r="G15" s="213"/>
      <c r="H15" s="213"/>
      <c r="I15" s="213"/>
      <c r="J15" s="213"/>
      <c r="K15" s="213"/>
      <c r="L15" s="213"/>
      <c r="M15" s="213"/>
      <c r="N15" s="213"/>
      <c r="O15" s="213"/>
      <c r="P15" s="213"/>
      <c r="Q15" s="213"/>
      <c r="R15" s="213"/>
      <c r="S15" s="213"/>
      <c r="T15" s="213"/>
      <c r="U15" s="213"/>
      <c r="V15" s="213"/>
      <c r="W15" s="213"/>
      <c r="X15" s="213"/>
      <c r="Y15" s="213"/>
      <c r="Z15" s="213"/>
      <c r="AA15" s="213"/>
      <c r="AB15" s="213"/>
      <c r="AC15" s="213"/>
      <c r="AD15" s="35"/>
      <c r="AE15" s="35"/>
      <c r="AF15" s="35"/>
      <c r="AG15" s="35"/>
      <c r="AH15" s="35"/>
      <c r="AI15" s="35"/>
      <c r="AJ15" s="35"/>
      <c r="AK15" s="35"/>
      <c r="AL15" s="35"/>
      <c r="AM15" s="35"/>
      <c r="AN15" s="35"/>
      <c r="AO15" s="35"/>
      <c r="AP15" s="35"/>
      <c r="AQ15" s="35"/>
      <c r="AR15" s="35"/>
      <c r="AS15" s="35"/>
      <c r="AT15" s="35"/>
      <c r="AU15" s="35"/>
      <c r="AV15" s="35"/>
      <c r="AW15" s="35"/>
    </row>
    <row r="16" spans="1:49" ht="15" customHeight="1" x14ac:dyDescent="0.2">
      <c r="A16" s="35"/>
      <c r="B16" s="71"/>
      <c r="C16" s="71"/>
      <c r="D16" s="71"/>
      <c r="E16" s="71"/>
      <c r="F16" s="71"/>
      <c r="G16" s="71"/>
      <c r="H16" s="71"/>
      <c r="I16" s="71"/>
      <c r="J16" s="71"/>
      <c r="K16" s="71"/>
      <c r="L16" s="71"/>
      <c r="M16" s="71"/>
      <c r="N16" s="71"/>
      <c r="O16" s="71"/>
      <c r="P16" s="71"/>
      <c r="Q16" s="71"/>
      <c r="R16" s="71"/>
      <c r="S16" s="71"/>
      <c r="T16" s="71"/>
      <c r="U16" s="71"/>
      <c r="V16" s="71"/>
      <c r="W16" s="71"/>
      <c r="X16" s="71"/>
      <c r="Y16" s="71"/>
      <c r="Z16" s="71"/>
      <c r="AA16" s="71"/>
      <c r="AB16" s="71"/>
      <c r="AC16" s="71"/>
      <c r="AD16" s="35"/>
      <c r="AE16" s="35"/>
      <c r="AF16" s="35"/>
      <c r="AG16" s="35"/>
      <c r="AH16" s="35"/>
      <c r="AI16" s="35"/>
      <c r="AJ16" s="35"/>
      <c r="AK16" s="35"/>
      <c r="AL16" s="35"/>
      <c r="AM16" s="35"/>
      <c r="AN16" s="35"/>
      <c r="AO16" s="35"/>
      <c r="AP16" s="35"/>
      <c r="AQ16" s="35"/>
      <c r="AR16" s="35"/>
      <c r="AS16" s="35"/>
      <c r="AT16" s="35"/>
      <c r="AU16" s="35"/>
      <c r="AV16" s="35"/>
      <c r="AW16" s="35"/>
    </row>
    <row r="17" spans="1:86" ht="15" customHeight="1" x14ac:dyDescent="0.2">
      <c r="A17" s="35"/>
      <c r="B17" s="71"/>
      <c r="C17" s="71"/>
      <c r="D17" s="71"/>
      <c r="E17" s="71"/>
      <c r="F17" s="71"/>
      <c r="G17" s="71"/>
      <c r="H17" s="71"/>
      <c r="I17" s="71"/>
      <c r="J17" s="71"/>
      <c r="K17" s="71"/>
      <c r="L17" s="71"/>
      <c r="M17" s="71"/>
      <c r="N17" s="71"/>
      <c r="O17" s="71"/>
      <c r="P17" s="71"/>
      <c r="Q17" s="71"/>
      <c r="R17" s="71"/>
      <c r="S17" s="71"/>
      <c r="T17" s="71"/>
      <c r="U17" s="71"/>
      <c r="V17" s="71"/>
      <c r="W17" s="71"/>
      <c r="X17" s="71"/>
      <c r="Y17" s="71"/>
      <c r="Z17" s="71"/>
      <c r="AA17" s="71"/>
      <c r="AB17" s="71"/>
      <c r="AC17" s="71"/>
      <c r="AD17" s="35"/>
      <c r="AE17" s="35"/>
      <c r="AF17" s="35"/>
      <c r="AG17" s="35"/>
      <c r="AH17" s="35"/>
      <c r="AI17" s="35"/>
      <c r="AJ17" s="35"/>
      <c r="AK17" s="35"/>
      <c r="AL17" s="35"/>
      <c r="AM17" s="35"/>
      <c r="AN17" s="35"/>
      <c r="AO17" s="35"/>
      <c r="AP17" s="35"/>
      <c r="AQ17" s="35"/>
      <c r="AR17" s="35"/>
      <c r="AS17" s="35"/>
      <c r="AT17" s="35"/>
      <c r="AU17" s="35"/>
      <c r="AV17" s="35"/>
      <c r="AW17" s="35"/>
    </row>
    <row r="18" spans="1:86" ht="15" customHeight="1" x14ac:dyDescent="0.2">
      <c r="A18" s="35"/>
      <c r="B18" s="71"/>
      <c r="C18" s="71"/>
      <c r="D18" s="71"/>
      <c r="E18" s="71"/>
      <c r="F18" s="71"/>
      <c r="G18" s="71"/>
      <c r="H18" s="71"/>
      <c r="I18" s="71"/>
      <c r="J18" s="71"/>
      <c r="K18" s="71"/>
      <c r="L18" s="71"/>
      <c r="M18" s="71"/>
      <c r="N18" s="71"/>
      <c r="O18" s="71"/>
      <c r="P18" s="71"/>
      <c r="Q18" s="71"/>
      <c r="R18" s="71"/>
      <c r="S18" s="71"/>
      <c r="T18" s="71"/>
      <c r="U18" s="71"/>
      <c r="V18" s="71"/>
      <c r="W18" s="71"/>
      <c r="X18" s="71"/>
      <c r="Y18" s="71"/>
      <c r="Z18" s="71"/>
      <c r="AA18" s="71"/>
      <c r="AB18" s="71"/>
      <c r="AC18" s="71"/>
      <c r="AD18" s="35"/>
      <c r="AE18" s="35"/>
      <c r="AF18" s="35"/>
      <c r="AG18" s="35"/>
      <c r="AH18" s="35"/>
      <c r="AI18" s="35"/>
      <c r="AJ18" s="35"/>
      <c r="AK18" s="35"/>
      <c r="AL18" s="35"/>
      <c r="AM18" s="35"/>
      <c r="AN18" s="35"/>
      <c r="AO18" s="35"/>
      <c r="AP18" s="35"/>
      <c r="AQ18" s="35"/>
      <c r="AR18" s="35"/>
      <c r="AS18" s="35"/>
      <c r="AT18" s="35"/>
      <c r="AU18" s="35"/>
      <c r="AV18" s="35"/>
      <c r="AW18" s="35"/>
    </row>
    <row r="19" spans="1:86" ht="15" customHeight="1" x14ac:dyDescent="0.2">
      <c r="A19" s="35"/>
      <c r="B19" s="71"/>
      <c r="C19" s="71"/>
      <c r="D19" s="71"/>
      <c r="E19" s="71"/>
      <c r="F19" s="71"/>
      <c r="G19" s="71"/>
      <c r="H19" s="71"/>
      <c r="I19" s="71"/>
      <c r="J19" s="71"/>
      <c r="K19" s="71"/>
      <c r="L19" s="71"/>
      <c r="M19" s="71"/>
      <c r="N19" s="71"/>
      <c r="O19" s="71"/>
      <c r="P19" s="71"/>
      <c r="Q19" s="71"/>
      <c r="R19" s="71"/>
      <c r="S19" s="71"/>
      <c r="T19" s="71"/>
      <c r="U19" s="71"/>
      <c r="V19" s="71"/>
      <c r="W19" s="71"/>
      <c r="X19" s="71"/>
      <c r="Y19" s="71"/>
      <c r="Z19" s="71"/>
      <c r="AA19" s="71"/>
      <c r="AB19" s="71"/>
      <c r="AC19" s="71"/>
      <c r="AD19" s="35"/>
      <c r="AE19" s="35"/>
      <c r="AF19" s="35"/>
      <c r="AG19" s="35"/>
      <c r="AH19" s="35"/>
      <c r="AI19" s="35"/>
      <c r="AJ19" s="35"/>
      <c r="AK19" s="35"/>
      <c r="AL19" s="35"/>
      <c r="AM19" s="35"/>
      <c r="AN19" s="35"/>
      <c r="AO19" s="35"/>
      <c r="AP19" s="35"/>
      <c r="AQ19" s="35"/>
      <c r="AR19" s="35"/>
      <c r="AS19" s="35"/>
      <c r="AT19" s="35"/>
      <c r="AU19" s="35"/>
      <c r="AV19" s="35"/>
      <c r="AW19" s="35"/>
    </row>
    <row r="20" spans="1:86" ht="15" customHeight="1" x14ac:dyDescent="0.2">
      <c r="A20" s="35"/>
      <c r="B20" s="71"/>
      <c r="C20" s="71"/>
      <c r="D20" s="71"/>
      <c r="E20" s="71"/>
      <c r="F20" s="71"/>
      <c r="G20" s="71"/>
      <c r="H20" s="71"/>
      <c r="I20" s="71"/>
      <c r="J20" s="71"/>
      <c r="K20" s="71"/>
      <c r="L20" s="71"/>
      <c r="M20" s="71"/>
      <c r="N20" s="71"/>
      <c r="O20" s="71"/>
      <c r="P20" s="71"/>
      <c r="Q20" s="71"/>
      <c r="R20" s="71"/>
      <c r="S20" s="71"/>
      <c r="T20" s="71"/>
      <c r="U20" s="71"/>
      <c r="V20" s="71"/>
      <c r="W20" s="71"/>
      <c r="X20" s="71"/>
      <c r="Y20" s="71"/>
      <c r="Z20" s="71"/>
      <c r="AA20" s="71"/>
      <c r="AB20" s="71"/>
      <c r="AC20" s="71"/>
      <c r="AD20" s="35"/>
      <c r="AE20" s="35"/>
      <c r="AF20" s="35"/>
      <c r="AG20" s="35"/>
      <c r="AH20" s="35"/>
      <c r="AI20" s="35"/>
      <c r="AJ20" s="35"/>
      <c r="AK20" s="35"/>
      <c r="AL20" s="35"/>
      <c r="AM20" s="35"/>
      <c r="AN20" s="35"/>
      <c r="AO20" s="35"/>
      <c r="AP20" s="35"/>
      <c r="AQ20" s="35"/>
      <c r="AR20" s="35"/>
      <c r="AS20" s="35"/>
      <c r="AT20" s="35"/>
      <c r="AU20" s="35"/>
      <c r="AV20" s="35"/>
      <c r="AW20" s="35"/>
    </row>
    <row r="21" spans="1:86" ht="15" customHeight="1" x14ac:dyDescent="0.2">
      <c r="A21" s="35"/>
      <c r="B21" s="71"/>
      <c r="C21" s="71"/>
      <c r="D21" s="71"/>
      <c r="E21" s="71"/>
      <c r="F21" s="71"/>
      <c r="G21" s="71"/>
      <c r="H21" s="71"/>
      <c r="I21" s="71"/>
      <c r="J21" s="71"/>
      <c r="K21" s="71"/>
      <c r="L21" s="71"/>
      <c r="M21" s="71"/>
      <c r="N21" s="71"/>
      <c r="O21" s="71"/>
      <c r="P21" s="71"/>
      <c r="Q21" s="71"/>
      <c r="R21" s="71"/>
      <c r="S21" s="71"/>
      <c r="T21" s="71"/>
      <c r="U21" s="71"/>
      <c r="V21" s="71"/>
      <c r="W21" s="71"/>
      <c r="X21" s="71"/>
      <c r="Y21" s="71"/>
      <c r="Z21" s="71"/>
      <c r="AA21" s="71"/>
      <c r="AB21" s="71"/>
      <c r="AC21" s="71"/>
      <c r="AD21" s="35"/>
      <c r="AE21" s="35"/>
      <c r="AF21" s="35"/>
      <c r="AG21" s="35"/>
      <c r="AH21" s="35"/>
      <c r="AI21" s="35"/>
      <c r="AJ21" s="35"/>
      <c r="AK21" s="35"/>
      <c r="AL21" s="35"/>
      <c r="AM21" s="35"/>
      <c r="AN21" s="35"/>
      <c r="AO21" s="35"/>
      <c r="AP21" s="35"/>
      <c r="AQ21" s="35"/>
      <c r="AR21" s="35"/>
      <c r="AS21" s="35"/>
      <c r="AT21" s="35"/>
      <c r="AU21" s="35"/>
      <c r="AV21" s="35"/>
      <c r="AW21" s="35"/>
    </row>
    <row r="22" spans="1:86" ht="15" customHeight="1" x14ac:dyDescent="0.2">
      <c r="A22" s="35"/>
      <c r="B22" s="71"/>
      <c r="C22" s="71"/>
      <c r="D22" s="71"/>
      <c r="E22" s="71"/>
      <c r="F22" s="71"/>
      <c r="G22" s="71"/>
      <c r="H22" s="71"/>
      <c r="I22" s="71"/>
      <c r="J22" s="71"/>
      <c r="K22" s="71"/>
      <c r="L22" s="71"/>
      <c r="M22" s="71"/>
      <c r="N22" s="71"/>
      <c r="O22" s="71"/>
      <c r="P22" s="71"/>
      <c r="Q22" s="71"/>
      <c r="R22" s="71"/>
      <c r="S22" s="71"/>
      <c r="T22" s="71"/>
      <c r="U22" s="71"/>
      <c r="V22" s="71"/>
      <c r="W22" s="71"/>
      <c r="X22" s="71"/>
      <c r="Y22" s="71"/>
      <c r="Z22" s="71"/>
      <c r="AA22" s="71"/>
      <c r="AB22" s="71"/>
      <c r="AC22" s="71"/>
      <c r="AD22" s="35"/>
      <c r="AE22" s="35"/>
      <c r="AF22" s="35"/>
      <c r="AG22" s="35"/>
      <c r="AH22" s="35"/>
      <c r="AI22" s="35"/>
      <c r="AJ22" s="35"/>
      <c r="AK22" s="35"/>
      <c r="AL22" s="35"/>
      <c r="AM22" s="35"/>
      <c r="AN22" s="35"/>
      <c r="AO22" s="35"/>
      <c r="AP22" s="35"/>
      <c r="AQ22" s="35"/>
      <c r="AR22" s="35"/>
      <c r="AS22" s="35"/>
      <c r="AT22" s="35"/>
      <c r="AU22" s="35"/>
      <c r="AV22" s="35"/>
      <c r="AW22" s="35"/>
    </row>
    <row r="23" spans="1:86" ht="15" customHeight="1" x14ac:dyDescent="0.2">
      <c r="A23" s="35"/>
      <c r="B23" s="71"/>
      <c r="C23" s="71"/>
      <c r="D23" s="71"/>
      <c r="E23" s="71"/>
      <c r="F23" s="71"/>
      <c r="G23" s="71"/>
      <c r="H23" s="71"/>
      <c r="I23" s="71"/>
      <c r="J23" s="71"/>
      <c r="K23" s="71"/>
      <c r="L23" s="71"/>
      <c r="M23" s="71"/>
      <c r="N23" s="71"/>
      <c r="O23" s="71"/>
      <c r="P23" s="71"/>
      <c r="Q23" s="71"/>
      <c r="R23" s="71"/>
      <c r="S23" s="71"/>
      <c r="T23" s="71"/>
      <c r="U23" s="71"/>
      <c r="V23" s="71"/>
      <c r="W23" s="71"/>
      <c r="X23" s="71"/>
      <c r="Y23" s="71"/>
      <c r="Z23" s="71"/>
      <c r="AA23" s="71"/>
      <c r="AB23" s="71"/>
      <c r="AC23" s="71"/>
      <c r="AD23" s="35"/>
      <c r="AE23" s="35"/>
      <c r="AF23" s="35"/>
      <c r="AG23" s="35"/>
      <c r="AH23" s="35"/>
      <c r="AI23" s="35"/>
      <c r="AJ23" s="35"/>
      <c r="AK23" s="35"/>
      <c r="AL23" s="35"/>
      <c r="AM23" s="35"/>
      <c r="AN23" s="35"/>
      <c r="AO23" s="35"/>
      <c r="AP23" s="35"/>
      <c r="AQ23" s="35"/>
      <c r="AR23" s="35"/>
      <c r="AS23" s="35"/>
      <c r="AT23" s="35"/>
      <c r="AU23" s="35"/>
      <c r="AV23" s="35"/>
      <c r="AW23" s="35"/>
    </row>
    <row r="24" spans="1:86" ht="15" customHeight="1" x14ac:dyDescent="0.2">
      <c r="A24" s="35"/>
      <c r="B24" s="71"/>
      <c r="C24" s="71"/>
      <c r="D24" s="71"/>
      <c r="E24" s="71"/>
      <c r="F24" s="71"/>
      <c r="G24" s="71"/>
      <c r="H24" s="71"/>
      <c r="I24" s="71"/>
      <c r="J24" s="71"/>
      <c r="K24" s="71"/>
      <c r="L24" s="71"/>
      <c r="M24" s="71"/>
      <c r="N24" s="71"/>
      <c r="O24" s="71"/>
      <c r="P24" s="71"/>
      <c r="Q24" s="71"/>
      <c r="R24" s="71"/>
      <c r="S24" s="71"/>
      <c r="T24" s="71"/>
      <c r="U24" s="71"/>
      <c r="V24" s="71"/>
      <c r="W24" s="71"/>
      <c r="X24" s="71"/>
      <c r="Y24" s="71"/>
      <c r="Z24" s="71"/>
      <c r="AA24" s="71"/>
      <c r="AB24" s="71"/>
      <c r="AC24" s="71"/>
      <c r="AD24" s="35"/>
      <c r="AE24" s="35"/>
      <c r="AF24" s="35"/>
      <c r="AG24" s="35"/>
      <c r="AH24" s="35"/>
      <c r="AI24" s="35"/>
      <c r="AJ24" s="35"/>
      <c r="AK24" s="35"/>
      <c r="AL24" s="35"/>
      <c r="AM24" s="35"/>
      <c r="AN24" s="35"/>
      <c r="AO24" s="35"/>
      <c r="AP24" s="35"/>
      <c r="AQ24" s="35"/>
      <c r="AR24" s="35"/>
      <c r="AS24" s="35"/>
      <c r="AT24" s="35"/>
      <c r="AU24" s="35"/>
      <c r="AV24" s="35"/>
      <c r="AW24" s="35"/>
    </row>
    <row r="25" spans="1:86" ht="15" customHeight="1" x14ac:dyDescent="0.2">
      <c r="A25" s="35"/>
      <c r="B25" s="71"/>
      <c r="C25" s="71"/>
      <c r="D25" s="71"/>
      <c r="E25" s="71"/>
      <c r="F25" s="71"/>
      <c r="G25" s="71"/>
      <c r="H25" s="71"/>
      <c r="I25" s="71"/>
      <c r="J25" s="71"/>
      <c r="K25" s="71"/>
      <c r="L25" s="71"/>
      <c r="M25" s="71"/>
      <c r="N25" s="71"/>
      <c r="O25" s="71"/>
      <c r="P25" s="71"/>
      <c r="Q25" s="71"/>
      <c r="R25" s="71"/>
      <c r="S25" s="71"/>
      <c r="T25" s="71"/>
      <c r="U25" s="71"/>
      <c r="V25" s="71"/>
      <c r="W25" s="71"/>
      <c r="X25" s="71"/>
      <c r="Y25" s="71"/>
      <c r="Z25" s="71"/>
      <c r="AA25" s="71"/>
      <c r="AB25" s="71"/>
      <c r="AC25" s="71"/>
      <c r="AD25" s="35"/>
      <c r="AE25" s="35"/>
      <c r="AF25" s="35"/>
      <c r="AG25" s="35"/>
      <c r="AH25" s="35"/>
      <c r="AI25" s="35"/>
      <c r="AJ25" s="35"/>
      <c r="AK25" s="35"/>
      <c r="AL25" s="35"/>
      <c r="AM25" s="35"/>
      <c r="AN25" s="35"/>
      <c r="AO25" s="35"/>
      <c r="AP25" s="35"/>
      <c r="AQ25" s="35"/>
      <c r="AR25" s="35"/>
      <c r="AS25" s="35"/>
      <c r="AT25" s="35"/>
      <c r="AU25" s="35"/>
      <c r="AV25" s="35"/>
      <c r="AW25" s="35"/>
    </row>
    <row r="26" spans="1:86" ht="15" customHeight="1" x14ac:dyDescent="0.2">
      <c r="A26" s="35"/>
      <c r="B26" s="71"/>
      <c r="C26" s="71"/>
      <c r="D26" s="71"/>
      <c r="E26" s="71"/>
      <c r="F26" s="71"/>
      <c r="G26" s="71"/>
      <c r="H26" s="71"/>
      <c r="I26" s="71"/>
      <c r="J26" s="71"/>
      <c r="K26" s="71"/>
      <c r="L26" s="71"/>
      <c r="M26" s="71"/>
      <c r="N26" s="71"/>
      <c r="O26" s="71"/>
      <c r="P26" s="71"/>
      <c r="Q26" s="71"/>
      <c r="R26" s="71"/>
      <c r="S26" s="71"/>
      <c r="T26" s="71"/>
      <c r="U26" s="71"/>
      <c r="V26" s="71"/>
      <c r="W26" s="71"/>
      <c r="X26" s="71"/>
      <c r="Y26" s="71"/>
      <c r="Z26" s="71"/>
      <c r="AA26" s="71"/>
      <c r="AB26" s="71"/>
      <c r="AC26" s="71"/>
      <c r="AD26" s="35"/>
      <c r="AE26" s="35"/>
      <c r="AF26" s="35"/>
      <c r="AG26" s="35"/>
      <c r="AH26" s="35"/>
      <c r="AI26" s="35"/>
      <c r="AJ26" s="35"/>
      <c r="AK26" s="35"/>
      <c r="AL26" s="35"/>
      <c r="AM26" s="35"/>
      <c r="AN26" s="35"/>
      <c r="AO26" s="35"/>
      <c r="AP26" s="35"/>
      <c r="AQ26" s="35"/>
      <c r="AR26" s="35"/>
      <c r="AS26" s="35"/>
      <c r="AT26" s="35"/>
      <c r="AU26" s="35"/>
      <c r="AV26" s="35"/>
      <c r="AW26" s="35"/>
    </row>
    <row r="27" spans="1:86" ht="15" customHeight="1" x14ac:dyDescent="0.2">
      <c r="A27" s="35"/>
      <c r="B27" s="35"/>
      <c r="C27" s="35"/>
      <c r="D27" s="35"/>
      <c r="E27" s="35"/>
      <c r="F27" s="35"/>
      <c r="G27" s="35"/>
      <c r="H27" s="35"/>
      <c r="I27" s="35"/>
      <c r="J27" s="35"/>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35"/>
      <c r="AS27" s="35"/>
      <c r="AT27" s="35"/>
      <c r="AU27" s="35"/>
      <c r="AV27" s="35"/>
      <c r="AW27" s="35"/>
    </row>
    <row r="28" spans="1:86" ht="15" customHeight="1" x14ac:dyDescent="0.2">
      <c r="A28" s="35"/>
      <c r="B28" s="35"/>
      <c r="C28" s="35"/>
      <c r="D28" s="35"/>
      <c r="E28" s="35"/>
      <c r="F28" s="35"/>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row>
    <row r="29" spans="1:86" ht="15" customHeight="1" x14ac:dyDescent="0.2">
      <c r="A29" s="35"/>
      <c r="B29" s="35"/>
      <c r="C29" s="35"/>
      <c r="D29" s="35"/>
      <c r="E29" s="35"/>
      <c r="F29" s="35"/>
      <c r="G29" s="35"/>
      <c r="H29" s="35"/>
      <c r="I29" s="35"/>
      <c r="J29" s="35"/>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35"/>
      <c r="AO29" s="35"/>
      <c r="AP29" s="35"/>
      <c r="AQ29" s="35"/>
      <c r="AR29" s="35"/>
      <c r="AS29" s="35"/>
      <c r="AT29" s="35"/>
      <c r="AU29" s="35"/>
      <c r="AV29" s="35"/>
      <c r="AW29" s="35"/>
    </row>
    <row r="30" spans="1:86" ht="15" customHeight="1" x14ac:dyDescent="0.2">
      <c r="A30" s="35"/>
      <c r="B30" s="35"/>
      <c r="C30" s="35"/>
      <c r="D30" s="35"/>
      <c r="E30" s="35"/>
      <c r="F30" s="35"/>
      <c r="G30" s="35"/>
      <c r="H30" s="35"/>
      <c r="I30" s="35"/>
      <c r="J30" s="35"/>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BF30" s="104"/>
      <c r="BH30" s="104"/>
      <c r="BI30" s="104"/>
      <c r="BJ30" s="104"/>
      <c r="BK30" s="104"/>
      <c r="BL30" s="105"/>
      <c r="BM30" s="105"/>
      <c r="BO30" s="105"/>
      <c r="BP30" s="105"/>
      <c r="BQ30" s="105"/>
      <c r="BR30" s="105"/>
      <c r="BS30" s="105"/>
      <c r="BT30" s="105"/>
      <c r="BV30" s="105"/>
      <c r="BW30" s="104"/>
      <c r="BX30" s="104"/>
      <c r="BY30" s="104"/>
      <c r="BZ30" s="104"/>
      <c r="CA30" s="104"/>
      <c r="CC30" s="104"/>
      <c r="CD30" s="104"/>
      <c r="CE30" s="104"/>
      <c r="CF30" s="104"/>
      <c r="CG30" s="104"/>
      <c r="CH30" s="104"/>
    </row>
    <row r="31" spans="1:86" ht="15" customHeight="1" x14ac:dyDescent="0.2">
      <c r="A31" s="35"/>
      <c r="B31" s="34"/>
      <c r="C31" s="34"/>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40"/>
      <c r="AM31" s="40"/>
      <c r="AN31" s="40"/>
      <c r="AO31" s="40"/>
      <c r="AP31" s="40"/>
      <c r="AQ31" s="40"/>
      <c r="AR31" s="40"/>
      <c r="AS31" s="40"/>
      <c r="AT31" s="40"/>
      <c r="AU31" s="40"/>
      <c r="AV31" s="40"/>
      <c r="AW31" s="97"/>
      <c r="BH31" s="99"/>
      <c r="BI31" s="99"/>
      <c r="BJ31" s="99"/>
      <c r="BK31" s="99"/>
      <c r="BL31" s="99"/>
      <c r="BM31" s="99"/>
      <c r="BO31" s="99"/>
      <c r="BP31" s="99"/>
      <c r="BQ31" s="99"/>
      <c r="BR31" s="99"/>
      <c r="BS31" s="99"/>
      <c r="BT31" s="99"/>
      <c r="BV31" s="99"/>
      <c r="BW31" s="99"/>
      <c r="BX31" s="99"/>
      <c r="BY31" s="99"/>
      <c r="BZ31" s="99"/>
      <c r="CA31" s="99"/>
      <c r="CC31" s="99"/>
      <c r="CD31" s="99"/>
      <c r="CE31" s="99"/>
      <c r="CF31" s="99"/>
      <c r="CG31" s="99"/>
      <c r="CH31" s="99"/>
    </row>
    <row r="32" spans="1:86" ht="15" customHeight="1" x14ac:dyDescent="0.2">
      <c r="A32" s="35"/>
      <c r="B32" s="36" t="s">
        <v>150</v>
      </c>
      <c r="C32" s="36"/>
      <c r="D32" s="36"/>
      <c r="E32" s="36"/>
      <c r="F32" s="36"/>
      <c r="G32" s="36"/>
      <c r="H32" s="36"/>
      <c r="I32" s="36"/>
      <c r="J32" s="36"/>
      <c r="K32" s="35"/>
      <c r="L32" s="35"/>
      <c r="M32" s="35"/>
      <c r="N32" s="35"/>
      <c r="O32" s="35"/>
      <c r="P32" s="35"/>
      <c r="Q32" s="35"/>
      <c r="R32" s="35"/>
      <c r="S32" s="35"/>
      <c r="T32" s="35"/>
      <c r="U32" s="35"/>
      <c r="V32" s="35"/>
      <c r="W32" s="35"/>
      <c r="X32" s="35"/>
      <c r="Y32" s="35"/>
      <c r="Z32" s="35"/>
      <c r="AA32" s="35"/>
      <c r="AB32" s="35"/>
      <c r="AC32" s="35"/>
      <c r="AD32" s="35"/>
      <c r="AE32" s="35"/>
      <c r="AF32" s="35"/>
      <c r="AG32" s="35"/>
      <c r="AH32" s="35"/>
      <c r="AI32" s="35"/>
      <c r="AJ32" s="35"/>
      <c r="AK32" s="35"/>
      <c r="AL32" s="35"/>
      <c r="AM32" s="35"/>
      <c r="AN32" s="35"/>
      <c r="AO32" s="35"/>
      <c r="AP32" s="35"/>
      <c r="AQ32" s="35"/>
      <c r="AR32" s="35"/>
      <c r="AS32" s="35"/>
      <c r="AT32" s="35"/>
      <c r="AU32" s="35"/>
      <c r="AV32" s="35"/>
      <c r="AW32" s="35"/>
      <c r="BH32" s="102"/>
      <c r="BI32" s="102"/>
      <c r="BJ32" s="102"/>
      <c r="BK32" s="102"/>
      <c r="BL32" s="102"/>
      <c r="BM32" s="49"/>
      <c r="BN32" s="102"/>
      <c r="BO32" s="102"/>
      <c r="BP32" s="102"/>
      <c r="BQ32" s="102"/>
      <c r="BR32" s="102"/>
      <c r="BS32" s="102"/>
      <c r="BT32" s="49"/>
      <c r="BU32" s="102"/>
      <c r="BV32" s="102"/>
      <c r="BW32" s="102"/>
      <c r="BX32" s="102"/>
      <c r="BY32" s="102"/>
      <c r="BZ32" s="102"/>
      <c r="CA32" s="49"/>
      <c r="CB32" s="102"/>
      <c r="CC32" s="102"/>
      <c r="CD32" s="102"/>
      <c r="CE32" s="102"/>
      <c r="CF32" s="102"/>
      <c r="CG32" s="102"/>
      <c r="CH32" s="49"/>
    </row>
    <row r="33" spans="1:49" ht="15" customHeight="1" x14ac:dyDescent="0.2">
      <c r="A33" s="35"/>
      <c r="B33" s="34"/>
      <c r="C33" s="34"/>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98"/>
      <c r="AM33" s="98"/>
      <c r="AN33" s="98"/>
      <c r="AO33" s="98"/>
      <c r="AP33" s="98"/>
      <c r="AQ33" s="98"/>
      <c r="AR33" s="98"/>
      <c r="AS33" s="98"/>
      <c r="AT33" s="98"/>
      <c r="AU33" s="98"/>
      <c r="AV33" s="98"/>
      <c r="AW33" s="98"/>
    </row>
    <row r="34" spans="1:49" ht="15" customHeight="1" x14ac:dyDescent="0.2">
      <c r="A34" s="41" t="str">
        <f>IF(COUNTIFS($I$358:$BK$358,"&lt;="&amp;ROW(A34),$I$359:$BK$359,"&gt;="&amp;ROW(A34))&gt;0,"x","")</f>
        <v/>
      </c>
      <c r="B34" s="212" t="str">
        <f>IF(E325="-","",E325)</f>
        <v>Hazard</v>
      </c>
      <c r="C34" s="212"/>
      <c r="D34" s="212"/>
      <c r="E34" s="212"/>
      <c r="F34" s="212"/>
      <c r="G34" s="212"/>
      <c r="H34" s="212"/>
      <c r="I34" s="212" t="str">
        <f>IF(E326="-","",E326)</f>
        <v>Operational Performance</v>
      </c>
      <c r="J34" s="212"/>
      <c r="K34" s="212"/>
      <c r="L34" s="212"/>
      <c r="M34" s="212"/>
      <c r="N34" s="212"/>
      <c r="O34" s="212"/>
      <c r="P34" s="212" t="str">
        <f>IF(E327="-","",E327)</f>
        <v>Transform</v>
      </c>
      <c r="Q34" s="212"/>
      <c r="R34" s="212"/>
      <c r="S34" s="212"/>
      <c r="T34" s="212"/>
      <c r="U34" s="212"/>
      <c r="V34" s="212"/>
      <c r="W34" s="212" t="str">
        <f>IF(E328="-","",E328)</f>
        <v>System Response</v>
      </c>
      <c r="X34" s="212"/>
      <c r="Y34" s="212"/>
      <c r="Z34" s="212"/>
      <c r="AA34" s="212"/>
      <c r="AB34" s="212"/>
      <c r="AC34" s="212"/>
      <c r="AD34" s="212" t="str">
        <f>IF(E329="-","",E329)</f>
        <v>Life Loss</v>
      </c>
      <c r="AE34" s="212"/>
      <c r="AF34" s="212"/>
      <c r="AG34" s="212"/>
      <c r="AH34" s="212"/>
      <c r="AI34" s="212"/>
      <c r="AJ34" s="212"/>
      <c r="AK34" s="212" t="str">
        <f>IF(E330="-","",E330)</f>
        <v>Economic Cost</v>
      </c>
      <c r="AL34" s="212"/>
      <c r="AM34" s="212"/>
      <c r="AN34" s="212"/>
      <c r="AO34" s="212"/>
      <c r="AP34" s="212"/>
      <c r="AQ34" s="212"/>
      <c r="AR34" s="212"/>
      <c r="AS34" s="212"/>
      <c r="AT34" s="212"/>
      <c r="AU34" s="212"/>
      <c r="AV34" s="212"/>
      <c r="AW34" s="212"/>
    </row>
    <row r="35" spans="1:49" ht="15" customHeight="1" x14ac:dyDescent="0.2">
      <c r="A35" s="41" t="str">
        <f t="shared" ref="A35:A98" si="3">IF(COUNTIFS($I$358:$BK$358,"&lt;="&amp;ROW(A35),$I$359:$BK$359,"&gt;="&amp;ROW(A35))&gt;0,"x","")</f>
        <v/>
      </c>
      <c r="B35" s="212"/>
      <c r="C35" s="212"/>
      <c r="D35" s="212"/>
      <c r="E35" s="212"/>
      <c r="F35" s="212"/>
      <c r="G35" s="212"/>
      <c r="H35" s="212"/>
      <c r="I35" s="212"/>
      <c r="J35" s="212"/>
      <c r="K35" s="212"/>
      <c r="L35" s="212"/>
      <c r="M35" s="212"/>
      <c r="N35" s="212"/>
      <c r="O35" s="212"/>
      <c r="P35" s="212"/>
      <c r="Q35" s="212"/>
      <c r="R35" s="212"/>
      <c r="S35" s="212"/>
      <c r="T35" s="212"/>
      <c r="U35" s="212"/>
      <c r="V35" s="212"/>
      <c r="W35" s="212"/>
      <c r="X35" s="212"/>
      <c r="Y35" s="212"/>
      <c r="Z35" s="212"/>
      <c r="AA35" s="212"/>
      <c r="AB35" s="212"/>
      <c r="AC35" s="212"/>
      <c r="AD35" s="212"/>
      <c r="AE35" s="212"/>
      <c r="AF35" s="212"/>
      <c r="AG35" s="212"/>
      <c r="AH35" s="212"/>
      <c r="AI35" s="212"/>
      <c r="AJ35" s="212"/>
      <c r="AK35" s="212"/>
      <c r="AL35" s="212"/>
      <c r="AM35" s="212"/>
      <c r="AN35" s="212"/>
      <c r="AO35" s="212"/>
      <c r="AP35" s="212"/>
      <c r="AQ35" s="212"/>
      <c r="AR35" s="212"/>
      <c r="AS35" s="212"/>
      <c r="AT35" s="212"/>
      <c r="AU35" s="212"/>
      <c r="AV35" s="212"/>
      <c r="AW35" s="212"/>
    </row>
    <row r="36" spans="1:49" ht="15" customHeight="1" x14ac:dyDescent="0.2">
      <c r="A36" s="41" t="str">
        <f t="shared" si="3"/>
        <v/>
      </c>
      <c r="B36" s="34"/>
      <c r="C36" s="34"/>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42"/>
      <c r="AM36" s="42"/>
      <c r="AN36" s="42"/>
      <c r="AO36" s="42"/>
      <c r="AP36" s="42"/>
      <c r="AQ36" s="42"/>
      <c r="AR36" s="42"/>
      <c r="AS36" s="42"/>
      <c r="AT36" s="42"/>
      <c r="AU36" s="42"/>
      <c r="AV36" s="42"/>
      <c r="AW36" s="42"/>
    </row>
    <row r="37" spans="1:49" ht="15" customHeight="1" x14ac:dyDescent="0.2">
      <c r="A37" s="41" t="str">
        <f t="shared" si="3"/>
        <v/>
      </c>
      <c r="B37" s="44" t="str" cm="1">
        <f t="array" aca="1" ref="B37" ca="1">IF(INDIRECT(_xlfn.CONCAT($B365,B$364))="+","+",IF(ISNUMBER(INDIRECT(_xlfn.CONCAT($B365,B$363))),"-",""))</f>
        <v>-</v>
      </c>
      <c r="C37" s="41" t="str">
        <f ca="1">B37</f>
        <v>-</v>
      </c>
      <c r="D37" s="41" t="str">
        <f t="shared" ref="D37:H37" ca="1" si="4">C37</f>
        <v>-</v>
      </c>
      <c r="E37" s="41" t="str">
        <f t="shared" ca="1" si="4"/>
        <v>-</v>
      </c>
      <c r="F37" s="41" t="str">
        <f t="shared" ca="1" si="4"/>
        <v>-</v>
      </c>
      <c r="G37" s="41" t="str">
        <f t="shared" ca="1" si="4"/>
        <v>-</v>
      </c>
      <c r="H37" s="41" t="str">
        <f t="shared" ca="1" si="4"/>
        <v>-</v>
      </c>
      <c r="I37" s="44" t="str" cm="1">
        <f t="array" aca="1" ref="I37" ca="1">IF(INDIRECT(_xlfn.CONCAT($B365,C$364))="+","+",IF(ISNUMBER(INDIRECT(_xlfn.CONCAT($B365,C$363))),"-",""))</f>
        <v>-</v>
      </c>
      <c r="J37" s="41" t="str">
        <f ca="1">I37</f>
        <v>-</v>
      </c>
      <c r="K37" s="41" t="str">
        <f t="shared" ref="K37:O37" ca="1" si="5">J37</f>
        <v>-</v>
      </c>
      <c r="L37" s="41" t="str">
        <f t="shared" ca="1" si="5"/>
        <v>-</v>
      </c>
      <c r="M37" s="41" t="str">
        <f t="shared" ca="1" si="5"/>
        <v>-</v>
      </c>
      <c r="N37" s="41" t="str">
        <f t="shared" ca="1" si="5"/>
        <v>-</v>
      </c>
      <c r="O37" s="41" t="str">
        <f t="shared" ca="1" si="5"/>
        <v>-</v>
      </c>
      <c r="P37" s="44" t="str" cm="1">
        <f t="array" aca="1" ref="P37" ca="1">IF(INDIRECT(_xlfn.CONCAT($B365,D$364))="+","+",IF(ISNUMBER(INDIRECT(_xlfn.CONCAT($B365,D$363))),"-",""))</f>
        <v>-</v>
      </c>
      <c r="Q37" s="41" t="str">
        <f ca="1">P37</f>
        <v>-</v>
      </c>
      <c r="R37" s="41" t="str">
        <f t="shared" ref="R37:V37" ca="1" si="6">Q37</f>
        <v>-</v>
      </c>
      <c r="S37" s="41" t="str">
        <f t="shared" ca="1" si="6"/>
        <v>-</v>
      </c>
      <c r="T37" s="41" t="str">
        <f t="shared" ca="1" si="6"/>
        <v>-</v>
      </c>
      <c r="U37" s="41" t="str">
        <f t="shared" ca="1" si="6"/>
        <v>-</v>
      </c>
      <c r="V37" s="41" t="str">
        <f t="shared" ca="1" si="6"/>
        <v>-</v>
      </c>
      <c r="W37" s="44" t="str" cm="1">
        <f t="array" aca="1" ref="W37" ca="1">IF(INDIRECT(_xlfn.CONCAT($B365,E$364))="+","+",IF(ISNUMBER(INDIRECT(_xlfn.CONCAT($B365,E$363))),"-",""))</f>
        <v>-</v>
      </c>
      <c r="X37" s="41" t="str">
        <f ca="1">W37</f>
        <v>-</v>
      </c>
      <c r="Y37" s="41" t="str">
        <f t="shared" ref="Y37:AC37" ca="1" si="7">X37</f>
        <v>-</v>
      </c>
      <c r="Z37" s="41" t="str">
        <f t="shared" ca="1" si="7"/>
        <v>-</v>
      </c>
      <c r="AA37" s="41" t="str">
        <f t="shared" ca="1" si="7"/>
        <v>-</v>
      </c>
      <c r="AB37" s="41" t="str">
        <f t="shared" ca="1" si="7"/>
        <v>-</v>
      </c>
      <c r="AC37" s="41" t="str">
        <f t="shared" ca="1" si="7"/>
        <v>-</v>
      </c>
      <c r="AD37" s="44" t="str" cm="1">
        <f t="array" aca="1" ref="AD37" ca="1">IF(INDIRECT(_xlfn.CONCAT($B365,F$364))="+","+",IF(ISNUMBER(INDIRECT(_xlfn.CONCAT($B365,F$363))),"-",""))</f>
        <v>-</v>
      </c>
      <c r="AE37" s="41" t="str">
        <f ca="1">AD37</f>
        <v>-</v>
      </c>
      <c r="AF37" s="41" t="str">
        <f t="shared" ref="AF37:AJ37" ca="1" si="8">AE37</f>
        <v>-</v>
      </c>
      <c r="AG37" s="41" t="str">
        <f t="shared" ca="1" si="8"/>
        <v>-</v>
      </c>
      <c r="AH37" s="41" t="str">
        <f t="shared" ca="1" si="8"/>
        <v>-</v>
      </c>
      <c r="AI37" s="41" t="str">
        <f t="shared" ca="1" si="8"/>
        <v>-</v>
      </c>
      <c r="AJ37" s="41" t="str">
        <f t="shared" ca="1" si="8"/>
        <v>-</v>
      </c>
      <c r="AK37" s="44" t="str" cm="1">
        <f t="array" aca="1" ref="AK37" ca="1">IF(INDIRECT(_xlfn.CONCAT($B365,G$364))="+","+",IF(ISNUMBER(INDIRECT(_xlfn.CONCAT($B365,G$363))),"-",""))</f>
        <v>-</v>
      </c>
      <c r="AL37" s="41" t="str">
        <f ca="1">AK37</f>
        <v>-</v>
      </c>
      <c r="AM37" s="41" t="str">
        <f t="shared" ref="AM37:AQ37" ca="1" si="9">AL37</f>
        <v>-</v>
      </c>
      <c r="AN37" s="41" t="str">
        <f t="shared" ca="1" si="9"/>
        <v>-</v>
      </c>
      <c r="AO37" s="41" t="str">
        <f t="shared" ca="1" si="9"/>
        <v>-</v>
      </c>
      <c r="AP37" s="41" t="str">
        <f t="shared" ca="1" si="9"/>
        <v>-</v>
      </c>
      <c r="AQ37" s="41" t="str">
        <f t="shared" ca="1" si="9"/>
        <v>-</v>
      </c>
      <c r="AR37" s="44"/>
      <c r="AS37" s="41"/>
      <c r="AT37" s="41"/>
      <c r="AU37" s="41"/>
      <c r="AV37" s="41"/>
      <c r="AW37" s="41"/>
    </row>
    <row r="38" spans="1:49" ht="15" customHeight="1" x14ac:dyDescent="0.2">
      <c r="A38" s="41" t="str">
        <f t="shared" si="3"/>
        <v/>
      </c>
      <c r="B38" s="45" t="str" cm="1">
        <f t="array" aca="1" ref="B38" ca="1">IF(ISBLANK(INDIRECT(_xlfn.CONCAT($B390,B$389))),"",INDIRECT(_xlfn.CONCAT($B390,B$389)))</f>
        <v/>
      </c>
      <c r="C38" s="45"/>
      <c r="D38" s="45"/>
      <c r="E38" s="45"/>
      <c r="F38" s="45"/>
      <c r="G38" s="45"/>
      <c r="H38" s="45"/>
      <c r="I38" s="45" t="str" cm="1">
        <f t="array" aca="1" ref="I38" ca="1">IF(ISBLANK(INDIRECT(_xlfn.CONCAT($B390,C$389))),"",INDIRECT(_xlfn.CONCAT($B390,C$389)))</f>
        <v>-</v>
      </c>
      <c r="J38" s="45"/>
      <c r="K38" s="45"/>
      <c r="L38" s="45"/>
      <c r="M38" s="45"/>
      <c r="N38" s="45"/>
      <c r="O38" s="45"/>
      <c r="P38" s="45" t="str" cm="1">
        <f t="array" aca="1" ref="P38" ca="1">IF(ISBLANK(INDIRECT(_xlfn.CONCAT($B390,D$389))),"",INDIRECT(_xlfn.CONCAT($B390,D$389)))</f>
        <v>-</v>
      </c>
      <c r="Q38" s="45"/>
      <c r="R38" s="45"/>
      <c r="S38" s="45"/>
      <c r="T38" s="45"/>
      <c r="U38" s="45"/>
      <c r="V38" s="45"/>
      <c r="W38" s="45" t="str" cm="1">
        <f t="array" aca="1" ref="W38" ca="1">IF(ISBLANK(INDIRECT(_xlfn.CONCAT($B390,E$389))),"",INDIRECT(_xlfn.CONCAT($B390,E$389)))</f>
        <v/>
      </c>
      <c r="X38" s="45"/>
      <c r="Y38" s="45"/>
      <c r="Z38" s="45"/>
      <c r="AA38" s="45"/>
      <c r="AB38" s="45"/>
      <c r="AC38" s="45"/>
      <c r="AD38" s="45" t="str" cm="1">
        <f t="array" aca="1" ref="AD38" ca="1">IF(ISBLANK(INDIRECT(_xlfn.CONCAT($B390,F$389))),"",INDIRECT(_xlfn.CONCAT($B390,F$389)))</f>
        <v/>
      </c>
      <c r="AE38" s="45"/>
      <c r="AF38" s="45"/>
      <c r="AG38" s="45"/>
      <c r="AH38" s="45"/>
      <c r="AI38" s="45"/>
      <c r="AJ38" s="45"/>
      <c r="AK38" s="45" t="str" cm="1">
        <f t="array" aca="1" ref="AK38" ca="1">IF(ISBLANK(INDIRECT(_xlfn.CONCAT($B390,G$389))),"",INDIRECT(_xlfn.CONCAT($B390,G$389)))</f>
        <v/>
      </c>
      <c r="AL38" s="45"/>
      <c r="AM38" s="45"/>
      <c r="AN38" s="45"/>
      <c r="AO38" s="45"/>
      <c r="AP38" s="45"/>
      <c r="AQ38" s="45"/>
      <c r="AR38" s="45"/>
      <c r="AS38" s="46"/>
      <c r="AT38" s="46"/>
      <c r="AU38" s="46"/>
      <c r="AV38" s="46"/>
      <c r="AW38" s="46"/>
    </row>
    <row r="39" spans="1:49" ht="15" customHeight="1" x14ac:dyDescent="0.2">
      <c r="A39" s="41" t="str">
        <f t="shared" si="3"/>
        <v/>
      </c>
      <c r="B39" s="213" t="str" cm="1">
        <f t="array" ref="B39">IF(INDEX($U$427:$CB$432,B$436,$B437)="-","",INDEX($U$427:$CB$432,B$436,$B437))</f>
        <v>Stage-Frequency</v>
      </c>
      <c r="C39" s="213"/>
      <c r="D39" s="213"/>
      <c r="E39" s="213"/>
      <c r="F39" s="213"/>
      <c r="G39" s="213"/>
      <c r="H39" s="213"/>
      <c r="I39" s="213" t="str" cm="1">
        <f t="array" ref="I39">IF(INDEX($U$427:$CB$432,C$436,$B437)="-","",INDEX($U$427:$CB$432,C$436,$B437))</f>
        <v>0 Spillway Gates Inoperable</v>
      </c>
      <c r="J39" s="213"/>
      <c r="K39" s="213"/>
      <c r="L39" s="213"/>
      <c r="M39" s="213"/>
      <c r="N39" s="213"/>
      <c r="O39" s="213"/>
      <c r="P39" s="213" t="str" cm="1">
        <f t="array" ref="P39">IF(INDEX($U$427:$CB$432,D$436,$B437)="-","",INDEX($U$427:$CB$432,D$436,$B437))</f>
        <v>100% Reliable Stage to Gates Inoperable Stage</v>
      </c>
      <c r="Q39" s="213"/>
      <c r="R39" s="213"/>
      <c r="S39" s="213"/>
      <c r="T39" s="213"/>
      <c r="U39" s="213"/>
      <c r="V39" s="213"/>
      <c r="W39" s="213" t="str" cm="1">
        <f t="array" ref="W39">IF(INDEX($U$427:$CB$432,E$436,$B437)="-","",INDEX($U$427:$CB$432,E$436,$B437))</f>
        <v>Non-Fail</v>
      </c>
      <c r="X39" s="213"/>
      <c r="Y39" s="213"/>
      <c r="Z39" s="213"/>
      <c r="AA39" s="213"/>
      <c r="AB39" s="213"/>
      <c r="AC39" s="213"/>
      <c r="AD39" s="213" t="str" cm="1">
        <f t="array" ref="AD39">IF(INDEX($U$427:$CB$432,F$436,$B437)="-","",INDEX($U$427:$CB$432,F$436,$B437))</f>
        <v>Life Loss (Composite)</v>
      </c>
      <c r="AE39" s="213"/>
      <c r="AF39" s="213"/>
      <c r="AG39" s="213"/>
      <c r="AH39" s="213"/>
      <c r="AI39" s="213"/>
      <c r="AJ39" s="213"/>
      <c r="AK39" s="213" t="str" cm="1">
        <f t="array" ref="AK39">IF(INDEX($U$427:$CB$432,G$436,$B437)="-","",INDEX($U$427:$CB$432,G$436,$B437))</f>
        <v>Economic Cost</v>
      </c>
      <c r="AL39" s="213"/>
      <c r="AM39" s="213"/>
      <c r="AN39" s="213"/>
      <c r="AO39" s="213"/>
      <c r="AP39" s="213"/>
      <c r="AQ39" s="213"/>
      <c r="AR39" s="211"/>
      <c r="AS39" s="211"/>
      <c r="AT39" s="211"/>
      <c r="AU39" s="211"/>
      <c r="AV39" s="211"/>
      <c r="AW39" s="211"/>
    </row>
    <row r="40" spans="1:49" ht="15" customHeight="1" x14ac:dyDescent="0.2">
      <c r="A40" s="41" t="str">
        <f t="shared" si="3"/>
        <v/>
      </c>
      <c r="B40" s="213"/>
      <c r="C40" s="213"/>
      <c r="D40" s="213"/>
      <c r="E40" s="213"/>
      <c r="F40" s="213"/>
      <c r="G40" s="213"/>
      <c r="H40" s="213"/>
      <c r="I40" s="213"/>
      <c r="J40" s="213"/>
      <c r="K40" s="213"/>
      <c r="L40" s="213"/>
      <c r="M40" s="213"/>
      <c r="N40" s="213"/>
      <c r="O40" s="213"/>
      <c r="P40" s="213"/>
      <c r="Q40" s="213"/>
      <c r="R40" s="213"/>
      <c r="S40" s="213"/>
      <c r="T40" s="213"/>
      <c r="U40" s="213"/>
      <c r="V40" s="213"/>
      <c r="W40" s="213"/>
      <c r="X40" s="213"/>
      <c r="Y40" s="213"/>
      <c r="Z40" s="213"/>
      <c r="AA40" s="213"/>
      <c r="AB40" s="213"/>
      <c r="AC40" s="213"/>
      <c r="AD40" s="213"/>
      <c r="AE40" s="213"/>
      <c r="AF40" s="213"/>
      <c r="AG40" s="213"/>
      <c r="AH40" s="213"/>
      <c r="AI40" s="213"/>
      <c r="AJ40" s="213"/>
      <c r="AK40" s="213"/>
      <c r="AL40" s="213"/>
      <c r="AM40" s="213"/>
      <c r="AN40" s="213"/>
      <c r="AO40" s="213"/>
      <c r="AP40" s="213"/>
      <c r="AQ40" s="213"/>
      <c r="AR40" s="211"/>
      <c r="AS40" s="211"/>
      <c r="AT40" s="211"/>
      <c r="AU40" s="211"/>
      <c r="AV40" s="211"/>
      <c r="AW40" s="211"/>
    </row>
    <row r="41" spans="1:49" ht="15" customHeight="1" x14ac:dyDescent="0.2">
      <c r="A41" s="41" t="str">
        <f t="shared" si="3"/>
        <v/>
      </c>
      <c r="B41" s="213"/>
      <c r="C41" s="213"/>
      <c r="D41" s="213"/>
      <c r="E41" s="213"/>
      <c r="F41" s="213"/>
      <c r="G41" s="213"/>
      <c r="H41" s="213"/>
      <c r="I41" s="213"/>
      <c r="J41" s="213"/>
      <c r="K41" s="213"/>
      <c r="L41" s="213"/>
      <c r="M41" s="213"/>
      <c r="N41" s="213"/>
      <c r="O41" s="213"/>
      <c r="P41" s="213"/>
      <c r="Q41" s="213"/>
      <c r="R41" s="213"/>
      <c r="S41" s="213"/>
      <c r="T41" s="213"/>
      <c r="U41" s="213"/>
      <c r="V41" s="213"/>
      <c r="W41" s="213"/>
      <c r="X41" s="213"/>
      <c r="Y41" s="213"/>
      <c r="Z41" s="213"/>
      <c r="AA41" s="213"/>
      <c r="AB41" s="213"/>
      <c r="AC41" s="213"/>
      <c r="AD41" s="213"/>
      <c r="AE41" s="213"/>
      <c r="AF41" s="213"/>
      <c r="AG41" s="213"/>
      <c r="AH41" s="213"/>
      <c r="AI41" s="213"/>
      <c r="AJ41" s="213"/>
      <c r="AK41" s="213"/>
      <c r="AL41" s="213"/>
      <c r="AM41" s="213"/>
      <c r="AN41" s="213"/>
      <c r="AO41" s="213"/>
      <c r="AP41" s="213"/>
      <c r="AQ41" s="213"/>
      <c r="AR41" s="211"/>
      <c r="AS41" s="211"/>
      <c r="AT41" s="211"/>
      <c r="AU41" s="211"/>
      <c r="AV41" s="211"/>
      <c r="AW41" s="211"/>
    </row>
    <row r="42" spans="1:49" ht="15" customHeight="1" x14ac:dyDescent="0.2">
      <c r="A42" s="41" t="str">
        <f t="shared" si="3"/>
        <v/>
      </c>
      <c r="B42" s="44" t="str" cm="1">
        <f t="array" aca="1" ref="B42" ca="1">IF(INDIRECT(_xlfn.CONCAT($C365,B$364))="+","+",IF(ISNUMBER(INDIRECT(_xlfn.CONCAT($C365,B$363))),"-",""))</f>
        <v/>
      </c>
      <c r="C42" s="41" t="str">
        <f ca="1">B42</f>
        <v/>
      </c>
      <c r="D42" s="41" t="str">
        <f t="shared" ref="D42" ca="1" si="10">C42</f>
        <v/>
      </c>
      <c r="E42" s="41" t="str">
        <f t="shared" ref="E42" ca="1" si="11">D42</f>
        <v/>
      </c>
      <c r="F42" s="41" t="str">
        <f t="shared" ref="F42" ca="1" si="12">E42</f>
        <v/>
      </c>
      <c r="G42" s="41" t="str">
        <f t="shared" ref="G42" ca="1" si="13">F42</f>
        <v/>
      </c>
      <c r="H42" s="41" t="str">
        <f t="shared" ref="H42" ca="1" si="14">G42</f>
        <v/>
      </c>
      <c r="I42" s="44" t="str" cm="1">
        <f t="array" aca="1" ref="I42" ca="1">IF(INDIRECT(_xlfn.CONCAT($C365,C$364))="+","+",IF(ISNUMBER(INDIRECT(_xlfn.CONCAT($C365,C$363))),"-",""))</f>
        <v/>
      </c>
      <c r="J42" s="41" t="str">
        <f ca="1">I42</f>
        <v/>
      </c>
      <c r="K42" s="41" t="str">
        <f t="shared" ref="K42" ca="1" si="15">J42</f>
        <v/>
      </c>
      <c r="L42" s="41" t="str">
        <f t="shared" ref="L42" ca="1" si="16">K42</f>
        <v/>
      </c>
      <c r="M42" s="41" t="str">
        <f t="shared" ref="M42" ca="1" si="17">L42</f>
        <v/>
      </c>
      <c r="N42" s="41" t="str">
        <f t="shared" ref="N42" ca="1" si="18">M42</f>
        <v/>
      </c>
      <c r="O42" s="41" t="str">
        <f t="shared" ref="O42" ca="1" si="19">N42</f>
        <v/>
      </c>
      <c r="P42" s="44" t="str" cm="1">
        <f t="array" aca="1" ref="P42" ca="1">IF(INDIRECT(_xlfn.CONCAT($C365,D$364))="+","+",IF(ISNUMBER(INDIRECT(_xlfn.CONCAT($C365,D$363))),"-",""))</f>
        <v>-</v>
      </c>
      <c r="Q42" s="41" t="str">
        <f ca="1">P42</f>
        <v>-</v>
      </c>
      <c r="R42" s="41" t="str">
        <f t="shared" ref="R42" ca="1" si="20">Q42</f>
        <v>-</v>
      </c>
      <c r="S42" s="41" t="str">
        <f t="shared" ref="S42" ca="1" si="21">R42</f>
        <v>-</v>
      </c>
      <c r="T42" s="41" t="str">
        <f t="shared" ref="T42" ca="1" si="22">S42</f>
        <v>-</v>
      </c>
      <c r="U42" s="41" t="str">
        <f t="shared" ref="U42" ca="1" si="23">T42</f>
        <v>-</v>
      </c>
      <c r="V42" s="41" t="str">
        <f t="shared" ref="V42" ca="1" si="24">U42</f>
        <v>-</v>
      </c>
      <c r="W42" s="44" t="str" cm="1">
        <f t="array" aca="1" ref="W42" ca="1">IF(INDIRECT(_xlfn.CONCAT($C365,E$364))="+","+",IF(ISNUMBER(INDIRECT(_xlfn.CONCAT($C365,E$363))),"-",""))</f>
        <v>-</v>
      </c>
      <c r="X42" s="41" t="str">
        <f ca="1">W42</f>
        <v>-</v>
      </c>
      <c r="Y42" s="41" t="str">
        <f t="shared" ref="Y42" ca="1" si="25">X42</f>
        <v>-</v>
      </c>
      <c r="Z42" s="41" t="str">
        <f t="shared" ref="Z42" ca="1" si="26">Y42</f>
        <v>-</v>
      </c>
      <c r="AA42" s="41" t="str">
        <f t="shared" ref="AA42" ca="1" si="27">Z42</f>
        <v>-</v>
      </c>
      <c r="AB42" s="41" t="str">
        <f t="shared" ref="AB42" ca="1" si="28">AA42</f>
        <v>-</v>
      </c>
      <c r="AC42" s="41" t="str">
        <f t="shared" ref="AC42" ca="1" si="29">AB42</f>
        <v>-</v>
      </c>
      <c r="AD42" s="44" t="str" cm="1">
        <f t="array" aca="1" ref="AD42" ca="1">IF(INDIRECT(_xlfn.CONCAT($C365,F$364))="+","+",IF(ISNUMBER(INDIRECT(_xlfn.CONCAT($C365,F$363))),"-",""))</f>
        <v>-</v>
      </c>
      <c r="AE42" s="41" t="str">
        <f ca="1">AD42</f>
        <v>-</v>
      </c>
      <c r="AF42" s="41" t="str">
        <f t="shared" ref="AF42" ca="1" si="30">AE42</f>
        <v>-</v>
      </c>
      <c r="AG42" s="41" t="str">
        <f t="shared" ref="AG42" ca="1" si="31">AF42</f>
        <v>-</v>
      </c>
      <c r="AH42" s="41" t="str">
        <f t="shared" ref="AH42" ca="1" si="32">AG42</f>
        <v>-</v>
      </c>
      <c r="AI42" s="41" t="str">
        <f t="shared" ref="AI42" ca="1" si="33">AH42</f>
        <v>-</v>
      </c>
      <c r="AJ42" s="41" t="str">
        <f t="shared" ref="AJ42" ca="1" si="34">AI42</f>
        <v>-</v>
      </c>
      <c r="AK42" s="44" t="str" cm="1">
        <f t="array" aca="1" ref="AK42" ca="1">IF(INDIRECT(_xlfn.CONCAT($C365,G$364))="+","+",IF(ISNUMBER(INDIRECT(_xlfn.CONCAT($C365,G$363))),"-",""))</f>
        <v>-</v>
      </c>
      <c r="AL42" s="41" t="str">
        <f ca="1">AK42</f>
        <v>-</v>
      </c>
      <c r="AM42" s="41" t="str">
        <f t="shared" ref="AM42" ca="1" si="35">AL42</f>
        <v>-</v>
      </c>
      <c r="AN42" s="41" t="str">
        <f t="shared" ref="AN42" ca="1" si="36">AM42</f>
        <v>-</v>
      </c>
      <c r="AO42" s="41" t="str">
        <f t="shared" ref="AO42" ca="1" si="37">AN42</f>
        <v>-</v>
      </c>
      <c r="AP42" s="41" t="str">
        <f t="shared" ref="AP42" ca="1" si="38">AO42</f>
        <v>-</v>
      </c>
      <c r="AQ42" s="41" t="str">
        <f t="shared" ref="AQ42" ca="1" si="39">AP42</f>
        <v>-</v>
      </c>
      <c r="AR42" s="44"/>
      <c r="AS42" s="41"/>
      <c r="AT42" s="41"/>
      <c r="AU42" s="41"/>
      <c r="AV42" s="41"/>
      <c r="AW42" s="41"/>
    </row>
    <row r="43" spans="1:49" ht="15" customHeight="1" x14ac:dyDescent="0.2">
      <c r="A43" s="41" t="str">
        <f t="shared" si="3"/>
        <v/>
      </c>
      <c r="B43" s="45" t="str" cm="1">
        <f t="array" aca="1" ref="B43" ca="1">IF(ISBLANK(INDIRECT(_xlfn.CONCAT($C390,B$389))),"",INDIRECT(_xlfn.CONCAT($C390,B$389)))</f>
        <v/>
      </c>
      <c r="C43" s="45"/>
      <c r="D43" s="45"/>
      <c r="E43" s="45"/>
      <c r="F43" s="45"/>
      <c r="G43" s="45"/>
      <c r="H43" s="45"/>
      <c r="I43" s="45" t="str" cm="1">
        <f t="array" aca="1" ref="I43" ca="1">IF(ISBLANK(INDIRECT(_xlfn.CONCAT($C390,C$389))),"",INDIRECT(_xlfn.CONCAT($C390,C$389)))</f>
        <v>+</v>
      </c>
      <c r="J43" s="45"/>
      <c r="K43" s="45"/>
      <c r="L43" s="45"/>
      <c r="M43" s="45"/>
      <c r="N43" s="45"/>
      <c r="O43" s="45"/>
      <c r="P43" s="45" t="str" cm="1">
        <f t="array" aca="1" ref="P43" ca="1">IF(ISBLANK(INDIRECT(_xlfn.CONCAT($C390,D$389))),"",INDIRECT(_xlfn.CONCAT($C390,D$389)))</f>
        <v>+</v>
      </c>
      <c r="Q43" s="45"/>
      <c r="R43" s="45"/>
      <c r="S43" s="45"/>
      <c r="T43" s="45"/>
      <c r="U43" s="45"/>
      <c r="V43" s="45"/>
      <c r="W43" s="45" t="str" cm="1">
        <f t="array" aca="1" ref="W43" ca="1">IF(ISBLANK(INDIRECT(_xlfn.CONCAT($C390,E$389))),"",INDIRECT(_xlfn.CONCAT($C390,E$389)))</f>
        <v/>
      </c>
      <c r="X43" s="45"/>
      <c r="Y43" s="45"/>
      <c r="Z43" s="45"/>
      <c r="AA43" s="45"/>
      <c r="AB43" s="45"/>
      <c r="AC43" s="45"/>
      <c r="AD43" s="45" t="str" cm="1">
        <f t="array" aca="1" ref="AD43" ca="1">IF(ISBLANK(INDIRECT(_xlfn.CONCAT($C390,F$389))),"",INDIRECT(_xlfn.CONCAT($C390,F$389)))</f>
        <v/>
      </c>
      <c r="AE43" s="45"/>
      <c r="AF43" s="45"/>
      <c r="AG43" s="45"/>
      <c r="AH43" s="45"/>
      <c r="AI43" s="45"/>
      <c r="AJ43" s="45"/>
      <c r="AK43" s="45" t="str" cm="1">
        <f t="array" aca="1" ref="AK43" ca="1">IF(ISBLANK(INDIRECT(_xlfn.CONCAT($C390,G$389))),"",INDIRECT(_xlfn.CONCAT($C390,G$389)))</f>
        <v/>
      </c>
      <c r="AL43" s="45"/>
      <c r="AM43" s="45"/>
      <c r="AN43" s="45"/>
      <c r="AO43" s="45"/>
      <c r="AP43" s="45"/>
      <c r="AQ43" s="45"/>
      <c r="AR43" s="45"/>
      <c r="AS43" s="46"/>
      <c r="AT43" s="46"/>
      <c r="AU43" s="46"/>
      <c r="AV43" s="46"/>
      <c r="AW43" s="46"/>
    </row>
    <row r="44" spans="1:49" ht="15" customHeight="1" x14ac:dyDescent="0.2">
      <c r="A44" s="41" t="str">
        <f t="shared" si="3"/>
        <v/>
      </c>
      <c r="B44" s="213" t="str" cm="1">
        <f t="array" ref="B44">IF(INDEX($U$427:$CB$432,B$436,$C437)="-","",INDEX($U$427:$CB$432,B$436,$C437))</f>
        <v/>
      </c>
      <c r="C44" s="213"/>
      <c r="D44" s="213"/>
      <c r="E44" s="213"/>
      <c r="F44" s="213"/>
      <c r="G44" s="213"/>
      <c r="H44" s="213"/>
      <c r="I44" s="213" t="str" cm="1">
        <f t="array" ref="I44">IF(INDEX($U$427:$CB$432,C$436,$C437)="-","",INDEX($U$427:$CB$432,C$436,$C437))</f>
        <v/>
      </c>
      <c r="J44" s="213"/>
      <c r="K44" s="213"/>
      <c r="L44" s="213"/>
      <c r="M44" s="213"/>
      <c r="N44" s="213"/>
      <c r="O44" s="213"/>
      <c r="P44" s="213" t="str" cm="1">
        <f t="array" ref="P44">IF(INDEX($U$427:$CB$432,D$436,$C437)="-","",INDEX($U$427:$CB$432,D$436,$C437))</f>
        <v>100% Reliable Stage to Gates Inoperable Overtopping Depth</v>
      </c>
      <c r="Q44" s="213"/>
      <c r="R44" s="213"/>
      <c r="S44" s="213"/>
      <c r="T44" s="213"/>
      <c r="U44" s="213"/>
      <c r="V44" s="213"/>
      <c r="W44" s="213" t="str" cm="1">
        <f t="array" ref="W44">IF(INDEX($U$427:$CB$432,E$436,$C437)="-","",INDEX($U$427:$CB$432,E$436,$C437))</f>
        <v>PFM 1
Overtopping</v>
      </c>
      <c r="X44" s="213"/>
      <c r="Y44" s="213"/>
      <c r="Z44" s="213"/>
      <c r="AA44" s="213"/>
      <c r="AB44" s="213"/>
      <c r="AC44" s="213"/>
      <c r="AD44" s="213" t="str" cm="1">
        <f t="array" ref="AD44">IF(INDEX($U$427:$CB$432,F$436,$C437)="-","",INDEX($U$427:$CB$432,F$436,$C437))</f>
        <v>Life Loss (Composite)</v>
      </c>
      <c r="AE44" s="213"/>
      <c r="AF44" s="213"/>
      <c r="AG44" s="213"/>
      <c r="AH44" s="213"/>
      <c r="AI44" s="213"/>
      <c r="AJ44" s="213"/>
      <c r="AK44" s="213" t="str" cm="1">
        <f t="array" ref="AK44">IF(INDEX($U$427:$CB$432,G$436,$C437)="-","",INDEX($U$427:$CB$432,G$436,$C437))</f>
        <v>Economic Cost</v>
      </c>
      <c r="AL44" s="213"/>
      <c r="AM44" s="213"/>
      <c r="AN44" s="213"/>
      <c r="AO44" s="213"/>
      <c r="AP44" s="213"/>
      <c r="AQ44" s="213"/>
      <c r="AR44" s="211"/>
      <c r="AS44" s="211"/>
      <c r="AT44" s="211"/>
      <c r="AU44" s="211"/>
      <c r="AV44" s="211"/>
      <c r="AW44" s="211"/>
    </row>
    <row r="45" spans="1:49" ht="15" customHeight="1" x14ac:dyDescent="0.2">
      <c r="A45" s="41" t="str">
        <f t="shared" si="3"/>
        <v/>
      </c>
      <c r="B45" s="213"/>
      <c r="C45" s="213"/>
      <c r="D45" s="213"/>
      <c r="E45" s="213"/>
      <c r="F45" s="213"/>
      <c r="G45" s="213"/>
      <c r="H45" s="213"/>
      <c r="I45" s="213"/>
      <c r="J45" s="213"/>
      <c r="K45" s="213"/>
      <c r="L45" s="213"/>
      <c r="M45" s="213"/>
      <c r="N45" s="213"/>
      <c r="O45" s="213"/>
      <c r="P45" s="213"/>
      <c r="Q45" s="213"/>
      <c r="R45" s="213"/>
      <c r="S45" s="213"/>
      <c r="T45" s="213"/>
      <c r="U45" s="213"/>
      <c r="V45" s="213"/>
      <c r="W45" s="213"/>
      <c r="X45" s="213"/>
      <c r="Y45" s="213"/>
      <c r="Z45" s="213"/>
      <c r="AA45" s="213"/>
      <c r="AB45" s="213"/>
      <c r="AC45" s="213"/>
      <c r="AD45" s="213"/>
      <c r="AE45" s="213"/>
      <c r="AF45" s="213"/>
      <c r="AG45" s="213"/>
      <c r="AH45" s="213"/>
      <c r="AI45" s="213"/>
      <c r="AJ45" s="213"/>
      <c r="AK45" s="213"/>
      <c r="AL45" s="213"/>
      <c r="AM45" s="213"/>
      <c r="AN45" s="213"/>
      <c r="AO45" s="213"/>
      <c r="AP45" s="213"/>
      <c r="AQ45" s="213"/>
      <c r="AR45" s="211"/>
      <c r="AS45" s="211"/>
      <c r="AT45" s="211"/>
      <c r="AU45" s="211"/>
      <c r="AV45" s="211"/>
      <c r="AW45" s="211"/>
    </row>
    <row r="46" spans="1:49" ht="15" customHeight="1" x14ac:dyDescent="0.2">
      <c r="A46" s="41" t="str">
        <f t="shared" si="3"/>
        <v/>
      </c>
      <c r="B46" s="213"/>
      <c r="C46" s="213"/>
      <c r="D46" s="213"/>
      <c r="E46" s="213"/>
      <c r="F46" s="213"/>
      <c r="G46" s="213"/>
      <c r="H46" s="213"/>
      <c r="I46" s="213"/>
      <c r="J46" s="213"/>
      <c r="K46" s="213"/>
      <c r="L46" s="213"/>
      <c r="M46" s="213"/>
      <c r="N46" s="213"/>
      <c r="O46" s="213"/>
      <c r="P46" s="213"/>
      <c r="Q46" s="213"/>
      <c r="R46" s="213"/>
      <c r="S46" s="213"/>
      <c r="T46" s="213"/>
      <c r="U46" s="213"/>
      <c r="V46" s="213"/>
      <c r="W46" s="213"/>
      <c r="X46" s="213"/>
      <c r="Y46" s="213"/>
      <c r="Z46" s="213"/>
      <c r="AA46" s="213"/>
      <c r="AB46" s="213"/>
      <c r="AC46" s="213"/>
      <c r="AD46" s="213"/>
      <c r="AE46" s="213"/>
      <c r="AF46" s="213"/>
      <c r="AG46" s="213"/>
      <c r="AH46" s="213"/>
      <c r="AI46" s="213"/>
      <c r="AJ46" s="213"/>
      <c r="AK46" s="213"/>
      <c r="AL46" s="213"/>
      <c r="AM46" s="213"/>
      <c r="AN46" s="213"/>
      <c r="AO46" s="213"/>
      <c r="AP46" s="213"/>
      <c r="AQ46" s="213"/>
      <c r="AR46" s="211"/>
      <c r="AS46" s="211"/>
      <c r="AT46" s="211"/>
      <c r="AU46" s="211"/>
      <c r="AV46" s="211"/>
      <c r="AW46" s="211"/>
    </row>
    <row r="47" spans="1:49" ht="15" customHeight="1" x14ac:dyDescent="0.2">
      <c r="A47" s="41" t="str">
        <f t="shared" si="3"/>
        <v/>
      </c>
      <c r="B47" s="44" t="str" cm="1">
        <f t="array" aca="1" ref="B47" ca="1">IF(INDIRECT(_xlfn.CONCAT($D365,B$364))="+","+",IF(ISNUMBER(INDIRECT(_xlfn.CONCAT($D365,B$363))),"-",""))</f>
        <v/>
      </c>
      <c r="C47" s="41" t="str">
        <f ca="1">B47</f>
        <v/>
      </c>
      <c r="D47" s="41" t="str">
        <f t="shared" ref="D47" ca="1" si="40">C47</f>
        <v/>
      </c>
      <c r="E47" s="41" t="str">
        <f t="shared" ref="E47" ca="1" si="41">D47</f>
        <v/>
      </c>
      <c r="F47" s="41" t="str">
        <f t="shared" ref="F47" ca="1" si="42">E47</f>
        <v/>
      </c>
      <c r="G47" s="41" t="str">
        <f t="shared" ref="G47" ca="1" si="43">F47</f>
        <v/>
      </c>
      <c r="H47" s="41" t="str">
        <f t="shared" ref="H47" ca="1" si="44">G47</f>
        <v/>
      </c>
      <c r="I47" s="44" t="str" cm="1">
        <f t="array" aca="1" ref="I47" ca="1">IF(INDIRECT(_xlfn.CONCAT($D365,C$364))="+","+",IF(ISNUMBER(INDIRECT(_xlfn.CONCAT($D365,C$363))),"-",""))</f>
        <v/>
      </c>
      <c r="J47" s="41" t="str">
        <f ca="1">I47</f>
        <v/>
      </c>
      <c r="K47" s="41" t="str">
        <f t="shared" ref="K47" ca="1" si="45">J47</f>
        <v/>
      </c>
      <c r="L47" s="41" t="str">
        <f t="shared" ref="L47" ca="1" si="46">K47</f>
        <v/>
      </c>
      <c r="M47" s="41" t="str">
        <f t="shared" ref="M47" ca="1" si="47">L47</f>
        <v/>
      </c>
      <c r="N47" s="41" t="str">
        <f t="shared" ref="N47" ca="1" si="48">M47</f>
        <v/>
      </c>
      <c r="O47" s="41" t="str">
        <f t="shared" ref="O47" ca="1" si="49">N47</f>
        <v/>
      </c>
      <c r="P47" s="44" t="str" cm="1">
        <f t="array" aca="1" ref="P47" ca="1">IF(INDIRECT(_xlfn.CONCAT($D365,D$364))="+","+",IF(ISNUMBER(INDIRECT(_xlfn.CONCAT($D365,D$363))),"-",""))</f>
        <v>-</v>
      </c>
      <c r="Q47" s="41" t="str">
        <f ca="1">P47</f>
        <v>-</v>
      </c>
      <c r="R47" s="41" t="str">
        <f t="shared" ref="R47" ca="1" si="50">Q47</f>
        <v>-</v>
      </c>
      <c r="S47" s="41" t="str">
        <f t="shared" ref="S47" ca="1" si="51">R47</f>
        <v>-</v>
      </c>
      <c r="T47" s="41" t="str">
        <f t="shared" ref="T47" ca="1" si="52">S47</f>
        <v>-</v>
      </c>
      <c r="U47" s="41" t="str">
        <f t="shared" ref="U47" ca="1" si="53">T47</f>
        <v>-</v>
      </c>
      <c r="V47" s="41" t="str">
        <f t="shared" ref="V47" ca="1" si="54">U47</f>
        <v>-</v>
      </c>
      <c r="W47" s="44" t="str" cm="1">
        <f t="array" aca="1" ref="W47" ca="1">IF(INDIRECT(_xlfn.CONCAT($D365,E$364))="+","+",IF(ISNUMBER(INDIRECT(_xlfn.CONCAT($D365,E$363))),"-",""))</f>
        <v>-</v>
      </c>
      <c r="X47" s="41" t="str">
        <f ca="1">W47</f>
        <v>-</v>
      </c>
      <c r="Y47" s="41" t="str">
        <f t="shared" ref="Y47" ca="1" si="55">X47</f>
        <v>-</v>
      </c>
      <c r="Z47" s="41" t="str">
        <f t="shared" ref="Z47" ca="1" si="56">Y47</f>
        <v>-</v>
      </c>
      <c r="AA47" s="41" t="str">
        <f t="shared" ref="AA47" ca="1" si="57">Z47</f>
        <v>-</v>
      </c>
      <c r="AB47" s="41" t="str">
        <f t="shared" ref="AB47" ca="1" si="58">AA47</f>
        <v>-</v>
      </c>
      <c r="AC47" s="41" t="str">
        <f t="shared" ref="AC47" ca="1" si="59">AB47</f>
        <v>-</v>
      </c>
      <c r="AD47" s="44" t="str" cm="1">
        <f t="array" aca="1" ref="AD47" ca="1">IF(INDIRECT(_xlfn.CONCAT($D365,F$364))="+","+",IF(ISNUMBER(INDIRECT(_xlfn.CONCAT($D365,F$363))),"-",""))</f>
        <v>-</v>
      </c>
      <c r="AE47" s="41" t="str">
        <f ca="1">AD47</f>
        <v>-</v>
      </c>
      <c r="AF47" s="41" t="str">
        <f t="shared" ref="AF47" ca="1" si="60">AE47</f>
        <v>-</v>
      </c>
      <c r="AG47" s="41" t="str">
        <f t="shared" ref="AG47" ca="1" si="61">AF47</f>
        <v>-</v>
      </c>
      <c r="AH47" s="41" t="str">
        <f t="shared" ref="AH47" ca="1" si="62">AG47</f>
        <v>-</v>
      </c>
      <c r="AI47" s="41" t="str">
        <f t="shared" ref="AI47" ca="1" si="63">AH47</f>
        <v>-</v>
      </c>
      <c r="AJ47" s="41" t="str">
        <f t="shared" ref="AJ47" ca="1" si="64">AI47</f>
        <v>-</v>
      </c>
      <c r="AK47" s="44" t="str" cm="1">
        <f t="array" aca="1" ref="AK47" ca="1">IF(INDIRECT(_xlfn.CONCAT($D365,G$364))="+","+",IF(ISNUMBER(INDIRECT(_xlfn.CONCAT($D365,G$363))),"-",""))</f>
        <v>-</v>
      </c>
      <c r="AL47" s="41" t="str">
        <f ca="1">AK47</f>
        <v>-</v>
      </c>
      <c r="AM47" s="41" t="str">
        <f t="shared" ref="AM47" ca="1" si="65">AL47</f>
        <v>-</v>
      </c>
      <c r="AN47" s="41" t="str">
        <f t="shared" ref="AN47" ca="1" si="66">AM47</f>
        <v>-</v>
      </c>
      <c r="AO47" s="41" t="str">
        <f t="shared" ref="AO47" ca="1" si="67">AN47</f>
        <v>-</v>
      </c>
      <c r="AP47" s="41" t="str">
        <f t="shared" ref="AP47" ca="1" si="68">AO47</f>
        <v>-</v>
      </c>
      <c r="AQ47" s="41" t="str">
        <f t="shared" ref="AQ47" ca="1" si="69">AP47</f>
        <v>-</v>
      </c>
      <c r="AR47" s="44"/>
      <c r="AS47" s="41"/>
      <c r="AT47" s="41"/>
      <c r="AU47" s="41"/>
      <c r="AV47" s="41"/>
      <c r="AW47" s="41"/>
    </row>
    <row r="48" spans="1:49" ht="15" customHeight="1" x14ac:dyDescent="0.2">
      <c r="A48" s="41" t="str">
        <f t="shared" si="3"/>
        <v/>
      </c>
      <c r="B48" s="45" t="str" cm="1">
        <f t="array" aca="1" ref="B48" ca="1">IF(ISBLANK(INDIRECT(_xlfn.CONCAT($D390,B$389))),"",INDIRECT(_xlfn.CONCAT($D390,B$389)))</f>
        <v/>
      </c>
      <c r="C48" s="45"/>
      <c r="D48" s="45"/>
      <c r="E48" s="45"/>
      <c r="F48" s="45"/>
      <c r="G48" s="45"/>
      <c r="H48" s="45"/>
      <c r="I48" s="45" t="str" cm="1">
        <f t="array" aca="1" ref="I48" ca="1">IF(ISBLANK(INDIRECT(_xlfn.CONCAT($D390,C$389))),"",INDIRECT(_xlfn.CONCAT($D390,C$389)))</f>
        <v>+</v>
      </c>
      <c r="J48" s="45"/>
      <c r="K48" s="45"/>
      <c r="L48" s="45"/>
      <c r="M48" s="45"/>
      <c r="N48" s="45"/>
      <c r="O48" s="45"/>
      <c r="P48" s="45" t="str" cm="1">
        <f t="array" aca="1" ref="P48" ca="1">IF(ISBLANK(INDIRECT(_xlfn.CONCAT($D390,D$389))),"",INDIRECT(_xlfn.CONCAT($D390,D$389)))</f>
        <v>+</v>
      </c>
      <c r="Q48" s="45"/>
      <c r="R48" s="45"/>
      <c r="S48" s="45"/>
      <c r="T48" s="45"/>
      <c r="U48" s="45"/>
      <c r="V48" s="45"/>
      <c r="W48" s="45" t="str" cm="1">
        <f t="array" aca="1" ref="W48" ca="1">IF(ISBLANK(INDIRECT(_xlfn.CONCAT($D390,E$389))),"",INDIRECT(_xlfn.CONCAT($D390,E$389)))</f>
        <v/>
      </c>
      <c r="X48" s="45"/>
      <c r="Y48" s="45"/>
      <c r="Z48" s="45"/>
      <c r="AA48" s="45"/>
      <c r="AB48" s="45"/>
      <c r="AC48" s="45"/>
      <c r="AD48" s="45" t="str" cm="1">
        <f t="array" aca="1" ref="AD48" ca="1">IF(ISBLANK(INDIRECT(_xlfn.CONCAT($D390,F$389))),"",INDIRECT(_xlfn.CONCAT($D390,F$389)))</f>
        <v/>
      </c>
      <c r="AE48" s="45"/>
      <c r="AF48" s="45"/>
      <c r="AG48" s="45"/>
      <c r="AH48" s="45"/>
      <c r="AI48" s="45"/>
      <c r="AJ48" s="45"/>
      <c r="AK48" s="45" t="str" cm="1">
        <f t="array" aca="1" ref="AK48" ca="1">IF(ISBLANK(INDIRECT(_xlfn.CONCAT($D390,G$389))),"",INDIRECT(_xlfn.CONCAT($D390,G$389)))</f>
        <v/>
      </c>
      <c r="AL48" s="45"/>
      <c r="AM48" s="45"/>
      <c r="AN48" s="45"/>
      <c r="AO48" s="45"/>
      <c r="AP48" s="45"/>
      <c r="AQ48" s="45"/>
      <c r="AR48" s="45"/>
      <c r="AS48" s="46"/>
      <c r="AT48" s="46"/>
      <c r="AU48" s="46"/>
      <c r="AV48" s="46"/>
      <c r="AW48" s="46"/>
    </row>
    <row r="49" spans="1:49" ht="15" customHeight="1" x14ac:dyDescent="0.2">
      <c r="A49" s="41" t="str">
        <f t="shared" si="3"/>
        <v/>
      </c>
      <c r="B49" s="213" t="str" cm="1">
        <f t="array" ref="B49">IF(INDEX($U$427:$CB$432,B$436,$D437)="-","",INDEX($U$427:$CB$432,B$436,$D437))</f>
        <v/>
      </c>
      <c r="C49" s="213"/>
      <c r="D49" s="213"/>
      <c r="E49" s="213"/>
      <c r="F49" s="213"/>
      <c r="G49" s="213"/>
      <c r="H49" s="213"/>
      <c r="I49" s="213" t="str" cm="1">
        <f t="array" ref="I49">IF(INDEX($U$427:$CB$432,C$436,$D437)="-","",INDEX($U$427:$CB$432,C$436,$D437))</f>
        <v/>
      </c>
      <c r="J49" s="213"/>
      <c r="K49" s="213"/>
      <c r="L49" s="213"/>
      <c r="M49" s="213"/>
      <c r="N49" s="213"/>
      <c r="O49" s="213"/>
      <c r="P49" s="213" t="str" cm="1">
        <f t="array" ref="P49">IF(INDEX($U$427:$CB$432,D$436,$D437)="-","",INDEX($U$427:$CB$432,D$436,$D437))</f>
        <v>100% Reliable Stage to Gates Inoperable Stage</v>
      </c>
      <c r="Q49" s="213"/>
      <c r="R49" s="213"/>
      <c r="S49" s="213"/>
      <c r="T49" s="213"/>
      <c r="U49" s="213"/>
      <c r="V49" s="213"/>
      <c r="W49" s="213" t="str" cm="1">
        <f t="array" ref="W49">IF(INDEX($U$427:$CB$432,E$436,$D437)="-","",INDEX($U$427:$CB$432,E$436,$D437))</f>
        <v>PFM 2
Backward Erosion Piping</v>
      </c>
      <c r="X49" s="213"/>
      <c r="Y49" s="213"/>
      <c r="Z49" s="213"/>
      <c r="AA49" s="213"/>
      <c r="AB49" s="213"/>
      <c r="AC49" s="213"/>
      <c r="AD49" s="213" t="str" cm="1">
        <f t="array" ref="AD49">IF(INDEX($U$427:$CB$432,F$436,$D437)="-","",INDEX($U$427:$CB$432,F$436,$D437))</f>
        <v>Life Loss (Composite)</v>
      </c>
      <c r="AE49" s="213"/>
      <c r="AF49" s="213"/>
      <c r="AG49" s="213"/>
      <c r="AH49" s="213"/>
      <c r="AI49" s="213"/>
      <c r="AJ49" s="213"/>
      <c r="AK49" s="213" t="str" cm="1">
        <f t="array" ref="AK49">IF(INDEX($U$427:$CB$432,G$436,$D437)="-","",INDEX($U$427:$CB$432,G$436,$D437))</f>
        <v>Economic Cost</v>
      </c>
      <c r="AL49" s="213"/>
      <c r="AM49" s="213"/>
      <c r="AN49" s="213"/>
      <c r="AO49" s="213"/>
      <c r="AP49" s="213"/>
      <c r="AQ49" s="213"/>
      <c r="AR49" s="211"/>
      <c r="AS49" s="211"/>
      <c r="AT49" s="211"/>
      <c r="AU49" s="211"/>
      <c r="AV49" s="211"/>
      <c r="AW49" s="211"/>
    </row>
    <row r="50" spans="1:49" ht="15" customHeight="1" x14ac:dyDescent="0.2">
      <c r="A50" s="41" t="str">
        <f t="shared" si="3"/>
        <v/>
      </c>
      <c r="B50" s="213"/>
      <c r="C50" s="213"/>
      <c r="D50" s="213"/>
      <c r="E50" s="213"/>
      <c r="F50" s="213"/>
      <c r="G50" s="213"/>
      <c r="H50" s="213"/>
      <c r="I50" s="213"/>
      <c r="J50" s="213"/>
      <c r="K50" s="213"/>
      <c r="L50" s="213"/>
      <c r="M50" s="213"/>
      <c r="N50" s="213"/>
      <c r="O50" s="213"/>
      <c r="P50" s="213"/>
      <c r="Q50" s="213"/>
      <c r="R50" s="213"/>
      <c r="S50" s="213"/>
      <c r="T50" s="213"/>
      <c r="U50" s="213"/>
      <c r="V50" s="213"/>
      <c r="W50" s="213"/>
      <c r="X50" s="213"/>
      <c r="Y50" s="213"/>
      <c r="Z50" s="213"/>
      <c r="AA50" s="213"/>
      <c r="AB50" s="213"/>
      <c r="AC50" s="213"/>
      <c r="AD50" s="213"/>
      <c r="AE50" s="213"/>
      <c r="AF50" s="213"/>
      <c r="AG50" s="213"/>
      <c r="AH50" s="213"/>
      <c r="AI50" s="213"/>
      <c r="AJ50" s="213"/>
      <c r="AK50" s="213"/>
      <c r="AL50" s="213"/>
      <c r="AM50" s="213"/>
      <c r="AN50" s="213"/>
      <c r="AO50" s="213"/>
      <c r="AP50" s="213"/>
      <c r="AQ50" s="213"/>
      <c r="AR50" s="211"/>
      <c r="AS50" s="211"/>
      <c r="AT50" s="211"/>
      <c r="AU50" s="211"/>
      <c r="AV50" s="211"/>
      <c r="AW50" s="211"/>
    </row>
    <row r="51" spans="1:49" ht="15" customHeight="1" x14ac:dyDescent="0.2">
      <c r="A51" s="41" t="str">
        <f t="shared" si="3"/>
        <v/>
      </c>
      <c r="B51" s="213"/>
      <c r="C51" s="213"/>
      <c r="D51" s="213"/>
      <c r="E51" s="213"/>
      <c r="F51" s="213"/>
      <c r="G51" s="213"/>
      <c r="H51" s="213"/>
      <c r="I51" s="213"/>
      <c r="J51" s="213"/>
      <c r="K51" s="213"/>
      <c r="L51" s="213"/>
      <c r="M51" s="213"/>
      <c r="N51" s="213"/>
      <c r="O51" s="213"/>
      <c r="P51" s="213"/>
      <c r="Q51" s="213"/>
      <c r="R51" s="213"/>
      <c r="S51" s="213"/>
      <c r="T51" s="213"/>
      <c r="U51" s="213"/>
      <c r="V51" s="213"/>
      <c r="W51" s="213"/>
      <c r="X51" s="213"/>
      <c r="Y51" s="213"/>
      <c r="Z51" s="213"/>
      <c r="AA51" s="213"/>
      <c r="AB51" s="213"/>
      <c r="AC51" s="213"/>
      <c r="AD51" s="213"/>
      <c r="AE51" s="213"/>
      <c r="AF51" s="213"/>
      <c r="AG51" s="213"/>
      <c r="AH51" s="213"/>
      <c r="AI51" s="213"/>
      <c r="AJ51" s="213"/>
      <c r="AK51" s="213"/>
      <c r="AL51" s="213"/>
      <c r="AM51" s="213"/>
      <c r="AN51" s="213"/>
      <c r="AO51" s="213"/>
      <c r="AP51" s="213"/>
      <c r="AQ51" s="213"/>
      <c r="AR51" s="211"/>
      <c r="AS51" s="211"/>
      <c r="AT51" s="211"/>
      <c r="AU51" s="211"/>
      <c r="AV51" s="211"/>
      <c r="AW51" s="211"/>
    </row>
    <row r="52" spans="1:49" ht="15" customHeight="1" x14ac:dyDescent="0.2">
      <c r="A52" s="41" t="str">
        <f t="shared" si="3"/>
        <v/>
      </c>
      <c r="B52" s="44" t="str" cm="1">
        <f t="array" aca="1" ref="B52" ca="1">IF(INDIRECT(_xlfn.CONCAT($E365,B$364))="+","+",IF(ISNUMBER(INDIRECT(_xlfn.CONCAT($E365,B$363))),"-",""))</f>
        <v/>
      </c>
      <c r="C52" s="41" t="str">
        <f ca="1">B52</f>
        <v/>
      </c>
      <c r="D52" s="41" t="str">
        <f t="shared" ref="D52" ca="1" si="70">C52</f>
        <v/>
      </c>
      <c r="E52" s="41" t="str">
        <f t="shared" ref="E52" ca="1" si="71">D52</f>
        <v/>
      </c>
      <c r="F52" s="41" t="str">
        <f t="shared" ref="F52" ca="1" si="72">E52</f>
        <v/>
      </c>
      <c r="G52" s="41" t="str">
        <f t="shared" ref="G52" ca="1" si="73">F52</f>
        <v/>
      </c>
      <c r="H52" s="41" t="str">
        <f t="shared" ref="H52" ca="1" si="74">G52</f>
        <v/>
      </c>
      <c r="I52" s="44" t="str" cm="1">
        <f t="array" aca="1" ref="I52" ca="1">IF(INDIRECT(_xlfn.CONCAT($E365,C$364))="+","+",IF(ISNUMBER(INDIRECT(_xlfn.CONCAT($E365,C$363))),"-",""))</f>
        <v>-</v>
      </c>
      <c r="J52" s="41" t="str">
        <f ca="1">I52</f>
        <v>-</v>
      </c>
      <c r="K52" s="41" t="str">
        <f t="shared" ref="K52" ca="1" si="75">J52</f>
        <v>-</v>
      </c>
      <c r="L52" s="41" t="str">
        <f t="shared" ref="L52" ca="1" si="76">K52</f>
        <v>-</v>
      </c>
      <c r="M52" s="41" t="str">
        <f t="shared" ref="M52" ca="1" si="77">L52</f>
        <v>-</v>
      </c>
      <c r="N52" s="41" t="str">
        <f t="shared" ref="N52" ca="1" si="78">M52</f>
        <v>-</v>
      </c>
      <c r="O52" s="41" t="str">
        <f t="shared" ref="O52" ca="1" si="79">N52</f>
        <v>-</v>
      </c>
      <c r="P52" s="44" t="str" cm="1">
        <f t="array" aca="1" ref="P52" ca="1">IF(INDIRECT(_xlfn.CONCAT($E365,D$364))="+","+",IF(ISNUMBER(INDIRECT(_xlfn.CONCAT($E365,D$363))),"-",""))</f>
        <v>+</v>
      </c>
      <c r="Q52" s="41" t="str">
        <f ca="1">P52</f>
        <v>+</v>
      </c>
      <c r="R52" s="41" t="str">
        <f t="shared" ref="R52" ca="1" si="80">Q52</f>
        <v>+</v>
      </c>
      <c r="S52" s="41" t="str">
        <f t="shared" ref="S52" ca="1" si="81">R52</f>
        <v>+</v>
      </c>
      <c r="T52" s="41" t="str">
        <f t="shared" ref="T52" ca="1" si="82">S52</f>
        <v>+</v>
      </c>
      <c r="U52" s="41" t="str">
        <f t="shared" ref="U52" ca="1" si="83">T52</f>
        <v>+</v>
      </c>
      <c r="V52" s="41" t="str">
        <f t="shared" ref="V52" ca="1" si="84">U52</f>
        <v>+</v>
      </c>
      <c r="W52" s="44" t="str" cm="1">
        <f t="array" aca="1" ref="W52" ca="1">IF(INDIRECT(_xlfn.CONCAT($E365,E$364))="+","+",IF(ISNUMBER(INDIRECT(_xlfn.CONCAT($E365,E$363))),"-",""))</f>
        <v/>
      </c>
      <c r="X52" s="41" t="str">
        <f ca="1">W52</f>
        <v/>
      </c>
      <c r="Y52" s="41" t="str">
        <f t="shared" ref="Y52" ca="1" si="85">X52</f>
        <v/>
      </c>
      <c r="Z52" s="41" t="str">
        <f t="shared" ref="Z52" ca="1" si="86">Y52</f>
        <v/>
      </c>
      <c r="AA52" s="41" t="str">
        <f t="shared" ref="AA52" ca="1" si="87">Z52</f>
        <v/>
      </c>
      <c r="AB52" s="41" t="str">
        <f t="shared" ref="AB52" ca="1" si="88">AA52</f>
        <v/>
      </c>
      <c r="AC52" s="41" t="str">
        <f t="shared" ref="AC52" ca="1" si="89">AB52</f>
        <v/>
      </c>
      <c r="AD52" s="44" t="str" cm="1">
        <f t="array" aca="1" ref="AD52" ca="1">IF(INDIRECT(_xlfn.CONCAT($E365,F$364))="+","+",IF(ISNUMBER(INDIRECT(_xlfn.CONCAT($E365,F$363))),"-",""))</f>
        <v/>
      </c>
      <c r="AE52" s="41" t="str">
        <f ca="1">AD52</f>
        <v/>
      </c>
      <c r="AF52" s="41" t="str">
        <f t="shared" ref="AF52" ca="1" si="90">AE52</f>
        <v/>
      </c>
      <c r="AG52" s="41" t="str">
        <f t="shared" ref="AG52" ca="1" si="91">AF52</f>
        <v/>
      </c>
      <c r="AH52" s="41" t="str">
        <f t="shared" ref="AH52" ca="1" si="92">AG52</f>
        <v/>
      </c>
      <c r="AI52" s="41" t="str">
        <f t="shared" ref="AI52" ca="1" si="93">AH52</f>
        <v/>
      </c>
      <c r="AJ52" s="41" t="str">
        <f t="shared" ref="AJ52" ca="1" si="94">AI52</f>
        <v/>
      </c>
      <c r="AK52" s="44" t="str" cm="1">
        <f t="array" aca="1" ref="AK52" ca="1">IF(INDIRECT(_xlfn.CONCAT($E365,G$364))="+","+",IF(ISNUMBER(INDIRECT(_xlfn.CONCAT($E365,G$363))),"-",""))</f>
        <v/>
      </c>
      <c r="AL52" s="41" t="str">
        <f ca="1">AK52</f>
        <v/>
      </c>
      <c r="AM52" s="41" t="str">
        <f t="shared" ref="AM52" ca="1" si="95">AL52</f>
        <v/>
      </c>
      <c r="AN52" s="41" t="str">
        <f t="shared" ref="AN52" ca="1" si="96">AM52</f>
        <v/>
      </c>
      <c r="AO52" s="41" t="str">
        <f t="shared" ref="AO52" ca="1" si="97">AN52</f>
        <v/>
      </c>
      <c r="AP52" s="41" t="str">
        <f t="shared" ref="AP52" ca="1" si="98">AO52</f>
        <v/>
      </c>
      <c r="AQ52" s="41" t="str">
        <f t="shared" ref="AQ52" ca="1" si="99">AP52</f>
        <v/>
      </c>
      <c r="AR52" s="44"/>
      <c r="AS52" s="41"/>
      <c r="AT52" s="41"/>
      <c r="AU52" s="41"/>
      <c r="AV52" s="41"/>
      <c r="AW52" s="41"/>
    </row>
    <row r="53" spans="1:49" ht="15" customHeight="1" x14ac:dyDescent="0.2">
      <c r="A53" s="41" t="str">
        <f t="shared" si="3"/>
        <v/>
      </c>
      <c r="B53" s="45" t="str" cm="1">
        <f t="array" aca="1" ref="B53" ca="1">IF(ISBLANK(INDIRECT(_xlfn.CONCAT($E390,B$389))),"",INDIRECT(_xlfn.CONCAT($E390,B$389)))</f>
        <v/>
      </c>
      <c r="C53" s="45"/>
      <c r="D53" s="45"/>
      <c r="E53" s="45"/>
      <c r="F53" s="45"/>
      <c r="G53" s="45"/>
      <c r="H53" s="45"/>
      <c r="I53" s="45" t="str" cm="1">
        <f t="array" aca="1" ref="I53" ca="1">IF(ISBLANK(INDIRECT(_xlfn.CONCAT($E390,C$389))),"",INDIRECT(_xlfn.CONCAT($E390,C$389)))</f>
        <v>+</v>
      </c>
      <c r="J53" s="45"/>
      <c r="K53" s="45"/>
      <c r="L53" s="45"/>
      <c r="M53" s="45"/>
      <c r="N53" s="45"/>
      <c r="O53" s="45"/>
      <c r="P53" s="45" t="str" cm="1">
        <f t="array" aca="1" ref="P53" ca="1">IF(ISBLANK(INDIRECT(_xlfn.CONCAT($E390,D$389))),"",INDIRECT(_xlfn.CONCAT($E390,D$389)))</f>
        <v/>
      </c>
      <c r="Q53" s="45"/>
      <c r="R53" s="45"/>
      <c r="S53" s="45"/>
      <c r="T53" s="45"/>
      <c r="U53" s="45"/>
      <c r="V53" s="45"/>
      <c r="W53" s="45" t="str" cm="1">
        <f t="array" aca="1" ref="W53" ca="1">IF(ISBLANK(INDIRECT(_xlfn.CONCAT($E390,E$389))),"",INDIRECT(_xlfn.CONCAT($E390,E$389)))</f>
        <v/>
      </c>
      <c r="X53" s="45"/>
      <c r="Y53" s="45"/>
      <c r="Z53" s="45"/>
      <c r="AA53" s="45"/>
      <c r="AB53" s="45"/>
      <c r="AC53" s="45"/>
      <c r="AD53" s="45" t="str" cm="1">
        <f t="array" aca="1" ref="AD53" ca="1">IF(ISBLANK(INDIRECT(_xlfn.CONCAT($E390,F$389))),"",INDIRECT(_xlfn.CONCAT($E390,F$389)))</f>
        <v/>
      </c>
      <c r="AE53" s="45"/>
      <c r="AF53" s="45"/>
      <c r="AG53" s="45"/>
      <c r="AH53" s="45"/>
      <c r="AI53" s="45"/>
      <c r="AJ53" s="45"/>
      <c r="AK53" s="45" t="str" cm="1">
        <f t="array" aca="1" ref="AK53" ca="1">IF(ISBLANK(INDIRECT(_xlfn.CONCAT($E390,G$389))),"",INDIRECT(_xlfn.CONCAT($E390,G$389)))</f>
        <v/>
      </c>
      <c r="AL53" s="45"/>
      <c r="AM53" s="45"/>
      <c r="AN53" s="45"/>
      <c r="AO53" s="45"/>
      <c r="AP53" s="45"/>
      <c r="AQ53" s="45"/>
      <c r="AR53" s="45"/>
      <c r="AS53" s="46"/>
      <c r="AT53" s="46"/>
      <c r="AU53" s="46"/>
      <c r="AV53" s="46"/>
      <c r="AW53" s="46"/>
    </row>
    <row r="54" spans="1:49" ht="15" customHeight="1" x14ac:dyDescent="0.2">
      <c r="A54" s="41" t="str">
        <f t="shared" si="3"/>
        <v/>
      </c>
      <c r="B54" s="213" t="str" cm="1">
        <f t="array" ref="B54">IF(INDEX($U$427:$CB$432,B$436,$E437)="-","",INDEX($U$427:$CB$432,B$436,$E437))</f>
        <v/>
      </c>
      <c r="C54" s="213"/>
      <c r="D54" s="213"/>
      <c r="E54" s="213"/>
      <c r="F54" s="213"/>
      <c r="G54" s="213"/>
      <c r="H54" s="213"/>
      <c r="I54" s="213" t="str" cm="1">
        <f t="array" ref="I54">IF(INDEX($U$427:$CB$432,C$436,$E437)="-","",INDEX($U$427:$CB$432,C$436,$E437))</f>
        <v>1 Spillway Gate Inoperable</v>
      </c>
      <c r="J54" s="213"/>
      <c r="K54" s="213"/>
      <c r="L54" s="213"/>
      <c r="M54" s="213"/>
      <c r="N54" s="213"/>
      <c r="O54" s="213"/>
      <c r="P54" s="213" t="str" cm="1">
        <f t="array" ref="P54">IF(INDEX($U$427:$CB$432,D$436,$E437)="-","",INDEX($U$427:$CB$432,D$436,$E437))</f>
        <v/>
      </c>
      <c r="Q54" s="213"/>
      <c r="R54" s="213"/>
      <c r="S54" s="213"/>
      <c r="T54" s="213"/>
      <c r="U54" s="213"/>
      <c r="V54" s="213"/>
      <c r="W54" s="213" t="str" cm="1">
        <f t="array" ref="W54">IF(INDEX($U$427:$CB$432,E$436,$E437)="-","",INDEX($U$427:$CB$432,E$436,$E437))</f>
        <v/>
      </c>
      <c r="X54" s="213"/>
      <c r="Y54" s="213"/>
      <c r="Z54" s="213"/>
      <c r="AA54" s="213"/>
      <c r="AB54" s="213"/>
      <c r="AC54" s="213"/>
      <c r="AD54" s="213" t="str" cm="1">
        <f t="array" ref="AD54">IF(INDEX($U$427:$CB$432,F$436,$E437)="-","",INDEX($U$427:$CB$432,F$436,$E437))</f>
        <v/>
      </c>
      <c r="AE54" s="213"/>
      <c r="AF54" s="213"/>
      <c r="AG54" s="213"/>
      <c r="AH54" s="213"/>
      <c r="AI54" s="213"/>
      <c r="AJ54" s="213"/>
      <c r="AK54" s="213" t="str" cm="1">
        <f t="array" ref="AK54">IF(INDEX($U$427:$CB$432,G$436,$E437)="-","",INDEX($U$427:$CB$432,G$436,$E437))</f>
        <v/>
      </c>
      <c r="AL54" s="213"/>
      <c r="AM54" s="213"/>
      <c r="AN54" s="213"/>
      <c r="AO54" s="213"/>
      <c r="AP54" s="213"/>
      <c r="AQ54" s="213"/>
      <c r="AR54" s="211"/>
      <c r="AS54" s="211"/>
      <c r="AT54" s="211"/>
      <c r="AU54" s="211"/>
      <c r="AV54" s="211"/>
      <c r="AW54" s="211"/>
    </row>
    <row r="55" spans="1:49" ht="15" customHeight="1" x14ac:dyDescent="0.2">
      <c r="A55" s="41" t="str">
        <f t="shared" si="3"/>
        <v/>
      </c>
      <c r="B55" s="213"/>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1"/>
      <c r="AS55" s="211"/>
      <c r="AT55" s="211"/>
      <c r="AU55" s="211"/>
      <c r="AV55" s="211"/>
      <c r="AW55" s="211"/>
    </row>
    <row r="56" spans="1:49" ht="15" customHeight="1" x14ac:dyDescent="0.2">
      <c r="A56" s="41" t="str">
        <f t="shared" si="3"/>
        <v/>
      </c>
      <c r="B56" s="213"/>
      <c r="C56" s="213"/>
      <c r="D56" s="213"/>
      <c r="E56" s="213"/>
      <c r="F56" s="213"/>
      <c r="G56" s="213"/>
      <c r="H56" s="213"/>
      <c r="I56" s="213"/>
      <c r="J56" s="213"/>
      <c r="K56" s="213"/>
      <c r="L56" s="213"/>
      <c r="M56" s="213"/>
      <c r="N56" s="213"/>
      <c r="O56" s="213"/>
      <c r="P56" s="213"/>
      <c r="Q56" s="213"/>
      <c r="R56" s="213"/>
      <c r="S56" s="213"/>
      <c r="T56" s="213"/>
      <c r="U56" s="213"/>
      <c r="V56" s="213"/>
      <c r="W56" s="213"/>
      <c r="X56" s="213"/>
      <c r="Y56" s="213"/>
      <c r="Z56" s="213"/>
      <c r="AA56" s="213"/>
      <c r="AB56" s="213"/>
      <c r="AC56" s="213"/>
      <c r="AD56" s="213"/>
      <c r="AE56" s="213"/>
      <c r="AF56" s="213"/>
      <c r="AG56" s="213"/>
      <c r="AH56" s="213"/>
      <c r="AI56" s="213"/>
      <c r="AJ56" s="213"/>
      <c r="AK56" s="213"/>
      <c r="AL56" s="213"/>
      <c r="AM56" s="213"/>
      <c r="AN56" s="213"/>
      <c r="AO56" s="213"/>
      <c r="AP56" s="213"/>
      <c r="AQ56" s="213"/>
      <c r="AR56" s="211"/>
      <c r="AS56" s="211"/>
      <c r="AT56" s="211"/>
      <c r="AU56" s="211"/>
      <c r="AV56" s="211"/>
      <c r="AW56" s="211"/>
    </row>
    <row r="57" spans="1:49" ht="15" customHeight="1" x14ac:dyDescent="0.2">
      <c r="A57" s="41" t="str">
        <f t="shared" si="3"/>
        <v>x</v>
      </c>
      <c r="B57" s="44" t="str" cm="1">
        <f t="array" aca="1" ref="B57" ca="1">IF(INDIRECT(_xlfn.CONCAT($F365,B$364))="+","+",IF(ISNUMBER(INDIRECT(_xlfn.CONCAT($F365,B$363))),"-",""))</f>
        <v/>
      </c>
      <c r="C57" s="41" t="str">
        <f ca="1">B57</f>
        <v/>
      </c>
      <c r="D57" s="41" t="str">
        <f t="shared" ref="D57" ca="1" si="100">C57</f>
        <v/>
      </c>
      <c r="E57" s="41" t="str">
        <f t="shared" ref="E57" ca="1" si="101">D57</f>
        <v/>
      </c>
      <c r="F57" s="41" t="str">
        <f t="shared" ref="F57" ca="1" si="102">E57</f>
        <v/>
      </c>
      <c r="G57" s="41" t="str">
        <f t="shared" ref="G57" ca="1" si="103">F57</f>
        <v/>
      </c>
      <c r="H57" s="41" t="str">
        <f t="shared" ref="H57" ca="1" si="104">G57</f>
        <v/>
      </c>
      <c r="I57" s="44" t="str" cm="1">
        <f t="array" aca="1" ref="I57" ca="1">IF(INDIRECT(_xlfn.CONCAT($F365,C$364))="+","+",IF(ISNUMBER(INDIRECT(_xlfn.CONCAT($F365,C$363))),"-",""))</f>
        <v/>
      </c>
      <c r="J57" s="41" t="str">
        <f ca="1">I57</f>
        <v/>
      </c>
      <c r="K57" s="41" t="str">
        <f t="shared" ref="K57" ca="1" si="105">J57</f>
        <v/>
      </c>
      <c r="L57" s="41" t="str">
        <f t="shared" ref="L57" ca="1" si="106">K57</f>
        <v/>
      </c>
      <c r="M57" s="41" t="str">
        <f t="shared" ref="M57" ca="1" si="107">L57</f>
        <v/>
      </c>
      <c r="N57" s="41" t="str">
        <f t="shared" ref="N57" ca="1" si="108">M57</f>
        <v/>
      </c>
      <c r="O57" s="41" t="str">
        <f t="shared" ref="O57" ca="1" si="109">N57</f>
        <v/>
      </c>
      <c r="P57" s="44" t="str" cm="1">
        <f t="array" aca="1" ref="P57" ca="1">IF(INDIRECT(_xlfn.CONCAT($F365,D$364))="+","+",IF(ISNUMBER(INDIRECT(_xlfn.CONCAT($F365,D$363))),"-",""))</f>
        <v/>
      </c>
      <c r="Q57" s="41" t="str">
        <f ca="1">P57</f>
        <v/>
      </c>
      <c r="R57" s="41" t="str">
        <f t="shared" ref="R57" ca="1" si="110">Q57</f>
        <v/>
      </c>
      <c r="S57" s="41" t="str">
        <f t="shared" ref="S57" ca="1" si="111">R57</f>
        <v/>
      </c>
      <c r="T57" s="41" t="str">
        <f t="shared" ref="T57" ca="1" si="112">S57</f>
        <v/>
      </c>
      <c r="U57" s="41" t="str">
        <f t="shared" ref="U57" ca="1" si="113">T57</f>
        <v/>
      </c>
      <c r="V57" s="41" t="str">
        <f t="shared" ref="V57" ca="1" si="114">U57</f>
        <v/>
      </c>
      <c r="W57" s="44" t="str" cm="1">
        <f t="array" aca="1" ref="W57" ca="1">IF(INDIRECT(_xlfn.CONCAT($F365,E$364))="+","+",IF(ISNUMBER(INDIRECT(_xlfn.CONCAT($F365,E$363))),"-",""))</f>
        <v/>
      </c>
      <c r="X57" s="41" t="str">
        <f ca="1">W57</f>
        <v/>
      </c>
      <c r="Y57" s="41" t="str">
        <f t="shared" ref="Y57" ca="1" si="115">X57</f>
        <v/>
      </c>
      <c r="Z57" s="41" t="str">
        <f t="shared" ref="Z57" ca="1" si="116">Y57</f>
        <v/>
      </c>
      <c r="AA57" s="41" t="str">
        <f t="shared" ref="AA57" ca="1" si="117">Z57</f>
        <v/>
      </c>
      <c r="AB57" s="41" t="str">
        <f t="shared" ref="AB57" ca="1" si="118">AA57</f>
        <v/>
      </c>
      <c r="AC57" s="41" t="str">
        <f t="shared" ref="AC57" ca="1" si="119">AB57</f>
        <v/>
      </c>
      <c r="AD57" s="44" t="str" cm="1">
        <f t="array" aca="1" ref="AD57" ca="1">IF(INDIRECT(_xlfn.CONCAT($F365,F$364))="+","+",IF(ISNUMBER(INDIRECT(_xlfn.CONCAT($F365,F$363))),"-",""))</f>
        <v/>
      </c>
      <c r="AE57" s="41" t="str">
        <f ca="1">AD57</f>
        <v/>
      </c>
      <c r="AF57" s="41" t="str">
        <f t="shared" ref="AF57" ca="1" si="120">AE57</f>
        <v/>
      </c>
      <c r="AG57" s="41" t="str">
        <f t="shared" ref="AG57" ca="1" si="121">AF57</f>
        <v/>
      </c>
      <c r="AH57" s="41" t="str">
        <f t="shared" ref="AH57" ca="1" si="122">AG57</f>
        <v/>
      </c>
      <c r="AI57" s="41" t="str">
        <f t="shared" ref="AI57" ca="1" si="123">AH57</f>
        <v/>
      </c>
      <c r="AJ57" s="41" t="str">
        <f t="shared" ref="AJ57" ca="1" si="124">AI57</f>
        <v/>
      </c>
      <c r="AK57" s="44" t="str" cm="1">
        <f t="array" aca="1" ref="AK57" ca="1">IF(INDIRECT(_xlfn.CONCAT($F365,G$364))="+","+",IF(ISNUMBER(INDIRECT(_xlfn.CONCAT($F365,G$363))),"-",""))</f>
        <v/>
      </c>
      <c r="AL57" s="41" t="str">
        <f ca="1">AK57</f>
        <v/>
      </c>
      <c r="AM57" s="41" t="str">
        <f t="shared" ref="AM57" ca="1" si="125">AL57</f>
        <v/>
      </c>
      <c r="AN57" s="41" t="str">
        <f t="shared" ref="AN57" ca="1" si="126">AM57</f>
        <v/>
      </c>
      <c r="AO57" s="41" t="str">
        <f t="shared" ref="AO57" ca="1" si="127">AN57</f>
        <v/>
      </c>
      <c r="AP57" s="41" t="str">
        <f t="shared" ref="AP57" ca="1" si="128">AO57</f>
        <v/>
      </c>
      <c r="AQ57" s="41" t="str">
        <f t="shared" ref="AQ57" ca="1" si="129">AP57</f>
        <v/>
      </c>
      <c r="AR57" s="44"/>
      <c r="AS57" s="41"/>
      <c r="AT57" s="41"/>
      <c r="AU57" s="41"/>
      <c r="AV57" s="41"/>
      <c r="AW57" s="41"/>
    </row>
    <row r="58" spans="1:49" ht="15" customHeight="1" x14ac:dyDescent="0.2">
      <c r="A58" s="41" t="str">
        <f t="shared" si="3"/>
        <v>x</v>
      </c>
      <c r="B58" s="45" t="str" cm="1">
        <f t="array" aca="1" ref="B58" ca="1">IF(ISBLANK(INDIRECT(_xlfn.CONCAT($F390,B$389))),"",INDIRECT(_xlfn.CONCAT($F390,B$389)))</f>
        <v/>
      </c>
      <c r="C58" s="45"/>
      <c r="D58" s="45"/>
      <c r="E58" s="45"/>
      <c r="F58" s="45"/>
      <c r="G58" s="45"/>
      <c r="H58" s="45"/>
      <c r="I58" s="45" t="str" cm="1">
        <f t="array" aca="1" ref="I58" ca="1">IF(ISBLANK(INDIRECT(_xlfn.CONCAT($F390,C$389))),"",INDIRECT(_xlfn.CONCAT($F390,C$389)))</f>
        <v>+</v>
      </c>
      <c r="J58" s="45"/>
      <c r="K58" s="45"/>
      <c r="L58" s="45"/>
      <c r="M58" s="45"/>
      <c r="N58" s="45"/>
      <c r="O58" s="45"/>
      <c r="P58" s="45" t="str" cm="1">
        <f t="array" aca="1" ref="P58" ca="1">IF(ISBLANK(INDIRECT(_xlfn.CONCAT($F390,D$389))),"",INDIRECT(_xlfn.CONCAT($F390,D$389)))</f>
        <v/>
      </c>
      <c r="Q58" s="45"/>
      <c r="R58" s="45"/>
      <c r="S58" s="45"/>
      <c r="T58" s="45"/>
      <c r="U58" s="45"/>
      <c r="V58" s="45"/>
      <c r="W58" s="45" t="str" cm="1">
        <f t="array" aca="1" ref="W58" ca="1">IF(ISBLANK(INDIRECT(_xlfn.CONCAT($F390,E$389))),"",INDIRECT(_xlfn.CONCAT($F390,E$389)))</f>
        <v/>
      </c>
      <c r="X58" s="45"/>
      <c r="Y58" s="45"/>
      <c r="Z58" s="45"/>
      <c r="AA58" s="45"/>
      <c r="AB58" s="45"/>
      <c r="AC58" s="45"/>
      <c r="AD58" s="45" t="str" cm="1">
        <f t="array" aca="1" ref="AD58" ca="1">IF(ISBLANK(INDIRECT(_xlfn.CONCAT($F390,F$389))),"",INDIRECT(_xlfn.CONCAT($F390,F$389)))</f>
        <v/>
      </c>
      <c r="AE58" s="45"/>
      <c r="AF58" s="45"/>
      <c r="AG58" s="45"/>
      <c r="AH58" s="45"/>
      <c r="AI58" s="45"/>
      <c r="AJ58" s="45"/>
      <c r="AK58" s="45" t="str" cm="1">
        <f t="array" aca="1" ref="AK58" ca="1">IF(ISBLANK(INDIRECT(_xlfn.CONCAT($F390,G$389))),"",INDIRECT(_xlfn.CONCAT($F390,G$389)))</f>
        <v/>
      </c>
      <c r="AL58" s="45"/>
      <c r="AM58" s="45"/>
      <c r="AN58" s="45"/>
      <c r="AO58" s="45"/>
      <c r="AP58" s="45"/>
      <c r="AQ58" s="45"/>
      <c r="AR58" s="45"/>
      <c r="AS58" s="46"/>
      <c r="AT58" s="46"/>
      <c r="AU58" s="46"/>
      <c r="AV58" s="46"/>
      <c r="AW58" s="46"/>
    </row>
    <row r="59" spans="1:49" ht="15" customHeight="1" x14ac:dyDescent="0.2">
      <c r="A59" s="41" t="str">
        <f t="shared" si="3"/>
        <v>x</v>
      </c>
      <c r="B59" s="213" t="str" cm="1">
        <f t="array" ref="B59">IF(INDEX($U$427:$CB$432,B$436,$F437)="-","",INDEX($U$427:$CB$432,B$436,$F437))</f>
        <v/>
      </c>
      <c r="C59" s="213"/>
      <c r="D59" s="213"/>
      <c r="E59" s="213"/>
      <c r="F59" s="213"/>
      <c r="G59" s="213"/>
      <c r="H59" s="213"/>
      <c r="I59" s="213" t="str" cm="1">
        <f t="array" ref="I59">IF(INDEX($U$427:$CB$432,C$436,$F437)="-","",INDEX($U$427:$CB$432,C$436,$F437))</f>
        <v/>
      </c>
      <c r="J59" s="213"/>
      <c r="K59" s="213"/>
      <c r="L59" s="213"/>
      <c r="M59" s="213"/>
      <c r="N59" s="213"/>
      <c r="O59" s="213"/>
      <c r="P59" s="213" t="str" cm="1">
        <f t="array" ref="P59">IF(INDEX($U$427:$CB$432,D$436,$F437)="-","",INDEX($U$427:$CB$432,D$436,$F437))</f>
        <v/>
      </c>
      <c r="Q59" s="213"/>
      <c r="R59" s="213"/>
      <c r="S59" s="213"/>
      <c r="T59" s="213"/>
      <c r="U59" s="213"/>
      <c r="V59" s="213"/>
      <c r="W59" s="213" t="str" cm="1">
        <f t="array" ref="W59">IF(INDEX($U$427:$CB$432,E$436,$F437)="-","",INDEX($U$427:$CB$432,E$436,$F437))</f>
        <v/>
      </c>
      <c r="X59" s="213"/>
      <c r="Y59" s="213"/>
      <c r="Z59" s="213"/>
      <c r="AA59" s="213"/>
      <c r="AB59" s="213"/>
      <c r="AC59" s="213"/>
      <c r="AD59" s="213" t="str" cm="1">
        <f t="array" ref="AD59">IF(INDEX($U$427:$CB$432,F$436,$F437)="-","",INDEX($U$427:$CB$432,F$436,$F437))</f>
        <v/>
      </c>
      <c r="AE59" s="213"/>
      <c r="AF59" s="213"/>
      <c r="AG59" s="213"/>
      <c r="AH59" s="213"/>
      <c r="AI59" s="213"/>
      <c r="AJ59" s="213"/>
      <c r="AK59" s="213" t="str" cm="1">
        <f t="array" ref="AK59">IF(INDEX($U$427:$CB$432,G$436,$F437)="-","",INDEX($U$427:$CB$432,G$436,$F437))</f>
        <v/>
      </c>
      <c r="AL59" s="213"/>
      <c r="AM59" s="213"/>
      <c r="AN59" s="213"/>
      <c r="AO59" s="213"/>
      <c r="AP59" s="213"/>
      <c r="AQ59" s="213"/>
      <c r="AR59" s="211"/>
      <c r="AS59" s="211"/>
      <c r="AT59" s="211"/>
      <c r="AU59" s="211"/>
      <c r="AV59" s="211"/>
      <c r="AW59" s="211"/>
    </row>
    <row r="60" spans="1:49" ht="15" customHeight="1" x14ac:dyDescent="0.2">
      <c r="A60" s="41" t="str">
        <f t="shared" si="3"/>
        <v>x</v>
      </c>
      <c r="B60" s="213"/>
      <c r="C60" s="213"/>
      <c r="D60" s="213"/>
      <c r="E60" s="213"/>
      <c r="F60" s="213"/>
      <c r="G60" s="213"/>
      <c r="H60" s="213"/>
      <c r="I60" s="213"/>
      <c r="J60" s="213"/>
      <c r="K60" s="213"/>
      <c r="L60" s="213"/>
      <c r="M60" s="213"/>
      <c r="N60" s="213"/>
      <c r="O60" s="213"/>
      <c r="P60" s="213"/>
      <c r="Q60" s="213"/>
      <c r="R60" s="213"/>
      <c r="S60" s="213"/>
      <c r="T60" s="213"/>
      <c r="U60" s="213"/>
      <c r="V60" s="213"/>
      <c r="W60" s="213"/>
      <c r="X60" s="213"/>
      <c r="Y60" s="213"/>
      <c r="Z60" s="213"/>
      <c r="AA60" s="213"/>
      <c r="AB60" s="213"/>
      <c r="AC60" s="213"/>
      <c r="AD60" s="213"/>
      <c r="AE60" s="213"/>
      <c r="AF60" s="213"/>
      <c r="AG60" s="213"/>
      <c r="AH60" s="213"/>
      <c r="AI60" s="213"/>
      <c r="AJ60" s="213"/>
      <c r="AK60" s="213"/>
      <c r="AL60" s="213"/>
      <c r="AM60" s="213"/>
      <c r="AN60" s="213"/>
      <c r="AO60" s="213"/>
      <c r="AP60" s="213"/>
      <c r="AQ60" s="213"/>
      <c r="AR60" s="211"/>
      <c r="AS60" s="211"/>
      <c r="AT60" s="211"/>
      <c r="AU60" s="211"/>
      <c r="AV60" s="211"/>
      <c r="AW60" s="211"/>
    </row>
    <row r="61" spans="1:49" ht="15" customHeight="1" x14ac:dyDescent="0.2">
      <c r="A61" s="41" t="str">
        <f t="shared" si="3"/>
        <v>x</v>
      </c>
      <c r="B61" s="213"/>
      <c r="C61" s="213"/>
      <c r="D61" s="213"/>
      <c r="E61" s="213"/>
      <c r="F61" s="213"/>
      <c r="G61" s="213"/>
      <c r="H61" s="213"/>
      <c r="I61" s="213"/>
      <c r="J61" s="213"/>
      <c r="K61" s="213"/>
      <c r="L61" s="213"/>
      <c r="M61" s="213"/>
      <c r="N61" s="213"/>
      <c r="O61" s="213"/>
      <c r="P61" s="213"/>
      <c r="Q61" s="213"/>
      <c r="R61" s="213"/>
      <c r="S61" s="213"/>
      <c r="T61" s="213"/>
      <c r="U61" s="213"/>
      <c r="V61" s="213"/>
      <c r="W61" s="213"/>
      <c r="X61" s="213"/>
      <c r="Y61" s="213"/>
      <c r="Z61" s="213"/>
      <c r="AA61" s="213"/>
      <c r="AB61" s="213"/>
      <c r="AC61" s="213"/>
      <c r="AD61" s="213"/>
      <c r="AE61" s="213"/>
      <c r="AF61" s="213"/>
      <c r="AG61" s="213"/>
      <c r="AH61" s="213"/>
      <c r="AI61" s="213"/>
      <c r="AJ61" s="213"/>
      <c r="AK61" s="213"/>
      <c r="AL61" s="213"/>
      <c r="AM61" s="213"/>
      <c r="AN61" s="213"/>
      <c r="AO61" s="213"/>
      <c r="AP61" s="213"/>
      <c r="AQ61" s="213"/>
      <c r="AR61" s="211"/>
      <c r="AS61" s="211"/>
      <c r="AT61" s="211"/>
      <c r="AU61" s="211"/>
      <c r="AV61" s="211"/>
      <c r="AW61" s="211"/>
    </row>
    <row r="62" spans="1:49" ht="15" customHeight="1" x14ac:dyDescent="0.2">
      <c r="A62" s="41" t="str">
        <f t="shared" si="3"/>
        <v>x</v>
      </c>
      <c r="B62" s="44" t="str" cm="1">
        <f t="array" aca="1" ref="B62" ca="1">IF(INDIRECT(_xlfn.CONCAT($G365,B$364))="+","+",IF(ISNUMBER(INDIRECT(_xlfn.CONCAT($G365,B$363))),"-",""))</f>
        <v/>
      </c>
      <c r="C62" s="41" t="str">
        <f ca="1">B62</f>
        <v/>
      </c>
      <c r="D62" s="41" t="str">
        <f t="shared" ref="D62" ca="1" si="130">C62</f>
        <v/>
      </c>
      <c r="E62" s="41" t="str">
        <f t="shared" ref="E62" ca="1" si="131">D62</f>
        <v/>
      </c>
      <c r="F62" s="41" t="str">
        <f t="shared" ref="F62" ca="1" si="132">E62</f>
        <v/>
      </c>
      <c r="G62" s="41" t="str">
        <f t="shared" ref="G62" ca="1" si="133">F62</f>
        <v/>
      </c>
      <c r="H62" s="41" t="str">
        <f t="shared" ref="H62" ca="1" si="134">G62</f>
        <v/>
      </c>
      <c r="I62" s="44" t="str" cm="1">
        <f t="array" aca="1" ref="I62" ca="1">IF(INDIRECT(_xlfn.CONCAT($G365,C$364))="+","+",IF(ISNUMBER(INDIRECT(_xlfn.CONCAT($G365,C$363))),"-",""))</f>
        <v/>
      </c>
      <c r="J62" s="41" t="str">
        <f ca="1">I62</f>
        <v/>
      </c>
      <c r="K62" s="41" t="str">
        <f t="shared" ref="K62" ca="1" si="135">J62</f>
        <v/>
      </c>
      <c r="L62" s="41" t="str">
        <f t="shared" ref="L62" ca="1" si="136">K62</f>
        <v/>
      </c>
      <c r="M62" s="41" t="str">
        <f t="shared" ref="M62" ca="1" si="137">L62</f>
        <v/>
      </c>
      <c r="N62" s="41" t="str">
        <f t="shared" ref="N62" ca="1" si="138">M62</f>
        <v/>
      </c>
      <c r="O62" s="41" t="str">
        <f t="shared" ref="O62" ca="1" si="139">N62</f>
        <v/>
      </c>
      <c r="P62" s="44" t="str" cm="1">
        <f t="array" aca="1" ref="P62" ca="1">IF(INDIRECT(_xlfn.CONCAT($G365,D$364))="+","+",IF(ISNUMBER(INDIRECT(_xlfn.CONCAT($G365,D$363))),"-",""))</f>
        <v/>
      </c>
      <c r="Q62" s="41" t="str">
        <f ca="1">P62</f>
        <v/>
      </c>
      <c r="R62" s="41" t="str">
        <f t="shared" ref="R62" ca="1" si="140">Q62</f>
        <v/>
      </c>
      <c r="S62" s="41" t="str">
        <f t="shared" ref="S62" ca="1" si="141">R62</f>
        <v/>
      </c>
      <c r="T62" s="41" t="str">
        <f t="shared" ref="T62" ca="1" si="142">S62</f>
        <v/>
      </c>
      <c r="U62" s="41" t="str">
        <f t="shared" ref="U62" ca="1" si="143">T62</f>
        <v/>
      </c>
      <c r="V62" s="41" t="str">
        <f t="shared" ref="V62" ca="1" si="144">U62</f>
        <v/>
      </c>
      <c r="W62" s="44" t="str" cm="1">
        <f t="array" aca="1" ref="W62" ca="1">IF(INDIRECT(_xlfn.CONCAT($G365,E$364))="+","+",IF(ISNUMBER(INDIRECT(_xlfn.CONCAT($G365,E$363))),"-",""))</f>
        <v/>
      </c>
      <c r="X62" s="41" t="str">
        <f ca="1">W62</f>
        <v/>
      </c>
      <c r="Y62" s="41" t="str">
        <f t="shared" ref="Y62" ca="1" si="145">X62</f>
        <v/>
      </c>
      <c r="Z62" s="41" t="str">
        <f t="shared" ref="Z62" ca="1" si="146">Y62</f>
        <v/>
      </c>
      <c r="AA62" s="41" t="str">
        <f t="shared" ref="AA62" ca="1" si="147">Z62</f>
        <v/>
      </c>
      <c r="AB62" s="41" t="str">
        <f t="shared" ref="AB62" ca="1" si="148">AA62</f>
        <v/>
      </c>
      <c r="AC62" s="41" t="str">
        <f t="shared" ref="AC62" ca="1" si="149">AB62</f>
        <v/>
      </c>
      <c r="AD62" s="44" t="str" cm="1">
        <f t="array" aca="1" ref="AD62" ca="1">IF(INDIRECT(_xlfn.CONCAT($G365,F$364))="+","+",IF(ISNUMBER(INDIRECT(_xlfn.CONCAT($G365,F$363))),"-",""))</f>
        <v/>
      </c>
      <c r="AE62" s="41" t="str">
        <f ca="1">AD62</f>
        <v/>
      </c>
      <c r="AF62" s="41" t="str">
        <f t="shared" ref="AF62" ca="1" si="150">AE62</f>
        <v/>
      </c>
      <c r="AG62" s="41" t="str">
        <f t="shared" ref="AG62" ca="1" si="151">AF62</f>
        <v/>
      </c>
      <c r="AH62" s="41" t="str">
        <f t="shared" ref="AH62" ca="1" si="152">AG62</f>
        <v/>
      </c>
      <c r="AI62" s="41" t="str">
        <f t="shared" ref="AI62" ca="1" si="153">AH62</f>
        <v/>
      </c>
      <c r="AJ62" s="41" t="str">
        <f t="shared" ref="AJ62" ca="1" si="154">AI62</f>
        <v/>
      </c>
      <c r="AK62" s="44" t="str" cm="1">
        <f t="array" aca="1" ref="AK62" ca="1">IF(INDIRECT(_xlfn.CONCAT($G365,G$364))="+","+",IF(ISNUMBER(INDIRECT(_xlfn.CONCAT($G365,G$363))),"-",""))</f>
        <v/>
      </c>
      <c r="AL62" s="41" t="str">
        <f ca="1">AK62</f>
        <v/>
      </c>
      <c r="AM62" s="41" t="str">
        <f t="shared" ref="AM62" ca="1" si="155">AL62</f>
        <v/>
      </c>
      <c r="AN62" s="41" t="str">
        <f t="shared" ref="AN62" ca="1" si="156">AM62</f>
        <v/>
      </c>
      <c r="AO62" s="41" t="str">
        <f t="shared" ref="AO62" ca="1" si="157">AN62</f>
        <v/>
      </c>
      <c r="AP62" s="41" t="str">
        <f t="shared" ref="AP62" ca="1" si="158">AO62</f>
        <v/>
      </c>
      <c r="AQ62" s="41" t="str">
        <f t="shared" ref="AQ62" ca="1" si="159">AP62</f>
        <v/>
      </c>
      <c r="AR62" s="44"/>
      <c r="AS62" s="41"/>
      <c r="AT62" s="41"/>
      <c r="AU62" s="41"/>
      <c r="AV62" s="41"/>
      <c r="AW62" s="41"/>
    </row>
    <row r="63" spans="1:49" ht="15" customHeight="1" x14ac:dyDescent="0.2">
      <c r="A63" s="41" t="str">
        <f t="shared" si="3"/>
        <v>x</v>
      </c>
      <c r="B63" s="45" t="str" cm="1">
        <f t="array" aca="1" ref="B63" ca="1">IF(ISBLANK(INDIRECT(_xlfn.CONCAT($G390,B$389))),"",INDIRECT(_xlfn.CONCAT($G390,B$389)))</f>
        <v/>
      </c>
      <c r="C63" s="45"/>
      <c r="D63" s="45"/>
      <c r="E63" s="45"/>
      <c r="F63" s="45"/>
      <c r="G63" s="45"/>
      <c r="H63" s="45"/>
      <c r="I63" s="45" t="str" cm="1">
        <f t="array" aca="1" ref="I63" ca="1">IF(ISBLANK(INDIRECT(_xlfn.CONCAT($G390,C$389))),"",INDIRECT(_xlfn.CONCAT($G390,C$389)))</f>
        <v>+</v>
      </c>
      <c r="J63" s="45"/>
      <c r="K63" s="45"/>
      <c r="L63" s="45"/>
      <c r="M63" s="45"/>
      <c r="N63" s="45"/>
      <c r="O63" s="45"/>
      <c r="P63" s="45" t="str" cm="1">
        <f t="array" aca="1" ref="P63" ca="1">IF(ISBLANK(INDIRECT(_xlfn.CONCAT($G390,D$389))),"",INDIRECT(_xlfn.CONCAT($G390,D$389)))</f>
        <v/>
      </c>
      <c r="Q63" s="45"/>
      <c r="R63" s="45"/>
      <c r="S63" s="45"/>
      <c r="T63" s="45"/>
      <c r="U63" s="45"/>
      <c r="V63" s="45"/>
      <c r="W63" s="45" t="str" cm="1">
        <f t="array" aca="1" ref="W63" ca="1">IF(ISBLANK(INDIRECT(_xlfn.CONCAT($G390,E$389))),"",INDIRECT(_xlfn.CONCAT($G390,E$389)))</f>
        <v/>
      </c>
      <c r="X63" s="45"/>
      <c r="Y63" s="45"/>
      <c r="Z63" s="45"/>
      <c r="AA63" s="45"/>
      <c r="AB63" s="45"/>
      <c r="AC63" s="45"/>
      <c r="AD63" s="45" t="str" cm="1">
        <f t="array" aca="1" ref="AD63" ca="1">IF(ISBLANK(INDIRECT(_xlfn.CONCAT($G390,F$389))),"",INDIRECT(_xlfn.CONCAT($G390,F$389)))</f>
        <v/>
      </c>
      <c r="AE63" s="45"/>
      <c r="AF63" s="45"/>
      <c r="AG63" s="45"/>
      <c r="AH63" s="45"/>
      <c r="AI63" s="45"/>
      <c r="AJ63" s="45"/>
      <c r="AK63" s="45" t="str" cm="1">
        <f t="array" aca="1" ref="AK63" ca="1">IF(ISBLANK(INDIRECT(_xlfn.CONCAT($G390,G$389))),"",INDIRECT(_xlfn.CONCAT($G390,G$389)))</f>
        <v/>
      </c>
      <c r="AL63" s="45"/>
      <c r="AM63" s="45"/>
      <c r="AN63" s="45"/>
      <c r="AO63" s="45"/>
      <c r="AP63" s="45"/>
      <c r="AQ63" s="45"/>
      <c r="AR63" s="45"/>
      <c r="AS63" s="46"/>
      <c r="AT63" s="46"/>
      <c r="AU63" s="46"/>
      <c r="AV63" s="46"/>
      <c r="AW63" s="46"/>
    </row>
    <row r="64" spans="1:49" ht="15" customHeight="1" x14ac:dyDescent="0.2">
      <c r="A64" s="41" t="str">
        <f t="shared" si="3"/>
        <v>x</v>
      </c>
      <c r="B64" s="213" t="str" cm="1">
        <f t="array" ref="B64">IF(INDEX($U$427:$CB$432,B$436,$G437)="-","",INDEX($U$427:$CB$432,B$436,$G437))</f>
        <v/>
      </c>
      <c r="C64" s="213"/>
      <c r="D64" s="213"/>
      <c r="E64" s="213"/>
      <c r="F64" s="213"/>
      <c r="G64" s="213"/>
      <c r="H64" s="213"/>
      <c r="I64" s="213" t="str" cm="1">
        <f t="array" ref="I64">IF(INDEX($U$427:$CB$432,C$436,$G437)="-","",INDEX($U$427:$CB$432,C$436,$G437))</f>
        <v/>
      </c>
      <c r="J64" s="213"/>
      <c r="K64" s="213"/>
      <c r="L64" s="213"/>
      <c r="M64" s="213"/>
      <c r="N64" s="213"/>
      <c r="O64" s="213"/>
      <c r="P64" s="213" t="str" cm="1">
        <f t="array" ref="P64">IF(INDEX($U$427:$CB$432,D$436,$G437)="-","",INDEX($U$427:$CB$432,D$436,$G437))</f>
        <v/>
      </c>
      <c r="Q64" s="213"/>
      <c r="R64" s="213"/>
      <c r="S64" s="213"/>
      <c r="T64" s="213"/>
      <c r="U64" s="213"/>
      <c r="V64" s="213"/>
      <c r="W64" s="213" t="str" cm="1">
        <f t="array" ref="W64">IF(INDEX($U$427:$CB$432,E$436,$G437)="-","",INDEX($U$427:$CB$432,E$436,$G437))</f>
        <v/>
      </c>
      <c r="X64" s="213"/>
      <c r="Y64" s="213"/>
      <c r="Z64" s="213"/>
      <c r="AA64" s="213"/>
      <c r="AB64" s="213"/>
      <c r="AC64" s="213"/>
      <c r="AD64" s="213" t="str" cm="1">
        <f t="array" ref="AD64">IF(INDEX($U$427:$CB$432,F$436,$G437)="-","",INDEX($U$427:$CB$432,F$436,$G437))</f>
        <v/>
      </c>
      <c r="AE64" s="213"/>
      <c r="AF64" s="213"/>
      <c r="AG64" s="213"/>
      <c r="AH64" s="213"/>
      <c r="AI64" s="213"/>
      <c r="AJ64" s="213"/>
      <c r="AK64" s="213" t="str" cm="1">
        <f t="array" ref="AK64">IF(INDEX($U$427:$CB$432,G$436,$G437)="-","",INDEX($U$427:$CB$432,G$436,$G437))</f>
        <v/>
      </c>
      <c r="AL64" s="213"/>
      <c r="AM64" s="213"/>
      <c r="AN64" s="213"/>
      <c r="AO64" s="213"/>
      <c r="AP64" s="213"/>
      <c r="AQ64" s="213"/>
      <c r="AR64" s="211"/>
      <c r="AS64" s="211"/>
      <c r="AT64" s="211"/>
      <c r="AU64" s="211"/>
      <c r="AV64" s="211"/>
      <c r="AW64" s="211"/>
    </row>
    <row r="65" spans="1:49" ht="15" customHeight="1" x14ac:dyDescent="0.2">
      <c r="A65" s="41" t="str">
        <f t="shared" si="3"/>
        <v>x</v>
      </c>
      <c r="B65" s="213"/>
      <c r="C65" s="213"/>
      <c r="D65" s="213"/>
      <c r="E65" s="213"/>
      <c r="F65" s="213"/>
      <c r="G65" s="213"/>
      <c r="H65" s="213"/>
      <c r="I65" s="213"/>
      <c r="J65" s="213"/>
      <c r="K65" s="213"/>
      <c r="L65" s="213"/>
      <c r="M65" s="213"/>
      <c r="N65" s="213"/>
      <c r="O65" s="213"/>
      <c r="P65" s="213"/>
      <c r="Q65" s="213"/>
      <c r="R65" s="213"/>
      <c r="S65" s="213"/>
      <c r="T65" s="213"/>
      <c r="U65" s="213"/>
      <c r="V65" s="213"/>
      <c r="W65" s="213"/>
      <c r="X65" s="213"/>
      <c r="Y65" s="213"/>
      <c r="Z65" s="213"/>
      <c r="AA65" s="213"/>
      <c r="AB65" s="213"/>
      <c r="AC65" s="213"/>
      <c r="AD65" s="213"/>
      <c r="AE65" s="213"/>
      <c r="AF65" s="213"/>
      <c r="AG65" s="213"/>
      <c r="AH65" s="213"/>
      <c r="AI65" s="213"/>
      <c r="AJ65" s="213"/>
      <c r="AK65" s="213"/>
      <c r="AL65" s="213"/>
      <c r="AM65" s="213"/>
      <c r="AN65" s="213"/>
      <c r="AO65" s="213"/>
      <c r="AP65" s="213"/>
      <c r="AQ65" s="213"/>
      <c r="AR65" s="211"/>
      <c r="AS65" s="211"/>
      <c r="AT65" s="211"/>
      <c r="AU65" s="211"/>
      <c r="AV65" s="211"/>
      <c r="AW65" s="211"/>
    </row>
    <row r="66" spans="1:49" ht="15" customHeight="1" x14ac:dyDescent="0.2">
      <c r="A66" s="41" t="str">
        <f t="shared" si="3"/>
        <v>x</v>
      </c>
      <c r="B66" s="213"/>
      <c r="C66" s="213"/>
      <c r="D66" s="213"/>
      <c r="E66" s="213"/>
      <c r="F66" s="213"/>
      <c r="G66" s="213"/>
      <c r="H66" s="213"/>
      <c r="I66" s="213"/>
      <c r="J66" s="213"/>
      <c r="K66" s="213"/>
      <c r="L66" s="213"/>
      <c r="M66" s="213"/>
      <c r="N66" s="213"/>
      <c r="O66" s="213"/>
      <c r="P66" s="213"/>
      <c r="Q66" s="213"/>
      <c r="R66" s="213"/>
      <c r="S66" s="213"/>
      <c r="T66" s="213"/>
      <c r="U66" s="213"/>
      <c r="V66" s="213"/>
      <c r="W66" s="213"/>
      <c r="X66" s="213"/>
      <c r="Y66" s="213"/>
      <c r="Z66" s="213"/>
      <c r="AA66" s="213"/>
      <c r="AB66" s="213"/>
      <c r="AC66" s="213"/>
      <c r="AD66" s="213"/>
      <c r="AE66" s="213"/>
      <c r="AF66" s="213"/>
      <c r="AG66" s="213"/>
      <c r="AH66" s="213"/>
      <c r="AI66" s="213"/>
      <c r="AJ66" s="213"/>
      <c r="AK66" s="213"/>
      <c r="AL66" s="213"/>
      <c r="AM66" s="213"/>
      <c r="AN66" s="213"/>
      <c r="AO66" s="213"/>
      <c r="AP66" s="213"/>
      <c r="AQ66" s="213"/>
      <c r="AR66" s="211"/>
      <c r="AS66" s="211"/>
      <c r="AT66" s="211"/>
      <c r="AU66" s="211"/>
      <c r="AV66" s="211"/>
      <c r="AW66" s="211"/>
    </row>
    <row r="67" spans="1:49" ht="15" customHeight="1" x14ac:dyDescent="0.2">
      <c r="A67" s="41" t="str">
        <f t="shared" si="3"/>
        <v/>
      </c>
      <c r="B67" s="44" t="str" cm="1">
        <f t="array" aca="1" ref="B67" ca="1">IF(INDIRECT(_xlfn.CONCAT($H365,B$364))="+","+",IF(ISNUMBER(INDIRECT(_xlfn.CONCAT($H365,B$363))),"-",""))</f>
        <v/>
      </c>
      <c r="C67" s="41" t="str">
        <f ca="1">B67</f>
        <v/>
      </c>
      <c r="D67" s="41" t="str">
        <f t="shared" ref="D67" ca="1" si="160">C67</f>
        <v/>
      </c>
      <c r="E67" s="41" t="str">
        <f t="shared" ref="E67" ca="1" si="161">D67</f>
        <v/>
      </c>
      <c r="F67" s="41" t="str">
        <f t="shared" ref="F67" ca="1" si="162">E67</f>
        <v/>
      </c>
      <c r="G67" s="41" t="str">
        <f t="shared" ref="G67" ca="1" si="163">F67</f>
        <v/>
      </c>
      <c r="H67" s="41" t="str">
        <f t="shared" ref="H67" ca="1" si="164">G67</f>
        <v/>
      </c>
      <c r="I67" s="44" t="str" cm="1">
        <f t="array" aca="1" ref="I67" ca="1">IF(INDIRECT(_xlfn.CONCAT($H365,C$364))="+","+",IF(ISNUMBER(INDIRECT(_xlfn.CONCAT($H365,C$363))),"-",""))</f>
        <v>-</v>
      </c>
      <c r="J67" s="41" t="str">
        <f ca="1">I67</f>
        <v>-</v>
      </c>
      <c r="K67" s="41" t="str">
        <f t="shared" ref="K67" ca="1" si="165">J67</f>
        <v>-</v>
      </c>
      <c r="L67" s="41" t="str">
        <f t="shared" ref="L67" ca="1" si="166">K67</f>
        <v>-</v>
      </c>
      <c r="M67" s="41" t="str">
        <f t="shared" ref="M67" ca="1" si="167">L67</f>
        <v>-</v>
      </c>
      <c r="N67" s="41" t="str">
        <f t="shared" ref="N67" ca="1" si="168">M67</f>
        <v>-</v>
      </c>
      <c r="O67" s="41" t="str">
        <f t="shared" ref="O67" ca="1" si="169">N67</f>
        <v>-</v>
      </c>
      <c r="P67" s="44" t="str" cm="1">
        <f t="array" aca="1" ref="P67" ca="1">IF(INDIRECT(_xlfn.CONCAT($H365,D$364))="+","+",IF(ISNUMBER(INDIRECT(_xlfn.CONCAT($H365,D$363))),"-",""))</f>
        <v>+</v>
      </c>
      <c r="Q67" s="41" t="str">
        <f ca="1">P67</f>
        <v>+</v>
      </c>
      <c r="R67" s="41" t="str">
        <f t="shared" ref="R67" ca="1" si="170">Q67</f>
        <v>+</v>
      </c>
      <c r="S67" s="41" t="str">
        <f t="shared" ref="S67" ca="1" si="171">R67</f>
        <v>+</v>
      </c>
      <c r="T67" s="41" t="str">
        <f t="shared" ref="T67" ca="1" si="172">S67</f>
        <v>+</v>
      </c>
      <c r="U67" s="41" t="str">
        <f t="shared" ref="U67" ca="1" si="173">T67</f>
        <v>+</v>
      </c>
      <c r="V67" s="41" t="str">
        <f t="shared" ref="V67" ca="1" si="174">U67</f>
        <v>+</v>
      </c>
      <c r="W67" s="44" t="str" cm="1">
        <f t="array" aca="1" ref="W67" ca="1">IF(INDIRECT(_xlfn.CONCAT($H365,E$364))="+","+",IF(ISNUMBER(INDIRECT(_xlfn.CONCAT($H365,E$363))),"-",""))</f>
        <v/>
      </c>
      <c r="X67" s="41" t="str">
        <f ca="1">W67</f>
        <v/>
      </c>
      <c r="Y67" s="41" t="str">
        <f t="shared" ref="Y67" ca="1" si="175">X67</f>
        <v/>
      </c>
      <c r="Z67" s="41" t="str">
        <f t="shared" ref="Z67" ca="1" si="176">Y67</f>
        <v/>
      </c>
      <c r="AA67" s="41" t="str">
        <f t="shared" ref="AA67" ca="1" si="177">Z67</f>
        <v/>
      </c>
      <c r="AB67" s="41" t="str">
        <f t="shared" ref="AB67" ca="1" si="178">AA67</f>
        <v/>
      </c>
      <c r="AC67" s="41" t="str">
        <f t="shared" ref="AC67" ca="1" si="179">AB67</f>
        <v/>
      </c>
      <c r="AD67" s="44" t="str" cm="1">
        <f t="array" aca="1" ref="AD67" ca="1">IF(INDIRECT(_xlfn.CONCAT($H365,F$364))="+","+",IF(ISNUMBER(INDIRECT(_xlfn.CONCAT($H365,F$363))),"-",""))</f>
        <v/>
      </c>
      <c r="AE67" s="41" t="str">
        <f ca="1">AD67</f>
        <v/>
      </c>
      <c r="AF67" s="41" t="str">
        <f t="shared" ref="AF67" ca="1" si="180">AE67</f>
        <v/>
      </c>
      <c r="AG67" s="41" t="str">
        <f t="shared" ref="AG67" ca="1" si="181">AF67</f>
        <v/>
      </c>
      <c r="AH67" s="41" t="str">
        <f t="shared" ref="AH67" ca="1" si="182">AG67</f>
        <v/>
      </c>
      <c r="AI67" s="41" t="str">
        <f t="shared" ref="AI67" ca="1" si="183">AH67</f>
        <v/>
      </c>
      <c r="AJ67" s="41" t="str">
        <f t="shared" ref="AJ67" ca="1" si="184">AI67</f>
        <v/>
      </c>
      <c r="AK67" s="44" t="str" cm="1">
        <f t="array" aca="1" ref="AK67" ca="1">IF(INDIRECT(_xlfn.CONCAT($H365,G$364))="+","+",IF(ISNUMBER(INDIRECT(_xlfn.CONCAT($H365,G$363))),"-",""))</f>
        <v/>
      </c>
      <c r="AL67" s="41" t="str">
        <f ca="1">AK67</f>
        <v/>
      </c>
      <c r="AM67" s="41" t="str">
        <f t="shared" ref="AM67" ca="1" si="185">AL67</f>
        <v/>
      </c>
      <c r="AN67" s="41" t="str">
        <f t="shared" ref="AN67" ca="1" si="186">AM67</f>
        <v/>
      </c>
      <c r="AO67" s="41" t="str">
        <f t="shared" ref="AO67" ca="1" si="187">AN67</f>
        <v/>
      </c>
      <c r="AP67" s="41" t="str">
        <f t="shared" ref="AP67" ca="1" si="188">AO67</f>
        <v/>
      </c>
      <c r="AQ67" s="41" t="str">
        <f t="shared" ref="AQ67" ca="1" si="189">AP67</f>
        <v/>
      </c>
      <c r="AR67" s="44"/>
      <c r="AS67" s="41"/>
      <c r="AT67" s="41"/>
      <c r="AU67" s="41"/>
      <c r="AV67" s="41"/>
      <c r="AW67" s="41"/>
    </row>
    <row r="68" spans="1:49" ht="15" customHeight="1" x14ac:dyDescent="0.2">
      <c r="A68" s="41" t="str">
        <f t="shared" si="3"/>
        <v/>
      </c>
      <c r="B68" s="45" t="str" cm="1">
        <f t="array" aca="1" ref="B68" ca="1">IF(ISBLANK(INDIRECT(_xlfn.CONCAT($H390,B$389))),"",INDIRECT(_xlfn.CONCAT($H390,B$389)))</f>
        <v/>
      </c>
      <c r="C68" s="45"/>
      <c r="D68" s="45"/>
      <c r="E68" s="45"/>
      <c r="F68" s="45"/>
      <c r="G68" s="45"/>
      <c r="H68" s="45"/>
      <c r="I68" s="45" t="str" cm="1">
        <f t="array" aca="1" ref="I68" ca="1">IF(ISBLANK(INDIRECT(_xlfn.CONCAT($H390,C$389))),"",INDIRECT(_xlfn.CONCAT($H390,C$389)))</f>
        <v>+</v>
      </c>
      <c r="J68" s="45"/>
      <c r="K68" s="45"/>
      <c r="L68" s="45"/>
      <c r="M68" s="45"/>
      <c r="N68" s="45"/>
      <c r="O68" s="45"/>
      <c r="P68" s="45" t="str" cm="1">
        <f t="array" aca="1" ref="P68" ca="1">IF(ISBLANK(INDIRECT(_xlfn.CONCAT($H390,D$389))),"",INDIRECT(_xlfn.CONCAT($H390,D$389)))</f>
        <v/>
      </c>
      <c r="Q68" s="45"/>
      <c r="R68" s="45"/>
      <c r="S68" s="45"/>
      <c r="T68" s="45"/>
      <c r="U68" s="45"/>
      <c r="V68" s="45"/>
      <c r="W68" s="45" t="str" cm="1">
        <f t="array" aca="1" ref="W68" ca="1">IF(ISBLANK(INDIRECT(_xlfn.CONCAT($H390,E$389))),"",INDIRECT(_xlfn.CONCAT($H390,E$389)))</f>
        <v/>
      </c>
      <c r="X68" s="45"/>
      <c r="Y68" s="45"/>
      <c r="Z68" s="45"/>
      <c r="AA68" s="45"/>
      <c r="AB68" s="45"/>
      <c r="AC68" s="45"/>
      <c r="AD68" s="45" t="str" cm="1">
        <f t="array" aca="1" ref="AD68" ca="1">IF(ISBLANK(INDIRECT(_xlfn.CONCAT($H390,F$389))),"",INDIRECT(_xlfn.CONCAT($H390,F$389)))</f>
        <v/>
      </c>
      <c r="AE68" s="45"/>
      <c r="AF68" s="45"/>
      <c r="AG68" s="45"/>
      <c r="AH68" s="45"/>
      <c r="AI68" s="45"/>
      <c r="AJ68" s="45"/>
      <c r="AK68" s="45" t="str" cm="1">
        <f t="array" aca="1" ref="AK68" ca="1">IF(ISBLANK(INDIRECT(_xlfn.CONCAT($H390,G$389))),"",INDIRECT(_xlfn.CONCAT($H390,G$389)))</f>
        <v/>
      </c>
      <c r="AL68" s="45"/>
      <c r="AM68" s="45"/>
      <c r="AN68" s="45"/>
      <c r="AO68" s="45"/>
      <c r="AP68" s="45"/>
      <c r="AQ68" s="45"/>
      <c r="AR68" s="45"/>
      <c r="AS68" s="46"/>
      <c r="AT68" s="46"/>
      <c r="AU68" s="46"/>
      <c r="AV68" s="46"/>
      <c r="AW68" s="46"/>
    </row>
    <row r="69" spans="1:49" ht="15" customHeight="1" x14ac:dyDescent="0.2">
      <c r="A69" s="41" t="str">
        <f t="shared" si="3"/>
        <v/>
      </c>
      <c r="B69" s="213" t="str" cm="1">
        <f t="array" ref="B69">IF(INDEX($U$427:$CB$432,B$436,$H437)="-","",INDEX($U$427:$CB$432,B$436,$H437))</f>
        <v/>
      </c>
      <c r="C69" s="213"/>
      <c r="D69" s="213"/>
      <c r="E69" s="213"/>
      <c r="F69" s="213"/>
      <c r="G69" s="213"/>
      <c r="H69" s="213"/>
      <c r="I69" s="213" t="str" cm="1">
        <f t="array" ref="I69">IF(INDEX($U$427:$CB$432,C$436,$H437)="-","",INDEX($U$427:$CB$432,C$436,$H437))</f>
        <v>2 Spillway Gates Inoperable</v>
      </c>
      <c r="J69" s="213"/>
      <c r="K69" s="213"/>
      <c r="L69" s="213"/>
      <c r="M69" s="213"/>
      <c r="N69" s="213"/>
      <c r="O69" s="213"/>
      <c r="P69" s="213" t="str" cm="1">
        <f t="array" ref="P69">IF(INDEX($U$427:$CB$432,D$436,$H437)="-","",INDEX($U$427:$CB$432,D$436,$H437))</f>
        <v/>
      </c>
      <c r="Q69" s="213"/>
      <c r="R69" s="213"/>
      <c r="S69" s="213"/>
      <c r="T69" s="213"/>
      <c r="U69" s="213"/>
      <c r="V69" s="213"/>
      <c r="W69" s="213" t="str" cm="1">
        <f t="array" ref="W69">IF(INDEX($U$427:$CB$432,E$436,$H437)="-","",INDEX($U$427:$CB$432,E$436,$H437))</f>
        <v/>
      </c>
      <c r="X69" s="213"/>
      <c r="Y69" s="213"/>
      <c r="Z69" s="213"/>
      <c r="AA69" s="213"/>
      <c r="AB69" s="213"/>
      <c r="AC69" s="213"/>
      <c r="AD69" s="213" t="str" cm="1">
        <f t="array" ref="AD69">IF(INDEX($U$427:$CB$432,F$436,$H437)="-","",INDEX($U$427:$CB$432,F$436,$H437))</f>
        <v/>
      </c>
      <c r="AE69" s="213"/>
      <c r="AF69" s="213"/>
      <c r="AG69" s="213"/>
      <c r="AH69" s="213"/>
      <c r="AI69" s="213"/>
      <c r="AJ69" s="213"/>
      <c r="AK69" s="213" t="str" cm="1">
        <f t="array" ref="AK69">IF(INDEX($U$427:$CB$432,G$436,$H437)="-","",INDEX($U$427:$CB$432,G$436,$H437))</f>
        <v/>
      </c>
      <c r="AL69" s="213"/>
      <c r="AM69" s="213"/>
      <c r="AN69" s="213"/>
      <c r="AO69" s="213"/>
      <c r="AP69" s="213"/>
      <c r="AQ69" s="213"/>
      <c r="AR69" s="211"/>
      <c r="AS69" s="211"/>
      <c r="AT69" s="211"/>
      <c r="AU69" s="211"/>
      <c r="AV69" s="211"/>
      <c r="AW69" s="211"/>
    </row>
    <row r="70" spans="1:49" ht="15" customHeight="1" x14ac:dyDescent="0.2">
      <c r="A70" s="41" t="str">
        <f t="shared" si="3"/>
        <v/>
      </c>
      <c r="B70" s="213"/>
      <c r="C70" s="213"/>
      <c r="D70" s="213"/>
      <c r="E70" s="213"/>
      <c r="F70" s="213"/>
      <c r="G70" s="213"/>
      <c r="H70" s="213"/>
      <c r="I70" s="213"/>
      <c r="J70" s="213"/>
      <c r="K70" s="213"/>
      <c r="L70" s="213"/>
      <c r="M70" s="213"/>
      <c r="N70" s="213"/>
      <c r="O70" s="213"/>
      <c r="P70" s="213"/>
      <c r="Q70" s="213"/>
      <c r="R70" s="213"/>
      <c r="S70" s="213"/>
      <c r="T70" s="213"/>
      <c r="U70" s="213"/>
      <c r="V70" s="213"/>
      <c r="W70" s="213"/>
      <c r="X70" s="213"/>
      <c r="Y70" s="213"/>
      <c r="Z70" s="213"/>
      <c r="AA70" s="213"/>
      <c r="AB70" s="213"/>
      <c r="AC70" s="213"/>
      <c r="AD70" s="213"/>
      <c r="AE70" s="213"/>
      <c r="AF70" s="213"/>
      <c r="AG70" s="213"/>
      <c r="AH70" s="213"/>
      <c r="AI70" s="213"/>
      <c r="AJ70" s="213"/>
      <c r="AK70" s="213"/>
      <c r="AL70" s="213"/>
      <c r="AM70" s="213"/>
      <c r="AN70" s="213"/>
      <c r="AO70" s="213"/>
      <c r="AP70" s="213"/>
      <c r="AQ70" s="213"/>
      <c r="AR70" s="211"/>
      <c r="AS70" s="211"/>
      <c r="AT70" s="211"/>
      <c r="AU70" s="211"/>
      <c r="AV70" s="211"/>
      <c r="AW70" s="211"/>
    </row>
    <row r="71" spans="1:49" ht="15" customHeight="1" x14ac:dyDescent="0.2">
      <c r="A71" s="41" t="str">
        <f t="shared" si="3"/>
        <v/>
      </c>
      <c r="B71" s="213"/>
      <c r="C71" s="213"/>
      <c r="D71" s="213"/>
      <c r="E71" s="213"/>
      <c r="F71" s="213"/>
      <c r="G71" s="213"/>
      <c r="H71" s="213"/>
      <c r="I71" s="213"/>
      <c r="J71" s="213"/>
      <c r="K71" s="213"/>
      <c r="L71" s="213"/>
      <c r="M71" s="213"/>
      <c r="N71" s="213"/>
      <c r="O71" s="213"/>
      <c r="P71" s="213"/>
      <c r="Q71" s="213"/>
      <c r="R71" s="213"/>
      <c r="S71" s="213"/>
      <c r="T71" s="213"/>
      <c r="U71" s="213"/>
      <c r="V71" s="213"/>
      <c r="W71" s="213"/>
      <c r="X71" s="213"/>
      <c r="Y71" s="213"/>
      <c r="Z71" s="213"/>
      <c r="AA71" s="213"/>
      <c r="AB71" s="213"/>
      <c r="AC71" s="213"/>
      <c r="AD71" s="213"/>
      <c r="AE71" s="213"/>
      <c r="AF71" s="213"/>
      <c r="AG71" s="213"/>
      <c r="AH71" s="213"/>
      <c r="AI71" s="213"/>
      <c r="AJ71" s="213"/>
      <c r="AK71" s="213"/>
      <c r="AL71" s="213"/>
      <c r="AM71" s="213"/>
      <c r="AN71" s="213"/>
      <c r="AO71" s="213"/>
      <c r="AP71" s="213"/>
      <c r="AQ71" s="213"/>
      <c r="AR71" s="211"/>
      <c r="AS71" s="211"/>
      <c r="AT71" s="211"/>
      <c r="AU71" s="211"/>
      <c r="AV71" s="211"/>
      <c r="AW71" s="211"/>
    </row>
    <row r="72" spans="1:49" ht="15" customHeight="1" x14ac:dyDescent="0.2">
      <c r="A72" s="41" t="str">
        <f t="shared" si="3"/>
        <v/>
      </c>
      <c r="B72" s="44" t="str" cm="1">
        <f t="array" aca="1" ref="B72" ca="1">IF(INDIRECT(_xlfn.CONCAT($I365,B$364))="+","+",IF(ISNUMBER(INDIRECT(_xlfn.CONCAT($I365,B$363))),"-",""))</f>
        <v/>
      </c>
      <c r="C72" s="41" t="str">
        <f ca="1">B72</f>
        <v/>
      </c>
      <c r="D72" s="41" t="str">
        <f t="shared" ref="D72" ca="1" si="190">C72</f>
        <v/>
      </c>
      <c r="E72" s="41" t="str">
        <f t="shared" ref="E72" ca="1" si="191">D72</f>
        <v/>
      </c>
      <c r="F72" s="41" t="str">
        <f t="shared" ref="F72" ca="1" si="192">E72</f>
        <v/>
      </c>
      <c r="G72" s="41" t="str">
        <f t="shared" ref="G72" ca="1" si="193">F72</f>
        <v/>
      </c>
      <c r="H72" s="41" t="str">
        <f t="shared" ref="H72" ca="1" si="194">G72</f>
        <v/>
      </c>
      <c r="I72" s="44" t="str" cm="1">
        <f t="array" aca="1" ref="I72" ca="1">IF(INDIRECT(_xlfn.CONCAT($I365,C$364))="+","+",IF(ISNUMBER(INDIRECT(_xlfn.CONCAT($I365,C$363))),"-",""))</f>
        <v/>
      </c>
      <c r="J72" s="41" t="str">
        <f ca="1">I72</f>
        <v/>
      </c>
      <c r="K72" s="41" t="str">
        <f t="shared" ref="K72" ca="1" si="195">J72</f>
        <v/>
      </c>
      <c r="L72" s="41" t="str">
        <f t="shared" ref="L72" ca="1" si="196">K72</f>
        <v/>
      </c>
      <c r="M72" s="41" t="str">
        <f t="shared" ref="M72" ca="1" si="197">L72</f>
        <v/>
      </c>
      <c r="N72" s="41" t="str">
        <f t="shared" ref="N72" ca="1" si="198">M72</f>
        <v/>
      </c>
      <c r="O72" s="41" t="str">
        <f t="shared" ref="O72" ca="1" si="199">N72</f>
        <v/>
      </c>
      <c r="P72" s="44" t="str" cm="1">
        <f t="array" aca="1" ref="P72" ca="1">IF(INDIRECT(_xlfn.CONCAT($I365,D$364))="+","+",IF(ISNUMBER(INDIRECT(_xlfn.CONCAT($I365,D$363))),"-",""))</f>
        <v/>
      </c>
      <c r="Q72" s="41" t="str">
        <f ca="1">P72</f>
        <v/>
      </c>
      <c r="R72" s="41" t="str">
        <f t="shared" ref="R72" ca="1" si="200">Q72</f>
        <v/>
      </c>
      <c r="S72" s="41" t="str">
        <f t="shared" ref="S72" ca="1" si="201">R72</f>
        <v/>
      </c>
      <c r="T72" s="41" t="str">
        <f t="shared" ref="T72" ca="1" si="202">S72</f>
        <v/>
      </c>
      <c r="U72" s="41" t="str">
        <f t="shared" ref="U72" ca="1" si="203">T72</f>
        <v/>
      </c>
      <c r="V72" s="41" t="str">
        <f t="shared" ref="V72" ca="1" si="204">U72</f>
        <v/>
      </c>
      <c r="W72" s="44" t="str" cm="1">
        <f t="array" aca="1" ref="W72" ca="1">IF(INDIRECT(_xlfn.CONCAT($I365,E$364))="+","+",IF(ISNUMBER(INDIRECT(_xlfn.CONCAT($I365,E$363))),"-",""))</f>
        <v/>
      </c>
      <c r="X72" s="41" t="str">
        <f ca="1">W72</f>
        <v/>
      </c>
      <c r="Y72" s="41" t="str">
        <f t="shared" ref="Y72" ca="1" si="205">X72</f>
        <v/>
      </c>
      <c r="Z72" s="41" t="str">
        <f t="shared" ref="Z72" ca="1" si="206">Y72</f>
        <v/>
      </c>
      <c r="AA72" s="41" t="str">
        <f t="shared" ref="AA72" ca="1" si="207">Z72</f>
        <v/>
      </c>
      <c r="AB72" s="41" t="str">
        <f t="shared" ref="AB72" ca="1" si="208">AA72</f>
        <v/>
      </c>
      <c r="AC72" s="41" t="str">
        <f t="shared" ref="AC72" ca="1" si="209">AB72</f>
        <v/>
      </c>
      <c r="AD72" s="44" t="str" cm="1">
        <f t="array" aca="1" ref="AD72" ca="1">IF(INDIRECT(_xlfn.CONCAT($I365,F$364))="+","+",IF(ISNUMBER(INDIRECT(_xlfn.CONCAT($I365,F$363))),"-",""))</f>
        <v/>
      </c>
      <c r="AE72" s="41" t="str">
        <f ca="1">AD72</f>
        <v/>
      </c>
      <c r="AF72" s="41" t="str">
        <f t="shared" ref="AF72" ca="1" si="210">AE72</f>
        <v/>
      </c>
      <c r="AG72" s="41" t="str">
        <f t="shared" ref="AG72" ca="1" si="211">AF72</f>
        <v/>
      </c>
      <c r="AH72" s="41" t="str">
        <f t="shared" ref="AH72" ca="1" si="212">AG72</f>
        <v/>
      </c>
      <c r="AI72" s="41" t="str">
        <f t="shared" ref="AI72" ca="1" si="213">AH72</f>
        <v/>
      </c>
      <c r="AJ72" s="41" t="str">
        <f t="shared" ref="AJ72" ca="1" si="214">AI72</f>
        <v/>
      </c>
      <c r="AK72" s="44" t="str" cm="1">
        <f t="array" aca="1" ref="AK72" ca="1">IF(INDIRECT(_xlfn.CONCAT($I365,G$364))="+","+",IF(ISNUMBER(INDIRECT(_xlfn.CONCAT($I365,G$363))),"-",""))</f>
        <v/>
      </c>
      <c r="AL72" s="41" t="str">
        <f ca="1">AK72</f>
        <v/>
      </c>
      <c r="AM72" s="41" t="str">
        <f t="shared" ref="AM72" ca="1" si="215">AL72</f>
        <v/>
      </c>
      <c r="AN72" s="41" t="str">
        <f t="shared" ref="AN72" ca="1" si="216">AM72</f>
        <v/>
      </c>
      <c r="AO72" s="41" t="str">
        <f t="shared" ref="AO72" ca="1" si="217">AN72</f>
        <v/>
      </c>
      <c r="AP72" s="41" t="str">
        <f t="shared" ref="AP72" ca="1" si="218">AO72</f>
        <v/>
      </c>
      <c r="AQ72" s="41" t="str">
        <f t="shared" ref="AQ72" ca="1" si="219">AP72</f>
        <v/>
      </c>
      <c r="AR72" s="44"/>
      <c r="AS72" s="41"/>
      <c r="AT72" s="41"/>
      <c r="AU72" s="41"/>
      <c r="AV72" s="41"/>
      <c r="AW72" s="41"/>
    </row>
    <row r="73" spans="1:49" ht="15" customHeight="1" x14ac:dyDescent="0.2">
      <c r="A73" s="41" t="str">
        <f t="shared" si="3"/>
        <v/>
      </c>
      <c r="B73" s="45" t="str" cm="1">
        <f t="array" aca="1" ref="B73" ca="1">IF(ISBLANK(INDIRECT(_xlfn.CONCAT($I390,B$389))),"",INDIRECT(_xlfn.CONCAT($I390,B$389)))</f>
        <v/>
      </c>
      <c r="C73" s="45"/>
      <c r="D73" s="45"/>
      <c r="E73" s="45"/>
      <c r="F73" s="45"/>
      <c r="G73" s="45"/>
      <c r="H73" s="45"/>
      <c r="I73" s="45" t="str" cm="1">
        <f t="array" aca="1" ref="I73" ca="1">IF(ISBLANK(INDIRECT(_xlfn.CONCAT($I390,C$389))),"",INDIRECT(_xlfn.CONCAT($I390,C$389)))</f>
        <v/>
      </c>
      <c r="J73" s="45"/>
      <c r="K73" s="45"/>
      <c r="L73" s="45"/>
      <c r="M73" s="45"/>
      <c r="N73" s="45"/>
      <c r="O73" s="45"/>
      <c r="P73" s="45" t="str" cm="1">
        <f t="array" aca="1" ref="P73" ca="1">IF(ISBLANK(INDIRECT(_xlfn.CONCAT($I390,D$389))),"",INDIRECT(_xlfn.CONCAT($I390,D$389)))</f>
        <v/>
      </c>
      <c r="Q73" s="45"/>
      <c r="R73" s="45"/>
      <c r="S73" s="45"/>
      <c r="T73" s="45"/>
      <c r="U73" s="45"/>
      <c r="V73" s="45"/>
      <c r="W73" s="45" t="str" cm="1">
        <f t="array" aca="1" ref="W73" ca="1">IF(ISBLANK(INDIRECT(_xlfn.CONCAT($I390,E$389))),"",INDIRECT(_xlfn.CONCAT($I390,E$389)))</f>
        <v/>
      </c>
      <c r="X73" s="45"/>
      <c r="Y73" s="45"/>
      <c r="Z73" s="45"/>
      <c r="AA73" s="45"/>
      <c r="AB73" s="45"/>
      <c r="AC73" s="45"/>
      <c r="AD73" s="45" t="str" cm="1">
        <f t="array" aca="1" ref="AD73" ca="1">IF(ISBLANK(INDIRECT(_xlfn.CONCAT($I390,F$389))),"",INDIRECT(_xlfn.CONCAT($I390,F$389)))</f>
        <v/>
      </c>
      <c r="AE73" s="45"/>
      <c r="AF73" s="45"/>
      <c r="AG73" s="45"/>
      <c r="AH73" s="45"/>
      <c r="AI73" s="45"/>
      <c r="AJ73" s="45"/>
      <c r="AK73" s="45" t="str" cm="1">
        <f t="array" aca="1" ref="AK73" ca="1">IF(ISBLANK(INDIRECT(_xlfn.CONCAT($I390,G$389))),"",INDIRECT(_xlfn.CONCAT($I390,G$389)))</f>
        <v/>
      </c>
      <c r="AL73" s="45"/>
      <c r="AM73" s="45"/>
      <c r="AN73" s="45"/>
      <c r="AO73" s="45"/>
      <c r="AP73" s="45"/>
      <c r="AQ73" s="45"/>
      <c r="AR73" s="45"/>
      <c r="AS73" s="46"/>
      <c r="AT73" s="46"/>
      <c r="AU73" s="46"/>
      <c r="AV73" s="46"/>
      <c r="AW73" s="46"/>
    </row>
    <row r="74" spans="1:49" ht="15" customHeight="1" x14ac:dyDescent="0.2">
      <c r="A74" s="41" t="str">
        <f t="shared" si="3"/>
        <v/>
      </c>
      <c r="B74" s="213" t="str" cm="1">
        <f t="array" ref="B74">IF(INDEX($U$427:$CB$432,B$436,$I437)="-","",INDEX($U$427:$CB$432,B$436,$I437))</f>
        <v/>
      </c>
      <c r="C74" s="213"/>
      <c r="D74" s="213"/>
      <c r="E74" s="213"/>
      <c r="F74" s="213"/>
      <c r="G74" s="213"/>
      <c r="H74" s="213"/>
      <c r="I74" s="213" t="str" cm="1">
        <f t="array" ref="I74">IF(INDEX($U$427:$CB$432,C$436,$I437)="-","",INDEX($U$427:$CB$432,C$436,$I437))</f>
        <v/>
      </c>
      <c r="J74" s="213"/>
      <c r="K74" s="213"/>
      <c r="L74" s="213"/>
      <c r="M74" s="213"/>
      <c r="N74" s="213"/>
      <c r="O74" s="213"/>
      <c r="P74" s="213" t="str" cm="1">
        <f t="array" ref="P74">IF(INDEX($U$427:$CB$432,D$436,$I437)="-","",INDEX($U$427:$CB$432,D$436,$I437))</f>
        <v/>
      </c>
      <c r="Q74" s="213"/>
      <c r="R74" s="213"/>
      <c r="S74" s="213"/>
      <c r="T74" s="213"/>
      <c r="U74" s="213"/>
      <c r="V74" s="213"/>
      <c r="W74" s="213" t="str" cm="1">
        <f t="array" ref="W74">IF(INDEX($U$427:$CB$432,E$436,$I437)="-","",INDEX($U$427:$CB$432,E$436,$I437))</f>
        <v/>
      </c>
      <c r="X74" s="213"/>
      <c r="Y74" s="213"/>
      <c r="Z74" s="213"/>
      <c r="AA74" s="213"/>
      <c r="AB74" s="213"/>
      <c r="AC74" s="213"/>
      <c r="AD74" s="213" t="str" cm="1">
        <f t="array" ref="AD74">IF(INDEX($U$427:$CB$432,F$436,$I437)="-","",INDEX($U$427:$CB$432,F$436,$I437))</f>
        <v/>
      </c>
      <c r="AE74" s="213"/>
      <c r="AF74" s="213"/>
      <c r="AG74" s="213"/>
      <c r="AH74" s="213"/>
      <c r="AI74" s="213"/>
      <c r="AJ74" s="213"/>
      <c r="AK74" s="213" t="str" cm="1">
        <f t="array" ref="AK74">IF(INDEX($U$427:$CB$432,G$436,$I437)="-","",INDEX($U$427:$CB$432,G$436,$I437))</f>
        <v/>
      </c>
      <c r="AL74" s="213"/>
      <c r="AM74" s="213"/>
      <c r="AN74" s="213"/>
      <c r="AO74" s="213"/>
      <c r="AP74" s="213"/>
      <c r="AQ74" s="213"/>
      <c r="AR74" s="211"/>
      <c r="AS74" s="211"/>
      <c r="AT74" s="211"/>
      <c r="AU74" s="211"/>
      <c r="AV74" s="211"/>
      <c r="AW74" s="211"/>
    </row>
    <row r="75" spans="1:49" ht="15" customHeight="1" x14ac:dyDescent="0.2">
      <c r="A75" s="41" t="str">
        <f t="shared" si="3"/>
        <v/>
      </c>
      <c r="B75" s="213"/>
      <c r="C75" s="213"/>
      <c r="D75" s="213"/>
      <c r="E75" s="213"/>
      <c r="F75" s="213"/>
      <c r="G75" s="213"/>
      <c r="H75" s="213"/>
      <c r="I75" s="213"/>
      <c r="J75" s="213"/>
      <c r="K75" s="213"/>
      <c r="L75" s="213"/>
      <c r="M75" s="213"/>
      <c r="N75" s="213"/>
      <c r="O75" s="213"/>
      <c r="P75" s="213"/>
      <c r="Q75" s="213"/>
      <c r="R75" s="213"/>
      <c r="S75" s="213"/>
      <c r="T75" s="213"/>
      <c r="U75" s="213"/>
      <c r="V75" s="213"/>
      <c r="W75" s="213"/>
      <c r="X75" s="213"/>
      <c r="Y75" s="213"/>
      <c r="Z75" s="213"/>
      <c r="AA75" s="213"/>
      <c r="AB75" s="213"/>
      <c r="AC75" s="213"/>
      <c r="AD75" s="213"/>
      <c r="AE75" s="213"/>
      <c r="AF75" s="213"/>
      <c r="AG75" s="213"/>
      <c r="AH75" s="213"/>
      <c r="AI75" s="213"/>
      <c r="AJ75" s="213"/>
      <c r="AK75" s="213"/>
      <c r="AL75" s="213"/>
      <c r="AM75" s="213"/>
      <c r="AN75" s="213"/>
      <c r="AO75" s="213"/>
      <c r="AP75" s="213"/>
      <c r="AQ75" s="213"/>
      <c r="AR75" s="211"/>
      <c r="AS75" s="211"/>
      <c r="AT75" s="211"/>
      <c r="AU75" s="211"/>
      <c r="AV75" s="211"/>
      <c r="AW75" s="211"/>
    </row>
    <row r="76" spans="1:49" ht="15" customHeight="1" x14ac:dyDescent="0.2">
      <c r="A76" s="41" t="str">
        <f t="shared" si="3"/>
        <v/>
      </c>
      <c r="B76" s="213"/>
      <c r="C76" s="213"/>
      <c r="D76" s="213"/>
      <c r="E76" s="213"/>
      <c r="F76" s="213"/>
      <c r="G76" s="213"/>
      <c r="H76" s="213"/>
      <c r="I76" s="213"/>
      <c r="J76" s="213"/>
      <c r="K76" s="213"/>
      <c r="L76" s="213"/>
      <c r="M76" s="213"/>
      <c r="N76" s="213"/>
      <c r="O76" s="213"/>
      <c r="P76" s="213"/>
      <c r="Q76" s="213"/>
      <c r="R76" s="213"/>
      <c r="S76" s="213"/>
      <c r="T76" s="213"/>
      <c r="U76" s="213"/>
      <c r="V76" s="213"/>
      <c r="W76" s="213"/>
      <c r="X76" s="213"/>
      <c r="Y76" s="213"/>
      <c r="Z76" s="213"/>
      <c r="AA76" s="213"/>
      <c r="AB76" s="213"/>
      <c r="AC76" s="213"/>
      <c r="AD76" s="213"/>
      <c r="AE76" s="213"/>
      <c r="AF76" s="213"/>
      <c r="AG76" s="213"/>
      <c r="AH76" s="213"/>
      <c r="AI76" s="213"/>
      <c r="AJ76" s="213"/>
      <c r="AK76" s="213"/>
      <c r="AL76" s="213"/>
      <c r="AM76" s="213"/>
      <c r="AN76" s="213"/>
      <c r="AO76" s="213"/>
      <c r="AP76" s="213"/>
      <c r="AQ76" s="213"/>
      <c r="AR76" s="211"/>
      <c r="AS76" s="211"/>
      <c r="AT76" s="211"/>
      <c r="AU76" s="211"/>
      <c r="AV76" s="211"/>
      <c r="AW76" s="211"/>
    </row>
    <row r="77" spans="1:49" ht="15" customHeight="1" x14ac:dyDescent="0.2">
      <c r="A77" s="41" t="str">
        <f t="shared" si="3"/>
        <v/>
      </c>
      <c r="B77" s="44" t="str" cm="1">
        <f t="array" aca="1" ref="B77" ca="1">IF(INDIRECT(_xlfn.CONCAT($J365,B$364))="+","+",IF(ISNUMBER(INDIRECT(_xlfn.CONCAT($J365,B$363))),"-",""))</f>
        <v/>
      </c>
      <c r="C77" s="41" t="str">
        <f ca="1">B77</f>
        <v/>
      </c>
      <c r="D77" s="41" t="str">
        <f t="shared" ref="D77" ca="1" si="220">C77</f>
        <v/>
      </c>
      <c r="E77" s="41" t="str">
        <f t="shared" ref="E77" ca="1" si="221">D77</f>
        <v/>
      </c>
      <c r="F77" s="41" t="str">
        <f t="shared" ref="F77" ca="1" si="222">E77</f>
        <v/>
      </c>
      <c r="G77" s="41" t="str">
        <f t="shared" ref="G77" ca="1" si="223">F77</f>
        <v/>
      </c>
      <c r="H77" s="41" t="str">
        <f t="shared" ref="H77" ca="1" si="224">G77</f>
        <v/>
      </c>
      <c r="I77" s="44" t="str" cm="1">
        <f t="array" aca="1" ref="I77" ca="1">IF(INDIRECT(_xlfn.CONCAT($J365,C$364))="+","+",IF(ISNUMBER(INDIRECT(_xlfn.CONCAT($J365,C$363))),"-",""))</f>
        <v/>
      </c>
      <c r="J77" s="41" t="str">
        <f ca="1">I77</f>
        <v/>
      </c>
      <c r="K77" s="41" t="str">
        <f t="shared" ref="K77" ca="1" si="225">J77</f>
        <v/>
      </c>
      <c r="L77" s="41" t="str">
        <f t="shared" ref="L77" ca="1" si="226">K77</f>
        <v/>
      </c>
      <c r="M77" s="41" t="str">
        <f t="shared" ref="M77" ca="1" si="227">L77</f>
        <v/>
      </c>
      <c r="N77" s="41" t="str">
        <f t="shared" ref="N77" ca="1" si="228">M77</f>
        <v/>
      </c>
      <c r="O77" s="41" t="str">
        <f t="shared" ref="O77" ca="1" si="229">N77</f>
        <v/>
      </c>
      <c r="P77" s="44" t="str" cm="1">
        <f t="array" aca="1" ref="P77" ca="1">IF(INDIRECT(_xlfn.CONCAT($J365,D$364))="+","+",IF(ISNUMBER(INDIRECT(_xlfn.CONCAT($J365,D$363))),"-",""))</f>
        <v/>
      </c>
      <c r="Q77" s="41" t="str">
        <f ca="1">P77</f>
        <v/>
      </c>
      <c r="R77" s="41" t="str">
        <f t="shared" ref="R77" ca="1" si="230">Q77</f>
        <v/>
      </c>
      <c r="S77" s="41" t="str">
        <f t="shared" ref="S77" ca="1" si="231">R77</f>
        <v/>
      </c>
      <c r="T77" s="41" t="str">
        <f t="shared" ref="T77" ca="1" si="232">S77</f>
        <v/>
      </c>
      <c r="U77" s="41" t="str">
        <f t="shared" ref="U77" ca="1" si="233">T77</f>
        <v/>
      </c>
      <c r="V77" s="41" t="str">
        <f t="shared" ref="V77" ca="1" si="234">U77</f>
        <v/>
      </c>
      <c r="W77" s="44" t="str" cm="1">
        <f t="array" aca="1" ref="W77" ca="1">IF(INDIRECT(_xlfn.CONCAT($J365,E$364))="+","+",IF(ISNUMBER(INDIRECT(_xlfn.CONCAT($J365,E$363))),"-",""))</f>
        <v/>
      </c>
      <c r="X77" s="41" t="str">
        <f ca="1">W77</f>
        <v/>
      </c>
      <c r="Y77" s="41" t="str">
        <f t="shared" ref="Y77" ca="1" si="235">X77</f>
        <v/>
      </c>
      <c r="Z77" s="41" t="str">
        <f t="shared" ref="Z77" ca="1" si="236">Y77</f>
        <v/>
      </c>
      <c r="AA77" s="41" t="str">
        <f t="shared" ref="AA77" ca="1" si="237">Z77</f>
        <v/>
      </c>
      <c r="AB77" s="41" t="str">
        <f t="shared" ref="AB77" ca="1" si="238">AA77</f>
        <v/>
      </c>
      <c r="AC77" s="41" t="str">
        <f t="shared" ref="AC77" ca="1" si="239">AB77</f>
        <v/>
      </c>
      <c r="AD77" s="44" t="str" cm="1">
        <f t="array" aca="1" ref="AD77" ca="1">IF(INDIRECT(_xlfn.CONCAT($J365,F$364))="+","+",IF(ISNUMBER(INDIRECT(_xlfn.CONCAT($J365,F$363))),"-",""))</f>
        <v/>
      </c>
      <c r="AE77" s="41" t="str">
        <f ca="1">AD77</f>
        <v/>
      </c>
      <c r="AF77" s="41" t="str">
        <f t="shared" ref="AF77" ca="1" si="240">AE77</f>
        <v/>
      </c>
      <c r="AG77" s="41" t="str">
        <f t="shared" ref="AG77" ca="1" si="241">AF77</f>
        <v/>
      </c>
      <c r="AH77" s="41" t="str">
        <f t="shared" ref="AH77" ca="1" si="242">AG77</f>
        <v/>
      </c>
      <c r="AI77" s="41" t="str">
        <f t="shared" ref="AI77" ca="1" si="243">AH77</f>
        <v/>
      </c>
      <c r="AJ77" s="41" t="str">
        <f t="shared" ref="AJ77" ca="1" si="244">AI77</f>
        <v/>
      </c>
      <c r="AK77" s="44" t="str" cm="1">
        <f t="array" aca="1" ref="AK77" ca="1">IF(INDIRECT(_xlfn.CONCAT($J365,G$364))="+","+",IF(ISNUMBER(INDIRECT(_xlfn.CONCAT($J365,G$363))),"-",""))</f>
        <v/>
      </c>
      <c r="AL77" s="41" t="str">
        <f ca="1">AK77</f>
        <v/>
      </c>
      <c r="AM77" s="41" t="str">
        <f t="shared" ref="AM77" ca="1" si="245">AL77</f>
        <v/>
      </c>
      <c r="AN77" s="41" t="str">
        <f t="shared" ref="AN77" ca="1" si="246">AM77</f>
        <v/>
      </c>
      <c r="AO77" s="41" t="str">
        <f t="shared" ref="AO77" ca="1" si="247">AN77</f>
        <v/>
      </c>
      <c r="AP77" s="41" t="str">
        <f t="shared" ref="AP77" ca="1" si="248">AO77</f>
        <v/>
      </c>
      <c r="AQ77" s="41" t="str">
        <f t="shared" ref="AQ77" ca="1" si="249">AP77</f>
        <v/>
      </c>
      <c r="AR77" s="44"/>
      <c r="AS77" s="41"/>
      <c r="AT77" s="41"/>
      <c r="AU77" s="41"/>
      <c r="AV77" s="41"/>
      <c r="AW77" s="41"/>
    </row>
    <row r="78" spans="1:49" ht="15" customHeight="1" x14ac:dyDescent="0.2">
      <c r="A78" s="41" t="str">
        <f t="shared" si="3"/>
        <v/>
      </c>
      <c r="B78" s="45" t="str" cm="1">
        <f t="array" aca="1" ref="B78" ca="1">IF(ISBLANK(INDIRECT(_xlfn.CONCAT($J390,B$389))),"",INDIRECT(_xlfn.CONCAT($J390,B$389)))</f>
        <v/>
      </c>
      <c r="C78" s="45"/>
      <c r="D78" s="45"/>
      <c r="E78" s="45"/>
      <c r="F78" s="45"/>
      <c r="G78" s="45"/>
      <c r="H78" s="45"/>
      <c r="I78" s="45" t="str" cm="1">
        <f t="array" aca="1" ref="I78" ca="1">IF(ISBLANK(INDIRECT(_xlfn.CONCAT($J390,C$389))),"",INDIRECT(_xlfn.CONCAT($J390,C$389)))</f>
        <v/>
      </c>
      <c r="J78" s="45"/>
      <c r="K78" s="45"/>
      <c r="L78" s="45"/>
      <c r="M78" s="45"/>
      <c r="N78" s="45"/>
      <c r="O78" s="45"/>
      <c r="P78" s="45" t="str" cm="1">
        <f t="array" aca="1" ref="P78" ca="1">IF(ISBLANK(INDIRECT(_xlfn.CONCAT($J390,D$389))),"",INDIRECT(_xlfn.CONCAT($J390,D$389)))</f>
        <v/>
      </c>
      <c r="Q78" s="45"/>
      <c r="R78" s="45"/>
      <c r="S78" s="45"/>
      <c r="T78" s="45"/>
      <c r="U78" s="45"/>
      <c r="V78" s="45"/>
      <c r="W78" s="45" t="str" cm="1">
        <f t="array" aca="1" ref="W78" ca="1">IF(ISBLANK(INDIRECT(_xlfn.CONCAT($J390,E$389))),"",INDIRECT(_xlfn.CONCAT($J390,E$389)))</f>
        <v/>
      </c>
      <c r="X78" s="45"/>
      <c r="Y78" s="45"/>
      <c r="Z78" s="45"/>
      <c r="AA78" s="45"/>
      <c r="AB78" s="45"/>
      <c r="AC78" s="45"/>
      <c r="AD78" s="45" t="str" cm="1">
        <f t="array" aca="1" ref="AD78" ca="1">IF(ISBLANK(INDIRECT(_xlfn.CONCAT($J390,F$389))),"",INDIRECT(_xlfn.CONCAT($J390,F$389)))</f>
        <v/>
      </c>
      <c r="AE78" s="45"/>
      <c r="AF78" s="45"/>
      <c r="AG78" s="45"/>
      <c r="AH78" s="45"/>
      <c r="AI78" s="45"/>
      <c r="AJ78" s="45"/>
      <c r="AK78" s="45" t="str" cm="1">
        <f t="array" aca="1" ref="AK78" ca="1">IF(ISBLANK(INDIRECT(_xlfn.CONCAT($J390,G$389))),"",INDIRECT(_xlfn.CONCAT($J390,G$389)))</f>
        <v/>
      </c>
      <c r="AL78" s="45"/>
      <c r="AM78" s="45"/>
      <c r="AN78" s="45"/>
      <c r="AO78" s="45"/>
      <c r="AP78" s="45"/>
      <c r="AQ78" s="45"/>
      <c r="AR78" s="45"/>
      <c r="AS78" s="46"/>
      <c r="AT78" s="46"/>
      <c r="AU78" s="46"/>
      <c r="AV78" s="46"/>
      <c r="AW78" s="46"/>
    </row>
    <row r="79" spans="1:49" ht="15" customHeight="1" x14ac:dyDescent="0.2">
      <c r="A79" s="41" t="str">
        <f t="shared" si="3"/>
        <v/>
      </c>
      <c r="B79" s="213" t="str" cm="1">
        <f t="array" ref="B79">IF(INDEX($U$427:$CB$432,B$436,$J437)="-","",INDEX($U$427:$CB$432,B$436,$J437))</f>
        <v/>
      </c>
      <c r="C79" s="213"/>
      <c r="D79" s="213"/>
      <c r="E79" s="213"/>
      <c r="F79" s="213"/>
      <c r="G79" s="213"/>
      <c r="H79" s="213"/>
      <c r="I79" s="213" t="str" cm="1">
        <f t="array" ref="I79">IF(INDEX($U$427:$CB$432,C$436,$J437)="-","",INDEX($U$427:$CB$432,C$436,$J437))</f>
        <v/>
      </c>
      <c r="J79" s="213"/>
      <c r="K79" s="213"/>
      <c r="L79" s="213"/>
      <c r="M79" s="213"/>
      <c r="N79" s="213"/>
      <c r="O79" s="213"/>
      <c r="P79" s="213" t="str" cm="1">
        <f t="array" ref="P79">IF(INDEX($U$427:$CB$432,D$436,$J437)="-","",INDEX($U$427:$CB$432,D$436,$J437))</f>
        <v/>
      </c>
      <c r="Q79" s="213"/>
      <c r="R79" s="213"/>
      <c r="S79" s="213"/>
      <c r="T79" s="213"/>
      <c r="U79" s="213"/>
      <c r="V79" s="213"/>
      <c r="W79" s="213" t="str" cm="1">
        <f t="array" ref="W79">IF(INDEX($U$427:$CB$432,E$436,$J437)="-","",INDEX($U$427:$CB$432,E$436,$J437))</f>
        <v/>
      </c>
      <c r="X79" s="213"/>
      <c r="Y79" s="213"/>
      <c r="Z79" s="213"/>
      <c r="AA79" s="213"/>
      <c r="AB79" s="213"/>
      <c r="AC79" s="213"/>
      <c r="AD79" s="213" t="str" cm="1">
        <f t="array" ref="AD79">IF(INDEX($U$427:$CB$432,F$436,$J437)="-","",INDEX($U$427:$CB$432,F$436,$J437))</f>
        <v/>
      </c>
      <c r="AE79" s="213"/>
      <c r="AF79" s="213"/>
      <c r="AG79" s="213"/>
      <c r="AH79" s="213"/>
      <c r="AI79" s="213"/>
      <c r="AJ79" s="213"/>
      <c r="AK79" s="213" t="str" cm="1">
        <f t="array" ref="AK79">IF(INDEX($U$427:$CB$432,G$436,$J437)="-","",INDEX($U$427:$CB$432,G$436,$J437))</f>
        <v/>
      </c>
      <c r="AL79" s="213"/>
      <c r="AM79" s="213"/>
      <c r="AN79" s="213"/>
      <c r="AO79" s="213"/>
      <c r="AP79" s="213"/>
      <c r="AQ79" s="213"/>
      <c r="AR79" s="211"/>
      <c r="AS79" s="211"/>
      <c r="AT79" s="211"/>
      <c r="AU79" s="211"/>
      <c r="AV79" s="211"/>
      <c r="AW79" s="211"/>
    </row>
    <row r="80" spans="1:49" ht="15" customHeight="1" x14ac:dyDescent="0.2">
      <c r="A80" s="41" t="str">
        <f t="shared" si="3"/>
        <v/>
      </c>
      <c r="B80" s="213"/>
      <c r="C80" s="213"/>
      <c r="D80" s="213"/>
      <c r="E80" s="213"/>
      <c r="F80" s="213"/>
      <c r="G80" s="213"/>
      <c r="H80" s="213"/>
      <c r="I80" s="213"/>
      <c r="J80" s="213"/>
      <c r="K80" s="213"/>
      <c r="L80" s="213"/>
      <c r="M80" s="213"/>
      <c r="N80" s="213"/>
      <c r="O80" s="213"/>
      <c r="P80" s="213"/>
      <c r="Q80" s="213"/>
      <c r="R80" s="213"/>
      <c r="S80" s="213"/>
      <c r="T80" s="213"/>
      <c r="U80" s="213"/>
      <c r="V80" s="213"/>
      <c r="W80" s="213"/>
      <c r="X80" s="213"/>
      <c r="Y80" s="213"/>
      <c r="Z80" s="213"/>
      <c r="AA80" s="213"/>
      <c r="AB80" s="213"/>
      <c r="AC80" s="213"/>
      <c r="AD80" s="213"/>
      <c r="AE80" s="213"/>
      <c r="AF80" s="213"/>
      <c r="AG80" s="213"/>
      <c r="AH80" s="213"/>
      <c r="AI80" s="213"/>
      <c r="AJ80" s="213"/>
      <c r="AK80" s="213"/>
      <c r="AL80" s="213"/>
      <c r="AM80" s="213"/>
      <c r="AN80" s="213"/>
      <c r="AO80" s="213"/>
      <c r="AP80" s="213"/>
      <c r="AQ80" s="213"/>
      <c r="AR80" s="211"/>
      <c r="AS80" s="211"/>
      <c r="AT80" s="211"/>
      <c r="AU80" s="211"/>
      <c r="AV80" s="211"/>
      <c r="AW80" s="211"/>
    </row>
    <row r="81" spans="1:51" ht="15" customHeight="1" x14ac:dyDescent="0.2">
      <c r="A81" s="41" t="str">
        <f t="shared" si="3"/>
        <v/>
      </c>
      <c r="B81" s="213"/>
      <c r="C81" s="213"/>
      <c r="D81" s="213"/>
      <c r="E81" s="213"/>
      <c r="F81" s="213"/>
      <c r="G81" s="213"/>
      <c r="H81" s="213"/>
      <c r="I81" s="213"/>
      <c r="J81" s="213"/>
      <c r="K81" s="213"/>
      <c r="L81" s="213"/>
      <c r="M81" s="213"/>
      <c r="N81" s="213"/>
      <c r="O81" s="213"/>
      <c r="P81" s="213"/>
      <c r="Q81" s="213"/>
      <c r="R81" s="213"/>
      <c r="S81" s="213"/>
      <c r="T81" s="213"/>
      <c r="U81" s="213"/>
      <c r="V81" s="213"/>
      <c r="W81" s="213"/>
      <c r="X81" s="213"/>
      <c r="Y81" s="213"/>
      <c r="Z81" s="213"/>
      <c r="AA81" s="213"/>
      <c r="AB81" s="213"/>
      <c r="AC81" s="213"/>
      <c r="AD81" s="213"/>
      <c r="AE81" s="213"/>
      <c r="AF81" s="213"/>
      <c r="AG81" s="213"/>
      <c r="AH81" s="213"/>
      <c r="AI81" s="213"/>
      <c r="AJ81" s="213"/>
      <c r="AK81" s="213"/>
      <c r="AL81" s="213"/>
      <c r="AM81" s="213"/>
      <c r="AN81" s="213"/>
      <c r="AO81" s="213"/>
      <c r="AP81" s="213"/>
      <c r="AQ81" s="213"/>
      <c r="AR81" s="211"/>
      <c r="AS81" s="211"/>
      <c r="AT81" s="211"/>
      <c r="AU81" s="211"/>
      <c r="AV81" s="211"/>
      <c r="AW81" s="211"/>
    </row>
    <row r="82" spans="1:51" ht="15" customHeight="1" x14ac:dyDescent="0.2">
      <c r="A82" s="41" t="str">
        <f t="shared" si="3"/>
        <v/>
      </c>
      <c r="B82" s="44" t="str" cm="1">
        <f t="array" aca="1" ref="B82" ca="1">IF(INDIRECT(_xlfn.CONCAT($K365,B$364))="+","+",IF(ISNUMBER(INDIRECT(_xlfn.CONCAT($K365,B$363))),"-",""))</f>
        <v/>
      </c>
      <c r="C82" s="41" t="str">
        <f ca="1">B82</f>
        <v/>
      </c>
      <c r="D82" s="41" t="str">
        <f t="shared" ref="D82" ca="1" si="250">C82</f>
        <v/>
      </c>
      <c r="E82" s="41" t="str">
        <f t="shared" ref="E82" ca="1" si="251">D82</f>
        <v/>
      </c>
      <c r="F82" s="41" t="str">
        <f t="shared" ref="F82" ca="1" si="252">E82</f>
        <v/>
      </c>
      <c r="G82" s="41" t="str">
        <f t="shared" ref="G82" ca="1" si="253">F82</f>
        <v/>
      </c>
      <c r="H82" s="41" t="str">
        <f t="shared" ref="H82" ca="1" si="254">G82</f>
        <v/>
      </c>
      <c r="I82" s="44" t="str" cm="1">
        <f t="array" aca="1" ref="I82" ca="1">IF(INDIRECT(_xlfn.CONCAT($K365,C$364))="+","+",IF(ISNUMBER(INDIRECT(_xlfn.CONCAT($K365,C$363))),"-",""))</f>
        <v/>
      </c>
      <c r="J82" s="41" t="str">
        <f ca="1">I82</f>
        <v/>
      </c>
      <c r="K82" s="41" t="str">
        <f t="shared" ref="K82" ca="1" si="255">J82</f>
        <v/>
      </c>
      <c r="L82" s="41" t="str">
        <f t="shared" ref="L82" ca="1" si="256">K82</f>
        <v/>
      </c>
      <c r="M82" s="41" t="str">
        <f t="shared" ref="M82" ca="1" si="257">L82</f>
        <v/>
      </c>
      <c r="N82" s="41" t="str">
        <f t="shared" ref="N82" ca="1" si="258">M82</f>
        <v/>
      </c>
      <c r="O82" s="41" t="str">
        <f t="shared" ref="O82" ca="1" si="259">N82</f>
        <v/>
      </c>
      <c r="P82" s="44" t="str" cm="1">
        <f t="array" aca="1" ref="P82" ca="1">IF(INDIRECT(_xlfn.CONCAT($K365,D$364))="+","+",IF(ISNUMBER(INDIRECT(_xlfn.CONCAT($K365,D$363))),"-",""))</f>
        <v/>
      </c>
      <c r="Q82" s="41" t="str">
        <f ca="1">P82</f>
        <v/>
      </c>
      <c r="R82" s="41" t="str">
        <f t="shared" ref="R82" ca="1" si="260">Q82</f>
        <v/>
      </c>
      <c r="S82" s="41" t="str">
        <f t="shared" ref="S82" ca="1" si="261">R82</f>
        <v/>
      </c>
      <c r="T82" s="41" t="str">
        <f t="shared" ref="T82" ca="1" si="262">S82</f>
        <v/>
      </c>
      <c r="U82" s="41" t="str">
        <f t="shared" ref="U82" ca="1" si="263">T82</f>
        <v/>
      </c>
      <c r="V82" s="41" t="str">
        <f t="shared" ref="V82" ca="1" si="264">U82</f>
        <v/>
      </c>
      <c r="W82" s="44" t="str" cm="1">
        <f t="array" aca="1" ref="W82" ca="1">IF(INDIRECT(_xlfn.CONCAT($K365,E$364))="+","+",IF(ISNUMBER(INDIRECT(_xlfn.CONCAT($K365,E$363))),"-",""))</f>
        <v/>
      </c>
      <c r="X82" s="41" t="str">
        <f ca="1">W82</f>
        <v/>
      </c>
      <c r="Y82" s="41" t="str">
        <f t="shared" ref="Y82" ca="1" si="265">X82</f>
        <v/>
      </c>
      <c r="Z82" s="41" t="str">
        <f t="shared" ref="Z82" ca="1" si="266">Y82</f>
        <v/>
      </c>
      <c r="AA82" s="41" t="str">
        <f t="shared" ref="AA82" ca="1" si="267">Z82</f>
        <v/>
      </c>
      <c r="AB82" s="41" t="str">
        <f t="shared" ref="AB82" ca="1" si="268">AA82</f>
        <v/>
      </c>
      <c r="AC82" s="41" t="str">
        <f t="shared" ref="AC82" ca="1" si="269">AB82</f>
        <v/>
      </c>
      <c r="AD82" s="44" t="str" cm="1">
        <f t="array" aca="1" ref="AD82" ca="1">IF(INDIRECT(_xlfn.CONCAT($K365,F$364))="+","+",IF(ISNUMBER(INDIRECT(_xlfn.CONCAT($K365,F$363))),"-",""))</f>
        <v/>
      </c>
      <c r="AE82" s="41" t="str">
        <f ca="1">AD82</f>
        <v/>
      </c>
      <c r="AF82" s="41" t="str">
        <f t="shared" ref="AF82" ca="1" si="270">AE82</f>
        <v/>
      </c>
      <c r="AG82" s="41" t="str">
        <f t="shared" ref="AG82" ca="1" si="271">AF82</f>
        <v/>
      </c>
      <c r="AH82" s="41" t="str">
        <f t="shared" ref="AH82" ca="1" si="272">AG82</f>
        <v/>
      </c>
      <c r="AI82" s="41" t="str">
        <f t="shared" ref="AI82" ca="1" si="273">AH82</f>
        <v/>
      </c>
      <c r="AJ82" s="41" t="str">
        <f t="shared" ref="AJ82" ca="1" si="274">AI82</f>
        <v/>
      </c>
      <c r="AK82" s="44" t="str" cm="1">
        <f t="array" aca="1" ref="AK82" ca="1">IF(INDIRECT(_xlfn.CONCAT($K365,G$364))="+","+",IF(ISNUMBER(INDIRECT(_xlfn.CONCAT($K365,G$363))),"-",""))</f>
        <v/>
      </c>
      <c r="AL82" s="41" t="str">
        <f ca="1">AK82</f>
        <v/>
      </c>
      <c r="AM82" s="41" t="str">
        <f t="shared" ref="AM82" ca="1" si="275">AL82</f>
        <v/>
      </c>
      <c r="AN82" s="41" t="str">
        <f t="shared" ref="AN82" ca="1" si="276">AM82</f>
        <v/>
      </c>
      <c r="AO82" s="41" t="str">
        <f t="shared" ref="AO82" ca="1" si="277">AN82</f>
        <v/>
      </c>
      <c r="AP82" s="41" t="str">
        <f t="shared" ref="AP82" ca="1" si="278">AO82</f>
        <v/>
      </c>
      <c r="AQ82" s="41" t="str">
        <f t="shared" ref="AQ82" ca="1" si="279">AP82</f>
        <v/>
      </c>
      <c r="AR82" s="44"/>
      <c r="AS82" s="41"/>
      <c r="AT82" s="41"/>
      <c r="AU82" s="41"/>
      <c r="AV82" s="41"/>
      <c r="AW82" s="41"/>
    </row>
    <row r="83" spans="1:51" ht="15" customHeight="1" x14ac:dyDescent="0.2">
      <c r="A83" s="41" t="str">
        <f t="shared" si="3"/>
        <v/>
      </c>
      <c r="B83" s="45" t="str" cm="1">
        <f t="array" aca="1" ref="B83" ca="1">IF(ISBLANK(INDIRECT(_xlfn.CONCAT($K390,B$389))),"",INDIRECT(_xlfn.CONCAT($K390,B$389)))</f>
        <v/>
      </c>
      <c r="C83" s="45"/>
      <c r="D83" s="45"/>
      <c r="E83" s="45"/>
      <c r="F83" s="45"/>
      <c r="G83" s="45"/>
      <c r="H83" s="45"/>
      <c r="I83" s="45" t="str" cm="1">
        <f t="array" aca="1" ref="I83" ca="1">IF(ISBLANK(INDIRECT(_xlfn.CONCAT($K390,C$389))),"",INDIRECT(_xlfn.CONCAT($K390,C$389)))</f>
        <v/>
      </c>
      <c r="J83" s="45"/>
      <c r="K83" s="45"/>
      <c r="L83" s="45"/>
      <c r="M83" s="45"/>
      <c r="N83" s="45"/>
      <c r="O83" s="45"/>
      <c r="P83" s="45" t="str" cm="1">
        <f t="array" aca="1" ref="P83" ca="1">IF(ISBLANK(INDIRECT(_xlfn.CONCAT($K390,D$389))),"",INDIRECT(_xlfn.CONCAT($K390,D$389)))</f>
        <v/>
      </c>
      <c r="Q83" s="45"/>
      <c r="R83" s="45"/>
      <c r="S83" s="45"/>
      <c r="T83" s="45"/>
      <c r="U83" s="45"/>
      <c r="V83" s="45"/>
      <c r="W83" s="45" t="str" cm="1">
        <f t="array" aca="1" ref="W83" ca="1">IF(ISBLANK(INDIRECT(_xlfn.CONCAT($K390,E$389))),"",INDIRECT(_xlfn.CONCAT($K390,E$389)))</f>
        <v/>
      </c>
      <c r="X83" s="45"/>
      <c r="Y83" s="45"/>
      <c r="Z83" s="45"/>
      <c r="AA83" s="45"/>
      <c r="AB83" s="45"/>
      <c r="AC83" s="45"/>
      <c r="AD83" s="45" t="str" cm="1">
        <f t="array" aca="1" ref="AD83" ca="1">IF(ISBLANK(INDIRECT(_xlfn.CONCAT($K390,F$389))),"",INDIRECT(_xlfn.CONCAT($K390,F$389)))</f>
        <v/>
      </c>
      <c r="AE83" s="45"/>
      <c r="AF83" s="45"/>
      <c r="AG83" s="45"/>
      <c r="AH83" s="45"/>
      <c r="AI83" s="45"/>
      <c r="AJ83" s="45"/>
      <c r="AK83" s="45" t="str" cm="1">
        <f t="array" aca="1" ref="AK83" ca="1">IF(ISBLANK(INDIRECT(_xlfn.CONCAT($K390,G$389))),"",INDIRECT(_xlfn.CONCAT($K390,G$389)))</f>
        <v/>
      </c>
      <c r="AL83" s="45"/>
      <c r="AM83" s="45"/>
      <c r="AN83" s="45"/>
      <c r="AO83" s="45"/>
      <c r="AP83" s="45"/>
      <c r="AQ83" s="45"/>
      <c r="AR83" s="45"/>
      <c r="AS83" s="46"/>
      <c r="AT83" s="46"/>
      <c r="AU83" s="46"/>
      <c r="AV83" s="46"/>
      <c r="AW83" s="46"/>
    </row>
    <row r="84" spans="1:51" ht="15" customHeight="1" x14ac:dyDescent="0.2">
      <c r="A84" s="41" t="str">
        <f t="shared" si="3"/>
        <v/>
      </c>
      <c r="B84" s="213" t="str" cm="1">
        <f t="array" ref="B84">IF(INDEX($U$427:$CB$432,B$436,$K437)="-","",INDEX($U$427:$CB$432,B$436,$K437))</f>
        <v/>
      </c>
      <c r="C84" s="213"/>
      <c r="D84" s="213"/>
      <c r="E84" s="213"/>
      <c r="F84" s="213"/>
      <c r="G84" s="213"/>
      <c r="H84" s="213"/>
      <c r="I84" s="213" t="str" cm="1">
        <f t="array" ref="I84">IF(INDEX($U$427:$CB$432,C$436,$K437)="-","",INDEX($U$427:$CB$432,C$436,$K437))</f>
        <v/>
      </c>
      <c r="J84" s="213"/>
      <c r="K84" s="213"/>
      <c r="L84" s="213"/>
      <c r="M84" s="213"/>
      <c r="N84" s="213"/>
      <c r="O84" s="213"/>
      <c r="P84" s="213" t="str" cm="1">
        <f t="array" ref="P84">IF(INDEX($U$427:$CB$432,D$436,$K437)="-","",INDEX($U$427:$CB$432,D$436,$K437))</f>
        <v/>
      </c>
      <c r="Q84" s="213"/>
      <c r="R84" s="213"/>
      <c r="S84" s="213"/>
      <c r="T84" s="213"/>
      <c r="U84" s="213"/>
      <c r="V84" s="213"/>
      <c r="W84" s="213" t="str" cm="1">
        <f t="array" ref="W84">IF(INDEX($U$427:$CB$432,E$436,$K437)="-","",INDEX($U$427:$CB$432,E$436,$K437))</f>
        <v/>
      </c>
      <c r="X84" s="213"/>
      <c r="Y84" s="213"/>
      <c r="Z84" s="213"/>
      <c r="AA84" s="213"/>
      <c r="AB84" s="213"/>
      <c r="AC84" s="213"/>
      <c r="AD84" s="213" t="str" cm="1">
        <f t="array" ref="AD84">IF(INDEX($U$427:$CB$432,F$436,$K437)="-","",INDEX($U$427:$CB$432,F$436,$K437))</f>
        <v/>
      </c>
      <c r="AE84" s="213"/>
      <c r="AF84" s="213"/>
      <c r="AG84" s="213"/>
      <c r="AH84" s="213"/>
      <c r="AI84" s="213"/>
      <c r="AJ84" s="213"/>
      <c r="AK84" s="213" t="str" cm="1">
        <f t="array" ref="AK84">IF(INDEX($U$427:$CB$432,G$436,$K437)="-","",INDEX($U$427:$CB$432,G$436,$K437))</f>
        <v/>
      </c>
      <c r="AL84" s="213"/>
      <c r="AM84" s="213"/>
      <c r="AN84" s="213"/>
      <c r="AO84" s="213"/>
      <c r="AP84" s="213"/>
      <c r="AQ84" s="213"/>
      <c r="AR84" s="211"/>
      <c r="AS84" s="211"/>
      <c r="AT84" s="211"/>
      <c r="AU84" s="211"/>
      <c r="AV84" s="211"/>
      <c r="AW84" s="211"/>
    </row>
    <row r="85" spans="1:51" ht="15" customHeight="1" x14ac:dyDescent="0.2">
      <c r="A85" s="41" t="str">
        <f t="shared" si="3"/>
        <v/>
      </c>
      <c r="B85" s="213"/>
      <c r="C85" s="213"/>
      <c r="D85" s="213"/>
      <c r="E85" s="213"/>
      <c r="F85" s="213"/>
      <c r="G85" s="213"/>
      <c r="H85" s="213"/>
      <c r="I85" s="213"/>
      <c r="J85" s="213"/>
      <c r="K85" s="213"/>
      <c r="L85" s="213"/>
      <c r="M85" s="213"/>
      <c r="N85" s="213"/>
      <c r="O85" s="213"/>
      <c r="P85" s="213"/>
      <c r="Q85" s="213"/>
      <c r="R85" s="213"/>
      <c r="S85" s="213"/>
      <c r="T85" s="213"/>
      <c r="U85" s="213"/>
      <c r="V85" s="213"/>
      <c r="W85" s="213"/>
      <c r="X85" s="213"/>
      <c r="Y85" s="213"/>
      <c r="Z85" s="213"/>
      <c r="AA85" s="213"/>
      <c r="AB85" s="213"/>
      <c r="AC85" s="213"/>
      <c r="AD85" s="213"/>
      <c r="AE85" s="213"/>
      <c r="AF85" s="213"/>
      <c r="AG85" s="213"/>
      <c r="AH85" s="213"/>
      <c r="AI85" s="213"/>
      <c r="AJ85" s="213"/>
      <c r="AK85" s="213"/>
      <c r="AL85" s="213"/>
      <c r="AM85" s="213"/>
      <c r="AN85" s="213"/>
      <c r="AO85" s="213"/>
      <c r="AP85" s="213"/>
      <c r="AQ85" s="213"/>
      <c r="AR85" s="211"/>
      <c r="AS85" s="211"/>
      <c r="AT85" s="211"/>
      <c r="AU85" s="211"/>
      <c r="AV85" s="211"/>
      <c r="AW85" s="211"/>
    </row>
    <row r="86" spans="1:51" ht="15" customHeight="1" x14ac:dyDescent="0.2">
      <c r="A86" s="41" t="str">
        <f t="shared" si="3"/>
        <v/>
      </c>
      <c r="B86" s="213"/>
      <c r="C86" s="213"/>
      <c r="D86" s="213"/>
      <c r="E86" s="213"/>
      <c r="F86" s="213"/>
      <c r="G86" s="213"/>
      <c r="H86" s="213"/>
      <c r="I86" s="213"/>
      <c r="J86" s="213"/>
      <c r="K86" s="213"/>
      <c r="L86" s="213"/>
      <c r="M86" s="213"/>
      <c r="N86" s="213"/>
      <c r="O86" s="213"/>
      <c r="P86" s="213"/>
      <c r="Q86" s="213"/>
      <c r="R86" s="213"/>
      <c r="S86" s="213"/>
      <c r="T86" s="213"/>
      <c r="U86" s="213"/>
      <c r="V86" s="213"/>
      <c r="W86" s="213"/>
      <c r="X86" s="213"/>
      <c r="Y86" s="213"/>
      <c r="Z86" s="213"/>
      <c r="AA86" s="213"/>
      <c r="AB86" s="213"/>
      <c r="AC86" s="213"/>
      <c r="AD86" s="213"/>
      <c r="AE86" s="213"/>
      <c r="AF86" s="213"/>
      <c r="AG86" s="213"/>
      <c r="AH86" s="213"/>
      <c r="AI86" s="213"/>
      <c r="AJ86" s="213"/>
      <c r="AK86" s="213"/>
      <c r="AL86" s="213"/>
      <c r="AM86" s="213"/>
      <c r="AN86" s="213"/>
      <c r="AO86" s="213"/>
      <c r="AP86" s="213"/>
      <c r="AQ86" s="213"/>
      <c r="AR86" s="211"/>
      <c r="AS86" s="211"/>
      <c r="AT86" s="211"/>
      <c r="AU86" s="211"/>
      <c r="AV86" s="211"/>
      <c r="AW86" s="211"/>
    </row>
    <row r="87" spans="1:51" ht="15" customHeight="1" x14ac:dyDescent="0.2">
      <c r="A87" s="41" t="str">
        <f t="shared" si="3"/>
        <v/>
      </c>
      <c r="B87" s="44" t="str" cm="1">
        <f t="array" aca="1" ref="B87" ca="1">IF(INDIRECT(_xlfn.CONCAT($L365,B$364))="+","+",IF(ISNUMBER(INDIRECT(_xlfn.CONCAT($L365,B$363))),"-",""))</f>
        <v/>
      </c>
      <c r="C87" s="41" t="str">
        <f ca="1">B87</f>
        <v/>
      </c>
      <c r="D87" s="41" t="str">
        <f t="shared" ref="D87" ca="1" si="280">C87</f>
        <v/>
      </c>
      <c r="E87" s="41" t="str">
        <f t="shared" ref="E87" ca="1" si="281">D87</f>
        <v/>
      </c>
      <c r="F87" s="41" t="str">
        <f t="shared" ref="F87" ca="1" si="282">E87</f>
        <v/>
      </c>
      <c r="G87" s="41" t="str">
        <f t="shared" ref="G87" ca="1" si="283">F87</f>
        <v/>
      </c>
      <c r="H87" s="41" t="str">
        <f t="shared" ref="H87" ca="1" si="284">G87</f>
        <v/>
      </c>
      <c r="I87" s="44" t="str" cm="1">
        <f t="array" aca="1" ref="I87" ca="1">IF(INDIRECT(_xlfn.CONCAT($L365,C$364))="+","+",IF(ISNUMBER(INDIRECT(_xlfn.CONCAT($L365,C$363))),"-",""))</f>
        <v/>
      </c>
      <c r="J87" s="41" t="str">
        <f ca="1">I87</f>
        <v/>
      </c>
      <c r="K87" s="41" t="str">
        <f t="shared" ref="K87" ca="1" si="285">J87</f>
        <v/>
      </c>
      <c r="L87" s="41" t="str">
        <f t="shared" ref="L87" ca="1" si="286">K87</f>
        <v/>
      </c>
      <c r="M87" s="41" t="str">
        <f t="shared" ref="M87" ca="1" si="287">L87</f>
        <v/>
      </c>
      <c r="N87" s="41" t="str">
        <f t="shared" ref="N87" ca="1" si="288">M87</f>
        <v/>
      </c>
      <c r="O87" s="41" t="str">
        <f t="shared" ref="O87" ca="1" si="289">N87</f>
        <v/>
      </c>
      <c r="P87" s="44" t="str" cm="1">
        <f t="array" aca="1" ref="P87" ca="1">IF(INDIRECT(_xlfn.CONCAT($L365,D$364))="+","+",IF(ISNUMBER(INDIRECT(_xlfn.CONCAT($L365,D$363))),"-",""))</f>
        <v/>
      </c>
      <c r="Q87" s="41" t="str">
        <f ca="1">P87</f>
        <v/>
      </c>
      <c r="R87" s="41" t="str">
        <f t="shared" ref="R87" ca="1" si="290">Q87</f>
        <v/>
      </c>
      <c r="S87" s="41" t="str">
        <f t="shared" ref="S87" ca="1" si="291">R87</f>
        <v/>
      </c>
      <c r="T87" s="41" t="str">
        <f t="shared" ref="T87" ca="1" si="292">S87</f>
        <v/>
      </c>
      <c r="U87" s="41" t="str">
        <f t="shared" ref="U87" ca="1" si="293">T87</f>
        <v/>
      </c>
      <c r="V87" s="41" t="str">
        <f t="shared" ref="V87" ca="1" si="294">U87</f>
        <v/>
      </c>
      <c r="W87" s="44" t="str" cm="1">
        <f t="array" aca="1" ref="W87" ca="1">IF(INDIRECT(_xlfn.CONCAT($L365,E$364))="+","+",IF(ISNUMBER(INDIRECT(_xlfn.CONCAT($L365,E$363))),"-",""))</f>
        <v/>
      </c>
      <c r="X87" s="41" t="str">
        <f ca="1">W87</f>
        <v/>
      </c>
      <c r="Y87" s="41" t="str">
        <f t="shared" ref="Y87" ca="1" si="295">X87</f>
        <v/>
      </c>
      <c r="Z87" s="41" t="str">
        <f t="shared" ref="Z87" ca="1" si="296">Y87</f>
        <v/>
      </c>
      <c r="AA87" s="41" t="str">
        <f t="shared" ref="AA87" ca="1" si="297">Z87</f>
        <v/>
      </c>
      <c r="AB87" s="41" t="str">
        <f t="shared" ref="AB87" ca="1" si="298">AA87</f>
        <v/>
      </c>
      <c r="AC87" s="41" t="str">
        <f t="shared" ref="AC87" ca="1" si="299">AB87</f>
        <v/>
      </c>
      <c r="AD87" s="44" t="str" cm="1">
        <f t="array" aca="1" ref="AD87" ca="1">IF(INDIRECT(_xlfn.CONCAT($L365,F$364))="+","+",IF(ISNUMBER(INDIRECT(_xlfn.CONCAT($L365,F$363))),"-",""))</f>
        <v/>
      </c>
      <c r="AE87" s="41" t="str">
        <f ca="1">AD87</f>
        <v/>
      </c>
      <c r="AF87" s="41" t="str">
        <f t="shared" ref="AF87" ca="1" si="300">AE87</f>
        <v/>
      </c>
      <c r="AG87" s="41" t="str">
        <f t="shared" ref="AG87" ca="1" si="301">AF87</f>
        <v/>
      </c>
      <c r="AH87" s="41" t="str">
        <f t="shared" ref="AH87" ca="1" si="302">AG87</f>
        <v/>
      </c>
      <c r="AI87" s="41" t="str">
        <f t="shared" ref="AI87" ca="1" si="303">AH87</f>
        <v/>
      </c>
      <c r="AJ87" s="41" t="str">
        <f t="shared" ref="AJ87" ca="1" si="304">AI87</f>
        <v/>
      </c>
      <c r="AK87" s="44" t="str" cm="1">
        <f t="array" aca="1" ref="AK87" ca="1">IF(INDIRECT(_xlfn.CONCAT($L365,G$364))="+","+",IF(ISNUMBER(INDIRECT(_xlfn.CONCAT($L365,G$363))),"-",""))</f>
        <v/>
      </c>
      <c r="AL87" s="41" t="str">
        <f ca="1">AK87</f>
        <v/>
      </c>
      <c r="AM87" s="41" t="str">
        <f t="shared" ref="AM87" ca="1" si="305">AL87</f>
        <v/>
      </c>
      <c r="AN87" s="41" t="str">
        <f t="shared" ref="AN87" ca="1" si="306">AM87</f>
        <v/>
      </c>
      <c r="AO87" s="41" t="str">
        <f t="shared" ref="AO87" ca="1" si="307">AN87</f>
        <v/>
      </c>
      <c r="AP87" s="41" t="str">
        <f t="shared" ref="AP87" ca="1" si="308">AO87</f>
        <v/>
      </c>
      <c r="AQ87" s="41" t="str">
        <f t="shared" ref="AQ87" ca="1" si="309">AP87</f>
        <v/>
      </c>
      <c r="AR87" s="44"/>
      <c r="AS87" s="41"/>
      <c r="AT87" s="41"/>
      <c r="AU87" s="41"/>
      <c r="AV87" s="41"/>
      <c r="AW87" s="41"/>
    </row>
    <row r="88" spans="1:51" ht="15" customHeight="1" x14ac:dyDescent="0.2">
      <c r="A88" s="41" t="str">
        <f t="shared" si="3"/>
        <v/>
      </c>
      <c r="B88" s="45" t="str" cm="1">
        <f t="array" aca="1" ref="B88" ca="1">IF(ISBLANK(INDIRECT(_xlfn.CONCAT($L390,B$389))),"",INDIRECT(_xlfn.CONCAT($L390,B$389)))</f>
        <v/>
      </c>
      <c r="C88" s="45"/>
      <c r="D88" s="45"/>
      <c r="E88" s="45"/>
      <c r="F88" s="45"/>
      <c r="G88" s="45"/>
      <c r="H88" s="45"/>
      <c r="I88" s="45" t="str" cm="1">
        <f t="array" aca="1" ref="I88" ca="1">IF(ISBLANK(INDIRECT(_xlfn.CONCAT($L390,C$389))),"",INDIRECT(_xlfn.CONCAT($L390,C$389)))</f>
        <v/>
      </c>
      <c r="J88" s="45"/>
      <c r="K88" s="45"/>
      <c r="L88" s="45"/>
      <c r="M88" s="45"/>
      <c r="N88" s="45"/>
      <c r="O88" s="45"/>
      <c r="P88" s="45" t="str" cm="1">
        <f t="array" aca="1" ref="P88" ca="1">IF(ISBLANK(INDIRECT(_xlfn.CONCAT($L390,D$389))),"",INDIRECT(_xlfn.CONCAT($L390,D$389)))</f>
        <v/>
      </c>
      <c r="Q88" s="45"/>
      <c r="R88" s="45"/>
      <c r="S88" s="45"/>
      <c r="T88" s="45"/>
      <c r="U88" s="45"/>
      <c r="V88" s="45"/>
      <c r="W88" s="45" t="str" cm="1">
        <f t="array" aca="1" ref="W88" ca="1">IF(ISBLANK(INDIRECT(_xlfn.CONCAT($L390,E$389))),"",INDIRECT(_xlfn.CONCAT($L390,E$389)))</f>
        <v/>
      </c>
      <c r="X88" s="45"/>
      <c r="Y88" s="45"/>
      <c r="Z88" s="45"/>
      <c r="AA88" s="45"/>
      <c r="AB88" s="45"/>
      <c r="AC88" s="45"/>
      <c r="AD88" s="45" t="str" cm="1">
        <f t="array" aca="1" ref="AD88" ca="1">IF(ISBLANK(INDIRECT(_xlfn.CONCAT($L390,F$389))),"",INDIRECT(_xlfn.CONCAT($L390,F$389)))</f>
        <v/>
      </c>
      <c r="AE88" s="45"/>
      <c r="AF88" s="45"/>
      <c r="AG88" s="45"/>
      <c r="AH88" s="45"/>
      <c r="AI88" s="45"/>
      <c r="AJ88" s="45"/>
      <c r="AK88" s="45" t="str" cm="1">
        <f t="array" aca="1" ref="AK88" ca="1">IF(ISBLANK(INDIRECT(_xlfn.CONCAT($L390,G$389))),"",INDIRECT(_xlfn.CONCAT($L390,G$389)))</f>
        <v/>
      </c>
      <c r="AL88" s="45"/>
      <c r="AM88" s="45"/>
      <c r="AN88" s="45"/>
      <c r="AO88" s="45"/>
      <c r="AP88" s="45"/>
      <c r="AQ88" s="45"/>
      <c r="AR88" s="45"/>
      <c r="AS88" s="46"/>
      <c r="AT88" s="46"/>
      <c r="AU88" s="46"/>
      <c r="AV88" s="46"/>
      <c r="AW88" s="46"/>
    </row>
    <row r="89" spans="1:51" ht="15" customHeight="1" x14ac:dyDescent="0.2">
      <c r="A89" s="41" t="str">
        <f t="shared" si="3"/>
        <v/>
      </c>
      <c r="B89" s="213" t="str" cm="1">
        <f t="array" ref="B89">IF(INDEX($U$427:$CB$432,B$436,$L437)="-","",INDEX($U$427:$CB$432,B$436,$L437))</f>
        <v/>
      </c>
      <c r="C89" s="213"/>
      <c r="D89" s="213"/>
      <c r="E89" s="213"/>
      <c r="F89" s="213"/>
      <c r="G89" s="213"/>
      <c r="H89" s="213"/>
      <c r="I89" s="213" t="str" cm="1">
        <f t="array" ref="I89">IF(INDEX($U$427:$CB$432,C$436,$L437)="-","",INDEX($U$427:$CB$432,C$436,$L437))</f>
        <v/>
      </c>
      <c r="J89" s="213"/>
      <c r="K89" s="213"/>
      <c r="L89" s="213"/>
      <c r="M89" s="213"/>
      <c r="N89" s="213"/>
      <c r="O89" s="213"/>
      <c r="P89" s="213" t="str" cm="1">
        <f t="array" ref="P89">IF(INDEX($U$427:$CB$432,D$436,$L437)="-","",INDEX($U$427:$CB$432,D$436,$L437))</f>
        <v/>
      </c>
      <c r="Q89" s="213"/>
      <c r="R89" s="213"/>
      <c r="S89" s="213"/>
      <c r="T89" s="213"/>
      <c r="U89" s="213"/>
      <c r="V89" s="213"/>
      <c r="W89" s="213" t="str" cm="1">
        <f t="array" ref="W89">IF(INDEX($U$427:$CB$432,E$436,$L437)="-","",INDEX($U$427:$CB$432,E$436,$L437))</f>
        <v/>
      </c>
      <c r="X89" s="213"/>
      <c r="Y89" s="213"/>
      <c r="Z89" s="213"/>
      <c r="AA89" s="213"/>
      <c r="AB89" s="213"/>
      <c r="AC89" s="213"/>
      <c r="AD89" s="213" t="str" cm="1">
        <f t="array" ref="AD89">IF(INDEX($U$427:$CB$432,F$436,$L437)="-","",INDEX($U$427:$CB$432,F$436,$L437))</f>
        <v/>
      </c>
      <c r="AE89" s="213"/>
      <c r="AF89" s="213"/>
      <c r="AG89" s="213"/>
      <c r="AH89" s="213"/>
      <c r="AI89" s="213"/>
      <c r="AJ89" s="213"/>
      <c r="AK89" s="213" t="str" cm="1">
        <f t="array" ref="AK89">IF(INDEX($U$427:$CB$432,G$436,$L437)="-","",INDEX($U$427:$CB$432,G$436,$L437))</f>
        <v/>
      </c>
      <c r="AL89" s="213"/>
      <c r="AM89" s="213"/>
      <c r="AN89" s="213"/>
      <c r="AO89" s="213"/>
      <c r="AP89" s="213"/>
      <c r="AQ89" s="213"/>
      <c r="AR89" s="211"/>
      <c r="AS89" s="211"/>
      <c r="AT89" s="211"/>
      <c r="AU89" s="211"/>
      <c r="AV89" s="211"/>
      <c r="AW89" s="211"/>
    </row>
    <row r="90" spans="1:51" ht="15" customHeight="1" x14ac:dyDescent="0.2">
      <c r="A90" s="41" t="str">
        <f t="shared" si="3"/>
        <v/>
      </c>
      <c r="B90" s="213"/>
      <c r="C90" s="213"/>
      <c r="D90" s="213"/>
      <c r="E90" s="213"/>
      <c r="F90" s="213"/>
      <c r="G90" s="213"/>
      <c r="H90" s="213"/>
      <c r="I90" s="213"/>
      <c r="J90" s="213"/>
      <c r="K90" s="213"/>
      <c r="L90" s="213"/>
      <c r="M90" s="213"/>
      <c r="N90" s="213"/>
      <c r="O90" s="213"/>
      <c r="P90" s="213"/>
      <c r="Q90" s="213"/>
      <c r="R90" s="213"/>
      <c r="S90" s="213"/>
      <c r="T90" s="213"/>
      <c r="U90" s="213"/>
      <c r="V90" s="213"/>
      <c r="W90" s="213"/>
      <c r="X90" s="213"/>
      <c r="Y90" s="213"/>
      <c r="Z90" s="213"/>
      <c r="AA90" s="213"/>
      <c r="AB90" s="213"/>
      <c r="AC90" s="213"/>
      <c r="AD90" s="213"/>
      <c r="AE90" s="213"/>
      <c r="AF90" s="213"/>
      <c r="AG90" s="213"/>
      <c r="AH90" s="213"/>
      <c r="AI90" s="213"/>
      <c r="AJ90" s="213"/>
      <c r="AK90" s="213"/>
      <c r="AL90" s="213"/>
      <c r="AM90" s="213"/>
      <c r="AN90" s="213"/>
      <c r="AO90" s="213"/>
      <c r="AP90" s="213"/>
      <c r="AQ90" s="213"/>
      <c r="AR90" s="211"/>
      <c r="AS90" s="211"/>
      <c r="AT90" s="211"/>
      <c r="AU90" s="211"/>
      <c r="AV90" s="211"/>
      <c r="AW90" s="211"/>
    </row>
    <row r="91" spans="1:51" ht="15" customHeight="1" x14ac:dyDescent="0.2">
      <c r="A91" s="41" t="str">
        <f t="shared" si="3"/>
        <v/>
      </c>
      <c r="B91" s="213"/>
      <c r="C91" s="213"/>
      <c r="D91" s="213"/>
      <c r="E91" s="213"/>
      <c r="F91" s="213"/>
      <c r="G91" s="213"/>
      <c r="H91" s="213"/>
      <c r="I91" s="213"/>
      <c r="J91" s="213"/>
      <c r="K91" s="213"/>
      <c r="L91" s="213"/>
      <c r="M91" s="213"/>
      <c r="N91" s="213"/>
      <c r="O91" s="213"/>
      <c r="P91" s="213"/>
      <c r="Q91" s="213"/>
      <c r="R91" s="213"/>
      <c r="S91" s="213"/>
      <c r="T91" s="213"/>
      <c r="U91" s="213"/>
      <c r="V91" s="213"/>
      <c r="W91" s="213"/>
      <c r="X91" s="213"/>
      <c r="Y91" s="213"/>
      <c r="Z91" s="213"/>
      <c r="AA91" s="213"/>
      <c r="AB91" s="213"/>
      <c r="AC91" s="213"/>
      <c r="AD91" s="213"/>
      <c r="AE91" s="213"/>
      <c r="AF91" s="213"/>
      <c r="AG91" s="213"/>
      <c r="AH91" s="213"/>
      <c r="AI91" s="213"/>
      <c r="AJ91" s="213"/>
      <c r="AK91" s="213"/>
      <c r="AL91" s="213"/>
      <c r="AM91" s="213"/>
      <c r="AN91" s="213"/>
      <c r="AO91" s="213"/>
      <c r="AP91" s="213"/>
      <c r="AQ91" s="213"/>
      <c r="AR91" s="211"/>
      <c r="AS91" s="211"/>
      <c r="AT91" s="211"/>
      <c r="AU91" s="211"/>
      <c r="AV91" s="211"/>
      <c r="AW91" s="211"/>
    </row>
    <row r="92" spans="1:51" ht="15" customHeight="1" x14ac:dyDescent="0.2">
      <c r="A92" s="41" t="str">
        <f t="shared" si="3"/>
        <v/>
      </c>
      <c r="B92" s="44" t="str" cm="1">
        <f t="array" aca="1" ref="B92" ca="1">IF(INDIRECT(_xlfn.CONCAT($M365,B$364))="+","+",IF(ISNUMBER(INDIRECT(_xlfn.CONCAT($M365,B$363))),"-",""))</f>
        <v/>
      </c>
      <c r="C92" s="41" t="str">
        <f ca="1">B92</f>
        <v/>
      </c>
      <c r="D92" s="41" t="str">
        <f t="shared" ref="D92" ca="1" si="310">C92</f>
        <v/>
      </c>
      <c r="E92" s="41" t="str">
        <f t="shared" ref="E92" ca="1" si="311">D92</f>
        <v/>
      </c>
      <c r="F92" s="41" t="str">
        <f t="shared" ref="F92" ca="1" si="312">E92</f>
        <v/>
      </c>
      <c r="G92" s="41" t="str">
        <f t="shared" ref="G92" ca="1" si="313">F92</f>
        <v/>
      </c>
      <c r="H92" s="41" t="str">
        <f t="shared" ref="H92" ca="1" si="314">G92</f>
        <v/>
      </c>
      <c r="I92" s="44" t="str" cm="1">
        <f t="array" aca="1" ref="I92" ca="1">IF(INDIRECT(_xlfn.CONCAT($M365,C$364))="+","+",IF(ISNUMBER(INDIRECT(_xlfn.CONCAT($M365,C$363))),"-",""))</f>
        <v/>
      </c>
      <c r="J92" s="41" t="str">
        <f ca="1">I92</f>
        <v/>
      </c>
      <c r="K92" s="41" t="str">
        <f t="shared" ref="K92" ca="1" si="315">J92</f>
        <v/>
      </c>
      <c r="L92" s="41" t="str">
        <f t="shared" ref="L92" ca="1" si="316">K92</f>
        <v/>
      </c>
      <c r="M92" s="41" t="str">
        <f t="shared" ref="M92" ca="1" si="317">L92</f>
        <v/>
      </c>
      <c r="N92" s="41" t="str">
        <f t="shared" ref="N92" ca="1" si="318">M92</f>
        <v/>
      </c>
      <c r="O92" s="41" t="str">
        <f t="shared" ref="O92" ca="1" si="319">N92</f>
        <v/>
      </c>
      <c r="P92" s="44" t="str" cm="1">
        <f t="array" aca="1" ref="P92" ca="1">IF(INDIRECT(_xlfn.CONCAT($M365,D$364))="+","+",IF(ISNUMBER(INDIRECT(_xlfn.CONCAT($M365,D$363))),"-",""))</f>
        <v/>
      </c>
      <c r="Q92" s="41" t="str">
        <f ca="1">P92</f>
        <v/>
      </c>
      <c r="R92" s="41" t="str">
        <f t="shared" ref="R92" ca="1" si="320">Q92</f>
        <v/>
      </c>
      <c r="S92" s="41" t="str">
        <f t="shared" ref="S92" ca="1" si="321">R92</f>
        <v/>
      </c>
      <c r="T92" s="41" t="str">
        <f t="shared" ref="T92" ca="1" si="322">S92</f>
        <v/>
      </c>
      <c r="U92" s="41" t="str">
        <f t="shared" ref="U92" ca="1" si="323">T92</f>
        <v/>
      </c>
      <c r="V92" s="41" t="str">
        <f t="shared" ref="V92" ca="1" si="324">U92</f>
        <v/>
      </c>
      <c r="W92" s="44" t="str" cm="1">
        <f t="array" aca="1" ref="W92" ca="1">IF(INDIRECT(_xlfn.CONCAT($M365,E$364))="+","+",IF(ISNUMBER(INDIRECT(_xlfn.CONCAT($M365,E$363))),"-",""))</f>
        <v/>
      </c>
      <c r="X92" s="41" t="str">
        <f ca="1">W92</f>
        <v/>
      </c>
      <c r="Y92" s="41" t="str">
        <f t="shared" ref="Y92" ca="1" si="325">X92</f>
        <v/>
      </c>
      <c r="Z92" s="41" t="str">
        <f t="shared" ref="Z92" ca="1" si="326">Y92</f>
        <v/>
      </c>
      <c r="AA92" s="41" t="str">
        <f t="shared" ref="AA92" ca="1" si="327">Z92</f>
        <v/>
      </c>
      <c r="AB92" s="41" t="str">
        <f t="shared" ref="AB92" ca="1" si="328">AA92</f>
        <v/>
      </c>
      <c r="AC92" s="41" t="str">
        <f t="shared" ref="AC92" ca="1" si="329">AB92</f>
        <v/>
      </c>
      <c r="AD92" s="44" t="str" cm="1">
        <f t="array" aca="1" ref="AD92" ca="1">IF(INDIRECT(_xlfn.CONCAT($M365,F$364))="+","+",IF(ISNUMBER(INDIRECT(_xlfn.CONCAT($M365,F$363))),"-",""))</f>
        <v/>
      </c>
      <c r="AE92" s="41" t="str">
        <f ca="1">AD92</f>
        <v/>
      </c>
      <c r="AF92" s="41" t="str">
        <f t="shared" ref="AF92" ca="1" si="330">AE92</f>
        <v/>
      </c>
      <c r="AG92" s="41" t="str">
        <f t="shared" ref="AG92" ca="1" si="331">AF92</f>
        <v/>
      </c>
      <c r="AH92" s="41" t="str">
        <f t="shared" ref="AH92" ca="1" si="332">AG92</f>
        <v/>
      </c>
      <c r="AI92" s="41" t="str">
        <f t="shared" ref="AI92" ca="1" si="333">AH92</f>
        <v/>
      </c>
      <c r="AJ92" s="41" t="str">
        <f t="shared" ref="AJ92" ca="1" si="334">AI92</f>
        <v/>
      </c>
      <c r="AK92" s="44" t="str" cm="1">
        <f t="array" aca="1" ref="AK92" ca="1">IF(INDIRECT(_xlfn.CONCAT($M365,G$364))="+","+",IF(ISNUMBER(INDIRECT(_xlfn.CONCAT($M365,G$363))),"-",""))</f>
        <v/>
      </c>
      <c r="AL92" s="41" t="str">
        <f ca="1">AK92</f>
        <v/>
      </c>
      <c r="AM92" s="41" t="str">
        <f t="shared" ref="AM92" ca="1" si="335">AL92</f>
        <v/>
      </c>
      <c r="AN92" s="41" t="str">
        <f t="shared" ref="AN92" ca="1" si="336">AM92</f>
        <v/>
      </c>
      <c r="AO92" s="41" t="str">
        <f t="shared" ref="AO92" ca="1" si="337">AN92</f>
        <v/>
      </c>
      <c r="AP92" s="41" t="str">
        <f t="shared" ref="AP92" ca="1" si="338">AO92</f>
        <v/>
      </c>
      <c r="AQ92" s="41" t="str">
        <f t="shared" ref="AQ92" ca="1" si="339">AP92</f>
        <v/>
      </c>
      <c r="AR92" s="44"/>
      <c r="AS92" s="41"/>
      <c r="AT92" s="41"/>
      <c r="AU92" s="41"/>
      <c r="AV92" s="41"/>
      <c r="AW92" s="41"/>
    </row>
    <row r="93" spans="1:51" ht="15" customHeight="1" x14ac:dyDescent="0.2">
      <c r="A93" s="41" t="str">
        <f t="shared" si="3"/>
        <v/>
      </c>
      <c r="B93" s="45" t="str" cm="1">
        <f t="array" aca="1" ref="B93" ca="1">IF(ISBLANK(INDIRECT(_xlfn.CONCAT($M390,B$389))),"",INDIRECT(_xlfn.CONCAT($M390,B$389)))</f>
        <v/>
      </c>
      <c r="C93" s="45"/>
      <c r="D93" s="45"/>
      <c r="E93" s="45"/>
      <c r="F93" s="45"/>
      <c r="G93" s="45"/>
      <c r="H93" s="45"/>
      <c r="I93" s="45" t="str" cm="1">
        <f t="array" aca="1" ref="I93" ca="1">IF(ISBLANK(INDIRECT(_xlfn.CONCAT($M390,C$389))),"",INDIRECT(_xlfn.CONCAT($M390,C$389)))</f>
        <v/>
      </c>
      <c r="J93" s="45"/>
      <c r="K93" s="45"/>
      <c r="L93" s="45"/>
      <c r="M93" s="45"/>
      <c r="N93" s="45"/>
      <c r="O93" s="45"/>
      <c r="P93" s="45" t="str" cm="1">
        <f t="array" aca="1" ref="P93" ca="1">IF(ISBLANK(INDIRECT(_xlfn.CONCAT($M390,D$389))),"",INDIRECT(_xlfn.CONCAT($M390,D$389)))</f>
        <v/>
      </c>
      <c r="Q93" s="45"/>
      <c r="R93" s="45"/>
      <c r="S93" s="45"/>
      <c r="T93" s="45"/>
      <c r="U93" s="45"/>
      <c r="V93" s="45"/>
      <c r="W93" s="45" t="str" cm="1">
        <f t="array" aca="1" ref="W93" ca="1">IF(ISBLANK(INDIRECT(_xlfn.CONCAT($M390,E$389))),"",INDIRECT(_xlfn.CONCAT($M390,E$389)))</f>
        <v/>
      </c>
      <c r="X93" s="45"/>
      <c r="Y93" s="45"/>
      <c r="Z93" s="45"/>
      <c r="AA93" s="45"/>
      <c r="AB93" s="45"/>
      <c r="AC93" s="45"/>
      <c r="AD93" s="45" t="str" cm="1">
        <f t="array" aca="1" ref="AD93" ca="1">IF(ISBLANK(INDIRECT(_xlfn.CONCAT($M390,F$389))),"",INDIRECT(_xlfn.CONCAT($M390,F$389)))</f>
        <v/>
      </c>
      <c r="AE93" s="45"/>
      <c r="AF93" s="45"/>
      <c r="AG93" s="45"/>
      <c r="AH93" s="45"/>
      <c r="AI93" s="45"/>
      <c r="AJ93" s="45"/>
      <c r="AK93" s="45" t="str" cm="1">
        <f t="array" aca="1" ref="AK93" ca="1">IF(ISBLANK(INDIRECT(_xlfn.CONCAT($M390,G$389))),"",INDIRECT(_xlfn.CONCAT($M390,G$389)))</f>
        <v/>
      </c>
      <c r="AL93" s="45"/>
      <c r="AM93" s="45"/>
      <c r="AN93" s="45"/>
      <c r="AO93" s="45"/>
      <c r="AP93" s="45"/>
      <c r="AQ93" s="45"/>
      <c r="AR93" s="45"/>
      <c r="AS93" s="46"/>
      <c r="AT93" s="46"/>
      <c r="AU93" s="46"/>
      <c r="AV93" s="46"/>
      <c r="AW93" s="46"/>
    </row>
    <row r="94" spans="1:51" ht="15" customHeight="1" x14ac:dyDescent="0.2">
      <c r="A94" s="41" t="str">
        <f t="shared" si="3"/>
        <v/>
      </c>
      <c r="B94" s="213" t="str" cm="1">
        <f t="array" ref="B94">IF(INDEX($U$427:$CB$432,B$436,$M437)="-","",INDEX($U$427:$CB$432,B$436,$M437))</f>
        <v/>
      </c>
      <c r="C94" s="213"/>
      <c r="D94" s="213"/>
      <c r="E94" s="213"/>
      <c r="F94" s="213"/>
      <c r="G94" s="213"/>
      <c r="H94" s="213"/>
      <c r="I94" s="213" t="str" cm="1">
        <f t="array" ref="I94">IF(INDEX($U$427:$CB$432,C$436,$M437)="-","",INDEX($U$427:$CB$432,C$436,$M437))</f>
        <v/>
      </c>
      <c r="J94" s="213"/>
      <c r="K94" s="213"/>
      <c r="L94" s="213"/>
      <c r="M94" s="213"/>
      <c r="N94" s="213"/>
      <c r="O94" s="213"/>
      <c r="P94" s="213" t="str" cm="1">
        <f t="array" ref="P94">IF(INDEX($U$427:$CB$432,D$436,$M437)="-","",INDEX($U$427:$CB$432,D$436,$M437))</f>
        <v/>
      </c>
      <c r="Q94" s="213"/>
      <c r="R94" s="213"/>
      <c r="S94" s="213"/>
      <c r="T94" s="213"/>
      <c r="U94" s="213"/>
      <c r="V94" s="213"/>
      <c r="W94" s="213" t="str" cm="1">
        <f t="array" ref="W94">IF(INDEX($U$427:$CB$432,E$436,$M437)="-","",INDEX($U$427:$CB$432,E$436,$M437))</f>
        <v/>
      </c>
      <c r="X94" s="213"/>
      <c r="Y94" s="213"/>
      <c r="Z94" s="213"/>
      <c r="AA94" s="213"/>
      <c r="AB94" s="213"/>
      <c r="AC94" s="213"/>
      <c r="AD94" s="213" t="str" cm="1">
        <f t="array" ref="AD94">IF(INDEX($U$427:$CB$432,F$436,$M437)="-","",INDEX($U$427:$CB$432,F$436,$M437))</f>
        <v/>
      </c>
      <c r="AE94" s="213"/>
      <c r="AF94" s="213"/>
      <c r="AG94" s="213"/>
      <c r="AH94" s="213"/>
      <c r="AI94" s="213"/>
      <c r="AJ94" s="213"/>
      <c r="AK94" s="213" t="str" cm="1">
        <f t="array" ref="AK94">IF(INDEX($U$427:$CB$432,G$436,$M437)="-","",INDEX($U$427:$CB$432,G$436,$M437))</f>
        <v/>
      </c>
      <c r="AL94" s="213"/>
      <c r="AM94" s="213"/>
      <c r="AN94" s="213"/>
      <c r="AO94" s="213"/>
      <c r="AP94" s="213"/>
      <c r="AQ94" s="213"/>
      <c r="AR94" s="211"/>
      <c r="AS94" s="211"/>
      <c r="AT94" s="211"/>
      <c r="AU94" s="211"/>
      <c r="AV94" s="211"/>
      <c r="AW94" s="211"/>
      <c r="AX94" s="33" t="s">
        <v>286</v>
      </c>
      <c r="AY94" s="33" t="s">
        <v>286</v>
      </c>
    </row>
    <row r="95" spans="1:51" ht="15" customHeight="1" x14ac:dyDescent="0.2">
      <c r="A95" s="41" t="str">
        <f t="shared" si="3"/>
        <v/>
      </c>
      <c r="B95" s="213"/>
      <c r="C95" s="213"/>
      <c r="D95" s="213"/>
      <c r="E95" s="213"/>
      <c r="F95" s="213"/>
      <c r="G95" s="213"/>
      <c r="H95" s="213"/>
      <c r="I95" s="213"/>
      <c r="J95" s="213"/>
      <c r="K95" s="213"/>
      <c r="L95" s="213"/>
      <c r="M95" s="213"/>
      <c r="N95" s="213"/>
      <c r="O95" s="213"/>
      <c r="P95" s="213"/>
      <c r="Q95" s="213"/>
      <c r="R95" s="213"/>
      <c r="S95" s="213"/>
      <c r="T95" s="213"/>
      <c r="U95" s="213"/>
      <c r="V95" s="213"/>
      <c r="W95" s="213"/>
      <c r="X95" s="213"/>
      <c r="Y95" s="213"/>
      <c r="Z95" s="213"/>
      <c r="AA95" s="213"/>
      <c r="AB95" s="213"/>
      <c r="AC95" s="213"/>
      <c r="AD95" s="213"/>
      <c r="AE95" s="213"/>
      <c r="AF95" s="213"/>
      <c r="AG95" s="213"/>
      <c r="AH95" s="213"/>
      <c r="AI95" s="213"/>
      <c r="AJ95" s="213"/>
      <c r="AK95" s="213"/>
      <c r="AL95" s="213"/>
      <c r="AM95" s="213"/>
      <c r="AN95" s="213"/>
      <c r="AO95" s="213"/>
      <c r="AP95" s="213"/>
      <c r="AQ95" s="213"/>
      <c r="AR95" s="211"/>
      <c r="AS95" s="211"/>
      <c r="AT95" s="211"/>
      <c r="AU95" s="211"/>
      <c r="AV95" s="211"/>
      <c r="AW95" s="211"/>
    </row>
    <row r="96" spans="1:51" ht="15" customHeight="1" x14ac:dyDescent="0.2">
      <c r="A96" s="41" t="str">
        <f t="shared" si="3"/>
        <v/>
      </c>
      <c r="B96" s="213"/>
      <c r="C96" s="213"/>
      <c r="D96" s="213"/>
      <c r="E96" s="213"/>
      <c r="F96" s="213"/>
      <c r="G96" s="213"/>
      <c r="H96" s="213"/>
      <c r="I96" s="213"/>
      <c r="J96" s="213"/>
      <c r="K96" s="213"/>
      <c r="L96" s="213"/>
      <c r="M96" s="213"/>
      <c r="N96" s="213"/>
      <c r="O96" s="213"/>
      <c r="P96" s="213"/>
      <c r="Q96" s="213"/>
      <c r="R96" s="213"/>
      <c r="S96" s="213"/>
      <c r="T96" s="213"/>
      <c r="U96" s="213"/>
      <c r="V96" s="213"/>
      <c r="W96" s="213"/>
      <c r="X96" s="213"/>
      <c r="Y96" s="213"/>
      <c r="Z96" s="213"/>
      <c r="AA96" s="213"/>
      <c r="AB96" s="213"/>
      <c r="AC96" s="213"/>
      <c r="AD96" s="213"/>
      <c r="AE96" s="213"/>
      <c r="AF96" s="213"/>
      <c r="AG96" s="213"/>
      <c r="AH96" s="213"/>
      <c r="AI96" s="213"/>
      <c r="AJ96" s="213"/>
      <c r="AK96" s="213"/>
      <c r="AL96" s="213"/>
      <c r="AM96" s="213"/>
      <c r="AN96" s="213"/>
      <c r="AO96" s="213"/>
      <c r="AP96" s="213"/>
      <c r="AQ96" s="213"/>
      <c r="AR96" s="211"/>
      <c r="AS96" s="211"/>
      <c r="AT96" s="211"/>
      <c r="AU96" s="211"/>
      <c r="AV96" s="211"/>
      <c r="AW96" s="211"/>
    </row>
    <row r="97" spans="1:83" ht="15" customHeight="1" x14ac:dyDescent="0.2">
      <c r="A97" s="41" t="str">
        <f t="shared" si="3"/>
        <v/>
      </c>
      <c r="B97" s="44" t="str" cm="1">
        <f t="array" aca="1" ref="B97" ca="1">IF(INDIRECT(_xlfn.CONCAT($N365,B$364))="+","+",IF(ISNUMBER(INDIRECT(_xlfn.CONCAT($N365,B$363))),"-",""))</f>
        <v/>
      </c>
      <c r="C97" s="41" t="str">
        <f ca="1">B97</f>
        <v/>
      </c>
      <c r="D97" s="41" t="str">
        <f t="shared" ref="D97" ca="1" si="340">C97</f>
        <v/>
      </c>
      <c r="E97" s="41" t="str">
        <f t="shared" ref="E97" ca="1" si="341">D97</f>
        <v/>
      </c>
      <c r="F97" s="41" t="str">
        <f t="shared" ref="F97" ca="1" si="342">E97</f>
        <v/>
      </c>
      <c r="G97" s="41" t="str">
        <f t="shared" ref="G97" ca="1" si="343">F97</f>
        <v/>
      </c>
      <c r="H97" s="41" t="str">
        <f t="shared" ref="H97" ca="1" si="344">G97</f>
        <v/>
      </c>
      <c r="I97" s="44" t="str" cm="1">
        <f t="array" aca="1" ref="I97" ca="1">IF(INDIRECT(_xlfn.CONCAT($N365,C$364))="+","+",IF(ISNUMBER(INDIRECT(_xlfn.CONCAT($N365,C$363))),"-",""))</f>
        <v/>
      </c>
      <c r="J97" s="41" t="str">
        <f ca="1">I97</f>
        <v/>
      </c>
      <c r="K97" s="41" t="str">
        <f t="shared" ref="K97" ca="1" si="345">J97</f>
        <v/>
      </c>
      <c r="L97" s="41" t="str">
        <f t="shared" ref="L97" ca="1" si="346">K97</f>
        <v/>
      </c>
      <c r="M97" s="41" t="str">
        <f t="shared" ref="M97" ca="1" si="347">L97</f>
        <v/>
      </c>
      <c r="N97" s="41" t="str">
        <f t="shared" ref="N97" ca="1" si="348">M97</f>
        <v/>
      </c>
      <c r="O97" s="41" t="str">
        <f t="shared" ref="O97" ca="1" si="349">N97</f>
        <v/>
      </c>
      <c r="P97" s="44" t="str" cm="1">
        <f t="array" aca="1" ref="P97" ca="1">IF(INDIRECT(_xlfn.CONCAT($N365,D$364))="+","+",IF(ISNUMBER(INDIRECT(_xlfn.CONCAT($N365,D$363))),"-",""))</f>
        <v/>
      </c>
      <c r="Q97" s="41" t="str">
        <f ca="1">P97</f>
        <v/>
      </c>
      <c r="R97" s="41" t="str">
        <f t="shared" ref="R97" ca="1" si="350">Q97</f>
        <v/>
      </c>
      <c r="S97" s="41" t="str">
        <f t="shared" ref="S97" ca="1" si="351">R97</f>
        <v/>
      </c>
      <c r="T97" s="41" t="str">
        <f t="shared" ref="T97" ca="1" si="352">S97</f>
        <v/>
      </c>
      <c r="U97" s="41" t="str">
        <f t="shared" ref="U97" ca="1" si="353">T97</f>
        <v/>
      </c>
      <c r="V97" s="41" t="str">
        <f t="shared" ref="V97" ca="1" si="354">U97</f>
        <v/>
      </c>
      <c r="W97" s="44" t="str" cm="1">
        <f t="array" aca="1" ref="W97" ca="1">IF(INDIRECT(_xlfn.CONCAT($N365,E$364))="+","+",IF(ISNUMBER(INDIRECT(_xlfn.CONCAT($N365,E$363))),"-",""))</f>
        <v/>
      </c>
      <c r="X97" s="41" t="str">
        <f ca="1">W97</f>
        <v/>
      </c>
      <c r="Y97" s="41" t="str">
        <f t="shared" ref="Y97" ca="1" si="355">X97</f>
        <v/>
      </c>
      <c r="Z97" s="41" t="str">
        <f t="shared" ref="Z97" ca="1" si="356">Y97</f>
        <v/>
      </c>
      <c r="AA97" s="41" t="str">
        <f t="shared" ref="AA97" ca="1" si="357">Z97</f>
        <v/>
      </c>
      <c r="AB97" s="41" t="str">
        <f t="shared" ref="AB97" ca="1" si="358">AA97</f>
        <v/>
      </c>
      <c r="AC97" s="41" t="str">
        <f t="shared" ref="AC97" ca="1" si="359">AB97</f>
        <v/>
      </c>
      <c r="AD97" s="44" t="str" cm="1">
        <f t="array" aca="1" ref="AD97" ca="1">IF(INDIRECT(_xlfn.CONCAT($N365,F$364))="+","+",IF(ISNUMBER(INDIRECT(_xlfn.CONCAT($N365,F$363))),"-",""))</f>
        <v/>
      </c>
      <c r="AE97" s="41" t="str">
        <f ca="1">AD97</f>
        <v/>
      </c>
      <c r="AF97" s="41" t="str">
        <f t="shared" ref="AF97" ca="1" si="360">AE97</f>
        <v/>
      </c>
      <c r="AG97" s="41" t="str">
        <f t="shared" ref="AG97" ca="1" si="361">AF97</f>
        <v/>
      </c>
      <c r="AH97" s="41" t="str">
        <f t="shared" ref="AH97" ca="1" si="362">AG97</f>
        <v/>
      </c>
      <c r="AI97" s="41" t="str">
        <f t="shared" ref="AI97" ca="1" si="363">AH97</f>
        <v/>
      </c>
      <c r="AJ97" s="41" t="str">
        <f t="shared" ref="AJ97" ca="1" si="364">AI97</f>
        <v/>
      </c>
      <c r="AK97" s="44" t="str" cm="1">
        <f t="array" aca="1" ref="AK97" ca="1">IF(INDIRECT(_xlfn.CONCAT($N365,G$364))="+","+",IF(ISNUMBER(INDIRECT(_xlfn.CONCAT($N365,G$363))),"-",""))</f>
        <v/>
      </c>
      <c r="AL97" s="41" t="str">
        <f ca="1">AK97</f>
        <v/>
      </c>
      <c r="AM97" s="41" t="str">
        <f t="shared" ref="AM97" ca="1" si="365">AL97</f>
        <v/>
      </c>
      <c r="AN97" s="41" t="str">
        <f t="shared" ref="AN97" ca="1" si="366">AM97</f>
        <v/>
      </c>
      <c r="AO97" s="41" t="str">
        <f t="shared" ref="AO97" ca="1" si="367">AN97</f>
        <v/>
      </c>
      <c r="AP97" s="41" t="str">
        <f t="shared" ref="AP97" ca="1" si="368">AO97</f>
        <v/>
      </c>
      <c r="AQ97" s="41" t="str">
        <f t="shared" ref="AQ97" ca="1" si="369">AP97</f>
        <v/>
      </c>
      <c r="AR97" s="44"/>
      <c r="AS97" s="41"/>
      <c r="AT97" s="41"/>
      <c r="AU97" s="41"/>
      <c r="AV97" s="41"/>
      <c r="AW97" s="41"/>
    </row>
    <row r="98" spans="1:83" ht="15" customHeight="1" x14ac:dyDescent="0.2">
      <c r="A98" s="41" t="str">
        <f t="shared" si="3"/>
        <v/>
      </c>
      <c r="B98" s="45" t="str" cm="1">
        <f t="array" aca="1" ref="B98" ca="1">IF(ISBLANK(INDIRECT(_xlfn.CONCAT($N390,B$389))),"",INDIRECT(_xlfn.CONCAT($N390,B$389)))</f>
        <v/>
      </c>
      <c r="C98" s="45"/>
      <c r="D98" s="45"/>
      <c r="E98" s="45"/>
      <c r="F98" s="45"/>
      <c r="G98" s="45"/>
      <c r="H98" s="45"/>
      <c r="I98" s="45" t="str" cm="1">
        <f t="array" aca="1" ref="I98" ca="1">IF(ISBLANK(INDIRECT(_xlfn.CONCAT($N390,C$389))),"",INDIRECT(_xlfn.CONCAT($N390,C$389)))</f>
        <v/>
      </c>
      <c r="J98" s="45"/>
      <c r="K98" s="45"/>
      <c r="L98" s="45"/>
      <c r="M98" s="45"/>
      <c r="N98" s="45"/>
      <c r="O98" s="45"/>
      <c r="P98" s="45" t="str" cm="1">
        <f t="array" aca="1" ref="P98" ca="1">IF(ISBLANK(INDIRECT(_xlfn.CONCAT($N390,D$389))),"",INDIRECT(_xlfn.CONCAT($N390,D$389)))</f>
        <v/>
      </c>
      <c r="Q98" s="45"/>
      <c r="R98" s="45"/>
      <c r="S98" s="45"/>
      <c r="T98" s="45"/>
      <c r="U98" s="45"/>
      <c r="V98" s="45"/>
      <c r="W98" s="45" t="str" cm="1">
        <f t="array" aca="1" ref="W98" ca="1">IF(ISBLANK(INDIRECT(_xlfn.CONCAT($N390,E$389))),"",INDIRECT(_xlfn.CONCAT($N390,E$389)))</f>
        <v/>
      </c>
      <c r="X98" s="45"/>
      <c r="Y98" s="45"/>
      <c r="Z98" s="45"/>
      <c r="AA98" s="45"/>
      <c r="AB98" s="45"/>
      <c r="AC98" s="45"/>
      <c r="AD98" s="45" t="str" cm="1">
        <f t="array" aca="1" ref="AD98" ca="1">IF(ISBLANK(INDIRECT(_xlfn.CONCAT($N390,F$389))),"",INDIRECT(_xlfn.CONCAT($N390,F$389)))</f>
        <v/>
      </c>
      <c r="AE98" s="45"/>
      <c r="AF98" s="45"/>
      <c r="AG98" s="45"/>
      <c r="AH98" s="45"/>
      <c r="AI98" s="45"/>
      <c r="AJ98" s="45"/>
      <c r="AK98" s="45" t="str" cm="1">
        <f t="array" aca="1" ref="AK98" ca="1">IF(ISBLANK(INDIRECT(_xlfn.CONCAT($N390,G$389))),"",INDIRECT(_xlfn.CONCAT($N390,G$389)))</f>
        <v/>
      </c>
      <c r="AL98" s="45"/>
      <c r="AM98" s="45"/>
      <c r="AN98" s="45"/>
      <c r="AO98" s="45"/>
      <c r="AP98" s="45"/>
      <c r="AQ98" s="45"/>
      <c r="AR98" s="45"/>
      <c r="AS98" s="46"/>
      <c r="AT98" s="46"/>
      <c r="AU98" s="46"/>
      <c r="AV98" s="46"/>
      <c r="AW98" s="46"/>
    </row>
    <row r="99" spans="1:83" ht="15" customHeight="1" x14ac:dyDescent="0.2">
      <c r="A99" s="41" t="str">
        <f t="shared" ref="A99:A162" si="370">IF(COUNTIFS($I$358:$BK$358,"&lt;="&amp;ROW(A99),$I$359:$BK$359,"&gt;="&amp;ROW(A99))&gt;0,"x","")</f>
        <v/>
      </c>
      <c r="B99" s="213" t="str" cm="1">
        <f t="array" ref="B99">IF(INDEX($U$427:$CB$432,B$436,$N437)="-","",INDEX($U$427:$CB$432,B$436,$N437))</f>
        <v/>
      </c>
      <c r="C99" s="213"/>
      <c r="D99" s="213"/>
      <c r="E99" s="213"/>
      <c r="F99" s="213"/>
      <c r="G99" s="213"/>
      <c r="H99" s="213"/>
      <c r="I99" s="213" t="str" cm="1">
        <f t="array" ref="I99">IF(INDEX($U$427:$CB$432,C$436,$N437)="-","",INDEX($U$427:$CB$432,C$436,$N437))</f>
        <v/>
      </c>
      <c r="J99" s="213"/>
      <c r="K99" s="213"/>
      <c r="L99" s="213"/>
      <c r="M99" s="213"/>
      <c r="N99" s="213"/>
      <c r="O99" s="213"/>
      <c r="P99" s="213" t="str" cm="1">
        <f t="array" ref="P99">IF(INDEX($U$427:$CB$432,D$436,$N437)="-","",INDEX($U$427:$CB$432,D$436,$N437))</f>
        <v/>
      </c>
      <c r="Q99" s="213"/>
      <c r="R99" s="213"/>
      <c r="S99" s="213"/>
      <c r="T99" s="213"/>
      <c r="U99" s="213"/>
      <c r="V99" s="213"/>
      <c r="W99" s="213" t="str" cm="1">
        <f t="array" ref="W99">IF(INDEX($U$427:$CB$432,E$436,$N437)="-","",INDEX($U$427:$CB$432,E$436,$N437))</f>
        <v/>
      </c>
      <c r="X99" s="213"/>
      <c r="Y99" s="213"/>
      <c r="Z99" s="213"/>
      <c r="AA99" s="213"/>
      <c r="AB99" s="213"/>
      <c r="AC99" s="213"/>
      <c r="AD99" s="213" t="str" cm="1">
        <f t="array" ref="AD99">IF(INDEX($U$427:$CB$432,F$436,$N437)="-","",INDEX($U$427:$CB$432,F$436,$N437))</f>
        <v/>
      </c>
      <c r="AE99" s="213"/>
      <c r="AF99" s="213"/>
      <c r="AG99" s="213"/>
      <c r="AH99" s="213"/>
      <c r="AI99" s="213"/>
      <c r="AJ99" s="213"/>
      <c r="AK99" s="213" t="str" cm="1">
        <f t="array" ref="AK99">IF(INDEX($U$427:$CB$432,G$436,$N437)="-","",INDEX($U$427:$CB$432,G$436,$N437))</f>
        <v/>
      </c>
      <c r="AL99" s="213"/>
      <c r="AM99" s="213"/>
      <c r="AN99" s="213"/>
      <c r="AO99" s="213"/>
      <c r="AP99" s="213"/>
      <c r="AQ99" s="213"/>
      <c r="AR99" s="211"/>
      <c r="AS99" s="211"/>
      <c r="AT99" s="211"/>
      <c r="AU99" s="211"/>
      <c r="AV99" s="211"/>
      <c r="AW99" s="211"/>
    </row>
    <row r="100" spans="1:83" ht="15" customHeight="1" x14ac:dyDescent="0.2">
      <c r="A100" s="41" t="str">
        <f t="shared" si="370"/>
        <v/>
      </c>
      <c r="B100" s="213"/>
      <c r="C100" s="213"/>
      <c r="D100" s="213"/>
      <c r="E100" s="213"/>
      <c r="F100" s="213"/>
      <c r="G100" s="213"/>
      <c r="H100" s="213"/>
      <c r="I100" s="213"/>
      <c r="J100" s="213"/>
      <c r="K100" s="213"/>
      <c r="L100" s="213"/>
      <c r="M100" s="213"/>
      <c r="N100" s="213"/>
      <c r="O100" s="213"/>
      <c r="P100" s="213"/>
      <c r="Q100" s="213"/>
      <c r="R100" s="213"/>
      <c r="S100" s="213"/>
      <c r="T100" s="213"/>
      <c r="U100" s="213"/>
      <c r="V100" s="213"/>
      <c r="W100" s="213"/>
      <c r="X100" s="213"/>
      <c r="Y100" s="213"/>
      <c r="Z100" s="213"/>
      <c r="AA100" s="213"/>
      <c r="AB100" s="213"/>
      <c r="AC100" s="213"/>
      <c r="AD100" s="213"/>
      <c r="AE100" s="213"/>
      <c r="AF100" s="213"/>
      <c r="AG100" s="213"/>
      <c r="AH100" s="213"/>
      <c r="AI100" s="213"/>
      <c r="AJ100" s="213"/>
      <c r="AK100" s="213"/>
      <c r="AL100" s="213"/>
      <c r="AM100" s="213"/>
      <c r="AN100" s="213"/>
      <c r="AO100" s="213"/>
      <c r="AP100" s="213"/>
      <c r="AQ100" s="213"/>
      <c r="AR100" s="211"/>
      <c r="AS100" s="211"/>
      <c r="AT100" s="211"/>
      <c r="AU100" s="211"/>
      <c r="AV100" s="211"/>
      <c r="AW100" s="211"/>
    </row>
    <row r="101" spans="1:83" ht="15" customHeight="1" x14ac:dyDescent="0.2">
      <c r="A101" s="41" t="str">
        <f t="shared" si="370"/>
        <v/>
      </c>
      <c r="B101" s="213"/>
      <c r="C101" s="213"/>
      <c r="D101" s="213"/>
      <c r="E101" s="213"/>
      <c r="F101" s="213"/>
      <c r="G101" s="213"/>
      <c r="H101" s="213"/>
      <c r="I101" s="213"/>
      <c r="J101" s="213"/>
      <c r="K101" s="213"/>
      <c r="L101" s="213"/>
      <c r="M101" s="213"/>
      <c r="N101" s="213"/>
      <c r="O101" s="213"/>
      <c r="P101" s="213"/>
      <c r="Q101" s="213"/>
      <c r="R101" s="213"/>
      <c r="S101" s="213"/>
      <c r="T101" s="213"/>
      <c r="U101" s="213"/>
      <c r="V101" s="213"/>
      <c r="W101" s="213"/>
      <c r="X101" s="213"/>
      <c r="Y101" s="213"/>
      <c r="Z101" s="213"/>
      <c r="AA101" s="213"/>
      <c r="AB101" s="213"/>
      <c r="AC101" s="213"/>
      <c r="AD101" s="213"/>
      <c r="AE101" s="213"/>
      <c r="AF101" s="213"/>
      <c r="AG101" s="213"/>
      <c r="AH101" s="213"/>
      <c r="AI101" s="213"/>
      <c r="AJ101" s="213"/>
      <c r="AK101" s="213"/>
      <c r="AL101" s="213"/>
      <c r="AM101" s="213"/>
      <c r="AN101" s="213"/>
      <c r="AO101" s="213"/>
      <c r="AP101" s="213"/>
      <c r="AQ101" s="213"/>
      <c r="AR101" s="211"/>
      <c r="AS101" s="211"/>
      <c r="AT101" s="211"/>
      <c r="AU101" s="211"/>
      <c r="AV101" s="211"/>
      <c r="AW101" s="211"/>
    </row>
    <row r="102" spans="1:83" ht="15" customHeight="1" x14ac:dyDescent="0.2">
      <c r="A102" s="41" t="str">
        <f t="shared" si="370"/>
        <v/>
      </c>
      <c r="B102" s="44" t="str" cm="1">
        <f t="array" aca="1" ref="B102" ca="1">IF(INDIRECT(_xlfn.CONCAT($O365,B$364))="+","+",IF(ISNUMBER(INDIRECT(_xlfn.CONCAT($O365,B$363))),"-",""))</f>
        <v/>
      </c>
      <c r="C102" s="41" t="str">
        <f ca="1">B102</f>
        <v/>
      </c>
      <c r="D102" s="41" t="str">
        <f t="shared" ref="D102" ca="1" si="371">C102</f>
        <v/>
      </c>
      <c r="E102" s="41" t="str">
        <f t="shared" ref="E102" ca="1" si="372">D102</f>
        <v/>
      </c>
      <c r="F102" s="41" t="str">
        <f t="shared" ref="F102" ca="1" si="373">E102</f>
        <v/>
      </c>
      <c r="G102" s="41" t="str">
        <f t="shared" ref="G102" ca="1" si="374">F102</f>
        <v/>
      </c>
      <c r="H102" s="41" t="str">
        <f t="shared" ref="H102" ca="1" si="375">G102</f>
        <v/>
      </c>
      <c r="I102" s="44" t="str" cm="1">
        <f t="array" aca="1" ref="I102" ca="1">IF(INDIRECT(_xlfn.CONCAT($O365,C$364))="+","+",IF(ISNUMBER(INDIRECT(_xlfn.CONCAT($O365,C$363))),"-",""))</f>
        <v/>
      </c>
      <c r="J102" s="41" t="str">
        <f ca="1">I102</f>
        <v/>
      </c>
      <c r="K102" s="41" t="str">
        <f t="shared" ref="K102" ca="1" si="376">J102</f>
        <v/>
      </c>
      <c r="L102" s="41" t="str">
        <f t="shared" ref="L102" ca="1" si="377">K102</f>
        <v/>
      </c>
      <c r="M102" s="41" t="str">
        <f t="shared" ref="M102" ca="1" si="378">L102</f>
        <v/>
      </c>
      <c r="N102" s="41" t="str">
        <f t="shared" ref="N102" ca="1" si="379">M102</f>
        <v/>
      </c>
      <c r="O102" s="41" t="str">
        <f t="shared" ref="O102" ca="1" si="380">N102</f>
        <v/>
      </c>
      <c r="P102" s="44" t="str" cm="1">
        <f t="array" aca="1" ref="P102" ca="1">IF(INDIRECT(_xlfn.CONCAT($O365,D$364))="+","+",IF(ISNUMBER(INDIRECT(_xlfn.CONCAT($O365,D$363))),"-",""))</f>
        <v/>
      </c>
      <c r="Q102" s="41" t="str">
        <f ca="1">P102</f>
        <v/>
      </c>
      <c r="R102" s="41" t="str">
        <f t="shared" ref="R102" ca="1" si="381">Q102</f>
        <v/>
      </c>
      <c r="S102" s="41" t="str">
        <f t="shared" ref="S102" ca="1" si="382">R102</f>
        <v/>
      </c>
      <c r="T102" s="41" t="str">
        <f t="shared" ref="T102" ca="1" si="383">S102</f>
        <v/>
      </c>
      <c r="U102" s="41" t="str">
        <f t="shared" ref="U102" ca="1" si="384">T102</f>
        <v/>
      </c>
      <c r="V102" s="41" t="str">
        <f t="shared" ref="V102" ca="1" si="385">U102</f>
        <v/>
      </c>
      <c r="W102" s="44" t="str" cm="1">
        <f t="array" aca="1" ref="W102" ca="1">IF(INDIRECT(_xlfn.CONCAT($O365,E$364))="+","+",IF(ISNUMBER(INDIRECT(_xlfn.CONCAT($O365,E$363))),"-",""))</f>
        <v/>
      </c>
      <c r="X102" s="41" t="str">
        <f ca="1">W102</f>
        <v/>
      </c>
      <c r="Y102" s="41" t="str">
        <f t="shared" ref="Y102" ca="1" si="386">X102</f>
        <v/>
      </c>
      <c r="Z102" s="41" t="str">
        <f t="shared" ref="Z102" ca="1" si="387">Y102</f>
        <v/>
      </c>
      <c r="AA102" s="41" t="str">
        <f t="shared" ref="AA102" ca="1" si="388">Z102</f>
        <v/>
      </c>
      <c r="AB102" s="41" t="str">
        <f t="shared" ref="AB102" ca="1" si="389">AA102</f>
        <v/>
      </c>
      <c r="AC102" s="41" t="str">
        <f t="shared" ref="AC102" ca="1" si="390">AB102</f>
        <v/>
      </c>
      <c r="AD102" s="44" t="str" cm="1">
        <f t="array" aca="1" ref="AD102" ca="1">IF(INDIRECT(_xlfn.CONCAT($O365,F$364))="+","+",IF(ISNUMBER(INDIRECT(_xlfn.CONCAT($O365,F$363))),"-",""))</f>
        <v/>
      </c>
      <c r="AE102" s="41" t="str">
        <f ca="1">AD102</f>
        <v/>
      </c>
      <c r="AF102" s="41" t="str">
        <f t="shared" ref="AF102" ca="1" si="391">AE102</f>
        <v/>
      </c>
      <c r="AG102" s="41" t="str">
        <f t="shared" ref="AG102" ca="1" si="392">AF102</f>
        <v/>
      </c>
      <c r="AH102" s="41" t="str">
        <f t="shared" ref="AH102" ca="1" si="393">AG102</f>
        <v/>
      </c>
      <c r="AI102" s="41" t="str">
        <f t="shared" ref="AI102" ca="1" si="394">AH102</f>
        <v/>
      </c>
      <c r="AJ102" s="41" t="str">
        <f t="shared" ref="AJ102" ca="1" si="395">AI102</f>
        <v/>
      </c>
      <c r="AK102" s="44" t="str" cm="1">
        <f t="array" aca="1" ref="AK102" ca="1">IF(INDIRECT(_xlfn.CONCAT($O365,G$364))="+","+",IF(ISNUMBER(INDIRECT(_xlfn.CONCAT($O365,G$363))),"-",""))</f>
        <v/>
      </c>
      <c r="AL102" s="41" t="str">
        <f ca="1">AK102</f>
        <v/>
      </c>
      <c r="AM102" s="41" t="str">
        <f t="shared" ref="AM102" ca="1" si="396">AL102</f>
        <v/>
      </c>
      <c r="AN102" s="41" t="str">
        <f t="shared" ref="AN102" ca="1" si="397">AM102</f>
        <v/>
      </c>
      <c r="AO102" s="41" t="str">
        <f t="shared" ref="AO102" ca="1" si="398">AN102</f>
        <v/>
      </c>
      <c r="AP102" s="41" t="str">
        <f t="shared" ref="AP102" ca="1" si="399">AO102</f>
        <v/>
      </c>
      <c r="AQ102" s="41" t="str">
        <f t="shared" ref="AQ102" ca="1" si="400">AP102</f>
        <v/>
      </c>
      <c r="AR102" s="44"/>
      <c r="AS102" s="41"/>
      <c r="AT102" s="41"/>
      <c r="AU102" s="41"/>
      <c r="AV102" s="41"/>
      <c r="AW102" s="41"/>
    </row>
    <row r="103" spans="1:83" ht="15" customHeight="1" x14ac:dyDescent="0.2">
      <c r="A103" s="41" t="str">
        <f t="shared" si="370"/>
        <v/>
      </c>
      <c r="B103" s="45" t="str" cm="1">
        <f t="array" aca="1" ref="B103" ca="1">IF(ISBLANK(INDIRECT(_xlfn.CONCAT($O390,B$389))),"",INDIRECT(_xlfn.CONCAT($O390,B$389)))</f>
        <v/>
      </c>
      <c r="C103" s="45"/>
      <c r="D103" s="45"/>
      <c r="E103" s="45"/>
      <c r="F103" s="45"/>
      <c r="G103" s="45"/>
      <c r="H103" s="45"/>
      <c r="I103" s="45" t="str" cm="1">
        <f t="array" aca="1" ref="I103" ca="1">IF(ISBLANK(INDIRECT(_xlfn.CONCAT($O390,C$389))),"",INDIRECT(_xlfn.CONCAT($O390,C$389)))</f>
        <v/>
      </c>
      <c r="J103" s="45"/>
      <c r="K103" s="45"/>
      <c r="L103" s="45"/>
      <c r="M103" s="45"/>
      <c r="N103" s="45"/>
      <c r="O103" s="45"/>
      <c r="P103" s="45" t="str" cm="1">
        <f t="array" aca="1" ref="P103" ca="1">IF(ISBLANK(INDIRECT(_xlfn.CONCAT($O390,D$389))),"",INDIRECT(_xlfn.CONCAT($O390,D$389)))</f>
        <v/>
      </c>
      <c r="Q103" s="45"/>
      <c r="R103" s="45"/>
      <c r="S103" s="45"/>
      <c r="T103" s="45"/>
      <c r="U103" s="45"/>
      <c r="V103" s="45"/>
      <c r="W103" s="45" t="str" cm="1">
        <f t="array" aca="1" ref="W103" ca="1">IF(ISBLANK(INDIRECT(_xlfn.CONCAT($O390,E$389))),"",INDIRECT(_xlfn.CONCAT($O390,E$389)))</f>
        <v/>
      </c>
      <c r="X103" s="45"/>
      <c r="Y103" s="45"/>
      <c r="Z103" s="45"/>
      <c r="AA103" s="45"/>
      <c r="AB103" s="45"/>
      <c r="AC103" s="45"/>
      <c r="AD103" s="45" t="str" cm="1">
        <f t="array" aca="1" ref="AD103" ca="1">IF(ISBLANK(INDIRECT(_xlfn.CONCAT($O390,F$389))),"",INDIRECT(_xlfn.CONCAT($O390,F$389)))</f>
        <v/>
      </c>
      <c r="AE103" s="45"/>
      <c r="AF103" s="45"/>
      <c r="AG103" s="45"/>
      <c r="AH103" s="45"/>
      <c r="AI103" s="45"/>
      <c r="AJ103" s="45"/>
      <c r="AK103" s="45" t="str" cm="1">
        <f t="array" aca="1" ref="AK103" ca="1">IF(ISBLANK(INDIRECT(_xlfn.CONCAT($O390,G$389))),"",INDIRECT(_xlfn.CONCAT($O390,G$389)))</f>
        <v/>
      </c>
      <c r="AL103" s="45"/>
      <c r="AM103" s="45"/>
      <c r="AN103" s="45"/>
      <c r="AO103" s="45"/>
      <c r="AP103" s="45"/>
      <c r="AQ103" s="45"/>
      <c r="AR103" s="45"/>
      <c r="AS103" s="46"/>
      <c r="AT103" s="46"/>
      <c r="AU103" s="46"/>
      <c r="AV103" s="46"/>
      <c r="AW103" s="46"/>
    </row>
    <row r="104" spans="1:83" ht="15" customHeight="1" x14ac:dyDescent="0.2">
      <c r="A104" s="41" t="str">
        <f t="shared" si="370"/>
        <v/>
      </c>
      <c r="B104" s="213" t="str" cm="1">
        <f t="array" ref="B104">IF(INDEX($U$427:$CB$432,B$436,$O437)="-","",INDEX($U$427:$CB$432,B$436,$O437))</f>
        <v/>
      </c>
      <c r="C104" s="213"/>
      <c r="D104" s="213"/>
      <c r="E104" s="213"/>
      <c r="F104" s="213"/>
      <c r="G104" s="213"/>
      <c r="H104" s="213"/>
      <c r="I104" s="213" t="str" cm="1">
        <f t="array" ref="I104">IF(INDEX($U$427:$CB$432,C$436,$O437)="-","",INDEX($U$427:$CB$432,C$436,$O437))</f>
        <v/>
      </c>
      <c r="J104" s="213"/>
      <c r="K104" s="213"/>
      <c r="L104" s="213"/>
      <c r="M104" s="213"/>
      <c r="N104" s="213"/>
      <c r="O104" s="213"/>
      <c r="P104" s="213" t="str" cm="1">
        <f t="array" ref="P104">IF(INDEX($U$427:$CB$432,D$436,$O437)="-","",INDEX($U$427:$CB$432,D$436,$O437))</f>
        <v/>
      </c>
      <c r="Q104" s="213"/>
      <c r="R104" s="213"/>
      <c r="S104" s="213"/>
      <c r="T104" s="213"/>
      <c r="U104" s="213"/>
      <c r="V104" s="213"/>
      <c r="W104" s="213" t="str" cm="1">
        <f t="array" ref="W104">IF(INDEX($U$427:$CB$432,E$436,$O437)="-","",INDEX($U$427:$CB$432,E$436,$O437))</f>
        <v/>
      </c>
      <c r="X104" s="213"/>
      <c r="Y104" s="213"/>
      <c r="Z104" s="213"/>
      <c r="AA104" s="213"/>
      <c r="AB104" s="213"/>
      <c r="AC104" s="213"/>
      <c r="AD104" s="213" t="str" cm="1">
        <f t="array" ref="AD104">IF(INDEX($U$427:$CB$432,F$436,$O437)="-","",INDEX($U$427:$CB$432,F$436,$O437))</f>
        <v/>
      </c>
      <c r="AE104" s="213"/>
      <c r="AF104" s="213"/>
      <c r="AG104" s="213"/>
      <c r="AH104" s="213"/>
      <c r="AI104" s="213"/>
      <c r="AJ104" s="213"/>
      <c r="AK104" s="213" t="str" cm="1">
        <f t="array" ref="AK104">IF(INDEX($U$427:$CB$432,G$436,$O437)="-","",INDEX($U$427:$CB$432,G$436,$O437))</f>
        <v/>
      </c>
      <c r="AL104" s="213"/>
      <c r="AM104" s="213"/>
      <c r="AN104" s="213"/>
      <c r="AO104" s="213"/>
      <c r="AP104" s="213"/>
      <c r="AQ104" s="213"/>
      <c r="AR104" s="211"/>
      <c r="AS104" s="211"/>
      <c r="AT104" s="211"/>
      <c r="AU104" s="211"/>
      <c r="AV104" s="211"/>
      <c r="AW104" s="211"/>
    </row>
    <row r="105" spans="1:83" ht="15" customHeight="1" x14ac:dyDescent="0.2">
      <c r="A105" s="41" t="str">
        <f t="shared" si="370"/>
        <v/>
      </c>
      <c r="B105" s="213"/>
      <c r="C105" s="213"/>
      <c r="D105" s="213"/>
      <c r="E105" s="213"/>
      <c r="F105" s="213"/>
      <c r="G105" s="213"/>
      <c r="H105" s="213"/>
      <c r="I105" s="213"/>
      <c r="J105" s="213"/>
      <c r="K105" s="213"/>
      <c r="L105" s="213"/>
      <c r="M105" s="213"/>
      <c r="N105" s="213"/>
      <c r="O105" s="213"/>
      <c r="P105" s="213"/>
      <c r="Q105" s="213"/>
      <c r="R105" s="213"/>
      <c r="S105" s="213"/>
      <c r="T105" s="213"/>
      <c r="U105" s="213"/>
      <c r="V105" s="213"/>
      <c r="W105" s="213"/>
      <c r="X105" s="213"/>
      <c r="Y105" s="213"/>
      <c r="Z105" s="213"/>
      <c r="AA105" s="213"/>
      <c r="AB105" s="213"/>
      <c r="AC105" s="213"/>
      <c r="AD105" s="213"/>
      <c r="AE105" s="213"/>
      <c r="AF105" s="213"/>
      <c r="AG105" s="213"/>
      <c r="AH105" s="213"/>
      <c r="AI105" s="213"/>
      <c r="AJ105" s="213"/>
      <c r="AK105" s="213"/>
      <c r="AL105" s="213"/>
      <c r="AM105" s="213"/>
      <c r="AN105" s="213"/>
      <c r="AO105" s="213"/>
      <c r="AP105" s="213"/>
      <c r="AQ105" s="213"/>
      <c r="AR105" s="211"/>
      <c r="AS105" s="211"/>
      <c r="AT105" s="211"/>
      <c r="AU105" s="211"/>
      <c r="AV105" s="211"/>
      <c r="AW105" s="211"/>
      <c r="CE105" s="49"/>
    </row>
    <row r="106" spans="1:83" ht="15" customHeight="1" x14ac:dyDescent="0.2">
      <c r="A106" s="41" t="str">
        <f t="shared" si="370"/>
        <v/>
      </c>
      <c r="B106" s="213"/>
      <c r="C106" s="213"/>
      <c r="D106" s="213"/>
      <c r="E106" s="213"/>
      <c r="F106" s="213"/>
      <c r="G106" s="213"/>
      <c r="H106" s="213"/>
      <c r="I106" s="213"/>
      <c r="J106" s="213"/>
      <c r="K106" s="213"/>
      <c r="L106" s="213"/>
      <c r="M106" s="213"/>
      <c r="N106" s="213"/>
      <c r="O106" s="213"/>
      <c r="P106" s="213"/>
      <c r="Q106" s="213"/>
      <c r="R106" s="213"/>
      <c r="S106" s="213"/>
      <c r="T106" s="213"/>
      <c r="U106" s="213"/>
      <c r="V106" s="213"/>
      <c r="W106" s="213"/>
      <c r="X106" s="213"/>
      <c r="Y106" s="213"/>
      <c r="Z106" s="213"/>
      <c r="AA106" s="213"/>
      <c r="AB106" s="213"/>
      <c r="AC106" s="213"/>
      <c r="AD106" s="213"/>
      <c r="AE106" s="213"/>
      <c r="AF106" s="213"/>
      <c r="AG106" s="213"/>
      <c r="AH106" s="213"/>
      <c r="AI106" s="213"/>
      <c r="AJ106" s="213"/>
      <c r="AK106" s="213"/>
      <c r="AL106" s="213"/>
      <c r="AM106" s="213"/>
      <c r="AN106" s="213"/>
      <c r="AO106" s="213"/>
      <c r="AP106" s="213"/>
      <c r="AQ106" s="213"/>
      <c r="AR106" s="211"/>
      <c r="AS106" s="211"/>
      <c r="AT106" s="211"/>
      <c r="AU106" s="211"/>
      <c r="AV106" s="211"/>
      <c r="AW106" s="211"/>
      <c r="CE106" s="49"/>
    </row>
    <row r="107" spans="1:83" ht="15" customHeight="1" x14ac:dyDescent="0.2">
      <c r="A107" s="41" t="str">
        <f t="shared" si="370"/>
        <v/>
      </c>
      <c r="B107" s="44" t="str" cm="1">
        <f t="array" aca="1" ref="B107" ca="1">IF(INDIRECT(_xlfn.CONCAT($P365,B$364))="+","+",IF(ISNUMBER(INDIRECT(_xlfn.CONCAT($P365,B$363))),"-",""))</f>
        <v/>
      </c>
      <c r="C107" s="41" t="str">
        <f ca="1">B107</f>
        <v/>
      </c>
      <c r="D107" s="41" t="str">
        <f t="shared" ref="D107" ca="1" si="401">C107</f>
        <v/>
      </c>
      <c r="E107" s="41" t="str">
        <f t="shared" ref="E107" ca="1" si="402">D107</f>
        <v/>
      </c>
      <c r="F107" s="41" t="str">
        <f t="shared" ref="F107" ca="1" si="403">E107</f>
        <v/>
      </c>
      <c r="G107" s="41" t="str">
        <f t="shared" ref="G107" ca="1" si="404">F107</f>
        <v/>
      </c>
      <c r="H107" s="41" t="str">
        <f t="shared" ref="H107" ca="1" si="405">G107</f>
        <v/>
      </c>
      <c r="I107" s="44" t="str" cm="1">
        <f t="array" aca="1" ref="I107" ca="1">IF(INDIRECT(_xlfn.CONCAT($P365,C$364))="+","+",IF(ISNUMBER(INDIRECT(_xlfn.CONCAT($P365,C$363))),"-",""))</f>
        <v/>
      </c>
      <c r="J107" s="41" t="str">
        <f ca="1">I107</f>
        <v/>
      </c>
      <c r="K107" s="41" t="str">
        <f t="shared" ref="K107" ca="1" si="406">J107</f>
        <v/>
      </c>
      <c r="L107" s="41" t="str">
        <f t="shared" ref="L107" ca="1" si="407">K107</f>
        <v/>
      </c>
      <c r="M107" s="41" t="str">
        <f t="shared" ref="M107" ca="1" si="408">L107</f>
        <v/>
      </c>
      <c r="N107" s="41" t="str">
        <f t="shared" ref="N107" ca="1" si="409">M107</f>
        <v/>
      </c>
      <c r="O107" s="41" t="str">
        <f t="shared" ref="O107" ca="1" si="410">N107</f>
        <v/>
      </c>
      <c r="P107" s="44" t="str" cm="1">
        <f t="array" aca="1" ref="P107" ca="1">IF(INDIRECT(_xlfn.CONCAT($P365,D$364))="+","+",IF(ISNUMBER(INDIRECT(_xlfn.CONCAT($P365,D$363))),"-",""))</f>
        <v/>
      </c>
      <c r="Q107" s="41" t="str">
        <f ca="1">P107</f>
        <v/>
      </c>
      <c r="R107" s="41" t="str">
        <f t="shared" ref="R107" ca="1" si="411">Q107</f>
        <v/>
      </c>
      <c r="S107" s="41" t="str">
        <f t="shared" ref="S107" ca="1" si="412">R107</f>
        <v/>
      </c>
      <c r="T107" s="41" t="str">
        <f t="shared" ref="T107" ca="1" si="413">S107</f>
        <v/>
      </c>
      <c r="U107" s="41" t="str">
        <f t="shared" ref="U107" ca="1" si="414">T107</f>
        <v/>
      </c>
      <c r="V107" s="41" t="str">
        <f t="shared" ref="V107" ca="1" si="415">U107</f>
        <v/>
      </c>
      <c r="W107" s="44" t="str" cm="1">
        <f t="array" aca="1" ref="W107" ca="1">IF(INDIRECT(_xlfn.CONCAT($P365,E$364))="+","+",IF(ISNUMBER(INDIRECT(_xlfn.CONCAT($P365,E$363))),"-",""))</f>
        <v/>
      </c>
      <c r="X107" s="41" t="str">
        <f ca="1">W107</f>
        <v/>
      </c>
      <c r="Y107" s="41" t="str">
        <f t="shared" ref="Y107" ca="1" si="416">X107</f>
        <v/>
      </c>
      <c r="Z107" s="41" t="str">
        <f t="shared" ref="Z107" ca="1" si="417">Y107</f>
        <v/>
      </c>
      <c r="AA107" s="41" t="str">
        <f t="shared" ref="AA107" ca="1" si="418">Z107</f>
        <v/>
      </c>
      <c r="AB107" s="41" t="str">
        <f t="shared" ref="AB107" ca="1" si="419">AA107</f>
        <v/>
      </c>
      <c r="AC107" s="41" t="str">
        <f t="shared" ref="AC107" ca="1" si="420">AB107</f>
        <v/>
      </c>
      <c r="AD107" s="44" t="str" cm="1">
        <f t="array" aca="1" ref="AD107" ca="1">IF(INDIRECT(_xlfn.CONCAT($P365,F$364))="+","+",IF(ISNUMBER(INDIRECT(_xlfn.CONCAT($P365,F$363))),"-",""))</f>
        <v/>
      </c>
      <c r="AE107" s="41" t="str">
        <f ca="1">AD107</f>
        <v/>
      </c>
      <c r="AF107" s="41" t="str">
        <f t="shared" ref="AF107" ca="1" si="421">AE107</f>
        <v/>
      </c>
      <c r="AG107" s="41" t="str">
        <f t="shared" ref="AG107" ca="1" si="422">AF107</f>
        <v/>
      </c>
      <c r="AH107" s="41" t="str">
        <f t="shared" ref="AH107" ca="1" si="423">AG107</f>
        <v/>
      </c>
      <c r="AI107" s="41" t="str">
        <f t="shared" ref="AI107" ca="1" si="424">AH107</f>
        <v/>
      </c>
      <c r="AJ107" s="41" t="str">
        <f t="shared" ref="AJ107" ca="1" si="425">AI107</f>
        <v/>
      </c>
      <c r="AK107" s="44" t="str" cm="1">
        <f t="array" aca="1" ref="AK107" ca="1">IF(INDIRECT(_xlfn.CONCAT($P365,G$364))="+","+",IF(ISNUMBER(INDIRECT(_xlfn.CONCAT($P365,G$363))),"-",""))</f>
        <v/>
      </c>
      <c r="AL107" s="41" t="str">
        <f ca="1">AK107</f>
        <v/>
      </c>
      <c r="AM107" s="41" t="str">
        <f t="shared" ref="AM107" ca="1" si="426">AL107</f>
        <v/>
      </c>
      <c r="AN107" s="41" t="str">
        <f t="shared" ref="AN107" ca="1" si="427">AM107</f>
        <v/>
      </c>
      <c r="AO107" s="41" t="str">
        <f t="shared" ref="AO107" ca="1" si="428">AN107</f>
        <v/>
      </c>
      <c r="AP107" s="41" t="str">
        <f t="shared" ref="AP107" ca="1" si="429">AO107</f>
        <v/>
      </c>
      <c r="AQ107" s="41" t="str">
        <f t="shared" ref="AQ107" ca="1" si="430">AP107</f>
        <v/>
      </c>
      <c r="AR107" s="44"/>
      <c r="AS107" s="41"/>
      <c r="AT107" s="41"/>
      <c r="AU107" s="41"/>
      <c r="AV107" s="41"/>
      <c r="AW107" s="41"/>
      <c r="CE107" s="49"/>
    </row>
    <row r="108" spans="1:83" ht="15" customHeight="1" x14ac:dyDescent="0.2">
      <c r="A108" s="41" t="str">
        <f t="shared" si="370"/>
        <v/>
      </c>
      <c r="B108" s="45" t="str" cm="1">
        <f t="array" aca="1" ref="B108" ca="1">IF(ISBLANK(INDIRECT(_xlfn.CONCAT($P390,B$389))),"",INDIRECT(_xlfn.CONCAT($P390,B$389)))</f>
        <v/>
      </c>
      <c r="C108" s="45"/>
      <c r="D108" s="45"/>
      <c r="E108" s="45"/>
      <c r="F108" s="45"/>
      <c r="G108" s="45"/>
      <c r="H108" s="45"/>
      <c r="I108" s="45" t="str" cm="1">
        <f t="array" aca="1" ref="I108" ca="1">IF(ISBLANK(INDIRECT(_xlfn.CONCAT($P390,C$389))),"",INDIRECT(_xlfn.CONCAT($P390,C$389)))</f>
        <v/>
      </c>
      <c r="J108" s="45"/>
      <c r="K108" s="45"/>
      <c r="L108" s="45"/>
      <c r="M108" s="45"/>
      <c r="N108" s="45"/>
      <c r="O108" s="45"/>
      <c r="P108" s="45" t="str" cm="1">
        <f t="array" aca="1" ref="P108" ca="1">IF(ISBLANK(INDIRECT(_xlfn.CONCAT($P390,D$389))),"",INDIRECT(_xlfn.CONCAT($P390,D$389)))</f>
        <v/>
      </c>
      <c r="Q108" s="45"/>
      <c r="R108" s="45"/>
      <c r="S108" s="45"/>
      <c r="T108" s="45"/>
      <c r="U108" s="45"/>
      <c r="V108" s="45"/>
      <c r="W108" s="45" t="str" cm="1">
        <f t="array" aca="1" ref="W108" ca="1">IF(ISBLANK(INDIRECT(_xlfn.CONCAT($P390,E$389))),"",INDIRECT(_xlfn.CONCAT($P390,E$389)))</f>
        <v/>
      </c>
      <c r="X108" s="45"/>
      <c r="Y108" s="45"/>
      <c r="Z108" s="45"/>
      <c r="AA108" s="45"/>
      <c r="AB108" s="45"/>
      <c r="AC108" s="45"/>
      <c r="AD108" s="45" t="str" cm="1">
        <f t="array" aca="1" ref="AD108" ca="1">IF(ISBLANK(INDIRECT(_xlfn.CONCAT($P390,F$389))),"",INDIRECT(_xlfn.CONCAT($P390,F$389)))</f>
        <v/>
      </c>
      <c r="AE108" s="45"/>
      <c r="AF108" s="45"/>
      <c r="AG108" s="45"/>
      <c r="AH108" s="45"/>
      <c r="AI108" s="45"/>
      <c r="AJ108" s="45"/>
      <c r="AK108" s="45" t="str" cm="1">
        <f t="array" aca="1" ref="AK108" ca="1">IF(ISBLANK(INDIRECT(_xlfn.CONCAT($P390,G$389))),"",INDIRECT(_xlfn.CONCAT($P390,G$389)))</f>
        <v/>
      </c>
      <c r="AL108" s="45"/>
      <c r="AM108" s="45"/>
      <c r="AN108" s="45"/>
      <c r="AO108" s="45"/>
      <c r="AP108" s="45"/>
      <c r="AQ108" s="45"/>
      <c r="AR108" s="45"/>
      <c r="AS108" s="46"/>
      <c r="AT108" s="46"/>
      <c r="AU108" s="46"/>
      <c r="AV108" s="46"/>
      <c r="AW108" s="46"/>
      <c r="CE108" s="49"/>
    </row>
    <row r="109" spans="1:83" ht="15" customHeight="1" x14ac:dyDescent="0.2">
      <c r="A109" s="41" t="str">
        <f t="shared" si="370"/>
        <v/>
      </c>
      <c r="B109" s="213" t="str" cm="1">
        <f t="array" ref="B109">IF(INDEX($U$427:$CB$432,B$436,$P437)="-","",INDEX($U$427:$CB$432,B$436,$P437))</f>
        <v/>
      </c>
      <c r="C109" s="213"/>
      <c r="D109" s="213"/>
      <c r="E109" s="213"/>
      <c r="F109" s="213"/>
      <c r="G109" s="213"/>
      <c r="H109" s="213"/>
      <c r="I109" s="213" t="str" cm="1">
        <f t="array" ref="I109">IF(INDEX($U$427:$CB$432,C$436,$P437)="-","",INDEX($U$427:$CB$432,C$436,$P437))</f>
        <v/>
      </c>
      <c r="J109" s="213"/>
      <c r="K109" s="213"/>
      <c r="L109" s="213"/>
      <c r="M109" s="213"/>
      <c r="N109" s="213"/>
      <c r="O109" s="213"/>
      <c r="P109" s="213" t="str" cm="1">
        <f t="array" ref="P109">IF(INDEX($U$427:$CB$432,D$436,$P437)="-","",INDEX($U$427:$CB$432,D$436,$P437))</f>
        <v/>
      </c>
      <c r="Q109" s="213"/>
      <c r="R109" s="213"/>
      <c r="S109" s="213"/>
      <c r="T109" s="213"/>
      <c r="U109" s="213"/>
      <c r="V109" s="213"/>
      <c r="W109" s="213" t="str" cm="1">
        <f t="array" ref="W109">IF(INDEX($U$427:$CB$432,E$436,$P437)="-","",INDEX($U$427:$CB$432,E$436,$P437))</f>
        <v/>
      </c>
      <c r="X109" s="213"/>
      <c r="Y109" s="213"/>
      <c r="Z109" s="213"/>
      <c r="AA109" s="213"/>
      <c r="AB109" s="213"/>
      <c r="AC109" s="213"/>
      <c r="AD109" s="213" t="str" cm="1">
        <f t="array" ref="AD109">IF(INDEX($U$427:$CB$432,F$436,$P437)="-","",INDEX($U$427:$CB$432,F$436,$P437))</f>
        <v/>
      </c>
      <c r="AE109" s="213"/>
      <c r="AF109" s="213"/>
      <c r="AG109" s="213"/>
      <c r="AH109" s="213"/>
      <c r="AI109" s="213"/>
      <c r="AJ109" s="213"/>
      <c r="AK109" s="213" t="str" cm="1">
        <f t="array" ref="AK109">IF(INDEX($U$427:$CB$432,G$436,$P437)="-","",INDEX($U$427:$CB$432,G$436,$P437))</f>
        <v/>
      </c>
      <c r="AL109" s="213"/>
      <c r="AM109" s="213"/>
      <c r="AN109" s="213"/>
      <c r="AO109" s="213"/>
      <c r="AP109" s="213"/>
      <c r="AQ109" s="213"/>
      <c r="AR109" s="211"/>
      <c r="AS109" s="211"/>
      <c r="AT109" s="211"/>
      <c r="AU109" s="211"/>
      <c r="AV109" s="211"/>
      <c r="AW109" s="211"/>
      <c r="CE109" s="49"/>
    </row>
    <row r="110" spans="1:83" ht="15" customHeight="1" x14ac:dyDescent="0.2">
      <c r="A110" s="41" t="str">
        <f t="shared" si="370"/>
        <v/>
      </c>
      <c r="B110" s="213"/>
      <c r="C110" s="213"/>
      <c r="D110" s="213"/>
      <c r="E110" s="213"/>
      <c r="F110" s="213"/>
      <c r="G110" s="213"/>
      <c r="H110" s="213"/>
      <c r="I110" s="213"/>
      <c r="J110" s="213"/>
      <c r="K110" s="213"/>
      <c r="L110" s="213"/>
      <c r="M110" s="213"/>
      <c r="N110" s="213"/>
      <c r="O110" s="213"/>
      <c r="P110" s="213"/>
      <c r="Q110" s="213"/>
      <c r="R110" s="213"/>
      <c r="S110" s="213"/>
      <c r="T110" s="213"/>
      <c r="U110" s="213"/>
      <c r="V110" s="213"/>
      <c r="W110" s="213"/>
      <c r="X110" s="213"/>
      <c r="Y110" s="213"/>
      <c r="Z110" s="213"/>
      <c r="AA110" s="213"/>
      <c r="AB110" s="213"/>
      <c r="AC110" s="213"/>
      <c r="AD110" s="213"/>
      <c r="AE110" s="213"/>
      <c r="AF110" s="213"/>
      <c r="AG110" s="213"/>
      <c r="AH110" s="213"/>
      <c r="AI110" s="213"/>
      <c r="AJ110" s="213"/>
      <c r="AK110" s="213"/>
      <c r="AL110" s="213"/>
      <c r="AM110" s="213"/>
      <c r="AN110" s="213"/>
      <c r="AO110" s="213"/>
      <c r="AP110" s="213"/>
      <c r="AQ110" s="213"/>
      <c r="AR110" s="211"/>
      <c r="AS110" s="211"/>
      <c r="AT110" s="211"/>
      <c r="AU110" s="211"/>
      <c r="AV110" s="211"/>
      <c r="AW110" s="211"/>
      <c r="CE110" s="49"/>
    </row>
    <row r="111" spans="1:83" ht="15" customHeight="1" x14ac:dyDescent="0.2">
      <c r="A111" s="41" t="str">
        <f t="shared" si="370"/>
        <v/>
      </c>
      <c r="B111" s="213"/>
      <c r="C111" s="213"/>
      <c r="D111" s="213"/>
      <c r="E111" s="213"/>
      <c r="F111" s="213"/>
      <c r="G111" s="213"/>
      <c r="H111" s="213"/>
      <c r="I111" s="213"/>
      <c r="J111" s="213"/>
      <c r="K111" s="213"/>
      <c r="L111" s="213"/>
      <c r="M111" s="213"/>
      <c r="N111" s="213"/>
      <c r="O111" s="213"/>
      <c r="P111" s="213"/>
      <c r="Q111" s="213"/>
      <c r="R111" s="213"/>
      <c r="S111" s="213"/>
      <c r="T111" s="213"/>
      <c r="U111" s="213"/>
      <c r="V111" s="213"/>
      <c r="W111" s="213"/>
      <c r="X111" s="213"/>
      <c r="Y111" s="213"/>
      <c r="Z111" s="213"/>
      <c r="AA111" s="213"/>
      <c r="AB111" s="213"/>
      <c r="AC111" s="213"/>
      <c r="AD111" s="213"/>
      <c r="AE111" s="213"/>
      <c r="AF111" s="213"/>
      <c r="AG111" s="213"/>
      <c r="AH111" s="213"/>
      <c r="AI111" s="213"/>
      <c r="AJ111" s="213"/>
      <c r="AK111" s="213"/>
      <c r="AL111" s="213"/>
      <c r="AM111" s="213"/>
      <c r="AN111" s="213"/>
      <c r="AO111" s="213"/>
      <c r="AP111" s="213"/>
      <c r="AQ111" s="213"/>
      <c r="AR111" s="211"/>
      <c r="AS111" s="211"/>
      <c r="AT111" s="211"/>
      <c r="AU111" s="211"/>
      <c r="AV111" s="211"/>
      <c r="AW111" s="211"/>
      <c r="CE111" s="49"/>
    </row>
    <row r="112" spans="1:83" ht="15" customHeight="1" x14ac:dyDescent="0.2">
      <c r="A112" s="41" t="str">
        <f t="shared" si="370"/>
        <v/>
      </c>
      <c r="B112" s="44" t="str" cm="1">
        <f t="array" aca="1" ref="B112" ca="1">IF(INDIRECT(_xlfn.CONCAT($Q365,B$364))="+","+",IF(ISNUMBER(INDIRECT(_xlfn.CONCAT($Q365,B$363))),"-",""))</f>
        <v/>
      </c>
      <c r="C112" s="41" t="str">
        <f ca="1">B112</f>
        <v/>
      </c>
      <c r="D112" s="41" t="str">
        <f t="shared" ref="D112" ca="1" si="431">C112</f>
        <v/>
      </c>
      <c r="E112" s="41" t="str">
        <f t="shared" ref="E112" ca="1" si="432">D112</f>
        <v/>
      </c>
      <c r="F112" s="41" t="str">
        <f t="shared" ref="F112" ca="1" si="433">E112</f>
        <v/>
      </c>
      <c r="G112" s="41" t="str">
        <f t="shared" ref="G112" ca="1" si="434">F112</f>
        <v/>
      </c>
      <c r="H112" s="41" t="str">
        <f t="shared" ref="H112" ca="1" si="435">G112</f>
        <v/>
      </c>
      <c r="I112" s="44" t="str" cm="1">
        <f t="array" aca="1" ref="I112" ca="1">IF(INDIRECT(_xlfn.CONCAT($Q365,C$364))="+","+",IF(ISNUMBER(INDIRECT(_xlfn.CONCAT($Q365,C$363))),"-",""))</f>
        <v/>
      </c>
      <c r="J112" s="41" t="str">
        <f ca="1">I112</f>
        <v/>
      </c>
      <c r="K112" s="41" t="str">
        <f t="shared" ref="K112" ca="1" si="436">J112</f>
        <v/>
      </c>
      <c r="L112" s="41" t="str">
        <f t="shared" ref="L112" ca="1" si="437">K112</f>
        <v/>
      </c>
      <c r="M112" s="41" t="str">
        <f t="shared" ref="M112" ca="1" si="438">L112</f>
        <v/>
      </c>
      <c r="N112" s="41" t="str">
        <f t="shared" ref="N112" ca="1" si="439">M112</f>
        <v/>
      </c>
      <c r="O112" s="41" t="str">
        <f t="shared" ref="O112" ca="1" si="440">N112</f>
        <v/>
      </c>
      <c r="P112" s="44" t="str" cm="1">
        <f t="array" aca="1" ref="P112" ca="1">IF(INDIRECT(_xlfn.CONCAT($Q365,D$364))="+","+",IF(ISNUMBER(INDIRECT(_xlfn.CONCAT($Q365,D$363))),"-",""))</f>
        <v/>
      </c>
      <c r="Q112" s="41" t="str">
        <f ca="1">P112</f>
        <v/>
      </c>
      <c r="R112" s="41" t="str">
        <f t="shared" ref="R112" ca="1" si="441">Q112</f>
        <v/>
      </c>
      <c r="S112" s="41" t="str">
        <f t="shared" ref="S112" ca="1" si="442">R112</f>
        <v/>
      </c>
      <c r="T112" s="41" t="str">
        <f t="shared" ref="T112" ca="1" si="443">S112</f>
        <v/>
      </c>
      <c r="U112" s="41" t="str">
        <f t="shared" ref="U112" ca="1" si="444">T112</f>
        <v/>
      </c>
      <c r="V112" s="41" t="str">
        <f t="shared" ref="V112" ca="1" si="445">U112</f>
        <v/>
      </c>
      <c r="W112" s="44" t="str" cm="1">
        <f t="array" aca="1" ref="W112" ca="1">IF(INDIRECT(_xlfn.CONCAT($Q365,E$364))="+","+",IF(ISNUMBER(INDIRECT(_xlfn.CONCAT($Q365,E$363))),"-",""))</f>
        <v/>
      </c>
      <c r="X112" s="41" t="str">
        <f ca="1">W112</f>
        <v/>
      </c>
      <c r="Y112" s="41" t="str">
        <f t="shared" ref="Y112" ca="1" si="446">X112</f>
        <v/>
      </c>
      <c r="Z112" s="41" t="str">
        <f t="shared" ref="Z112" ca="1" si="447">Y112</f>
        <v/>
      </c>
      <c r="AA112" s="41" t="str">
        <f t="shared" ref="AA112" ca="1" si="448">Z112</f>
        <v/>
      </c>
      <c r="AB112" s="41" t="str">
        <f t="shared" ref="AB112" ca="1" si="449">AA112</f>
        <v/>
      </c>
      <c r="AC112" s="41" t="str">
        <f t="shared" ref="AC112" ca="1" si="450">AB112</f>
        <v/>
      </c>
      <c r="AD112" s="44" t="str" cm="1">
        <f t="array" aca="1" ref="AD112" ca="1">IF(INDIRECT(_xlfn.CONCAT($Q365,F$364))="+","+",IF(ISNUMBER(INDIRECT(_xlfn.CONCAT($Q365,F$363))),"-",""))</f>
        <v/>
      </c>
      <c r="AE112" s="41" t="str">
        <f ca="1">AD112</f>
        <v/>
      </c>
      <c r="AF112" s="41" t="str">
        <f t="shared" ref="AF112" ca="1" si="451">AE112</f>
        <v/>
      </c>
      <c r="AG112" s="41" t="str">
        <f t="shared" ref="AG112" ca="1" si="452">AF112</f>
        <v/>
      </c>
      <c r="AH112" s="41" t="str">
        <f t="shared" ref="AH112" ca="1" si="453">AG112</f>
        <v/>
      </c>
      <c r="AI112" s="41" t="str">
        <f t="shared" ref="AI112" ca="1" si="454">AH112</f>
        <v/>
      </c>
      <c r="AJ112" s="41" t="str">
        <f t="shared" ref="AJ112" ca="1" si="455">AI112</f>
        <v/>
      </c>
      <c r="AK112" s="44" t="str" cm="1">
        <f t="array" aca="1" ref="AK112" ca="1">IF(INDIRECT(_xlfn.CONCAT($Q365,G$364))="+","+",IF(ISNUMBER(INDIRECT(_xlfn.CONCAT($Q365,G$363))),"-",""))</f>
        <v/>
      </c>
      <c r="AL112" s="41" t="str">
        <f ca="1">AK112</f>
        <v/>
      </c>
      <c r="AM112" s="41" t="str">
        <f t="shared" ref="AM112" ca="1" si="456">AL112</f>
        <v/>
      </c>
      <c r="AN112" s="41" t="str">
        <f t="shared" ref="AN112" ca="1" si="457">AM112</f>
        <v/>
      </c>
      <c r="AO112" s="41" t="str">
        <f t="shared" ref="AO112" ca="1" si="458">AN112</f>
        <v/>
      </c>
      <c r="AP112" s="41" t="str">
        <f t="shared" ref="AP112" ca="1" si="459">AO112</f>
        <v/>
      </c>
      <c r="AQ112" s="41" t="str">
        <f t="shared" ref="AQ112" ca="1" si="460">AP112</f>
        <v/>
      </c>
      <c r="AR112" s="44"/>
      <c r="AS112" s="41"/>
      <c r="AT112" s="41"/>
      <c r="AU112" s="41"/>
      <c r="AV112" s="41"/>
      <c r="AW112" s="41"/>
      <c r="CE112" s="49"/>
    </row>
    <row r="113" spans="1:83" ht="15" customHeight="1" x14ac:dyDescent="0.2">
      <c r="A113" s="41" t="str">
        <f t="shared" si="370"/>
        <v/>
      </c>
      <c r="B113" s="45" t="str" cm="1">
        <f t="array" aca="1" ref="B113" ca="1">IF(ISBLANK(INDIRECT(_xlfn.CONCAT($Q390,B$389))),"",INDIRECT(_xlfn.CONCAT($Q390,B$389)))</f>
        <v/>
      </c>
      <c r="C113" s="45"/>
      <c r="D113" s="45"/>
      <c r="E113" s="45"/>
      <c r="F113" s="45"/>
      <c r="G113" s="45"/>
      <c r="H113" s="45"/>
      <c r="I113" s="45" t="str" cm="1">
        <f t="array" aca="1" ref="I113" ca="1">IF(ISBLANK(INDIRECT(_xlfn.CONCAT($Q390,C$389))),"",INDIRECT(_xlfn.CONCAT($Q390,C$389)))</f>
        <v/>
      </c>
      <c r="J113" s="45"/>
      <c r="K113" s="45"/>
      <c r="L113" s="45"/>
      <c r="M113" s="45"/>
      <c r="N113" s="45"/>
      <c r="O113" s="45"/>
      <c r="P113" s="45" t="str" cm="1">
        <f t="array" aca="1" ref="P113" ca="1">IF(ISBLANK(INDIRECT(_xlfn.CONCAT($Q390,D$389))),"",INDIRECT(_xlfn.CONCAT($Q390,D$389)))</f>
        <v/>
      </c>
      <c r="Q113" s="45"/>
      <c r="R113" s="45"/>
      <c r="S113" s="45"/>
      <c r="T113" s="45"/>
      <c r="U113" s="45"/>
      <c r="V113" s="45"/>
      <c r="W113" s="45" t="str" cm="1">
        <f t="array" aca="1" ref="W113" ca="1">IF(ISBLANK(INDIRECT(_xlfn.CONCAT($Q390,E$389))),"",INDIRECT(_xlfn.CONCAT($Q390,E$389)))</f>
        <v/>
      </c>
      <c r="X113" s="45"/>
      <c r="Y113" s="45"/>
      <c r="Z113" s="45"/>
      <c r="AA113" s="45"/>
      <c r="AB113" s="45"/>
      <c r="AC113" s="45"/>
      <c r="AD113" s="45" t="str" cm="1">
        <f t="array" aca="1" ref="AD113" ca="1">IF(ISBLANK(INDIRECT(_xlfn.CONCAT($Q390,F$389))),"",INDIRECT(_xlfn.CONCAT($Q390,F$389)))</f>
        <v/>
      </c>
      <c r="AE113" s="45"/>
      <c r="AF113" s="45"/>
      <c r="AG113" s="45"/>
      <c r="AH113" s="45"/>
      <c r="AI113" s="45"/>
      <c r="AJ113" s="45"/>
      <c r="AK113" s="45" t="str" cm="1">
        <f t="array" aca="1" ref="AK113" ca="1">IF(ISBLANK(INDIRECT(_xlfn.CONCAT($Q390,G$389))),"",INDIRECT(_xlfn.CONCAT($Q390,G$389)))</f>
        <v/>
      </c>
      <c r="AL113" s="45"/>
      <c r="AM113" s="45"/>
      <c r="AN113" s="45"/>
      <c r="AO113" s="45"/>
      <c r="AP113" s="45"/>
      <c r="AQ113" s="45"/>
      <c r="AR113" s="45"/>
      <c r="AS113" s="46"/>
      <c r="AT113" s="46"/>
      <c r="AU113" s="46"/>
      <c r="AV113" s="46"/>
      <c r="AW113" s="46"/>
      <c r="CE113" s="49"/>
    </row>
    <row r="114" spans="1:83" ht="15" customHeight="1" x14ac:dyDescent="0.2">
      <c r="A114" s="41" t="str">
        <f t="shared" si="370"/>
        <v/>
      </c>
      <c r="B114" s="213" t="str" cm="1">
        <f t="array" ref="B114">IF(INDEX($U$427:$CB$432,B$436,$Q437)="-","",INDEX($U$427:$CB$432,B$436,$Q437))</f>
        <v/>
      </c>
      <c r="C114" s="213"/>
      <c r="D114" s="213"/>
      <c r="E114" s="213"/>
      <c r="F114" s="213"/>
      <c r="G114" s="213"/>
      <c r="H114" s="213"/>
      <c r="I114" s="213" t="str" cm="1">
        <f t="array" ref="I114">IF(INDEX($U$427:$CB$432,C$436,$Q437)="-","",INDEX($U$427:$CB$432,C$436,$Q437))</f>
        <v/>
      </c>
      <c r="J114" s="213"/>
      <c r="K114" s="213"/>
      <c r="L114" s="213"/>
      <c r="M114" s="213"/>
      <c r="N114" s="213"/>
      <c r="O114" s="213"/>
      <c r="P114" s="213" t="str" cm="1">
        <f t="array" ref="P114">IF(INDEX($U$427:$CB$432,D$436,$Q437)="-","",INDEX($U$427:$CB$432,D$436,$Q437))</f>
        <v/>
      </c>
      <c r="Q114" s="213"/>
      <c r="R114" s="213"/>
      <c r="S114" s="213"/>
      <c r="T114" s="213"/>
      <c r="U114" s="213"/>
      <c r="V114" s="213"/>
      <c r="W114" s="213" t="str" cm="1">
        <f t="array" ref="W114">IF(INDEX($U$427:$CB$432,E$436,$Q437)="-","",INDEX($U$427:$CB$432,E$436,$Q437))</f>
        <v/>
      </c>
      <c r="X114" s="213"/>
      <c r="Y114" s="213"/>
      <c r="Z114" s="213"/>
      <c r="AA114" s="213"/>
      <c r="AB114" s="213"/>
      <c r="AC114" s="213"/>
      <c r="AD114" s="213" t="str" cm="1">
        <f t="array" ref="AD114">IF(INDEX($U$427:$CB$432,F$436,$Q437)="-","",INDEX($U$427:$CB$432,F$436,$Q437))</f>
        <v/>
      </c>
      <c r="AE114" s="213"/>
      <c r="AF114" s="213"/>
      <c r="AG114" s="213"/>
      <c r="AH114" s="213"/>
      <c r="AI114" s="213"/>
      <c r="AJ114" s="213"/>
      <c r="AK114" s="213" t="str" cm="1">
        <f t="array" ref="AK114">IF(INDEX($U$427:$CB$432,G$436,$Q437)="-","",INDEX($U$427:$CB$432,G$436,$Q437))</f>
        <v/>
      </c>
      <c r="AL114" s="213"/>
      <c r="AM114" s="213"/>
      <c r="AN114" s="213"/>
      <c r="AO114" s="213"/>
      <c r="AP114" s="213"/>
      <c r="AQ114" s="213"/>
      <c r="AR114" s="211"/>
      <c r="AS114" s="211"/>
      <c r="AT114" s="211"/>
      <c r="AU114" s="211"/>
      <c r="AV114" s="211"/>
      <c r="AW114" s="211"/>
      <c r="CE114" s="49"/>
    </row>
    <row r="115" spans="1:83" ht="15" customHeight="1" x14ac:dyDescent="0.2">
      <c r="A115" s="41" t="str">
        <f t="shared" si="370"/>
        <v/>
      </c>
      <c r="B115" s="213"/>
      <c r="C115" s="213"/>
      <c r="D115" s="213"/>
      <c r="E115" s="213"/>
      <c r="F115" s="213"/>
      <c r="G115" s="213"/>
      <c r="H115" s="213"/>
      <c r="I115" s="213"/>
      <c r="J115" s="213"/>
      <c r="K115" s="213"/>
      <c r="L115" s="213"/>
      <c r="M115" s="213"/>
      <c r="N115" s="213"/>
      <c r="O115" s="213"/>
      <c r="P115" s="213"/>
      <c r="Q115" s="213"/>
      <c r="R115" s="213"/>
      <c r="S115" s="213"/>
      <c r="T115" s="213"/>
      <c r="U115" s="213"/>
      <c r="V115" s="213"/>
      <c r="W115" s="213"/>
      <c r="X115" s="213"/>
      <c r="Y115" s="213"/>
      <c r="Z115" s="213"/>
      <c r="AA115" s="213"/>
      <c r="AB115" s="213"/>
      <c r="AC115" s="213"/>
      <c r="AD115" s="213"/>
      <c r="AE115" s="213"/>
      <c r="AF115" s="213"/>
      <c r="AG115" s="213"/>
      <c r="AH115" s="213"/>
      <c r="AI115" s="213"/>
      <c r="AJ115" s="213"/>
      <c r="AK115" s="213"/>
      <c r="AL115" s="213"/>
      <c r="AM115" s="213"/>
      <c r="AN115" s="213"/>
      <c r="AO115" s="213"/>
      <c r="AP115" s="213"/>
      <c r="AQ115" s="213"/>
      <c r="AR115" s="211"/>
      <c r="AS115" s="211"/>
      <c r="AT115" s="211"/>
      <c r="AU115" s="211"/>
      <c r="AV115" s="211"/>
      <c r="AW115" s="211"/>
      <c r="CE115" s="49"/>
    </row>
    <row r="116" spans="1:83" ht="15" customHeight="1" x14ac:dyDescent="0.2">
      <c r="A116" s="41" t="str">
        <f t="shared" si="370"/>
        <v/>
      </c>
      <c r="B116" s="213"/>
      <c r="C116" s="213"/>
      <c r="D116" s="213"/>
      <c r="E116" s="213"/>
      <c r="F116" s="213"/>
      <c r="G116" s="213"/>
      <c r="H116" s="213"/>
      <c r="I116" s="213"/>
      <c r="J116" s="213"/>
      <c r="K116" s="213"/>
      <c r="L116" s="213"/>
      <c r="M116" s="213"/>
      <c r="N116" s="213"/>
      <c r="O116" s="213"/>
      <c r="P116" s="213"/>
      <c r="Q116" s="213"/>
      <c r="R116" s="213"/>
      <c r="S116" s="213"/>
      <c r="T116" s="213"/>
      <c r="U116" s="213"/>
      <c r="V116" s="213"/>
      <c r="W116" s="213"/>
      <c r="X116" s="213"/>
      <c r="Y116" s="213"/>
      <c r="Z116" s="213"/>
      <c r="AA116" s="213"/>
      <c r="AB116" s="213"/>
      <c r="AC116" s="213"/>
      <c r="AD116" s="213"/>
      <c r="AE116" s="213"/>
      <c r="AF116" s="213"/>
      <c r="AG116" s="213"/>
      <c r="AH116" s="213"/>
      <c r="AI116" s="213"/>
      <c r="AJ116" s="213"/>
      <c r="AK116" s="213"/>
      <c r="AL116" s="213"/>
      <c r="AM116" s="213"/>
      <c r="AN116" s="213"/>
      <c r="AO116" s="213"/>
      <c r="AP116" s="213"/>
      <c r="AQ116" s="213"/>
      <c r="AR116" s="211"/>
      <c r="AS116" s="211"/>
      <c r="AT116" s="211"/>
      <c r="AU116" s="211"/>
      <c r="AV116" s="211"/>
      <c r="AW116" s="211"/>
      <c r="CE116" s="49"/>
    </row>
    <row r="117" spans="1:83" ht="15" customHeight="1" x14ac:dyDescent="0.2">
      <c r="A117" s="41" t="str">
        <f t="shared" si="370"/>
        <v/>
      </c>
      <c r="B117" s="44" t="str" cm="1">
        <f t="array" aca="1" ref="B117" ca="1">IF(INDIRECT(_xlfn.CONCAT($R365,B$364))="+","+",IF(ISNUMBER(INDIRECT(_xlfn.CONCAT($R365,B$363))),"-",""))</f>
        <v/>
      </c>
      <c r="C117" s="41" t="str">
        <f ca="1">B117</f>
        <v/>
      </c>
      <c r="D117" s="41" t="str">
        <f t="shared" ref="D117" ca="1" si="461">C117</f>
        <v/>
      </c>
      <c r="E117" s="41" t="str">
        <f t="shared" ref="E117" ca="1" si="462">D117</f>
        <v/>
      </c>
      <c r="F117" s="41" t="str">
        <f t="shared" ref="F117" ca="1" si="463">E117</f>
        <v/>
      </c>
      <c r="G117" s="41" t="str">
        <f t="shared" ref="G117" ca="1" si="464">F117</f>
        <v/>
      </c>
      <c r="H117" s="41" t="str">
        <f t="shared" ref="H117" ca="1" si="465">G117</f>
        <v/>
      </c>
      <c r="I117" s="44" t="str" cm="1">
        <f t="array" aca="1" ref="I117" ca="1">IF(INDIRECT(_xlfn.CONCAT($R365,C$364))="+","+",IF(ISNUMBER(INDIRECT(_xlfn.CONCAT($R365,C$363))),"-",""))</f>
        <v/>
      </c>
      <c r="J117" s="41" t="str">
        <f ca="1">I117</f>
        <v/>
      </c>
      <c r="K117" s="41" t="str">
        <f t="shared" ref="K117" ca="1" si="466">J117</f>
        <v/>
      </c>
      <c r="L117" s="41" t="str">
        <f t="shared" ref="L117" ca="1" si="467">K117</f>
        <v/>
      </c>
      <c r="M117" s="41" t="str">
        <f t="shared" ref="M117" ca="1" si="468">L117</f>
        <v/>
      </c>
      <c r="N117" s="41" t="str">
        <f t="shared" ref="N117" ca="1" si="469">M117</f>
        <v/>
      </c>
      <c r="O117" s="41" t="str">
        <f t="shared" ref="O117" ca="1" si="470">N117</f>
        <v/>
      </c>
      <c r="P117" s="44" t="str" cm="1">
        <f t="array" aca="1" ref="P117" ca="1">IF(INDIRECT(_xlfn.CONCAT($R365,D$364))="+","+",IF(ISNUMBER(INDIRECT(_xlfn.CONCAT($R365,D$363))),"-",""))</f>
        <v/>
      </c>
      <c r="Q117" s="41" t="str">
        <f ca="1">P117</f>
        <v/>
      </c>
      <c r="R117" s="41" t="str">
        <f t="shared" ref="R117" ca="1" si="471">Q117</f>
        <v/>
      </c>
      <c r="S117" s="41" t="str">
        <f t="shared" ref="S117" ca="1" si="472">R117</f>
        <v/>
      </c>
      <c r="T117" s="41" t="str">
        <f t="shared" ref="T117" ca="1" si="473">S117</f>
        <v/>
      </c>
      <c r="U117" s="41" t="str">
        <f t="shared" ref="U117" ca="1" si="474">T117</f>
        <v/>
      </c>
      <c r="V117" s="41" t="str">
        <f t="shared" ref="V117" ca="1" si="475">U117</f>
        <v/>
      </c>
      <c r="W117" s="44" t="str" cm="1">
        <f t="array" aca="1" ref="W117" ca="1">IF(INDIRECT(_xlfn.CONCAT($R365,E$364))="+","+",IF(ISNUMBER(INDIRECT(_xlfn.CONCAT($R365,E$363))),"-",""))</f>
        <v/>
      </c>
      <c r="X117" s="41" t="str">
        <f ca="1">W117</f>
        <v/>
      </c>
      <c r="Y117" s="41" t="str">
        <f t="shared" ref="Y117" ca="1" si="476">X117</f>
        <v/>
      </c>
      <c r="Z117" s="41" t="str">
        <f t="shared" ref="Z117" ca="1" si="477">Y117</f>
        <v/>
      </c>
      <c r="AA117" s="41" t="str">
        <f t="shared" ref="AA117" ca="1" si="478">Z117</f>
        <v/>
      </c>
      <c r="AB117" s="41" t="str">
        <f t="shared" ref="AB117" ca="1" si="479">AA117</f>
        <v/>
      </c>
      <c r="AC117" s="41" t="str">
        <f t="shared" ref="AC117" ca="1" si="480">AB117</f>
        <v/>
      </c>
      <c r="AD117" s="44" t="str" cm="1">
        <f t="array" aca="1" ref="AD117" ca="1">IF(INDIRECT(_xlfn.CONCAT($R365,F$364))="+","+",IF(ISNUMBER(INDIRECT(_xlfn.CONCAT($R365,F$363))),"-",""))</f>
        <v/>
      </c>
      <c r="AE117" s="41" t="str">
        <f ca="1">AD117</f>
        <v/>
      </c>
      <c r="AF117" s="41" t="str">
        <f t="shared" ref="AF117" ca="1" si="481">AE117</f>
        <v/>
      </c>
      <c r="AG117" s="41" t="str">
        <f t="shared" ref="AG117" ca="1" si="482">AF117</f>
        <v/>
      </c>
      <c r="AH117" s="41" t="str">
        <f t="shared" ref="AH117" ca="1" si="483">AG117</f>
        <v/>
      </c>
      <c r="AI117" s="41" t="str">
        <f t="shared" ref="AI117" ca="1" si="484">AH117</f>
        <v/>
      </c>
      <c r="AJ117" s="41" t="str">
        <f t="shared" ref="AJ117" ca="1" si="485">AI117</f>
        <v/>
      </c>
      <c r="AK117" s="44" t="str" cm="1">
        <f t="array" aca="1" ref="AK117" ca="1">IF(INDIRECT(_xlfn.CONCAT($R365,G$364))="+","+",IF(ISNUMBER(INDIRECT(_xlfn.CONCAT($R365,G$363))),"-",""))</f>
        <v/>
      </c>
      <c r="AL117" s="41" t="str">
        <f ca="1">AK117</f>
        <v/>
      </c>
      <c r="AM117" s="41" t="str">
        <f t="shared" ref="AM117" ca="1" si="486">AL117</f>
        <v/>
      </c>
      <c r="AN117" s="41" t="str">
        <f t="shared" ref="AN117" ca="1" si="487">AM117</f>
        <v/>
      </c>
      <c r="AO117" s="41" t="str">
        <f t="shared" ref="AO117" ca="1" si="488">AN117</f>
        <v/>
      </c>
      <c r="AP117" s="41" t="str">
        <f t="shared" ref="AP117" ca="1" si="489">AO117</f>
        <v/>
      </c>
      <c r="AQ117" s="41" t="str">
        <f t="shared" ref="AQ117" ca="1" si="490">AP117</f>
        <v/>
      </c>
      <c r="AR117" s="44"/>
      <c r="AS117" s="41"/>
      <c r="AT117" s="41"/>
      <c r="AU117" s="41"/>
      <c r="AV117" s="41"/>
      <c r="AW117" s="41"/>
      <c r="CE117" s="49"/>
    </row>
    <row r="118" spans="1:83" ht="15" customHeight="1" x14ac:dyDescent="0.2">
      <c r="A118" s="41" t="str">
        <f t="shared" si="370"/>
        <v/>
      </c>
      <c r="B118" s="45" t="str" cm="1">
        <f t="array" aca="1" ref="B118" ca="1">IF(ISBLANK(INDIRECT(_xlfn.CONCAT($R390,B$389))),"",INDIRECT(_xlfn.CONCAT($R390,B$389)))</f>
        <v/>
      </c>
      <c r="C118" s="45"/>
      <c r="D118" s="45"/>
      <c r="E118" s="45"/>
      <c r="F118" s="45"/>
      <c r="G118" s="45"/>
      <c r="H118" s="45"/>
      <c r="I118" s="45" t="str" cm="1">
        <f t="array" aca="1" ref="I118" ca="1">IF(ISBLANK(INDIRECT(_xlfn.CONCAT($R390,C$389))),"",INDIRECT(_xlfn.CONCAT($R390,C$389)))</f>
        <v/>
      </c>
      <c r="J118" s="45"/>
      <c r="K118" s="45"/>
      <c r="L118" s="45"/>
      <c r="M118" s="45"/>
      <c r="N118" s="45"/>
      <c r="O118" s="45"/>
      <c r="P118" s="45" t="str" cm="1">
        <f t="array" aca="1" ref="P118" ca="1">IF(ISBLANK(INDIRECT(_xlfn.CONCAT($R390,D$389))),"",INDIRECT(_xlfn.CONCAT($R390,D$389)))</f>
        <v/>
      </c>
      <c r="Q118" s="45"/>
      <c r="R118" s="45"/>
      <c r="S118" s="45"/>
      <c r="T118" s="45"/>
      <c r="U118" s="45"/>
      <c r="V118" s="45"/>
      <c r="W118" s="45" t="str" cm="1">
        <f t="array" aca="1" ref="W118" ca="1">IF(ISBLANK(INDIRECT(_xlfn.CONCAT($R390,E$389))),"",INDIRECT(_xlfn.CONCAT($R390,E$389)))</f>
        <v/>
      </c>
      <c r="X118" s="45"/>
      <c r="Y118" s="45"/>
      <c r="Z118" s="45"/>
      <c r="AA118" s="45"/>
      <c r="AB118" s="45"/>
      <c r="AC118" s="45"/>
      <c r="AD118" s="45" t="str" cm="1">
        <f t="array" aca="1" ref="AD118" ca="1">IF(ISBLANK(INDIRECT(_xlfn.CONCAT($R390,F$389))),"",INDIRECT(_xlfn.CONCAT($R390,F$389)))</f>
        <v/>
      </c>
      <c r="AE118" s="45"/>
      <c r="AF118" s="45"/>
      <c r="AG118" s="45"/>
      <c r="AH118" s="45"/>
      <c r="AI118" s="45"/>
      <c r="AJ118" s="45"/>
      <c r="AK118" s="45" t="str" cm="1">
        <f t="array" aca="1" ref="AK118" ca="1">IF(ISBLANK(INDIRECT(_xlfn.CONCAT($R390,G$389))),"",INDIRECT(_xlfn.CONCAT($R390,G$389)))</f>
        <v/>
      </c>
      <c r="AL118" s="45"/>
      <c r="AM118" s="45"/>
      <c r="AN118" s="45"/>
      <c r="AO118" s="45"/>
      <c r="AP118" s="45"/>
      <c r="AQ118" s="45"/>
      <c r="AR118" s="45"/>
      <c r="AS118" s="46"/>
      <c r="AT118" s="46"/>
      <c r="AU118" s="46"/>
      <c r="AV118" s="46"/>
      <c r="AW118" s="46"/>
      <c r="CE118" s="49"/>
    </row>
    <row r="119" spans="1:83" ht="15" customHeight="1" x14ac:dyDescent="0.2">
      <c r="A119" s="41" t="str">
        <f t="shared" si="370"/>
        <v/>
      </c>
      <c r="B119" s="213" t="str" cm="1">
        <f t="array" ref="B119">IF(INDEX($U$427:$CB$432,B$436,$R437)="-","",INDEX($U$427:$CB$432,B$436,$R437))</f>
        <v/>
      </c>
      <c r="C119" s="213"/>
      <c r="D119" s="213"/>
      <c r="E119" s="213"/>
      <c r="F119" s="213"/>
      <c r="G119" s="213"/>
      <c r="H119" s="213"/>
      <c r="I119" s="213" t="str" cm="1">
        <f t="array" ref="I119">IF(INDEX($U$427:$CB$432,C$436,$R437)="-","",INDEX($U$427:$CB$432,C$436,$R437))</f>
        <v/>
      </c>
      <c r="J119" s="213"/>
      <c r="K119" s="213"/>
      <c r="L119" s="213"/>
      <c r="M119" s="213"/>
      <c r="N119" s="213"/>
      <c r="O119" s="213"/>
      <c r="P119" s="213" t="str" cm="1">
        <f t="array" ref="P119">IF(INDEX($U$427:$CB$432,D$436,$R437)="-","",INDEX($U$427:$CB$432,D$436,$R437))</f>
        <v/>
      </c>
      <c r="Q119" s="213"/>
      <c r="R119" s="213"/>
      <c r="S119" s="213"/>
      <c r="T119" s="213"/>
      <c r="U119" s="213"/>
      <c r="V119" s="213"/>
      <c r="W119" s="213" t="str" cm="1">
        <f t="array" ref="W119">IF(INDEX($U$427:$CB$432,E$436,$R437)="-","",INDEX($U$427:$CB$432,E$436,$R437))</f>
        <v/>
      </c>
      <c r="X119" s="213"/>
      <c r="Y119" s="213"/>
      <c r="Z119" s="213"/>
      <c r="AA119" s="213"/>
      <c r="AB119" s="213"/>
      <c r="AC119" s="213"/>
      <c r="AD119" s="213" t="str" cm="1">
        <f t="array" ref="AD119">IF(INDEX($U$427:$CB$432,F$436,$R437)="-","",INDEX($U$427:$CB$432,F$436,$R437))</f>
        <v/>
      </c>
      <c r="AE119" s="213"/>
      <c r="AF119" s="213"/>
      <c r="AG119" s="213"/>
      <c r="AH119" s="213"/>
      <c r="AI119" s="213"/>
      <c r="AJ119" s="213"/>
      <c r="AK119" s="213" t="str" cm="1">
        <f t="array" ref="AK119">IF(INDEX($U$427:$CB$432,G$436,$R437)="-","",INDEX($U$427:$CB$432,G$436,$R437))</f>
        <v/>
      </c>
      <c r="AL119" s="213"/>
      <c r="AM119" s="213"/>
      <c r="AN119" s="213"/>
      <c r="AO119" s="213"/>
      <c r="AP119" s="213"/>
      <c r="AQ119" s="213"/>
      <c r="AR119" s="211"/>
      <c r="AS119" s="211"/>
      <c r="AT119" s="211"/>
      <c r="AU119" s="211"/>
      <c r="AV119" s="211"/>
      <c r="AW119" s="211"/>
      <c r="CE119" s="49"/>
    </row>
    <row r="120" spans="1:83" ht="15" customHeight="1" x14ac:dyDescent="0.2">
      <c r="A120" s="41" t="str">
        <f t="shared" si="370"/>
        <v/>
      </c>
      <c r="B120" s="213"/>
      <c r="C120" s="213"/>
      <c r="D120" s="213"/>
      <c r="E120" s="213"/>
      <c r="F120" s="213"/>
      <c r="G120" s="213"/>
      <c r="H120" s="213"/>
      <c r="I120" s="213"/>
      <c r="J120" s="213"/>
      <c r="K120" s="213"/>
      <c r="L120" s="213"/>
      <c r="M120" s="213"/>
      <c r="N120" s="213"/>
      <c r="O120" s="213"/>
      <c r="P120" s="213"/>
      <c r="Q120" s="213"/>
      <c r="R120" s="213"/>
      <c r="S120" s="213"/>
      <c r="T120" s="213"/>
      <c r="U120" s="213"/>
      <c r="V120" s="213"/>
      <c r="W120" s="213"/>
      <c r="X120" s="213"/>
      <c r="Y120" s="213"/>
      <c r="Z120" s="213"/>
      <c r="AA120" s="213"/>
      <c r="AB120" s="213"/>
      <c r="AC120" s="213"/>
      <c r="AD120" s="213"/>
      <c r="AE120" s="213"/>
      <c r="AF120" s="213"/>
      <c r="AG120" s="213"/>
      <c r="AH120" s="213"/>
      <c r="AI120" s="213"/>
      <c r="AJ120" s="213"/>
      <c r="AK120" s="213"/>
      <c r="AL120" s="213"/>
      <c r="AM120" s="213"/>
      <c r="AN120" s="213"/>
      <c r="AO120" s="213"/>
      <c r="AP120" s="213"/>
      <c r="AQ120" s="213"/>
      <c r="AR120" s="211"/>
      <c r="AS120" s="211"/>
      <c r="AT120" s="211"/>
      <c r="AU120" s="211"/>
      <c r="AV120" s="211"/>
      <c r="AW120" s="211"/>
      <c r="CE120" s="49"/>
    </row>
    <row r="121" spans="1:83" ht="15" customHeight="1" x14ac:dyDescent="0.2">
      <c r="A121" s="41" t="str">
        <f t="shared" si="370"/>
        <v/>
      </c>
      <c r="B121" s="213"/>
      <c r="C121" s="213"/>
      <c r="D121" s="213"/>
      <c r="E121" s="213"/>
      <c r="F121" s="213"/>
      <c r="G121" s="213"/>
      <c r="H121" s="213"/>
      <c r="I121" s="213"/>
      <c r="J121" s="213"/>
      <c r="K121" s="213"/>
      <c r="L121" s="213"/>
      <c r="M121" s="213"/>
      <c r="N121" s="213"/>
      <c r="O121" s="213"/>
      <c r="P121" s="213"/>
      <c r="Q121" s="213"/>
      <c r="R121" s="213"/>
      <c r="S121" s="213"/>
      <c r="T121" s="213"/>
      <c r="U121" s="213"/>
      <c r="V121" s="213"/>
      <c r="W121" s="213"/>
      <c r="X121" s="213"/>
      <c r="Y121" s="213"/>
      <c r="Z121" s="213"/>
      <c r="AA121" s="213"/>
      <c r="AB121" s="213"/>
      <c r="AC121" s="213"/>
      <c r="AD121" s="213"/>
      <c r="AE121" s="213"/>
      <c r="AF121" s="213"/>
      <c r="AG121" s="213"/>
      <c r="AH121" s="213"/>
      <c r="AI121" s="213"/>
      <c r="AJ121" s="213"/>
      <c r="AK121" s="213"/>
      <c r="AL121" s="213"/>
      <c r="AM121" s="213"/>
      <c r="AN121" s="213"/>
      <c r="AO121" s="213"/>
      <c r="AP121" s="213"/>
      <c r="AQ121" s="213"/>
      <c r="AR121" s="211"/>
      <c r="AS121" s="211"/>
      <c r="AT121" s="211"/>
      <c r="AU121" s="211"/>
      <c r="AV121" s="211"/>
      <c r="AW121" s="211"/>
      <c r="CE121" s="49"/>
    </row>
    <row r="122" spans="1:83" ht="15" customHeight="1" x14ac:dyDescent="0.2">
      <c r="A122" s="41" t="str">
        <f t="shared" si="370"/>
        <v/>
      </c>
      <c r="B122" s="44" t="str" cm="1">
        <f t="array" aca="1" ref="B122" ca="1">IF(INDIRECT(_xlfn.CONCAT($S365,B$364))="+","+",IF(ISNUMBER(INDIRECT(_xlfn.CONCAT($S365,B$363))),"-",""))</f>
        <v/>
      </c>
      <c r="C122" s="41" t="str">
        <f ca="1">B122</f>
        <v/>
      </c>
      <c r="D122" s="41" t="str">
        <f t="shared" ref="D122" ca="1" si="491">C122</f>
        <v/>
      </c>
      <c r="E122" s="41" t="str">
        <f t="shared" ref="E122" ca="1" si="492">D122</f>
        <v/>
      </c>
      <c r="F122" s="41" t="str">
        <f t="shared" ref="F122" ca="1" si="493">E122</f>
        <v/>
      </c>
      <c r="G122" s="41" t="str">
        <f t="shared" ref="G122" ca="1" si="494">F122</f>
        <v/>
      </c>
      <c r="H122" s="41" t="str">
        <f t="shared" ref="H122" ca="1" si="495">G122</f>
        <v/>
      </c>
      <c r="I122" s="44" t="str" cm="1">
        <f t="array" aca="1" ref="I122" ca="1">IF(INDIRECT(_xlfn.CONCAT($S365,C$364))="+","+",IF(ISNUMBER(INDIRECT(_xlfn.CONCAT($S365,C$363))),"-",""))</f>
        <v/>
      </c>
      <c r="J122" s="41" t="str">
        <f ca="1">I122</f>
        <v/>
      </c>
      <c r="K122" s="41" t="str">
        <f t="shared" ref="K122" ca="1" si="496">J122</f>
        <v/>
      </c>
      <c r="L122" s="41" t="str">
        <f t="shared" ref="L122" ca="1" si="497">K122</f>
        <v/>
      </c>
      <c r="M122" s="41" t="str">
        <f t="shared" ref="M122" ca="1" si="498">L122</f>
        <v/>
      </c>
      <c r="N122" s="41" t="str">
        <f t="shared" ref="N122" ca="1" si="499">M122</f>
        <v/>
      </c>
      <c r="O122" s="41" t="str">
        <f t="shared" ref="O122" ca="1" si="500">N122</f>
        <v/>
      </c>
      <c r="P122" s="44" t="str" cm="1">
        <f t="array" aca="1" ref="P122" ca="1">IF(INDIRECT(_xlfn.CONCAT($S365,D$364))="+","+",IF(ISNUMBER(INDIRECT(_xlfn.CONCAT($S365,D$363))),"-",""))</f>
        <v/>
      </c>
      <c r="Q122" s="41" t="str">
        <f ca="1">P122</f>
        <v/>
      </c>
      <c r="R122" s="41" t="str">
        <f t="shared" ref="R122" ca="1" si="501">Q122</f>
        <v/>
      </c>
      <c r="S122" s="41" t="str">
        <f t="shared" ref="S122" ca="1" si="502">R122</f>
        <v/>
      </c>
      <c r="T122" s="41" t="str">
        <f t="shared" ref="T122" ca="1" si="503">S122</f>
        <v/>
      </c>
      <c r="U122" s="41" t="str">
        <f t="shared" ref="U122" ca="1" si="504">T122</f>
        <v/>
      </c>
      <c r="V122" s="41" t="str">
        <f t="shared" ref="V122" ca="1" si="505">U122</f>
        <v/>
      </c>
      <c r="W122" s="44" t="str" cm="1">
        <f t="array" aca="1" ref="W122" ca="1">IF(INDIRECT(_xlfn.CONCAT($S365,E$364))="+","+",IF(ISNUMBER(INDIRECT(_xlfn.CONCAT($S365,E$363))),"-",""))</f>
        <v/>
      </c>
      <c r="X122" s="41" t="str">
        <f ca="1">W122</f>
        <v/>
      </c>
      <c r="Y122" s="41" t="str">
        <f t="shared" ref="Y122" ca="1" si="506">X122</f>
        <v/>
      </c>
      <c r="Z122" s="41" t="str">
        <f t="shared" ref="Z122" ca="1" si="507">Y122</f>
        <v/>
      </c>
      <c r="AA122" s="41" t="str">
        <f t="shared" ref="AA122" ca="1" si="508">Z122</f>
        <v/>
      </c>
      <c r="AB122" s="41" t="str">
        <f t="shared" ref="AB122" ca="1" si="509">AA122</f>
        <v/>
      </c>
      <c r="AC122" s="41" t="str">
        <f t="shared" ref="AC122" ca="1" si="510">AB122</f>
        <v/>
      </c>
      <c r="AD122" s="44" t="str" cm="1">
        <f t="array" aca="1" ref="AD122" ca="1">IF(INDIRECT(_xlfn.CONCAT($S365,F$364))="+","+",IF(ISNUMBER(INDIRECT(_xlfn.CONCAT($S365,F$363))),"-",""))</f>
        <v/>
      </c>
      <c r="AE122" s="41" t="str">
        <f ca="1">AD122</f>
        <v/>
      </c>
      <c r="AF122" s="41" t="str">
        <f t="shared" ref="AF122" ca="1" si="511">AE122</f>
        <v/>
      </c>
      <c r="AG122" s="41" t="str">
        <f t="shared" ref="AG122" ca="1" si="512">AF122</f>
        <v/>
      </c>
      <c r="AH122" s="41" t="str">
        <f t="shared" ref="AH122" ca="1" si="513">AG122</f>
        <v/>
      </c>
      <c r="AI122" s="41" t="str">
        <f t="shared" ref="AI122" ca="1" si="514">AH122</f>
        <v/>
      </c>
      <c r="AJ122" s="41" t="str">
        <f t="shared" ref="AJ122" ca="1" si="515">AI122</f>
        <v/>
      </c>
      <c r="AK122" s="44" t="str" cm="1">
        <f t="array" aca="1" ref="AK122" ca="1">IF(INDIRECT(_xlfn.CONCAT($S365,G$364))="+","+",IF(ISNUMBER(INDIRECT(_xlfn.CONCAT($S365,G$363))),"-",""))</f>
        <v/>
      </c>
      <c r="AL122" s="41" t="str">
        <f ca="1">AK122</f>
        <v/>
      </c>
      <c r="AM122" s="41" t="str">
        <f t="shared" ref="AM122" ca="1" si="516">AL122</f>
        <v/>
      </c>
      <c r="AN122" s="41" t="str">
        <f t="shared" ref="AN122" ca="1" si="517">AM122</f>
        <v/>
      </c>
      <c r="AO122" s="41" t="str">
        <f t="shared" ref="AO122" ca="1" si="518">AN122</f>
        <v/>
      </c>
      <c r="AP122" s="41" t="str">
        <f t="shared" ref="AP122" ca="1" si="519">AO122</f>
        <v/>
      </c>
      <c r="AQ122" s="41" t="str">
        <f t="shared" ref="AQ122" ca="1" si="520">AP122</f>
        <v/>
      </c>
      <c r="AR122" s="44"/>
      <c r="AS122" s="41"/>
      <c r="AT122" s="41"/>
      <c r="AU122" s="41"/>
      <c r="AV122" s="41"/>
      <c r="AW122" s="41"/>
      <c r="CE122" s="49"/>
    </row>
    <row r="123" spans="1:83" ht="15" customHeight="1" x14ac:dyDescent="0.2">
      <c r="A123" s="41" t="str">
        <f t="shared" si="370"/>
        <v/>
      </c>
      <c r="B123" s="45" t="str" cm="1">
        <f t="array" aca="1" ref="B123" ca="1">IF(ISBLANK(INDIRECT(_xlfn.CONCAT($S390,B$389))),"",INDIRECT(_xlfn.CONCAT($S390,B$389)))</f>
        <v/>
      </c>
      <c r="C123" s="45"/>
      <c r="D123" s="45"/>
      <c r="E123" s="45"/>
      <c r="F123" s="45"/>
      <c r="G123" s="45"/>
      <c r="H123" s="45"/>
      <c r="I123" s="45" t="str" cm="1">
        <f t="array" aca="1" ref="I123" ca="1">IF(ISBLANK(INDIRECT(_xlfn.CONCAT($S390,C$389))),"",INDIRECT(_xlfn.CONCAT($S390,C$389)))</f>
        <v/>
      </c>
      <c r="J123" s="45"/>
      <c r="K123" s="45"/>
      <c r="L123" s="45"/>
      <c r="M123" s="45"/>
      <c r="N123" s="45"/>
      <c r="O123" s="45"/>
      <c r="P123" s="45" t="str" cm="1">
        <f t="array" aca="1" ref="P123" ca="1">IF(ISBLANK(INDIRECT(_xlfn.CONCAT($S390,D$389))),"",INDIRECT(_xlfn.CONCAT($S390,D$389)))</f>
        <v/>
      </c>
      <c r="Q123" s="45"/>
      <c r="R123" s="45"/>
      <c r="S123" s="45"/>
      <c r="T123" s="45"/>
      <c r="U123" s="45"/>
      <c r="V123" s="45"/>
      <c r="W123" s="45" t="str" cm="1">
        <f t="array" aca="1" ref="W123" ca="1">IF(ISBLANK(INDIRECT(_xlfn.CONCAT($S390,E$389))),"",INDIRECT(_xlfn.CONCAT($S390,E$389)))</f>
        <v/>
      </c>
      <c r="X123" s="45"/>
      <c r="Y123" s="45"/>
      <c r="Z123" s="45"/>
      <c r="AA123" s="45"/>
      <c r="AB123" s="45"/>
      <c r="AC123" s="45"/>
      <c r="AD123" s="45" t="str" cm="1">
        <f t="array" aca="1" ref="AD123" ca="1">IF(ISBLANK(INDIRECT(_xlfn.CONCAT($S390,F$389))),"",INDIRECT(_xlfn.CONCAT($S390,F$389)))</f>
        <v/>
      </c>
      <c r="AE123" s="45"/>
      <c r="AF123" s="45"/>
      <c r="AG123" s="45"/>
      <c r="AH123" s="45"/>
      <c r="AI123" s="45"/>
      <c r="AJ123" s="45"/>
      <c r="AK123" s="45" t="str" cm="1">
        <f t="array" aca="1" ref="AK123" ca="1">IF(ISBLANK(INDIRECT(_xlfn.CONCAT($S390,G$389))),"",INDIRECT(_xlfn.CONCAT($S390,G$389)))</f>
        <v/>
      </c>
      <c r="AL123" s="45"/>
      <c r="AM123" s="45"/>
      <c r="AN123" s="45"/>
      <c r="AO123" s="45"/>
      <c r="AP123" s="45"/>
      <c r="AQ123" s="45"/>
      <c r="AR123" s="45"/>
      <c r="AS123" s="46"/>
      <c r="AT123" s="46"/>
      <c r="AU123" s="46"/>
      <c r="AV123" s="46"/>
      <c r="AW123" s="46"/>
    </row>
    <row r="124" spans="1:83" ht="15" customHeight="1" x14ac:dyDescent="0.2">
      <c r="A124" s="41" t="str">
        <f t="shared" si="370"/>
        <v/>
      </c>
      <c r="B124" s="213" t="str" cm="1">
        <f t="array" ref="B124">IF(INDEX($U$427:$CB$432,B$436,$S437)="-","",INDEX($U$427:$CB$432,B$436,$S437))</f>
        <v/>
      </c>
      <c r="C124" s="213"/>
      <c r="D124" s="213"/>
      <c r="E124" s="213"/>
      <c r="F124" s="213"/>
      <c r="G124" s="213"/>
      <c r="H124" s="213"/>
      <c r="I124" s="213" t="str" cm="1">
        <f t="array" ref="I124">IF(INDEX($U$427:$CB$432,C$436,$S437)="-","",INDEX($U$427:$CB$432,C$436,$S437))</f>
        <v/>
      </c>
      <c r="J124" s="213"/>
      <c r="K124" s="213"/>
      <c r="L124" s="213"/>
      <c r="M124" s="213"/>
      <c r="N124" s="213"/>
      <c r="O124" s="213"/>
      <c r="P124" s="213" t="str" cm="1">
        <f t="array" ref="P124">IF(INDEX($U$427:$CB$432,D$436,$S437)="-","",INDEX($U$427:$CB$432,D$436,$S437))</f>
        <v/>
      </c>
      <c r="Q124" s="213"/>
      <c r="R124" s="213"/>
      <c r="S124" s="213"/>
      <c r="T124" s="213"/>
      <c r="U124" s="213"/>
      <c r="V124" s="213"/>
      <c r="W124" s="213" t="str" cm="1">
        <f t="array" ref="W124">IF(INDEX($U$427:$CB$432,E$436,$S437)="-","",INDEX($U$427:$CB$432,E$436,$S437))</f>
        <v/>
      </c>
      <c r="X124" s="213"/>
      <c r="Y124" s="213"/>
      <c r="Z124" s="213"/>
      <c r="AA124" s="213"/>
      <c r="AB124" s="213"/>
      <c r="AC124" s="213"/>
      <c r="AD124" s="213" t="str" cm="1">
        <f t="array" ref="AD124">IF(INDEX($U$427:$CB$432,F$436,$S437)="-","",INDEX($U$427:$CB$432,F$436,$S437))</f>
        <v/>
      </c>
      <c r="AE124" s="213"/>
      <c r="AF124" s="213"/>
      <c r="AG124" s="213"/>
      <c r="AH124" s="213"/>
      <c r="AI124" s="213"/>
      <c r="AJ124" s="213"/>
      <c r="AK124" s="213" t="str" cm="1">
        <f t="array" ref="AK124">IF(INDEX($U$427:$CB$432,G$436,$S437)="-","",INDEX($U$427:$CB$432,G$436,$S437))</f>
        <v/>
      </c>
      <c r="AL124" s="213"/>
      <c r="AM124" s="213"/>
      <c r="AN124" s="213"/>
      <c r="AO124" s="213"/>
      <c r="AP124" s="213"/>
      <c r="AQ124" s="213"/>
      <c r="AR124" s="211"/>
      <c r="AS124" s="211"/>
      <c r="AT124" s="211"/>
      <c r="AU124" s="211"/>
      <c r="AV124" s="211"/>
      <c r="AW124" s="211"/>
    </row>
    <row r="125" spans="1:83" ht="15" customHeight="1" x14ac:dyDescent="0.2">
      <c r="A125" s="41" t="str">
        <f t="shared" si="370"/>
        <v/>
      </c>
      <c r="B125" s="213"/>
      <c r="C125" s="213"/>
      <c r="D125" s="213"/>
      <c r="E125" s="213"/>
      <c r="F125" s="213"/>
      <c r="G125" s="213"/>
      <c r="H125" s="213"/>
      <c r="I125" s="213"/>
      <c r="J125" s="213"/>
      <c r="K125" s="213"/>
      <c r="L125" s="213"/>
      <c r="M125" s="213"/>
      <c r="N125" s="213"/>
      <c r="O125" s="213"/>
      <c r="P125" s="213"/>
      <c r="Q125" s="213"/>
      <c r="R125" s="213"/>
      <c r="S125" s="213"/>
      <c r="T125" s="213"/>
      <c r="U125" s="213"/>
      <c r="V125" s="213"/>
      <c r="W125" s="213"/>
      <c r="X125" s="213"/>
      <c r="Y125" s="213"/>
      <c r="Z125" s="213"/>
      <c r="AA125" s="213"/>
      <c r="AB125" s="213"/>
      <c r="AC125" s="213"/>
      <c r="AD125" s="213"/>
      <c r="AE125" s="213"/>
      <c r="AF125" s="213"/>
      <c r="AG125" s="213"/>
      <c r="AH125" s="213"/>
      <c r="AI125" s="213"/>
      <c r="AJ125" s="213"/>
      <c r="AK125" s="213"/>
      <c r="AL125" s="213"/>
      <c r="AM125" s="213"/>
      <c r="AN125" s="213"/>
      <c r="AO125" s="213"/>
      <c r="AP125" s="213"/>
      <c r="AQ125" s="213"/>
      <c r="AR125" s="211"/>
      <c r="AS125" s="211"/>
      <c r="AT125" s="211"/>
      <c r="AU125" s="211"/>
      <c r="AV125" s="211"/>
      <c r="AW125" s="211"/>
    </row>
    <row r="126" spans="1:83" ht="15" customHeight="1" x14ac:dyDescent="0.2">
      <c r="A126" s="41" t="str">
        <f t="shared" si="370"/>
        <v/>
      </c>
      <c r="B126" s="213"/>
      <c r="C126" s="213"/>
      <c r="D126" s="213"/>
      <c r="E126" s="213"/>
      <c r="F126" s="213"/>
      <c r="G126" s="213"/>
      <c r="H126" s="213"/>
      <c r="I126" s="213"/>
      <c r="J126" s="213"/>
      <c r="K126" s="213"/>
      <c r="L126" s="213"/>
      <c r="M126" s="213"/>
      <c r="N126" s="213"/>
      <c r="O126" s="213"/>
      <c r="P126" s="213"/>
      <c r="Q126" s="213"/>
      <c r="R126" s="213"/>
      <c r="S126" s="213"/>
      <c r="T126" s="213"/>
      <c r="U126" s="213"/>
      <c r="V126" s="213"/>
      <c r="W126" s="213"/>
      <c r="X126" s="213"/>
      <c r="Y126" s="213"/>
      <c r="Z126" s="213"/>
      <c r="AA126" s="213"/>
      <c r="AB126" s="213"/>
      <c r="AC126" s="213"/>
      <c r="AD126" s="213"/>
      <c r="AE126" s="213"/>
      <c r="AF126" s="213"/>
      <c r="AG126" s="213"/>
      <c r="AH126" s="213"/>
      <c r="AI126" s="213"/>
      <c r="AJ126" s="213"/>
      <c r="AK126" s="213"/>
      <c r="AL126" s="213"/>
      <c r="AM126" s="213"/>
      <c r="AN126" s="213"/>
      <c r="AO126" s="213"/>
      <c r="AP126" s="213"/>
      <c r="AQ126" s="213"/>
      <c r="AR126" s="211"/>
      <c r="AS126" s="211"/>
      <c r="AT126" s="211"/>
      <c r="AU126" s="211"/>
      <c r="AV126" s="211"/>
      <c r="AW126" s="211"/>
    </row>
    <row r="127" spans="1:83" ht="15" customHeight="1" x14ac:dyDescent="0.2">
      <c r="A127" s="41" t="str">
        <f t="shared" si="370"/>
        <v/>
      </c>
      <c r="B127" s="44" t="str" cm="1">
        <f t="array" aca="1" ref="B127" ca="1">IF(INDIRECT(_xlfn.CONCAT($T365,B$364))="+","+",IF(ISNUMBER(INDIRECT(_xlfn.CONCAT($T365,B$363))),"-",""))</f>
        <v/>
      </c>
      <c r="C127" s="41" t="str">
        <f ca="1">B127</f>
        <v/>
      </c>
      <c r="D127" s="41" t="str">
        <f t="shared" ref="D127" ca="1" si="521">C127</f>
        <v/>
      </c>
      <c r="E127" s="41" t="str">
        <f t="shared" ref="E127" ca="1" si="522">D127</f>
        <v/>
      </c>
      <c r="F127" s="41" t="str">
        <f t="shared" ref="F127" ca="1" si="523">E127</f>
        <v/>
      </c>
      <c r="G127" s="41" t="str">
        <f t="shared" ref="G127" ca="1" si="524">F127</f>
        <v/>
      </c>
      <c r="H127" s="41" t="str">
        <f t="shared" ref="H127" ca="1" si="525">G127</f>
        <v/>
      </c>
      <c r="I127" s="44" t="str" cm="1">
        <f t="array" aca="1" ref="I127" ca="1">IF(INDIRECT(_xlfn.CONCAT($T365,C$364))="+","+",IF(ISNUMBER(INDIRECT(_xlfn.CONCAT($T365,C$363))),"-",""))</f>
        <v/>
      </c>
      <c r="J127" s="41" t="str">
        <f ca="1">I127</f>
        <v/>
      </c>
      <c r="K127" s="41" t="str">
        <f t="shared" ref="K127" ca="1" si="526">J127</f>
        <v/>
      </c>
      <c r="L127" s="41" t="str">
        <f t="shared" ref="L127" ca="1" si="527">K127</f>
        <v/>
      </c>
      <c r="M127" s="41" t="str">
        <f t="shared" ref="M127" ca="1" si="528">L127</f>
        <v/>
      </c>
      <c r="N127" s="41" t="str">
        <f t="shared" ref="N127" ca="1" si="529">M127</f>
        <v/>
      </c>
      <c r="O127" s="41" t="str">
        <f t="shared" ref="O127" ca="1" si="530">N127</f>
        <v/>
      </c>
      <c r="P127" s="44" t="str" cm="1">
        <f t="array" aca="1" ref="P127" ca="1">IF(INDIRECT(_xlfn.CONCAT($T365,D$364))="+","+",IF(ISNUMBER(INDIRECT(_xlfn.CONCAT($T365,D$363))),"-",""))</f>
        <v/>
      </c>
      <c r="Q127" s="41" t="str">
        <f ca="1">P127</f>
        <v/>
      </c>
      <c r="R127" s="41" t="str">
        <f t="shared" ref="R127" ca="1" si="531">Q127</f>
        <v/>
      </c>
      <c r="S127" s="41" t="str">
        <f t="shared" ref="S127" ca="1" si="532">R127</f>
        <v/>
      </c>
      <c r="T127" s="41" t="str">
        <f t="shared" ref="T127" ca="1" si="533">S127</f>
        <v/>
      </c>
      <c r="U127" s="41" t="str">
        <f t="shared" ref="U127" ca="1" si="534">T127</f>
        <v/>
      </c>
      <c r="V127" s="41" t="str">
        <f t="shared" ref="V127" ca="1" si="535">U127</f>
        <v/>
      </c>
      <c r="W127" s="44" t="str" cm="1">
        <f t="array" aca="1" ref="W127" ca="1">IF(INDIRECT(_xlfn.CONCAT($T365,E$364))="+","+",IF(ISNUMBER(INDIRECT(_xlfn.CONCAT($T365,E$363))),"-",""))</f>
        <v/>
      </c>
      <c r="X127" s="41" t="str">
        <f ca="1">W127</f>
        <v/>
      </c>
      <c r="Y127" s="41" t="str">
        <f t="shared" ref="Y127" ca="1" si="536">X127</f>
        <v/>
      </c>
      <c r="Z127" s="41" t="str">
        <f t="shared" ref="Z127" ca="1" si="537">Y127</f>
        <v/>
      </c>
      <c r="AA127" s="41" t="str">
        <f t="shared" ref="AA127" ca="1" si="538">Z127</f>
        <v/>
      </c>
      <c r="AB127" s="41" t="str">
        <f t="shared" ref="AB127" ca="1" si="539">AA127</f>
        <v/>
      </c>
      <c r="AC127" s="41" t="str">
        <f t="shared" ref="AC127" ca="1" si="540">AB127</f>
        <v/>
      </c>
      <c r="AD127" s="44" t="str" cm="1">
        <f t="array" aca="1" ref="AD127" ca="1">IF(INDIRECT(_xlfn.CONCAT($T365,F$364))="+","+",IF(ISNUMBER(INDIRECT(_xlfn.CONCAT($T365,F$363))),"-",""))</f>
        <v/>
      </c>
      <c r="AE127" s="41" t="str">
        <f ca="1">AD127</f>
        <v/>
      </c>
      <c r="AF127" s="41" t="str">
        <f t="shared" ref="AF127" ca="1" si="541">AE127</f>
        <v/>
      </c>
      <c r="AG127" s="41" t="str">
        <f t="shared" ref="AG127" ca="1" si="542">AF127</f>
        <v/>
      </c>
      <c r="AH127" s="41" t="str">
        <f t="shared" ref="AH127" ca="1" si="543">AG127</f>
        <v/>
      </c>
      <c r="AI127" s="41" t="str">
        <f t="shared" ref="AI127" ca="1" si="544">AH127</f>
        <v/>
      </c>
      <c r="AJ127" s="41" t="str">
        <f t="shared" ref="AJ127" ca="1" si="545">AI127</f>
        <v/>
      </c>
      <c r="AK127" s="44" t="str" cm="1">
        <f t="array" aca="1" ref="AK127" ca="1">IF(INDIRECT(_xlfn.CONCAT($T365,G$364))="+","+",IF(ISNUMBER(INDIRECT(_xlfn.CONCAT($T365,G$363))),"-",""))</f>
        <v/>
      </c>
      <c r="AL127" s="41" t="str">
        <f ca="1">AK127</f>
        <v/>
      </c>
      <c r="AM127" s="41" t="str">
        <f t="shared" ref="AM127" ca="1" si="546">AL127</f>
        <v/>
      </c>
      <c r="AN127" s="41" t="str">
        <f t="shared" ref="AN127" ca="1" si="547">AM127</f>
        <v/>
      </c>
      <c r="AO127" s="41" t="str">
        <f t="shared" ref="AO127" ca="1" si="548">AN127</f>
        <v/>
      </c>
      <c r="AP127" s="41" t="str">
        <f t="shared" ref="AP127" ca="1" si="549">AO127</f>
        <v/>
      </c>
      <c r="AQ127" s="41" t="str">
        <f t="shared" ref="AQ127" ca="1" si="550">AP127</f>
        <v/>
      </c>
      <c r="AR127" s="44"/>
      <c r="AS127" s="41"/>
      <c r="AT127" s="41"/>
      <c r="AU127" s="41"/>
      <c r="AV127" s="41"/>
      <c r="AW127" s="41"/>
    </row>
    <row r="128" spans="1:83" ht="15" customHeight="1" x14ac:dyDescent="0.2">
      <c r="A128" s="41" t="str">
        <f t="shared" si="370"/>
        <v/>
      </c>
      <c r="B128" s="45" t="str" cm="1">
        <f t="array" aca="1" ref="B128" ca="1">IF(ISBLANK(INDIRECT(_xlfn.CONCAT($T390,B$389))),"",INDIRECT(_xlfn.CONCAT($T390,B$389)))</f>
        <v/>
      </c>
      <c r="C128" s="45"/>
      <c r="D128" s="45"/>
      <c r="E128" s="45"/>
      <c r="F128" s="45"/>
      <c r="G128" s="45"/>
      <c r="H128" s="45"/>
      <c r="I128" s="45" t="str" cm="1">
        <f t="array" aca="1" ref="I128" ca="1">IF(ISBLANK(INDIRECT(_xlfn.CONCAT($T390,C$389))),"",INDIRECT(_xlfn.CONCAT($T390,C$389)))</f>
        <v/>
      </c>
      <c r="J128" s="45"/>
      <c r="K128" s="45"/>
      <c r="L128" s="45"/>
      <c r="M128" s="45"/>
      <c r="N128" s="45"/>
      <c r="O128" s="45"/>
      <c r="P128" s="45" t="str" cm="1">
        <f t="array" aca="1" ref="P128" ca="1">IF(ISBLANK(INDIRECT(_xlfn.CONCAT($T390,D$389))),"",INDIRECT(_xlfn.CONCAT($T390,D$389)))</f>
        <v/>
      </c>
      <c r="Q128" s="45"/>
      <c r="R128" s="45"/>
      <c r="S128" s="45"/>
      <c r="T128" s="45"/>
      <c r="U128" s="45"/>
      <c r="V128" s="45"/>
      <c r="W128" s="45" t="str" cm="1">
        <f t="array" aca="1" ref="W128" ca="1">IF(ISBLANK(INDIRECT(_xlfn.CONCAT($T390,E$389))),"",INDIRECT(_xlfn.CONCAT($T390,E$389)))</f>
        <v/>
      </c>
      <c r="X128" s="45"/>
      <c r="Y128" s="45"/>
      <c r="Z128" s="45"/>
      <c r="AA128" s="45"/>
      <c r="AB128" s="45"/>
      <c r="AC128" s="45"/>
      <c r="AD128" s="45" t="str" cm="1">
        <f t="array" aca="1" ref="AD128" ca="1">IF(ISBLANK(INDIRECT(_xlfn.CONCAT($T390,F$389))),"",INDIRECT(_xlfn.CONCAT($T390,F$389)))</f>
        <v/>
      </c>
      <c r="AE128" s="45"/>
      <c r="AF128" s="45"/>
      <c r="AG128" s="45"/>
      <c r="AH128" s="45"/>
      <c r="AI128" s="45"/>
      <c r="AJ128" s="45"/>
      <c r="AK128" s="45" t="str" cm="1">
        <f t="array" aca="1" ref="AK128" ca="1">IF(ISBLANK(INDIRECT(_xlfn.CONCAT($T390,G$389))),"",INDIRECT(_xlfn.CONCAT($T390,G$389)))</f>
        <v/>
      </c>
      <c r="AL128" s="45"/>
      <c r="AM128" s="45"/>
      <c r="AN128" s="45"/>
      <c r="AO128" s="45"/>
      <c r="AP128" s="45"/>
      <c r="AQ128" s="45"/>
      <c r="AR128" s="45"/>
      <c r="AS128" s="46"/>
      <c r="AT128" s="46"/>
      <c r="AU128" s="46"/>
      <c r="AV128" s="46"/>
      <c r="AW128" s="46"/>
    </row>
    <row r="129" spans="1:49" ht="15" customHeight="1" x14ac:dyDescent="0.2">
      <c r="A129" s="41" t="str">
        <f t="shared" si="370"/>
        <v/>
      </c>
      <c r="B129" s="213" t="str" cm="1">
        <f t="array" ref="B129">IF(INDEX($U$427:$CB$432,B$436,$T437)="-","",INDEX($U$427:$CB$432,B$436,$T437))</f>
        <v/>
      </c>
      <c r="C129" s="213"/>
      <c r="D129" s="213"/>
      <c r="E129" s="213"/>
      <c r="F129" s="213"/>
      <c r="G129" s="213"/>
      <c r="H129" s="213"/>
      <c r="I129" s="213" t="str" cm="1">
        <f t="array" ref="I129">IF(INDEX($U$427:$CB$432,C$436,$T437)="-","",INDEX($U$427:$CB$432,C$436,$T437))</f>
        <v/>
      </c>
      <c r="J129" s="213"/>
      <c r="K129" s="213"/>
      <c r="L129" s="213"/>
      <c r="M129" s="213"/>
      <c r="N129" s="213"/>
      <c r="O129" s="213"/>
      <c r="P129" s="213" t="str" cm="1">
        <f t="array" ref="P129">IF(INDEX($U$427:$CB$432,D$436,$T437)="-","",INDEX($U$427:$CB$432,D$436,$T437))</f>
        <v/>
      </c>
      <c r="Q129" s="213"/>
      <c r="R129" s="213"/>
      <c r="S129" s="213"/>
      <c r="T129" s="213"/>
      <c r="U129" s="213"/>
      <c r="V129" s="213"/>
      <c r="W129" s="213" t="str" cm="1">
        <f t="array" ref="W129">IF(INDEX($U$427:$CB$432,E$436,$T437)="-","",INDEX($U$427:$CB$432,E$436,$T437))</f>
        <v/>
      </c>
      <c r="X129" s="213"/>
      <c r="Y129" s="213"/>
      <c r="Z129" s="213"/>
      <c r="AA129" s="213"/>
      <c r="AB129" s="213"/>
      <c r="AC129" s="213"/>
      <c r="AD129" s="213" t="str" cm="1">
        <f t="array" ref="AD129">IF(INDEX($U$427:$CB$432,F$436,$T437)="-","",INDEX($U$427:$CB$432,F$436,$T437))</f>
        <v/>
      </c>
      <c r="AE129" s="213"/>
      <c r="AF129" s="213"/>
      <c r="AG129" s="213"/>
      <c r="AH129" s="213"/>
      <c r="AI129" s="213"/>
      <c r="AJ129" s="213"/>
      <c r="AK129" s="213" t="str" cm="1">
        <f t="array" ref="AK129">IF(INDEX($U$427:$CB$432,G$436,$T437)="-","",INDEX($U$427:$CB$432,G$436,$T437))</f>
        <v/>
      </c>
      <c r="AL129" s="213"/>
      <c r="AM129" s="213"/>
      <c r="AN129" s="213"/>
      <c r="AO129" s="213"/>
      <c r="AP129" s="213"/>
      <c r="AQ129" s="213"/>
      <c r="AR129" s="211"/>
      <c r="AS129" s="211"/>
      <c r="AT129" s="211"/>
      <c r="AU129" s="211"/>
      <c r="AV129" s="211"/>
      <c r="AW129" s="211"/>
    </row>
    <row r="130" spans="1:49" ht="15" customHeight="1" x14ac:dyDescent="0.2">
      <c r="A130" s="41" t="str">
        <f t="shared" si="370"/>
        <v/>
      </c>
      <c r="B130" s="213"/>
      <c r="C130" s="213"/>
      <c r="D130" s="213"/>
      <c r="E130" s="213"/>
      <c r="F130" s="213"/>
      <c r="G130" s="213"/>
      <c r="H130" s="213"/>
      <c r="I130" s="213"/>
      <c r="J130" s="213"/>
      <c r="K130" s="213"/>
      <c r="L130" s="213"/>
      <c r="M130" s="213"/>
      <c r="N130" s="213"/>
      <c r="O130" s="213"/>
      <c r="P130" s="213"/>
      <c r="Q130" s="213"/>
      <c r="R130" s="213"/>
      <c r="S130" s="213"/>
      <c r="T130" s="213"/>
      <c r="U130" s="213"/>
      <c r="V130" s="213"/>
      <c r="W130" s="213"/>
      <c r="X130" s="213"/>
      <c r="Y130" s="213"/>
      <c r="Z130" s="213"/>
      <c r="AA130" s="213"/>
      <c r="AB130" s="213"/>
      <c r="AC130" s="213"/>
      <c r="AD130" s="213"/>
      <c r="AE130" s="213"/>
      <c r="AF130" s="213"/>
      <c r="AG130" s="213"/>
      <c r="AH130" s="213"/>
      <c r="AI130" s="213"/>
      <c r="AJ130" s="213"/>
      <c r="AK130" s="213"/>
      <c r="AL130" s="213"/>
      <c r="AM130" s="213"/>
      <c r="AN130" s="213"/>
      <c r="AO130" s="213"/>
      <c r="AP130" s="213"/>
      <c r="AQ130" s="213"/>
      <c r="AR130" s="211"/>
      <c r="AS130" s="211"/>
      <c r="AT130" s="211"/>
      <c r="AU130" s="211"/>
      <c r="AV130" s="211"/>
      <c r="AW130" s="211"/>
    </row>
    <row r="131" spans="1:49" ht="15" customHeight="1" x14ac:dyDescent="0.2">
      <c r="A131" s="41" t="str">
        <f t="shared" si="370"/>
        <v/>
      </c>
      <c r="B131" s="213"/>
      <c r="C131" s="213"/>
      <c r="D131" s="213"/>
      <c r="E131" s="213"/>
      <c r="F131" s="213"/>
      <c r="G131" s="213"/>
      <c r="H131" s="213"/>
      <c r="I131" s="213"/>
      <c r="J131" s="213"/>
      <c r="K131" s="213"/>
      <c r="L131" s="213"/>
      <c r="M131" s="213"/>
      <c r="N131" s="213"/>
      <c r="O131" s="213"/>
      <c r="P131" s="213"/>
      <c r="Q131" s="213"/>
      <c r="R131" s="213"/>
      <c r="S131" s="213"/>
      <c r="T131" s="213"/>
      <c r="U131" s="213"/>
      <c r="V131" s="213"/>
      <c r="W131" s="213"/>
      <c r="X131" s="213"/>
      <c r="Y131" s="213"/>
      <c r="Z131" s="213"/>
      <c r="AA131" s="213"/>
      <c r="AB131" s="213"/>
      <c r="AC131" s="213"/>
      <c r="AD131" s="213"/>
      <c r="AE131" s="213"/>
      <c r="AF131" s="213"/>
      <c r="AG131" s="213"/>
      <c r="AH131" s="213"/>
      <c r="AI131" s="213"/>
      <c r="AJ131" s="213"/>
      <c r="AK131" s="213"/>
      <c r="AL131" s="213"/>
      <c r="AM131" s="213"/>
      <c r="AN131" s="213"/>
      <c r="AO131" s="213"/>
      <c r="AP131" s="213"/>
      <c r="AQ131" s="213"/>
      <c r="AR131" s="211"/>
      <c r="AS131" s="211"/>
      <c r="AT131" s="211"/>
      <c r="AU131" s="211"/>
      <c r="AV131" s="211"/>
      <c r="AW131" s="211"/>
    </row>
    <row r="132" spans="1:49" ht="15" customHeight="1" x14ac:dyDescent="0.2">
      <c r="A132" s="41" t="str">
        <f t="shared" si="370"/>
        <v/>
      </c>
      <c r="B132" s="44" t="str" cm="1">
        <f t="array" aca="1" ref="B132" ca="1">IF(INDIRECT(_xlfn.CONCAT($U365,B$364))="+","+",IF(ISNUMBER(INDIRECT(_xlfn.CONCAT($U365,B$363))),"-",""))</f>
        <v/>
      </c>
      <c r="C132" s="41" t="str">
        <f ca="1">B132</f>
        <v/>
      </c>
      <c r="D132" s="41" t="str">
        <f t="shared" ref="D132" ca="1" si="551">C132</f>
        <v/>
      </c>
      <c r="E132" s="41" t="str">
        <f t="shared" ref="E132" ca="1" si="552">D132</f>
        <v/>
      </c>
      <c r="F132" s="41" t="str">
        <f t="shared" ref="F132" ca="1" si="553">E132</f>
        <v/>
      </c>
      <c r="G132" s="41" t="str">
        <f t="shared" ref="G132" ca="1" si="554">F132</f>
        <v/>
      </c>
      <c r="H132" s="41" t="str">
        <f t="shared" ref="H132" ca="1" si="555">G132</f>
        <v/>
      </c>
      <c r="I132" s="44" t="str" cm="1">
        <f t="array" aca="1" ref="I132" ca="1">IF(INDIRECT(_xlfn.CONCAT($U365,C$364))="+","+",IF(ISNUMBER(INDIRECT(_xlfn.CONCAT($U365,C$363))),"-",""))</f>
        <v/>
      </c>
      <c r="J132" s="41" t="str">
        <f ca="1">I132</f>
        <v/>
      </c>
      <c r="K132" s="41" t="str">
        <f t="shared" ref="K132" ca="1" si="556">J132</f>
        <v/>
      </c>
      <c r="L132" s="41" t="str">
        <f t="shared" ref="L132" ca="1" si="557">K132</f>
        <v/>
      </c>
      <c r="M132" s="41" t="str">
        <f t="shared" ref="M132" ca="1" si="558">L132</f>
        <v/>
      </c>
      <c r="N132" s="41" t="str">
        <f t="shared" ref="N132" ca="1" si="559">M132</f>
        <v/>
      </c>
      <c r="O132" s="41" t="str">
        <f t="shared" ref="O132" ca="1" si="560">N132</f>
        <v/>
      </c>
      <c r="P132" s="44" t="str" cm="1">
        <f t="array" aca="1" ref="P132" ca="1">IF(INDIRECT(_xlfn.CONCAT($U365,D$364))="+","+",IF(ISNUMBER(INDIRECT(_xlfn.CONCAT($U365,D$363))),"-",""))</f>
        <v/>
      </c>
      <c r="Q132" s="41" t="str">
        <f ca="1">P132</f>
        <v/>
      </c>
      <c r="R132" s="41" t="str">
        <f t="shared" ref="R132" ca="1" si="561">Q132</f>
        <v/>
      </c>
      <c r="S132" s="41" t="str">
        <f t="shared" ref="S132" ca="1" si="562">R132</f>
        <v/>
      </c>
      <c r="T132" s="41" t="str">
        <f t="shared" ref="T132" ca="1" si="563">S132</f>
        <v/>
      </c>
      <c r="U132" s="41" t="str">
        <f t="shared" ref="U132" ca="1" si="564">T132</f>
        <v/>
      </c>
      <c r="V132" s="41" t="str">
        <f t="shared" ref="V132" ca="1" si="565">U132</f>
        <v/>
      </c>
      <c r="W132" s="44" t="str" cm="1">
        <f t="array" aca="1" ref="W132" ca="1">IF(INDIRECT(_xlfn.CONCAT($U365,E$364))="+","+",IF(ISNUMBER(INDIRECT(_xlfn.CONCAT($U365,E$363))),"-",""))</f>
        <v/>
      </c>
      <c r="X132" s="41" t="str">
        <f ca="1">W132</f>
        <v/>
      </c>
      <c r="Y132" s="41" t="str">
        <f t="shared" ref="Y132" ca="1" si="566">X132</f>
        <v/>
      </c>
      <c r="Z132" s="41" t="str">
        <f t="shared" ref="Z132" ca="1" si="567">Y132</f>
        <v/>
      </c>
      <c r="AA132" s="41" t="str">
        <f t="shared" ref="AA132" ca="1" si="568">Z132</f>
        <v/>
      </c>
      <c r="AB132" s="41" t="str">
        <f t="shared" ref="AB132" ca="1" si="569">AA132</f>
        <v/>
      </c>
      <c r="AC132" s="41" t="str">
        <f t="shared" ref="AC132" ca="1" si="570">AB132</f>
        <v/>
      </c>
      <c r="AD132" s="44" t="str" cm="1">
        <f t="array" aca="1" ref="AD132" ca="1">IF(INDIRECT(_xlfn.CONCAT($U365,F$364))="+","+",IF(ISNUMBER(INDIRECT(_xlfn.CONCAT($U365,F$363))),"-",""))</f>
        <v/>
      </c>
      <c r="AE132" s="41" t="str">
        <f ca="1">AD132</f>
        <v/>
      </c>
      <c r="AF132" s="41" t="str">
        <f t="shared" ref="AF132" ca="1" si="571">AE132</f>
        <v/>
      </c>
      <c r="AG132" s="41" t="str">
        <f t="shared" ref="AG132" ca="1" si="572">AF132</f>
        <v/>
      </c>
      <c r="AH132" s="41" t="str">
        <f t="shared" ref="AH132" ca="1" si="573">AG132</f>
        <v/>
      </c>
      <c r="AI132" s="41" t="str">
        <f t="shared" ref="AI132" ca="1" si="574">AH132</f>
        <v/>
      </c>
      <c r="AJ132" s="41" t="str">
        <f t="shared" ref="AJ132" ca="1" si="575">AI132</f>
        <v/>
      </c>
      <c r="AK132" s="44" t="str" cm="1">
        <f t="array" aca="1" ref="AK132" ca="1">IF(INDIRECT(_xlfn.CONCAT($U365,G$364))="+","+",IF(ISNUMBER(INDIRECT(_xlfn.CONCAT($U365,G$363))),"-",""))</f>
        <v/>
      </c>
      <c r="AL132" s="41" t="str">
        <f ca="1">AK132</f>
        <v/>
      </c>
      <c r="AM132" s="41" t="str">
        <f t="shared" ref="AM132" ca="1" si="576">AL132</f>
        <v/>
      </c>
      <c r="AN132" s="41" t="str">
        <f t="shared" ref="AN132" ca="1" si="577">AM132</f>
        <v/>
      </c>
      <c r="AO132" s="41" t="str">
        <f t="shared" ref="AO132" ca="1" si="578">AN132</f>
        <v/>
      </c>
      <c r="AP132" s="41" t="str">
        <f t="shared" ref="AP132" ca="1" si="579">AO132</f>
        <v/>
      </c>
      <c r="AQ132" s="41" t="str">
        <f t="shared" ref="AQ132" ca="1" si="580">AP132</f>
        <v/>
      </c>
      <c r="AR132" s="44"/>
      <c r="AS132" s="41"/>
      <c r="AT132" s="41"/>
      <c r="AU132" s="41"/>
      <c r="AV132" s="41"/>
      <c r="AW132" s="41"/>
    </row>
    <row r="133" spans="1:49" ht="15" customHeight="1" x14ac:dyDescent="0.2">
      <c r="A133" s="41" t="str">
        <f t="shared" si="370"/>
        <v/>
      </c>
      <c r="B133" s="45" t="str" cm="1">
        <f t="array" aca="1" ref="B133" ca="1">IF(ISBLANK(INDIRECT(_xlfn.CONCAT($U390,B$389))),"",INDIRECT(_xlfn.CONCAT($U390,B$389)))</f>
        <v/>
      </c>
      <c r="C133" s="45"/>
      <c r="D133" s="45"/>
      <c r="E133" s="45"/>
      <c r="F133" s="45"/>
      <c r="G133" s="45"/>
      <c r="H133" s="45"/>
      <c r="I133" s="45" t="str" cm="1">
        <f t="array" aca="1" ref="I133" ca="1">IF(ISBLANK(INDIRECT(_xlfn.CONCAT($U390,C$389))),"",INDIRECT(_xlfn.CONCAT($U390,C$389)))</f>
        <v/>
      </c>
      <c r="J133" s="45"/>
      <c r="K133" s="45"/>
      <c r="L133" s="45"/>
      <c r="M133" s="45"/>
      <c r="N133" s="45"/>
      <c r="O133" s="45"/>
      <c r="P133" s="45" t="str" cm="1">
        <f t="array" aca="1" ref="P133" ca="1">IF(ISBLANK(INDIRECT(_xlfn.CONCAT($U390,D$389))),"",INDIRECT(_xlfn.CONCAT($U390,D$389)))</f>
        <v/>
      </c>
      <c r="Q133" s="45"/>
      <c r="R133" s="45"/>
      <c r="S133" s="45"/>
      <c r="T133" s="45"/>
      <c r="U133" s="45"/>
      <c r="V133" s="45"/>
      <c r="W133" s="45" t="str" cm="1">
        <f t="array" aca="1" ref="W133" ca="1">IF(ISBLANK(INDIRECT(_xlfn.CONCAT($U390,E$389))),"",INDIRECT(_xlfn.CONCAT($U390,E$389)))</f>
        <v/>
      </c>
      <c r="X133" s="45"/>
      <c r="Y133" s="45"/>
      <c r="Z133" s="45"/>
      <c r="AA133" s="45"/>
      <c r="AB133" s="45"/>
      <c r="AC133" s="45"/>
      <c r="AD133" s="45" t="str" cm="1">
        <f t="array" aca="1" ref="AD133" ca="1">IF(ISBLANK(INDIRECT(_xlfn.CONCAT($U390,F$389))),"",INDIRECT(_xlfn.CONCAT($U390,F$389)))</f>
        <v/>
      </c>
      <c r="AE133" s="45"/>
      <c r="AF133" s="45"/>
      <c r="AG133" s="45"/>
      <c r="AH133" s="45"/>
      <c r="AI133" s="45"/>
      <c r="AJ133" s="45"/>
      <c r="AK133" s="45" t="str" cm="1">
        <f t="array" aca="1" ref="AK133" ca="1">IF(ISBLANK(INDIRECT(_xlfn.CONCAT($U390,G$389))),"",INDIRECT(_xlfn.CONCAT($U390,G$389)))</f>
        <v/>
      </c>
      <c r="AL133" s="45"/>
      <c r="AM133" s="45"/>
      <c r="AN133" s="45"/>
      <c r="AO133" s="45"/>
      <c r="AP133" s="45"/>
      <c r="AQ133" s="45"/>
      <c r="AR133" s="45"/>
      <c r="AS133" s="46"/>
      <c r="AT133" s="46"/>
      <c r="AU133" s="46"/>
      <c r="AV133" s="46"/>
      <c r="AW133" s="46"/>
    </row>
    <row r="134" spans="1:49" ht="15" customHeight="1" x14ac:dyDescent="0.2">
      <c r="A134" s="41" t="str">
        <f t="shared" si="370"/>
        <v/>
      </c>
      <c r="B134" s="213" t="str" cm="1">
        <f t="array" ref="B134">IF(INDEX($U$427:$CB$432,B$436,$U437)="-","",INDEX($U$427:$CB$432,B$436,$U437))</f>
        <v/>
      </c>
      <c r="C134" s="213"/>
      <c r="D134" s="213"/>
      <c r="E134" s="213"/>
      <c r="F134" s="213"/>
      <c r="G134" s="213"/>
      <c r="H134" s="213"/>
      <c r="I134" s="213" t="str" cm="1">
        <f t="array" ref="I134">IF(INDEX($U$427:$CB$432,C$436,$U437)="-","",INDEX($U$427:$CB$432,C$436,$U437))</f>
        <v/>
      </c>
      <c r="J134" s="213"/>
      <c r="K134" s="213"/>
      <c r="L134" s="213"/>
      <c r="M134" s="213"/>
      <c r="N134" s="213"/>
      <c r="O134" s="213"/>
      <c r="P134" s="213" t="str" cm="1">
        <f t="array" ref="P134">IF(INDEX($U$427:$CB$432,D$436,$U437)="-","",INDEX($U$427:$CB$432,D$436,$U437))</f>
        <v/>
      </c>
      <c r="Q134" s="213"/>
      <c r="R134" s="213"/>
      <c r="S134" s="213"/>
      <c r="T134" s="213"/>
      <c r="U134" s="213"/>
      <c r="V134" s="213"/>
      <c r="W134" s="213" t="str" cm="1">
        <f t="array" ref="W134">IF(INDEX($U$427:$CB$432,E$436,$U437)="-","",INDEX($U$427:$CB$432,E$436,$U437))</f>
        <v/>
      </c>
      <c r="X134" s="213"/>
      <c r="Y134" s="213"/>
      <c r="Z134" s="213"/>
      <c r="AA134" s="213"/>
      <c r="AB134" s="213"/>
      <c r="AC134" s="213"/>
      <c r="AD134" s="213" t="str" cm="1">
        <f t="array" ref="AD134">IF(INDEX($U$427:$CB$432,F$436,$U437)="-","",INDEX($U$427:$CB$432,F$436,$U437))</f>
        <v/>
      </c>
      <c r="AE134" s="213"/>
      <c r="AF134" s="213"/>
      <c r="AG134" s="213"/>
      <c r="AH134" s="213"/>
      <c r="AI134" s="213"/>
      <c r="AJ134" s="213"/>
      <c r="AK134" s="213" t="str" cm="1">
        <f t="array" ref="AK134">IF(INDEX($U$427:$CB$432,G$436,$U437)="-","",INDEX($U$427:$CB$432,G$436,$U437))</f>
        <v/>
      </c>
      <c r="AL134" s="213"/>
      <c r="AM134" s="213"/>
      <c r="AN134" s="213"/>
      <c r="AO134" s="213"/>
      <c r="AP134" s="213"/>
      <c r="AQ134" s="213"/>
      <c r="AR134" s="211"/>
      <c r="AS134" s="211"/>
      <c r="AT134" s="211"/>
      <c r="AU134" s="211"/>
      <c r="AV134" s="211"/>
      <c r="AW134" s="211"/>
    </row>
    <row r="135" spans="1:49" ht="15" customHeight="1" x14ac:dyDescent="0.2">
      <c r="A135" s="41" t="str">
        <f t="shared" si="370"/>
        <v/>
      </c>
      <c r="B135" s="213"/>
      <c r="C135" s="213"/>
      <c r="D135" s="213"/>
      <c r="E135" s="213"/>
      <c r="F135" s="213"/>
      <c r="G135" s="213"/>
      <c r="H135" s="213"/>
      <c r="I135" s="213"/>
      <c r="J135" s="213"/>
      <c r="K135" s="213"/>
      <c r="L135" s="213"/>
      <c r="M135" s="213"/>
      <c r="N135" s="213"/>
      <c r="O135" s="213"/>
      <c r="P135" s="213"/>
      <c r="Q135" s="213"/>
      <c r="R135" s="213"/>
      <c r="S135" s="213"/>
      <c r="T135" s="213"/>
      <c r="U135" s="213"/>
      <c r="V135" s="213"/>
      <c r="W135" s="213"/>
      <c r="X135" s="213"/>
      <c r="Y135" s="213"/>
      <c r="Z135" s="213"/>
      <c r="AA135" s="213"/>
      <c r="AB135" s="213"/>
      <c r="AC135" s="213"/>
      <c r="AD135" s="213"/>
      <c r="AE135" s="213"/>
      <c r="AF135" s="213"/>
      <c r="AG135" s="213"/>
      <c r="AH135" s="213"/>
      <c r="AI135" s="213"/>
      <c r="AJ135" s="213"/>
      <c r="AK135" s="213"/>
      <c r="AL135" s="213"/>
      <c r="AM135" s="213"/>
      <c r="AN135" s="213"/>
      <c r="AO135" s="213"/>
      <c r="AP135" s="213"/>
      <c r="AQ135" s="213"/>
      <c r="AR135" s="211"/>
      <c r="AS135" s="211"/>
      <c r="AT135" s="211"/>
      <c r="AU135" s="211"/>
      <c r="AV135" s="211"/>
      <c r="AW135" s="211"/>
    </row>
    <row r="136" spans="1:49" ht="15" customHeight="1" x14ac:dyDescent="0.2">
      <c r="A136" s="41" t="str">
        <f t="shared" si="370"/>
        <v/>
      </c>
      <c r="B136" s="213"/>
      <c r="C136" s="213"/>
      <c r="D136" s="213"/>
      <c r="E136" s="213"/>
      <c r="F136" s="213"/>
      <c r="G136" s="213"/>
      <c r="H136" s="213"/>
      <c r="I136" s="213"/>
      <c r="J136" s="213"/>
      <c r="K136" s="213"/>
      <c r="L136" s="213"/>
      <c r="M136" s="213"/>
      <c r="N136" s="213"/>
      <c r="O136" s="213"/>
      <c r="P136" s="213"/>
      <c r="Q136" s="213"/>
      <c r="R136" s="213"/>
      <c r="S136" s="213"/>
      <c r="T136" s="213"/>
      <c r="U136" s="213"/>
      <c r="V136" s="213"/>
      <c r="W136" s="213"/>
      <c r="X136" s="213"/>
      <c r="Y136" s="213"/>
      <c r="Z136" s="213"/>
      <c r="AA136" s="213"/>
      <c r="AB136" s="213"/>
      <c r="AC136" s="213"/>
      <c r="AD136" s="213"/>
      <c r="AE136" s="213"/>
      <c r="AF136" s="213"/>
      <c r="AG136" s="213"/>
      <c r="AH136" s="213"/>
      <c r="AI136" s="213"/>
      <c r="AJ136" s="213"/>
      <c r="AK136" s="213"/>
      <c r="AL136" s="213"/>
      <c r="AM136" s="213"/>
      <c r="AN136" s="213"/>
      <c r="AO136" s="213"/>
      <c r="AP136" s="213"/>
      <c r="AQ136" s="213"/>
      <c r="AR136" s="211"/>
      <c r="AS136" s="211"/>
      <c r="AT136" s="211"/>
      <c r="AU136" s="211"/>
      <c r="AV136" s="211"/>
      <c r="AW136" s="211"/>
    </row>
    <row r="137" spans="1:49" ht="15" customHeight="1" x14ac:dyDescent="0.2">
      <c r="A137" s="41" t="str">
        <f t="shared" si="370"/>
        <v/>
      </c>
      <c r="B137" s="44" t="str" cm="1">
        <f t="array" aca="1" ref="B137" ca="1">IF(INDIRECT(_xlfn.CONCAT($V365,B$364))="+","+",IF(ISNUMBER(INDIRECT(_xlfn.CONCAT($V365,B$363))),"-",""))</f>
        <v/>
      </c>
      <c r="C137" s="41" t="str">
        <f ca="1">B137</f>
        <v/>
      </c>
      <c r="D137" s="41" t="str">
        <f t="shared" ref="D137" ca="1" si="581">C137</f>
        <v/>
      </c>
      <c r="E137" s="41" t="str">
        <f t="shared" ref="E137" ca="1" si="582">D137</f>
        <v/>
      </c>
      <c r="F137" s="41" t="str">
        <f t="shared" ref="F137" ca="1" si="583">E137</f>
        <v/>
      </c>
      <c r="G137" s="41" t="str">
        <f t="shared" ref="G137" ca="1" si="584">F137</f>
        <v/>
      </c>
      <c r="H137" s="41" t="str">
        <f t="shared" ref="H137" ca="1" si="585">G137</f>
        <v/>
      </c>
      <c r="I137" s="44" t="str" cm="1">
        <f t="array" aca="1" ref="I137" ca="1">IF(INDIRECT(_xlfn.CONCAT($V365,C$364))="+","+",IF(ISNUMBER(INDIRECT(_xlfn.CONCAT($V365,C$363))),"-",""))</f>
        <v/>
      </c>
      <c r="J137" s="41" t="str">
        <f ca="1">I137</f>
        <v/>
      </c>
      <c r="K137" s="41" t="str">
        <f t="shared" ref="K137" ca="1" si="586">J137</f>
        <v/>
      </c>
      <c r="L137" s="41" t="str">
        <f t="shared" ref="L137" ca="1" si="587">K137</f>
        <v/>
      </c>
      <c r="M137" s="41" t="str">
        <f t="shared" ref="M137" ca="1" si="588">L137</f>
        <v/>
      </c>
      <c r="N137" s="41" t="str">
        <f t="shared" ref="N137" ca="1" si="589">M137</f>
        <v/>
      </c>
      <c r="O137" s="41" t="str">
        <f t="shared" ref="O137" ca="1" si="590">N137</f>
        <v/>
      </c>
      <c r="P137" s="44" t="str" cm="1">
        <f t="array" aca="1" ref="P137" ca="1">IF(INDIRECT(_xlfn.CONCAT($V365,D$364))="+","+",IF(ISNUMBER(INDIRECT(_xlfn.CONCAT($V365,D$363))),"-",""))</f>
        <v/>
      </c>
      <c r="Q137" s="41" t="str">
        <f ca="1">P137</f>
        <v/>
      </c>
      <c r="R137" s="41" t="str">
        <f t="shared" ref="R137" ca="1" si="591">Q137</f>
        <v/>
      </c>
      <c r="S137" s="41" t="str">
        <f t="shared" ref="S137" ca="1" si="592">R137</f>
        <v/>
      </c>
      <c r="T137" s="41" t="str">
        <f t="shared" ref="T137" ca="1" si="593">S137</f>
        <v/>
      </c>
      <c r="U137" s="41" t="str">
        <f t="shared" ref="U137" ca="1" si="594">T137</f>
        <v/>
      </c>
      <c r="V137" s="41" t="str">
        <f t="shared" ref="V137" ca="1" si="595">U137</f>
        <v/>
      </c>
      <c r="W137" s="44" t="str" cm="1">
        <f t="array" aca="1" ref="W137" ca="1">IF(INDIRECT(_xlfn.CONCAT($V365,E$364))="+","+",IF(ISNUMBER(INDIRECT(_xlfn.CONCAT($V365,E$363))),"-",""))</f>
        <v/>
      </c>
      <c r="X137" s="41" t="str">
        <f ca="1">W137</f>
        <v/>
      </c>
      <c r="Y137" s="41" t="str">
        <f t="shared" ref="Y137" ca="1" si="596">X137</f>
        <v/>
      </c>
      <c r="Z137" s="41" t="str">
        <f t="shared" ref="Z137" ca="1" si="597">Y137</f>
        <v/>
      </c>
      <c r="AA137" s="41" t="str">
        <f t="shared" ref="AA137" ca="1" si="598">Z137</f>
        <v/>
      </c>
      <c r="AB137" s="41" t="str">
        <f t="shared" ref="AB137" ca="1" si="599">AA137</f>
        <v/>
      </c>
      <c r="AC137" s="41" t="str">
        <f t="shared" ref="AC137" ca="1" si="600">AB137</f>
        <v/>
      </c>
      <c r="AD137" s="44" t="str" cm="1">
        <f t="array" aca="1" ref="AD137" ca="1">IF(INDIRECT(_xlfn.CONCAT($V365,F$364))="+","+",IF(ISNUMBER(INDIRECT(_xlfn.CONCAT($V365,F$363))),"-",""))</f>
        <v/>
      </c>
      <c r="AE137" s="41" t="str">
        <f ca="1">AD137</f>
        <v/>
      </c>
      <c r="AF137" s="41" t="str">
        <f t="shared" ref="AF137" ca="1" si="601">AE137</f>
        <v/>
      </c>
      <c r="AG137" s="41" t="str">
        <f t="shared" ref="AG137" ca="1" si="602">AF137</f>
        <v/>
      </c>
      <c r="AH137" s="41" t="str">
        <f t="shared" ref="AH137" ca="1" si="603">AG137</f>
        <v/>
      </c>
      <c r="AI137" s="41" t="str">
        <f t="shared" ref="AI137" ca="1" si="604">AH137</f>
        <v/>
      </c>
      <c r="AJ137" s="41" t="str">
        <f t="shared" ref="AJ137" ca="1" si="605">AI137</f>
        <v/>
      </c>
      <c r="AK137" s="44" t="str" cm="1">
        <f t="array" aca="1" ref="AK137" ca="1">IF(INDIRECT(_xlfn.CONCAT($V365,G$364))="+","+",IF(ISNUMBER(INDIRECT(_xlfn.CONCAT($V365,G$363))),"-",""))</f>
        <v/>
      </c>
      <c r="AL137" s="41" t="str">
        <f ca="1">AK137</f>
        <v/>
      </c>
      <c r="AM137" s="41" t="str">
        <f t="shared" ref="AM137" ca="1" si="606">AL137</f>
        <v/>
      </c>
      <c r="AN137" s="41" t="str">
        <f t="shared" ref="AN137" ca="1" si="607">AM137</f>
        <v/>
      </c>
      <c r="AO137" s="41" t="str">
        <f t="shared" ref="AO137" ca="1" si="608">AN137</f>
        <v/>
      </c>
      <c r="AP137" s="41" t="str">
        <f t="shared" ref="AP137" ca="1" si="609">AO137</f>
        <v/>
      </c>
      <c r="AQ137" s="41" t="str">
        <f t="shared" ref="AQ137" ca="1" si="610">AP137</f>
        <v/>
      </c>
      <c r="AR137" s="44"/>
      <c r="AS137" s="41"/>
      <c r="AT137" s="41"/>
      <c r="AU137" s="41"/>
      <c r="AV137" s="41"/>
      <c r="AW137" s="41"/>
    </row>
    <row r="138" spans="1:49" ht="15" customHeight="1" x14ac:dyDescent="0.2">
      <c r="A138" s="41" t="str">
        <f t="shared" si="370"/>
        <v/>
      </c>
      <c r="B138" s="45" t="str" cm="1">
        <f t="array" aca="1" ref="B138" ca="1">IF(ISBLANK(INDIRECT(_xlfn.CONCAT($V390,B$389))),"",INDIRECT(_xlfn.CONCAT($V390,B$389)))</f>
        <v/>
      </c>
      <c r="C138" s="45"/>
      <c r="D138" s="45"/>
      <c r="E138" s="45"/>
      <c r="F138" s="45"/>
      <c r="G138" s="45"/>
      <c r="H138" s="45"/>
      <c r="I138" s="45" t="str" cm="1">
        <f t="array" aca="1" ref="I138" ca="1">IF(ISBLANK(INDIRECT(_xlfn.CONCAT($V390,C$389))),"",INDIRECT(_xlfn.CONCAT($V390,C$389)))</f>
        <v/>
      </c>
      <c r="J138" s="45"/>
      <c r="K138" s="45"/>
      <c r="L138" s="45"/>
      <c r="M138" s="45"/>
      <c r="N138" s="45"/>
      <c r="O138" s="45"/>
      <c r="P138" s="45" t="str" cm="1">
        <f t="array" aca="1" ref="P138" ca="1">IF(ISBLANK(INDIRECT(_xlfn.CONCAT($V390,D$389))),"",INDIRECT(_xlfn.CONCAT($V390,D$389)))</f>
        <v/>
      </c>
      <c r="Q138" s="45"/>
      <c r="R138" s="45"/>
      <c r="S138" s="45"/>
      <c r="T138" s="45"/>
      <c r="U138" s="45"/>
      <c r="V138" s="45"/>
      <c r="W138" s="45" t="str" cm="1">
        <f t="array" aca="1" ref="W138" ca="1">IF(ISBLANK(INDIRECT(_xlfn.CONCAT($V390,E$389))),"",INDIRECT(_xlfn.CONCAT($V390,E$389)))</f>
        <v/>
      </c>
      <c r="X138" s="45"/>
      <c r="Y138" s="45"/>
      <c r="Z138" s="45"/>
      <c r="AA138" s="45"/>
      <c r="AB138" s="45"/>
      <c r="AC138" s="45"/>
      <c r="AD138" s="45" t="str" cm="1">
        <f t="array" aca="1" ref="AD138" ca="1">IF(ISBLANK(INDIRECT(_xlfn.CONCAT($V390,F$389))),"",INDIRECT(_xlfn.CONCAT($V390,F$389)))</f>
        <v/>
      </c>
      <c r="AE138" s="45"/>
      <c r="AF138" s="45"/>
      <c r="AG138" s="45"/>
      <c r="AH138" s="45"/>
      <c r="AI138" s="45"/>
      <c r="AJ138" s="45"/>
      <c r="AK138" s="45" t="str" cm="1">
        <f t="array" aca="1" ref="AK138" ca="1">IF(ISBLANK(INDIRECT(_xlfn.CONCAT($V390,G$389))),"",INDIRECT(_xlfn.CONCAT($V390,G$389)))</f>
        <v/>
      </c>
      <c r="AL138" s="45"/>
      <c r="AM138" s="45"/>
      <c r="AN138" s="45"/>
      <c r="AO138" s="45"/>
      <c r="AP138" s="45"/>
      <c r="AQ138" s="45"/>
      <c r="AR138" s="45"/>
      <c r="AS138" s="46"/>
      <c r="AT138" s="46"/>
      <c r="AU138" s="46"/>
      <c r="AV138" s="46"/>
      <c r="AW138" s="46"/>
    </row>
    <row r="139" spans="1:49" ht="15" customHeight="1" x14ac:dyDescent="0.2">
      <c r="A139" s="41" t="str">
        <f t="shared" si="370"/>
        <v/>
      </c>
      <c r="B139" s="213" t="str" cm="1">
        <f t="array" ref="B139">IF(INDEX($U$427:$CB$432,B$436,$V437)="-","",INDEX($U$427:$CB$432,B$436,$V437))</f>
        <v/>
      </c>
      <c r="C139" s="213"/>
      <c r="D139" s="213"/>
      <c r="E139" s="213"/>
      <c r="F139" s="213"/>
      <c r="G139" s="213"/>
      <c r="H139" s="213"/>
      <c r="I139" s="213" t="str" cm="1">
        <f t="array" ref="I139">IF(INDEX($U$427:$CB$432,C$436,$V437)="-","",INDEX($U$427:$CB$432,C$436,$V437))</f>
        <v/>
      </c>
      <c r="J139" s="213"/>
      <c r="K139" s="213"/>
      <c r="L139" s="213"/>
      <c r="M139" s="213"/>
      <c r="N139" s="213"/>
      <c r="O139" s="213"/>
      <c r="P139" s="213" t="str" cm="1">
        <f t="array" ref="P139">IF(INDEX($U$427:$CB$432,D$436,$V437)="-","",INDEX($U$427:$CB$432,D$436,$V437))</f>
        <v/>
      </c>
      <c r="Q139" s="213"/>
      <c r="R139" s="213"/>
      <c r="S139" s="213"/>
      <c r="T139" s="213"/>
      <c r="U139" s="213"/>
      <c r="V139" s="213"/>
      <c r="W139" s="213" t="str" cm="1">
        <f t="array" ref="W139">IF(INDEX($U$427:$CB$432,E$436,$V437)="-","",INDEX($U$427:$CB$432,E$436,$V437))</f>
        <v/>
      </c>
      <c r="X139" s="213"/>
      <c r="Y139" s="213"/>
      <c r="Z139" s="213"/>
      <c r="AA139" s="213"/>
      <c r="AB139" s="213"/>
      <c r="AC139" s="213"/>
      <c r="AD139" s="213" t="str" cm="1">
        <f t="array" ref="AD139">IF(INDEX($U$427:$CB$432,F$436,$V437)="-","",INDEX($U$427:$CB$432,F$436,$V437))</f>
        <v/>
      </c>
      <c r="AE139" s="213"/>
      <c r="AF139" s="213"/>
      <c r="AG139" s="213"/>
      <c r="AH139" s="213"/>
      <c r="AI139" s="213"/>
      <c r="AJ139" s="213"/>
      <c r="AK139" s="213" t="str" cm="1">
        <f t="array" ref="AK139">IF(INDEX($U$427:$CB$432,G$436,$V437)="-","",INDEX($U$427:$CB$432,G$436,$V437))</f>
        <v/>
      </c>
      <c r="AL139" s="213"/>
      <c r="AM139" s="213"/>
      <c r="AN139" s="213"/>
      <c r="AO139" s="213"/>
      <c r="AP139" s="213"/>
      <c r="AQ139" s="213"/>
      <c r="AR139" s="211"/>
      <c r="AS139" s="211"/>
      <c r="AT139" s="211"/>
      <c r="AU139" s="211"/>
      <c r="AV139" s="211"/>
      <c r="AW139" s="211"/>
    </row>
    <row r="140" spans="1:49" ht="15" customHeight="1" x14ac:dyDescent="0.2">
      <c r="A140" s="41" t="str">
        <f t="shared" si="370"/>
        <v/>
      </c>
      <c r="B140" s="213"/>
      <c r="C140" s="213"/>
      <c r="D140" s="213"/>
      <c r="E140" s="213"/>
      <c r="F140" s="213"/>
      <c r="G140" s="213"/>
      <c r="H140" s="213"/>
      <c r="I140" s="213"/>
      <c r="J140" s="213"/>
      <c r="K140" s="213"/>
      <c r="L140" s="213"/>
      <c r="M140" s="213"/>
      <c r="N140" s="213"/>
      <c r="O140" s="213"/>
      <c r="P140" s="213"/>
      <c r="Q140" s="213"/>
      <c r="R140" s="213"/>
      <c r="S140" s="213"/>
      <c r="T140" s="213"/>
      <c r="U140" s="213"/>
      <c r="V140" s="213"/>
      <c r="W140" s="213"/>
      <c r="X140" s="213"/>
      <c r="Y140" s="213"/>
      <c r="Z140" s="213"/>
      <c r="AA140" s="213"/>
      <c r="AB140" s="213"/>
      <c r="AC140" s="213"/>
      <c r="AD140" s="213"/>
      <c r="AE140" s="213"/>
      <c r="AF140" s="213"/>
      <c r="AG140" s="213"/>
      <c r="AH140" s="213"/>
      <c r="AI140" s="213"/>
      <c r="AJ140" s="213"/>
      <c r="AK140" s="213"/>
      <c r="AL140" s="213"/>
      <c r="AM140" s="213"/>
      <c r="AN140" s="213"/>
      <c r="AO140" s="213"/>
      <c r="AP140" s="213"/>
      <c r="AQ140" s="213"/>
      <c r="AR140" s="211"/>
      <c r="AS140" s="211"/>
      <c r="AT140" s="211"/>
      <c r="AU140" s="211"/>
      <c r="AV140" s="211"/>
      <c r="AW140" s="211"/>
    </row>
    <row r="141" spans="1:49" ht="15" customHeight="1" x14ac:dyDescent="0.2">
      <c r="A141" s="41" t="str">
        <f t="shared" si="370"/>
        <v/>
      </c>
      <c r="B141" s="213"/>
      <c r="C141" s="213"/>
      <c r="D141" s="213"/>
      <c r="E141" s="213"/>
      <c r="F141" s="213"/>
      <c r="G141" s="213"/>
      <c r="H141" s="213"/>
      <c r="I141" s="213"/>
      <c r="J141" s="213"/>
      <c r="K141" s="213"/>
      <c r="L141" s="213"/>
      <c r="M141" s="213"/>
      <c r="N141" s="213"/>
      <c r="O141" s="213"/>
      <c r="P141" s="213"/>
      <c r="Q141" s="213"/>
      <c r="R141" s="213"/>
      <c r="S141" s="213"/>
      <c r="T141" s="213"/>
      <c r="U141" s="213"/>
      <c r="V141" s="213"/>
      <c r="W141" s="213"/>
      <c r="X141" s="213"/>
      <c r="Y141" s="213"/>
      <c r="Z141" s="213"/>
      <c r="AA141" s="213"/>
      <c r="AB141" s="213"/>
      <c r="AC141" s="213"/>
      <c r="AD141" s="213"/>
      <c r="AE141" s="213"/>
      <c r="AF141" s="213"/>
      <c r="AG141" s="213"/>
      <c r="AH141" s="213"/>
      <c r="AI141" s="213"/>
      <c r="AJ141" s="213"/>
      <c r="AK141" s="213"/>
      <c r="AL141" s="213"/>
      <c r="AM141" s="213"/>
      <c r="AN141" s="213"/>
      <c r="AO141" s="213"/>
      <c r="AP141" s="213"/>
      <c r="AQ141" s="213"/>
      <c r="AR141" s="211"/>
      <c r="AS141" s="211"/>
      <c r="AT141" s="211"/>
      <c r="AU141" s="211"/>
      <c r="AV141" s="211"/>
      <c r="AW141" s="211"/>
    </row>
    <row r="142" spans="1:49" ht="15" customHeight="1" x14ac:dyDescent="0.2">
      <c r="A142" s="41" t="str">
        <f t="shared" si="370"/>
        <v/>
      </c>
      <c r="B142" s="44" t="str" cm="1">
        <f t="array" aca="1" ref="B142" ca="1">IF(INDIRECT(_xlfn.CONCAT($W365,B$364))="+","+",IF(ISNUMBER(INDIRECT(_xlfn.CONCAT($W365,B$363))),"-",""))</f>
        <v/>
      </c>
      <c r="C142" s="41" t="str">
        <f ca="1">B142</f>
        <v/>
      </c>
      <c r="D142" s="41" t="str">
        <f t="shared" ref="D142" ca="1" si="611">C142</f>
        <v/>
      </c>
      <c r="E142" s="41" t="str">
        <f t="shared" ref="E142" ca="1" si="612">D142</f>
        <v/>
      </c>
      <c r="F142" s="41" t="str">
        <f t="shared" ref="F142" ca="1" si="613">E142</f>
        <v/>
      </c>
      <c r="G142" s="41" t="str">
        <f t="shared" ref="G142" ca="1" si="614">F142</f>
        <v/>
      </c>
      <c r="H142" s="41" t="str">
        <f t="shared" ref="H142" ca="1" si="615">G142</f>
        <v/>
      </c>
      <c r="I142" s="44" t="str" cm="1">
        <f t="array" aca="1" ref="I142" ca="1">IF(INDIRECT(_xlfn.CONCAT($W365,C$364))="+","+",IF(ISNUMBER(INDIRECT(_xlfn.CONCAT($W365,C$363))),"-",""))</f>
        <v/>
      </c>
      <c r="J142" s="41" t="str">
        <f ca="1">I142</f>
        <v/>
      </c>
      <c r="K142" s="41" t="str">
        <f t="shared" ref="K142" ca="1" si="616">J142</f>
        <v/>
      </c>
      <c r="L142" s="41" t="str">
        <f t="shared" ref="L142" ca="1" si="617">K142</f>
        <v/>
      </c>
      <c r="M142" s="41" t="str">
        <f t="shared" ref="M142" ca="1" si="618">L142</f>
        <v/>
      </c>
      <c r="N142" s="41" t="str">
        <f t="shared" ref="N142" ca="1" si="619">M142</f>
        <v/>
      </c>
      <c r="O142" s="41" t="str">
        <f t="shared" ref="O142" ca="1" si="620">N142</f>
        <v/>
      </c>
      <c r="P142" s="44" t="str" cm="1">
        <f t="array" aca="1" ref="P142" ca="1">IF(INDIRECT(_xlfn.CONCAT($W365,D$364))="+","+",IF(ISNUMBER(INDIRECT(_xlfn.CONCAT($W365,D$363))),"-",""))</f>
        <v/>
      </c>
      <c r="Q142" s="41" t="str">
        <f ca="1">P142</f>
        <v/>
      </c>
      <c r="R142" s="41" t="str">
        <f t="shared" ref="R142" ca="1" si="621">Q142</f>
        <v/>
      </c>
      <c r="S142" s="41" t="str">
        <f t="shared" ref="S142" ca="1" si="622">R142</f>
        <v/>
      </c>
      <c r="T142" s="41" t="str">
        <f t="shared" ref="T142" ca="1" si="623">S142</f>
        <v/>
      </c>
      <c r="U142" s="41" t="str">
        <f t="shared" ref="U142" ca="1" si="624">T142</f>
        <v/>
      </c>
      <c r="V142" s="41" t="str">
        <f t="shared" ref="V142" ca="1" si="625">U142</f>
        <v/>
      </c>
      <c r="W142" s="44" t="str" cm="1">
        <f t="array" aca="1" ref="W142" ca="1">IF(INDIRECT(_xlfn.CONCAT($W365,E$364))="+","+",IF(ISNUMBER(INDIRECT(_xlfn.CONCAT($W365,E$363))),"-",""))</f>
        <v/>
      </c>
      <c r="X142" s="41" t="str">
        <f ca="1">W142</f>
        <v/>
      </c>
      <c r="Y142" s="41" t="str">
        <f t="shared" ref="Y142" ca="1" si="626">X142</f>
        <v/>
      </c>
      <c r="Z142" s="41" t="str">
        <f t="shared" ref="Z142" ca="1" si="627">Y142</f>
        <v/>
      </c>
      <c r="AA142" s="41" t="str">
        <f t="shared" ref="AA142" ca="1" si="628">Z142</f>
        <v/>
      </c>
      <c r="AB142" s="41" t="str">
        <f t="shared" ref="AB142" ca="1" si="629">AA142</f>
        <v/>
      </c>
      <c r="AC142" s="41" t="str">
        <f t="shared" ref="AC142" ca="1" si="630">AB142</f>
        <v/>
      </c>
      <c r="AD142" s="44" t="str" cm="1">
        <f t="array" aca="1" ref="AD142" ca="1">IF(INDIRECT(_xlfn.CONCAT($W365,F$364))="+","+",IF(ISNUMBER(INDIRECT(_xlfn.CONCAT($W365,F$363))),"-",""))</f>
        <v/>
      </c>
      <c r="AE142" s="41" t="str">
        <f ca="1">AD142</f>
        <v/>
      </c>
      <c r="AF142" s="41" t="str">
        <f t="shared" ref="AF142" ca="1" si="631">AE142</f>
        <v/>
      </c>
      <c r="AG142" s="41" t="str">
        <f t="shared" ref="AG142" ca="1" si="632">AF142</f>
        <v/>
      </c>
      <c r="AH142" s="41" t="str">
        <f t="shared" ref="AH142" ca="1" si="633">AG142</f>
        <v/>
      </c>
      <c r="AI142" s="41" t="str">
        <f t="shared" ref="AI142" ca="1" si="634">AH142</f>
        <v/>
      </c>
      <c r="AJ142" s="41" t="str">
        <f t="shared" ref="AJ142" ca="1" si="635">AI142</f>
        <v/>
      </c>
      <c r="AK142" s="44" t="str" cm="1">
        <f t="array" aca="1" ref="AK142" ca="1">IF(INDIRECT(_xlfn.CONCAT($W365,G$364))="+","+",IF(ISNUMBER(INDIRECT(_xlfn.CONCAT($W365,G$363))),"-",""))</f>
        <v/>
      </c>
      <c r="AL142" s="41" t="str">
        <f ca="1">AK142</f>
        <v/>
      </c>
      <c r="AM142" s="41" t="str">
        <f t="shared" ref="AM142" ca="1" si="636">AL142</f>
        <v/>
      </c>
      <c r="AN142" s="41" t="str">
        <f t="shared" ref="AN142" ca="1" si="637">AM142</f>
        <v/>
      </c>
      <c r="AO142" s="41" t="str">
        <f t="shared" ref="AO142" ca="1" si="638">AN142</f>
        <v/>
      </c>
      <c r="AP142" s="41" t="str">
        <f t="shared" ref="AP142" ca="1" si="639">AO142</f>
        <v/>
      </c>
      <c r="AQ142" s="41" t="str">
        <f t="shared" ref="AQ142" ca="1" si="640">AP142</f>
        <v/>
      </c>
      <c r="AR142" s="44"/>
      <c r="AS142" s="41"/>
      <c r="AT142" s="41"/>
      <c r="AU142" s="41"/>
      <c r="AV142" s="41"/>
      <c r="AW142" s="41"/>
    </row>
    <row r="143" spans="1:49" ht="15" customHeight="1" x14ac:dyDescent="0.2">
      <c r="A143" s="41" t="str">
        <f t="shared" si="370"/>
        <v/>
      </c>
      <c r="B143" s="45" t="str" cm="1">
        <f t="array" aca="1" ref="B143" ca="1">IF(ISBLANK(INDIRECT(_xlfn.CONCAT($W390,B$389))),"",INDIRECT(_xlfn.CONCAT($W390,B$389)))</f>
        <v/>
      </c>
      <c r="C143" s="45"/>
      <c r="D143" s="45"/>
      <c r="E143" s="45"/>
      <c r="F143" s="45"/>
      <c r="G143" s="45"/>
      <c r="H143" s="45"/>
      <c r="I143" s="45" t="str" cm="1">
        <f t="array" aca="1" ref="I143" ca="1">IF(ISBLANK(INDIRECT(_xlfn.CONCAT($W390,C$389))),"",INDIRECT(_xlfn.CONCAT($W390,C$389)))</f>
        <v/>
      </c>
      <c r="J143" s="45"/>
      <c r="K143" s="45"/>
      <c r="L143" s="45"/>
      <c r="M143" s="45"/>
      <c r="N143" s="45"/>
      <c r="O143" s="45"/>
      <c r="P143" s="45" t="str" cm="1">
        <f t="array" aca="1" ref="P143" ca="1">IF(ISBLANK(INDIRECT(_xlfn.CONCAT($W390,D$389))),"",INDIRECT(_xlfn.CONCAT($W390,D$389)))</f>
        <v/>
      </c>
      <c r="Q143" s="45"/>
      <c r="R143" s="45"/>
      <c r="S143" s="45"/>
      <c r="T143" s="45"/>
      <c r="U143" s="45"/>
      <c r="V143" s="45"/>
      <c r="W143" s="45" t="str" cm="1">
        <f t="array" aca="1" ref="W143" ca="1">IF(ISBLANK(INDIRECT(_xlfn.CONCAT($W390,E$389))),"",INDIRECT(_xlfn.CONCAT($W390,E$389)))</f>
        <v/>
      </c>
      <c r="X143" s="45"/>
      <c r="Y143" s="45"/>
      <c r="Z143" s="45"/>
      <c r="AA143" s="45"/>
      <c r="AB143" s="45"/>
      <c r="AC143" s="45"/>
      <c r="AD143" s="45" t="str" cm="1">
        <f t="array" aca="1" ref="AD143" ca="1">IF(ISBLANK(INDIRECT(_xlfn.CONCAT($W390,F$389))),"",INDIRECT(_xlfn.CONCAT($W390,F$389)))</f>
        <v/>
      </c>
      <c r="AE143" s="45"/>
      <c r="AF143" s="45"/>
      <c r="AG143" s="45"/>
      <c r="AH143" s="45"/>
      <c r="AI143" s="45"/>
      <c r="AJ143" s="45"/>
      <c r="AK143" s="45" t="str" cm="1">
        <f t="array" aca="1" ref="AK143" ca="1">IF(ISBLANK(INDIRECT(_xlfn.CONCAT($W390,G$389))),"",INDIRECT(_xlfn.CONCAT($W390,G$389)))</f>
        <v/>
      </c>
      <c r="AL143" s="45"/>
      <c r="AM143" s="45"/>
      <c r="AN143" s="45"/>
      <c r="AO143" s="45"/>
      <c r="AP143" s="45"/>
      <c r="AQ143" s="45"/>
      <c r="AR143" s="45"/>
      <c r="AS143" s="46"/>
      <c r="AT143" s="46"/>
      <c r="AU143" s="46"/>
      <c r="AV143" s="46"/>
      <c r="AW143" s="46"/>
    </row>
    <row r="144" spans="1:49" ht="15" customHeight="1" x14ac:dyDescent="0.2">
      <c r="A144" s="41" t="str">
        <f t="shared" si="370"/>
        <v/>
      </c>
      <c r="B144" s="213" t="str" cm="1">
        <f t="array" ref="B144">IF(INDEX($U$427:$CB$432,B$436,$W437)="-","",INDEX($U$427:$CB$432,B$436,$W437))</f>
        <v/>
      </c>
      <c r="C144" s="213"/>
      <c r="D144" s="213"/>
      <c r="E144" s="213"/>
      <c r="F144" s="213"/>
      <c r="G144" s="213"/>
      <c r="H144" s="213"/>
      <c r="I144" s="213" t="str" cm="1">
        <f t="array" ref="I144">IF(INDEX($U$427:$CB$432,C$436,$W437)="-","",INDEX($U$427:$CB$432,C$436,$W437))</f>
        <v/>
      </c>
      <c r="J144" s="213"/>
      <c r="K144" s="213"/>
      <c r="L144" s="213"/>
      <c r="M144" s="213"/>
      <c r="N144" s="213"/>
      <c r="O144" s="213"/>
      <c r="P144" s="213" t="str" cm="1">
        <f t="array" ref="P144">IF(INDEX($U$427:$CB$432,D$436,$W437)="-","",INDEX($U$427:$CB$432,D$436,$W437))</f>
        <v/>
      </c>
      <c r="Q144" s="213"/>
      <c r="R144" s="213"/>
      <c r="S144" s="213"/>
      <c r="T144" s="213"/>
      <c r="U144" s="213"/>
      <c r="V144" s="213"/>
      <c r="W144" s="213" t="str" cm="1">
        <f t="array" ref="W144">IF(INDEX($U$427:$CB$432,E$436,$W437)="-","",INDEX($U$427:$CB$432,E$436,$W437))</f>
        <v/>
      </c>
      <c r="X144" s="213"/>
      <c r="Y144" s="213"/>
      <c r="Z144" s="213"/>
      <c r="AA144" s="213"/>
      <c r="AB144" s="213"/>
      <c r="AC144" s="213"/>
      <c r="AD144" s="213" t="str" cm="1">
        <f t="array" ref="AD144">IF(INDEX($U$427:$CB$432,F$436,$W437)="-","",INDEX($U$427:$CB$432,F$436,$W437))</f>
        <v/>
      </c>
      <c r="AE144" s="213"/>
      <c r="AF144" s="213"/>
      <c r="AG144" s="213"/>
      <c r="AH144" s="213"/>
      <c r="AI144" s="213"/>
      <c r="AJ144" s="213"/>
      <c r="AK144" s="213" t="str" cm="1">
        <f t="array" ref="AK144">IF(INDEX($U$427:$CB$432,G$436,$W437)="-","",INDEX($U$427:$CB$432,G$436,$W437))</f>
        <v/>
      </c>
      <c r="AL144" s="213"/>
      <c r="AM144" s="213"/>
      <c r="AN144" s="213"/>
      <c r="AO144" s="213"/>
      <c r="AP144" s="213"/>
      <c r="AQ144" s="213"/>
      <c r="AR144" s="211"/>
      <c r="AS144" s="211"/>
      <c r="AT144" s="211"/>
      <c r="AU144" s="211"/>
      <c r="AV144" s="211"/>
      <c r="AW144" s="211"/>
    </row>
    <row r="145" spans="1:49" ht="15" customHeight="1" x14ac:dyDescent="0.2">
      <c r="A145" s="41" t="str">
        <f t="shared" si="370"/>
        <v/>
      </c>
      <c r="B145" s="213"/>
      <c r="C145" s="213"/>
      <c r="D145" s="213"/>
      <c r="E145" s="213"/>
      <c r="F145" s="213"/>
      <c r="G145" s="213"/>
      <c r="H145" s="213"/>
      <c r="I145" s="213"/>
      <c r="J145" s="213"/>
      <c r="K145" s="213"/>
      <c r="L145" s="213"/>
      <c r="M145" s="213"/>
      <c r="N145" s="213"/>
      <c r="O145" s="213"/>
      <c r="P145" s="213"/>
      <c r="Q145" s="213"/>
      <c r="R145" s="213"/>
      <c r="S145" s="213"/>
      <c r="T145" s="213"/>
      <c r="U145" s="213"/>
      <c r="V145" s="213"/>
      <c r="W145" s="213"/>
      <c r="X145" s="213"/>
      <c r="Y145" s="213"/>
      <c r="Z145" s="213"/>
      <c r="AA145" s="213"/>
      <c r="AB145" s="213"/>
      <c r="AC145" s="213"/>
      <c r="AD145" s="213"/>
      <c r="AE145" s="213"/>
      <c r="AF145" s="213"/>
      <c r="AG145" s="213"/>
      <c r="AH145" s="213"/>
      <c r="AI145" s="213"/>
      <c r="AJ145" s="213"/>
      <c r="AK145" s="213"/>
      <c r="AL145" s="213"/>
      <c r="AM145" s="213"/>
      <c r="AN145" s="213"/>
      <c r="AO145" s="213"/>
      <c r="AP145" s="213"/>
      <c r="AQ145" s="213"/>
      <c r="AR145" s="211"/>
      <c r="AS145" s="211"/>
      <c r="AT145" s="211"/>
      <c r="AU145" s="211"/>
      <c r="AV145" s="211"/>
      <c r="AW145" s="211"/>
    </row>
    <row r="146" spans="1:49" ht="15" customHeight="1" x14ac:dyDescent="0.2">
      <c r="A146" s="41" t="str">
        <f t="shared" si="370"/>
        <v/>
      </c>
      <c r="B146" s="213"/>
      <c r="C146" s="213"/>
      <c r="D146" s="213"/>
      <c r="E146" s="213"/>
      <c r="F146" s="213"/>
      <c r="G146" s="213"/>
      <c r="H146" s="213"/>
      <c r="I146" s="213"/>
      <c r="J146" s="213"/>
      <c r="K146" s="213"/>
      <c r="L146" s="213"/>
      <c r="M146" s="213"/>
      <c r="N146" s="213"/>
      <c r="O146" s="213"/>
      <c r="P146" s="213"/>
      <c r="Q146" s="213"/>
      <c r="R146" s="213"/>
      <c r="S146" s="213"/>
      <c r="T146" s="213"/>
      <c r="U146" s="213"/>
      <c r="V146" s="213"/>
      <c r="W146" s="213"/>
      <c r="X146" s="213"/>
      <c r="Y146" s="213"/>
      <c r="Z146" s="213"/>
      <c r="AA146" s="213"/>
      <c r="AB146" s="213"/>
      <c r="AC146" s="213"/>
      <c r="AD146" s="213"/>
      <c r="AE146" s="213"/>
      <c r="AF146" s="213"/>
      <c r="AG146" s="213"/>
      <c r="AH146" s="213"/>
      <c r="AI146" s="213"/>
      <c r="AJ146" s="213"/>
      <c r="AK146" s="213"/>
      <c r="AL146" s="213"/>
      <c r="AM146" s="213"/>
      <c r="AN146" s="213"/>
      <c r="AO146" s="213"/>
      <c r="AP146" s="213"/>
      <c r="AQ146" s="213"/>
      <c r="AR146" s="211"/>
      <c r="AS146" s="211"/>
      <c r="AT146" s="211"/>
      <c r="AU146" s="211"/>
      <c r="AV146" s="211"/>
      <c r="AW146" s="211"/>
    </row>
    <row r="147" spans="1:49" ht="15" customHeight="1" x14ac:dyDescent="0.2">
      <c r="A147" s="41" t="str">
        <f t="shared" si="370"/>
        <v/>
      </c>
      <c r="B147" s="44" t="str" cm="1">
        <f t="array" aca="1" ref="B147" ca="1">IF(INDIRECT(_xlfn.CONCAT($X365,B$364))="+","+",IF(ISNUMBER(INDIRECT(_xlfn.CONCAT($X365,B$363))),"-",""))</f>
        <v/>
      </c>
      <c r="C147" s="41" t="str">
        <f ca="1">B147</f>
        <v/>
      </c>
      <c r="D147" s="41" t="str">
        <f t="shared" ref="D147" ca="1" si="641">C147</f>
        <v/>
      </c>
      <c r="E147" s="41" t="str">
        <f t="shared" ref="E147" ca="1" si="642">D147</f>
        <v/>
      </c>
      <c r="F147" s="41" t="str">
        <f t="shared" ref="F147" ca="1" si="643">E147</f>
        <v/>
      </c>
      <c r="G147" s="41" t="str">
        <f t="shared" ref="G147" ca="1" si="644">F147</f>
        <v/>
      </c>
      <c r="H147" s="41" t="str">
        <f t="shared" ref="H147" ca="1" si="645">G147</f>
        <v/>
      </c>
      <c r="I147" s="44" t="str" cm="1">
        <f t="array" aca="1" ref="I147" ca="1">IF(INDIRECT(_xlfn.CONCAT($X365,C$364))="+","+",IF(ISNUMBER(INDIRECT(_xlfn.CONCAT($X365,C$363))),"-",""))</f>
        <v/>
      </c>
      <c r="J147" s="41" t="str">
        <f ca="1">I147</f>
        <v/>
      </c>
      <c r="K147" s="41" t="str">
        <f t="shared" ref="K147" ca="1" si="646">J147</f>
        <v/>
      </c>
      <c r="L147" s="41" t="str">
        <f t="shared" ref="L147" ca="1" si="647">K147</f>
        <v/>
      </c>
      <c r="M147" s="41" t="str">
        <f t="shared" ref="M147" ca="1" si="648">L147</f>
        <v/>
      </c>
      <c r="N147" s="41" t="str">
        <f t="shared" ref="N147" ca="1" si="649">M147</f>
        <v/>
      </c>
      <c r="O147" s="41" t="str">
        <f t="shared" ref="O147" ca="1" si="650">N147</f>
        <v/>
      </c>
      <c r="P147" s="44" t="str" cm="1">
        <f t="array" aca="1" ref="P147" ca="1">IF(INDIRECT(_xlfn.CONCAT($X365,D$364))="+","+",IF(ISNUMBER(INDIRECT(_xlfn.CONCAT($X365,D$363))),"-",""))</f>
        <v/>
      </c>
      <c r="Q147" s="41" t="str">
        <f ca="1">P147</f>
        <v/>
      </c>
      <c r="R147" s="41" t="str">
        <f t="shared" ref="R147" ca="1" si="651">Q147</f>
        <v/>
      </c>
      <c r="S147" s="41" t="str">
        <f t="shared" ref="S147" ca="1" si="652">R147</f>
        <v/>
      </c>
      <c r="T147" s="41" t="str">
        <f t="shared" ref="T147" ca="1" si="653">S147</f>
        <v/>
      </c>
      <c r="U147" s="41" t="str">
        <f t="shared" ref="U147" ca="1" si="654">T147</f>
        <v/>
      </c>
      <c r="V147" s="41" t="str">
        <f t="shared" ref="V147" ca="1" si="655">U147</f>
        <v/>
      </c>
      <c r="W147" s="44" t="str" cm="1">
        <f t="array" aca="1" ref="W147" ca="1">IF(INDIRECT(_xlfn.CONCAT($X365,E$364))="+","+",IF(ISNUMBER(INDIRECT(_xlfn.CONCAT($X365,E$363))),"-",""))</f>
        <v/>
      </c>
      <c r="X147" s="41" t="str">
        <f ca="1">W147</f>
        <v/>
      </c>
      <c r="Y147" s="41" t="str">
        <f t="shared" ref="Y147" ca="1" si="656">X147</f>
        <v/>
      </c>
      <c r="Z147" s="41" t="str">
        <f t="shared" ref="Z147" ca="1" si="657">Y147</f>
        <v/>
      </c>
      <c r="AA147" s="41" t="str">
        <f t="shared" ref="AA147" ca="1" si="658">Z147</f>
        <v/>
      </c>
      <c r="AB147" s="41" t="str">
        <f t="shared" ref="AB147" ca="1" si="659">AA147</f>
        <v/>
      </c>
      <c r="AC147" s="41" t="str">
        <f t="shared" ref="AC147" ca="1" si="660">AB147</f>
        <v/>
      </c>
      <c r="AD147" s="44" t="str" cm="1">
        <f t="array" aca="1" ref="AD147" ca="1">IF(INDIRECT(_xlfn.CONCAT($X365,F$364))="+","+",IF(ISNUMBER(INDIRECT(_xlfn.CONCAT($X365,F$363))),"-",""))</f>
        <v/>
      </c>
      <c r="AE147" s="41" t="str">
        <f ca="1">AD147</f>
        <v/>
      </c>
      <c r="AF147" s="41" t="str">
        <f t="shared" ref="AF147" ca="1" si="661">AE147</f>
        <v/>
      </c>
      <c r="AG147" s="41" t="str">
        <f t="shared" ref="AG147" ca="1" si="662">AF147</f>
        <v/>
      </c>
      <c r="AH147" s="41" t="str">
        <f t="shared" ref="AH147" ca="1" si="663">AG147</f>
        <v/>
      </c>
      <c r="AI147" s="41" t="str">
        <f t="shared" ref="AI147" ca="1" si="664">AH147</f>
        <v/>
      </c>
      <c r="AJ147" s="41" t="str">
        <f t="shared" ref="AJ147" ca="1" si="665">AI147</f>
        <v/>
      </c>
      <c r="AK147" s="44" t="str" cm="1">
        <f t="array" aca="1" ref="AK147" ca="1">IF(INDIRECT(_xlfn.CONCAT($X365,G$364))="+","+",IF(ISNUMBER(INDIRECT(_xlfn.CONCAT($X365,G$363))),"-",""))</f>
        <v/>
      </c>
      <c r="AL147" s="41" t="str">
        <f ca="1">AK147</f>
        <v/>
      </c>
      <c r="AM147" s="41" t="str">
        <f t="shared" ref="AM147" ca="1" si="666">AL147</f>
        <v/>
      </c>
      <c r="AN147" s="41" t="str">
        <f t="shared" ref="AN147" ca="1" si="667">AM147</f>
        <v/>
      </c>
      <c r="AO147" s="41" t="str">
        <f t="shared" ref="AO147" ca="1" si="668">AN147</f>
        <v/>
      </c>
      <c r="AP147" s="41" t="str">
        <f t="shared" ref="AP147" ca="1" si="669">AO147</f>
        <v/>
      </c>
      <c r="AQ147" s="41" t="str">
        <f t="shared" ref="AQ147" ca="1" si="670">AP147</f>
        <v/>
      </c>
      <c r="AR147" s="44"/>
      <c r="AS147" s="41"/>
      <c r="AT147" s="41"/>
      <c r="AU147" s="41"/>
      <c r="AV147" s="41"/>
      <c r="AW147" s="41"/>
    </row>
    <row r="148" spans="1:49" ht="15" customHeight="1" x14ac:dyDescent="0.2">
      <c r="A148" s="41" t="str">
        <f t="shared" si="370"/>
        <v/>
      </c>
      <c r="B148" s="45" t="str" cm="1">
        <f t="array" aca="1" ref="B148" ca="1">IF(ISBLANK(INDIRECT(_xlfn.CONCAT($X390,B$389))),"",INDIRECT(_xlfn.CONCAT($X390,B$389)))</f>
        <v/>
      </c>
      <c r="C148" s="45"/>
      <c r="D148" s="45"/>
      <c r="E148" s="45"/>
      <c r="F148" s="45"/>
      <c r="G148" s="45"/>
      <c r="H148" s="45"/>
      <c r="I148" s="45" t="str" cm="1">
        <f t="array" aca="1" ref="I148" ca="1">IF(ISBLANK(INDIRECT(_xlfn.CONCAT($X390,C$389))),"",INDIRECT(_xlfn.CONCAT($X390,C$389)))</f>
        <v/>
      </c>
      <c r="J148" s="45"/>
      <c r="K148" s="45"/>
      <c r="L148" s="45"/>
      <c r="M148" s="45"/>
      <c r="N148" s="45"/>
      <c r="O148" s="45"/>
      <c r="P148" s="45" t="str" cm="1">
        <f t="array" aca="1" ref="P148" ca="1">IF(ISBLANK(INDIRECT(_xlfn.CONCAT($X390,D$389))),"",INDIRECT(_xlfn.CONCAT($X390,D$389)))</f>
        <v/>
      </c>
      <c r="Q148" s="45"/>
      <c r="R148" s="45"/>
      <c r="S148" s="45"/>
      <c r="T148" s="45"/>
      <c r="U148" s="45"/>
      <c r="V148" s="45"/>
      <c r="W148" s="45" t="str" cm="1">
        <f t="array" aca="1" ref="W148" ca="1">IF(ISBLANK(INDIRECT(_xlfn.CONCAT($X390,E$389))),"",INDIRECT(_xlfn.CONCAT($X390,E$389)))</f>
        <v/>
      </c>
      <c r="X148" s="45"/>
      <c r="Y148" s="45"/>
      <c r="Z148" s="45"/>
      <c r="AA148" s="45"/>
      <c r="AB148" s="45"/>
      <c r="AC148" s="45"/>
      <c r="AD148" s="45" t="str" cm="1">
        <f t="array" aca="1" ref="AD148" ca="1">IF(ISBLANK(INDIRECT(_xlfn.CONCAT($X390,F$389))),"",INDIRECT(_xlfn.CONCAT($X390,F$389)))</f>
        <v/>
      </c>
      <c r="AE148" s="45"/>
      <c r="AF148" s="45"/>
      <c r="AG148" s="45"/>
      <c r="AH148" s="45"/>
      <c r="AI148" s="45"/>
      <c r="AJ148" s="45"/>
      <c r="AK148" s="45" t="str" cm="1">
        <f t="array" aca="1" ref="AK148" ca="1">IF(ISBLANK(INDIRECT(_xlfn.CONCAT($X390,G$389))),"",INDIRECT(_xlfn.CONCAT($X390,G$389)))</f>
        <v/>
      </c>
      <c r="AL148" s="45"/>
      <c r="AM148" s="45"/>
      <c r="AN148" s="45"/>
      <c r="AO148" s="45"/>
      <c r="AP148" s="45"/>
      <c r="AQ148" s="45"/>
      <c r="AR148" s="45"/>
      <c r="AS148" s="46"/>
      <c r="AT148" s="46"/>
      <c r="AU148" s="46"/>
      <c r="AV148" s="46"/>
      <c r="AW148" s="46"/>
    </row>
    <row r="149" spans="1:49" ht="15" customHeight="1" x14ac:dyDescent="0.2">
      <c r="A149" s="41" t="str">
        <f t="shared" si="370"/>
        <v/>
      </c>
      <c r="B149" s="213" t="str" cm="1">
        <f t="array" ref="B149">IF(INDEX($U$427:$CB$432,B$436,$X437)="-","",INDEX($U$427:$CB$432,B$436,$X437))</f>
        <v/>
      </c>
      <c r="C149" s="213"/>
      <c r="D149" s="213"/>
      <c r="E149" s="213"/>
      <c r="F149" s="213"/>
      <c r="G149" s="213"/>
      <c r="H149" s="213"/>
      <c r="I149" s="213" t="str" cm="1">
        <f t="array" ref="I149">IF(INDEX($U$427:$CB$432,C$436,$X437)="-","",INDEX($U$427:$CB$432,C$436,$X437))</f>
        <v/>
      </c>
      <c r="J149" s="213"/>
      <c r="K149" s="213"/>
      <c r="L149" s="213"/>
      <c r="M149" s="213"/>
      <c r="N149" s="213"/>
      <c r="O149" s="213"/>
      <c r="P149" s="213" t="str" cm="1">
        <f t="array" ref="P149">IF(INDEX($U$427:$CB$432,D$436,$X437)="-","",INDEX($U$427:$CB$432,D$436,$X437))</f>
        <v/>
      </c>
      <c r="Q149" s="213"/>
      <c r="R149" s="213"/>
      <c r="S149" s="213"/>
      <c r="T149" s="213"/>
      <c r="U149" s="213"/>
      <c r="V149" s="213"/>
      <c r="W149" s="213" t="str" cm="1">
        <f t="array" ref="W149">IF(INDEX($U$427:$CB$432,E$436,$X437)="-","",INDEX($U$427:$CB$432,E$436,$X437))</f>
        <v/>
      </c>
      <c r="X149" s="213"/>
      <c r="Y149" s="213"/>
      <c r="Z149" s="213"/>
      <c r="AA149" s="213"/>
      <c r="AB149" s="213"/>
      <c r="AC149" s="213"/>
      <c r="AD149" s="213" t="str" cm="1">
        <f t="array" ref="AD149">IF(INDEX($U$427:$CB$432,F$436,$X437)="-","",INDEX($U$427:$CB$432,F$436,$X437))</f>
        <v/>
      </c>
      <c r="AE149" s="213"/>
      <c r="AF149" s="213"/>
      <c r="AG149" s="213"/>
      <c r="AH149" s="213"/>
      <c r="AI149" s="213"/>
      <c r="AJ149" s="213"/>
      <c r="AK149" s="213" t="str" cm="1">
        <f t="array" ref="AK149">IF(INDEX($U$427:$CB$432,G$436,$X437)="-","",INDEX($U$427:$CB$432,G$436,$X437))</f>
        <v/>
      </c>
      <c r="AL149" s="213"/>
      <c r="AM149" s="213"/>
      <c r="AN149" s="213"/>
      <c r="AO149" s="213"/>
      <c r="AP149" s="213"/>
      <c r="AQ149" s="213"/>
      <c r="AR149" s="211"/>
      <c r="AS149" s="211"/>
      <c r="AT149" s="211"/>
      <c r="AU149" s="211"/>
      <c r="AV149" s="211"/>
      <c r="AW149" s="211"/>
    </row>
    <row r="150" spans="1:49" ht="15" customHeight="1" x14ac:dyDescent="0.2">
      <c r="A150" s="41" t="str">
        <f t="shared" si="370"/>
        <v/>
      </c>
      <c r="B150" s="213"/>
      <c r="C150" s="213"/>
      <c r="D150" s="213"/>
      <c r="E150" s="213"/>
      <c r="F150" s="213"/>
      <c r="G150" s="213"/>
      <c r="H150" s="213"/>
      <c r="I150" s="213"/>
      <c r="J150" s="213"/>
      <c r="K150" s="213"/>
      <c r="L150" s="213"/>
      <c r="M150" s="213"/>
      <c r="N150" s="213"/>
      <c r="O150" s="213"/>
      <c r="P150" s="213"/>
      <c r="Q150" s="213"/>
      <c r="R150" s="213"/>
      <c r="S150" s="213"/>
      <c r="T150" s="213"/>
      <c r="U150" s="213"/>
      <c r="V150" s="213"/>
      <c r="W150" s="213"/>
      <c r="X150" s="213"/>
      <c r="Y150" s="213"/>
      <c r="Z150" s="213"/>
      <c r="AA150" s="213"/>
      <c r="AB150" s="213"/>
      <c r="AC150" s="213"/>
      <c r="AD150" s="213"/>
      <c r="AE150" s="213"/>
      <c r="AF150" s="213"/>
      <c r="AG150" s="213"/>
      <c r="AH150" s="213"/>
      <c r="AI150" s="213"/>
      <c r="AJ150" s="213"/>
      <c r="AK150" s="213"/>
      <c r="AL150" s="213"/>
      <c r="AM150" s="213"/>
      <c r="AN150" s="213"/>
      <c r="AO150" s="213"/>
      <c r="AP150" s="213"/>
      <c r="AQ150" s="213"/>
      <c r="AR150" s="211"/>
      <c r="AS150" s="211"/>
      <c r="AT150" s="211"/>
      <c r="AU150" s="211"/>
      <c r="AV150" s="211"/>
      <c r="AW150" s="211"/>
    </row>
    <row r="151" spans="1:49" ht="15" customHeight="1" x14ac:dyDescent="0.2">
      <c r="A151" s="41" t="str">
        <f t="shared" si="370"/>
        <v/>
      </c>
      <c r="B151" s="213"/>
      <c r="C151" s="213"/>
      <c r="D151" s="213"/>
      <c r="E151" s="213"/>
      <c r="F151" s="213"/>
      <c r="G151" s="213"/>
      <c r="H151" s="213"/>
      <c r="I151" s="213"/>
      <c r="J151" s="213"/>
      <c r="K151" s="213"/>
      <c r="L151" s="213"/>
      <c r="M151" s="213"/>
      <c r="N151" s="213"/>
      <c r="O151" s="213"/>
      <c r="P151" s="213"/>
      <c r="Q151" s="213"/>
      <c r="R151" s="213"/>
      <c r="S151" s="213"/>
      <c r="T151" s="213"/>
      <c r="U151" s="213"/>
      <c r="V151" s="213"/>
      <c r="W151" s="213"/>
      <c r="X151" s="213"/>
      <c r="Y151" s="213"/>
      <c r="Z151" s="213"/>
      <c r="AA151" s="213"/>
      <c r="AB151" s="213"/>
      <c r="AC151" s="213"/>
      <c r="AD151" s="213"/>
      <c r="AE151" s="213"/>
      <c r="AF151" s="213"/>
      <c r="AG151" s="213"/>
      <c r="AH151" s="213"/>
      <c r="AI151" s="213"/>
      <c r="AJ151" s="213"/>
      <c r="AK151" s="213"/>
      <c r="AL151" s="213"/>
      <c r="AM151" s="213"/>
      <c r="AN151" s="213"/>
      <c r="AO151" s="213"/>
      <c r="AP151" s="213"/>
      <c r="AQ151" s="213"/>
      <c r="AR151" s="211"/>
      <c r="AS151" s="211"/>
      <c r="AT151" s="211"/>
      <c r="AU151" s="211"/>
      <c r="AV151" s="211"/>
      <c r="AW151" s="211"/>
    </row>
    <row r="152" spans="1:49" ht="15" customHeight="1" x14ac:dyDescent="0.2">
      <c r="A152" s="41" t="str">
        <f t="shared" si="370"/>
        <v/>
      </c>
      <c r="B152" s="44" t="str" cm="1">
        <f t="array" aca="1" ref="B152" ca="1">IF(INDIRECT(_xlfn.CONCAT($Y365,B$364))="+","+",IF(ISNUMBER(INDIRECT(_xlfn.CONCAT($Y365,B$363))),"-",""))</f>
        <v/>
      </c>
      <c r="C152" s="41" t="str">
        <f ca="1">B152</f>
        <v/>
      </c>
      <c r="D152" s="41" t="str">
        <f t="shared" ref="D152" ca="1" si="671">C152</f>
        <v/>
      </c>
      <c r="E152" s="41" t="str">
        <f t="shared" ref="E152" ca="1" si="672">D152</f>
        <v/>
      </c>
      <c r="F152" s="41" t="str">
        <f t="shared" ref="F152" ca="1" si="673">E152</f>
        <v/>
      </c>
      <c r="G152" s="41" t="str">
        <f t="shared" ref="G152" ca="1" si="674">F152</f>
        <v/>
      </c>
      <c r="H152" s="41" t="str">
        <f t="shared" ref="H152" ca="1" si="675">G152</f>
        <v/>
      </c>
      <c r="I152" s="44" t="str" cm="1">
        <f t="array" aca="1" ref="I152" ca="1">IF(INDIRECT(_xlfn.CONCAT($Y365,C$364))="+","+",IF(ISNUMBER(INDIRECT(_xlfn.CONCAT($Y365,C$363))),"-",""))</f>
        <v/>
      </c>
      <c r="J152" s="41" t="str">
        <f ca="1">I152</f>
        <v/>
      </c>
      <c r="K152" s="41" t="str">
        <f t="shared" ref="K152" ca="1" si="676">J152</f>
        <v/>
      </c>
      <c r="L152" s="41" t="str">
        <f t="shared" ref="L152" ca="1" si="677">K152</f>
        <v/>
      </c>
      <c r="M152" s="41" t="str">
        <f t="shared" ref="M152" ca="1" si="678">L152</f>
        <v/>
      </c>
      <c r="N152" s="41" t="str">
        <f t="shared" ref="N152" ca="1" si="679">M152</f>
        <v/>
      </c>
      <c r="O152" s="41" t="str">
        <f t="shared" ref="O152" ca="1" si="680">N152</f>
        <v/>
      </c>
      <c r="P152" s="44" t="str" cm="1">
        <f t="array" aca="1" ref="P152" ca="1">IF(INDIRECT(_xlfn.CONCAT($Y365,D$364))="+","+",IF(ISNUMBER(INDIRECT(_xlfn.CONCAT($Y365,D$363))),"-",""))</f>
        <v/>
      </c>
      <c r="Q152" s="41" t="str">
        <f ca="1">P152</f>
        <v/>
      </c>
      <c r="R152" s="41" t="str">
        <f t="shared" ref="R152" ca="1" si="681">Q152</f>
        <v/>
      </c>
      <c r="S152" s="41" t="str">
        <f t="shared" ref="S152" ca="1" si="682">R152</f>
        <v/>
      </c>
      <c r="T152" s="41" t="str">
        <f t="shared" ref="T152" ca="1" si="683">S152</f>
        <v/>
      </c>
      <c r="U152" s="41" t="str">
        <f t="shared" ref="U152" ca="1" si="684">T152</f>
        <v/>
      </c>
      <c r="V152" s="41" t="str">
        <f t="shared" ref="V152" ca="1" si="685">U152</f>
        <v/>
      </c>
      <c r="W152" s="44" t="str" cm="1">
        <f t="array" aca="1" ref="W152" ca="1">IF(INDIRECT(_xlfn.CONCAT($Y365,E$364))="+","+",IF(ISNUMBER(INDIRECT(_xlfn.CONCAT($Y365,E$363))),"-",""))</f>
        <v/>
      </c>
      <c r="X152" s="41" t="str">
        <f ca="1">W152</f>
        <v/>
      </c>
      <c r="Y152" s="41" t="str">
        <f t="shared" ref="Y152" ca="1" si="686">X152</f>
        <v/>
      </c>
      <c r="Z152" s="41" t="str">
        <f t="shared" ref="Z152" ca="1" si="687">Y152</f>
        <v/>
      </c>
      <c r="AA152" s="41" t="str">
        <f t="shared" ref="AA152" ca="1" si="688">Z152</f>
        <v/>
      </c>
      <c r="AB152" s="41" t="str">
        <f t="shared" ref="AB152" ca="1" si="689">AA152</f>
        <v/>
      </c>
      <c r="AC152" s="41" t="str">
        <f t="shared" ref="AC152" ca="1" si="690">AB152</f>
        <v/>
      </c>
      <c r="AD152" s="44" t="str" cm="1">
        <f t="array" aca="1" ref="AD152" ca="1">IF(INDIRECT(_xlfn.CONCAT($Y365,F$364))="+","+",IF(ISNUMBER(INDIRECT(_xlfn.CONCAT($Y365,F$363))),"-",""))</f>
        <v/>
      </c>
      <c r="AE152" s="41" t="str">
        <f ca="1">AD152</f>
        <v/>
      </c>
      <c r="AF152" s="41" t="str">
        <f t="shared" ref="AF152" ca="1" si="691">AE152</f>
        <v/>
      </c>
      <c r="AG152" s="41" t="str">
        <f t="shared" ref="AG152" ca="1" si="692">AF152</f>
        <v/>
      </c>
      <c r="AH152" s="41" t="str">
        <f t="shared" ref="AH152" ca="1" si="693">AG152</f>
        <v/>
      </c>
      <c r="AI152" s="41" t="str">
        <f t="shared" ref="AI152" ca="1" si="694">AH152</f>
        <v/>
      </c>
      <c r="AJ152" s="41" t="str">
        <f t="shared" ref="AJ152" ca="1" si="695">AI152</f>
        <v/>
      </c>
      <c r="AK152" s="44" t="str" cm="1">
        <f t="array" aca="1" ref="AK152" ca="1">IF(INDIRECT(_xlfn.CONCAT($Y365,G$364))="+","+",IF(ISNUMBER(INDIRECT(_xlfn.CONCAT($Y365,G$363))),"-",""))</f>
        <v/>
      </c>
      <c r="AL152" s="41" t="str">
        <f ca="1">AK152</f>
        <v/>
      </c>
      <c r="AM152" s="41" t="str">
        <f t="shared" ref="AM152" ca="1" si="696">AL152</f>
        <v/>
      </c>
      <c r="AN152" s="41" t="str">
        <f t="shared" ref="AN152" ca="1" si="697">AM152</f>
        <v/>
      </c>
      <c r="AO152" s="41" t="str">
        <f t="shared" ref="AO152" ca="1" si="698">AN152</f>
        <v/>
      </c>
      <c r="AP152" s="41" t="str">
        <f t="shared" ref="AP152" ca="1" si="699">AO152</f>
        <v/>
      </c>
      <c r="AQ152" s="41" t="str">
        <f t="shared" ref="AQ152" ca="1" si="700">AP152</f>
        <v/>
      </c>
      <c r="AR152" s="44"/>
      <c r="AS152" s="41"/>
      <c r="AT152" s="41"/>
      <c r="AU152" s="41"/>
      <c r="AV152" s="41"/>
      <c r="AW152" s="41"/>
    </row>
    <row r="153" spans="1:49" ht="15" customHeight="1" x14ac:dyDescent="0.2">
      <c r="A153" s="41" t="str">
        <f t="shared" si="370"/>
        <v/>
      </c>
      <c r="B153" s="45" t="str" cm="1">
        <f t="array" aca="1" ref="B153" ca="1">IF(ISBLANK(INDIRECT(_xlfn.CONCAT($Y390,B$389))),"",INDIRECT(_xlfn.CONCAT($Y390,B$389)))</f>
        <v/>
      </c>
      <c r="C153" s="45"/>
      <c r="D153" s="45"/>
      <c r="E153" s="45"/>
      <c r="F153" s="45"/>
      <c r="G153" s="45"/>
      <c r="H153" s="45"/>
      <c r="I153" s="45" t="str" cm="1">
        <f t="array" aca="1" ref="I153" ca="1">IF(ISBLANK(INDIRECT(_xlfn.CONCAT($Y390,C$389))),"",INDIRECT(_xlfn.CONCAT($Y390,C$389)))</f>
        <v/>
      </c>
      <c r="J153" s="45"/>
      <c r="K153" s="45"/>
      <c r="L153" s="45"/>
      <c r="M153" s="45"/>
      <c r="N153" s="45"/>
      <c r="O153" s="45"/>
      <c r="P153" s="45" t="str" cm="1">
        <f t="array" aca="1" ref="P153" ca="1">IF(ISBLANK(INDIRECT(_xlfn.CONCAT($Y390,D$389))),"",INDIRECT(_xlfn.CONCAT($Y390,D$389)))</f>
        <v/>
      </c>
      <c r="Q153" s="45"/>
      <c r="R153" s="45"/>
      <c r="S153" s="45"/>
      <c r="T153" s="45"/>
      <c r="U153" s="45"/>
      <c r="V153" s="45"/>
      <c r="W153" s="45" t="str" cm="1">
        <f t="array" aca="1" ref="W153" ca="1">IF(ISBLANK(INDIRECT(_xlfn.CONCAT($Y390,E$389))),"",INDIRECT(_xlfn.CONCAT($Y390,E$389)))</f>
        <v/>
      </c>
      <c r="X153" s="45"/>
      <c r="Y153" s="45"/>
      <c r="Z153" s="45"/>
      <c r="AA153" s="45"/>
      <c r="AB153" s="45"/>
      <c r="AC153" s="45"/>
      <c r="AD153" s="45" t="str" cm="1">
        <f t="array" aca="1" ref="AD153" ca="1">IF(ISBLANK(INDIRECT(_xlfn.CONCAT($Y390,F$389))),"",INDIRECT(_xlfn.CONCAT($Y390,F$389)))</f>
        <v/>
      </c>
      <c r="AE153" s="45"/>
      <c r="AF153" s="45"/>
      <c r="AG153" s="45"/>
      <c r="AH153" s="45"/>
      <c r="AI153" s="45"/>
      <c r="AJ153" s="45"/>
      <c r="AK153" s="45" t="str" cm="1">
        <f t="array" aca="1" ref="AK153" ca="1">IF(ISBLANK(INDIRECT(_xlfn.CONCAT($Y390,G$389))),"",INDIRECT(_xlfn.CONCAT($Y390,G$389)))</f>
        <v/>
      </c>
      <c r="AL153" s="45"/>
      <c r="AM153" s="45"/>
      <c r="AN153" s="45"/>
      <c r="AO153" s="45"/>
      <c r="AP153" s="45"/>
      <c r="AQ153" s="45"/>
      <c r="AR153" s="45"/>
      <c r="AS153" s="46"/>
      <c r="AT153" s="46"/>
      <c r="AU153" s="46"/>
      <c r="AV153" s="46"/>
      <c r="AW153" s="46"/>
    </row>
    <row r="154" spans="1:49" ht="15" customHeight="1" x14ac:dyDescent="0.2">
      <c r="A154" s="41" t="str">
        <f t="shared" si="370"/>
        <v/>
      </c>
      <c r="B154" s="213" t="str" cm="1">
        <f t="array" ref="B154">IF(INDEX($U$427:$CB$432,B$436,$Y437)="-","",INDEX($U$427:$CB$432,B$436,$Y437))</f>
        <v/>
      </c>
      <c r="C154" s="213"/>
      <c r="D154" s="213"/>
      <c r="E154" s="213"/>
      <c r="F154" s="213"/>
      <c r="G154" s="213"/>
      <c r="H154" s="213"/>
      <c r="I154" s="213" t="str" cm="1">
        <f t="array" ref="I154">IF(INDEX($U$427:$CB$432,C$436,$Y437)="-","",INDEX($U$427:$CB$432,C$436,$Y437))</f>
        <v/>
      </c>
      <c r="J154" s="213"/>
      <c r="K154" s="213"/>
      <c r="L154" s="213"/>
      <c r="M154" s="213"/>
      <c r="N154" s="213"/>
      <c r="O154" s="213"/>
      <c r="P154" s="213" t="str" cm="1">
        <f t="array" ref="P154">IF(INDEX($U$427:$CB$432,D$436,$Y437)="-","",INDEX($U$427:$CB$432,D$436,$Y437))</f>
        <v/>
      </c>
      <c r="Q154" s="213"/>
      <c r="R154" s="213"/>
      <c r="S154" s="213"/>
      <c r="T154" s="213"/>
      <c r="U154" s="213"/>
      <c r="V154" s="213"/>
      <c r="W154" s="213" t="str" cm="1">
        <f t="array" ref="W154">IF(INDEX($U$427:$CB$432,E$436,$Y437)="-","",INDEX($U$427:$CB$432,E$436,$Y437))</f>
        <v/>
      </c>
      <c r="X154" s="213"/>
      <c r="Y154" s="213"/>
      <c r="Z154" s="213"/>
      <c r="AA154" s="213"/>
      <c r="AB154" s="213"/>
      <c r="AC154" s="213"/>
      <c r="AD154" s="213" t="str" cm="1">
        <f t="array" ref="AD154">IF(INDEX($U$427:$CB$432,F$436,$Y437)="-","",INDEX($U$427:$CB$432,F$436,$Y437))</f>
        <v/>
      </c>
      <c r="AE154" s="213"/>
      <c r="AF154" s="213"/>
      <c r="AG154" s="213"/>
      <c r="AH154" s="213"/>
      <c r="AI154" s="213"/>
      <c r="AJ154" s="213"/>
      <c r="AK154" s="213" t="str" cm="1">
        <f t="array" ref="AK154">IF(INDEX($U$427:$CB$432,G$436,$Y437)="-","",INDEX($U$427:$CB$432,G$436,$Y437))</f>
        <v/>
      </c>
      <c r="AL154" s="213"/>
      <c r="AM154" s="213"/>
      <c r="AN154" s="213"/>
      <c r="AO154" s="213"/>
      <c r="AP154" s="213"/>
      <c r="AQ154" s="213"/>
      <c r="AR154" s="211"/>
      <c r="AS154" s="211"/>
      <c r="AT154" s="211"/>
      <c r="AU154" s="211"/>
      <c r="AV154" s="211"/>
      <c r="AW154" s="211"/>
    </row>
    <row r="155" spans="1:49" ht="15" customHeight="1" x14ac:dyDescent="0.2">
      <c r="A155" s="41" t="str">
        <f t="shared" si="370"/>
        <v/>
      </c>
      <c r="B155" s="213"/>
      <c r="C155" s="213"/>
      <c r="D155" s="213"/>
      <c r="E155" s="213"/>
      <c r="F155" s="213"/>
      <c r="G155" s="213"/>
      <c r="H155" s="213"/>
      <c r="I155" s="213"/>
      <c r="J155" s="213"/>
      <c r="K155" s="213"/>
      <c r="L155" s="213"/>
      <c r="M155" s="213"/>
      <c r="N155" s="213"/>
      <c r="O155" s="213"/>
      <c r="P155" s="213"/>
      <c r="Q155" s="213"/>
      <c r="R155" s="213"/>
      <c r="S155" s="213"/>
      <c r="T155" s="213"/>
      <c r="U155" s="213"/>
      <c r="V155" s="213"/>
      <c r="W155" s="213"/>
      <c r="X155" s="213"/>
      <c r="Y155" s="213"/>
      <c r="Z155" s="213"/>
      <c r="AA155" s="213"/>
      <c r="AB155" s="213"/>
      <c r="AC155" s="213"/>
      <c r="AD155" s="213"/>
      <c r="AE155" s="213"/>
      <c r="AF155" s="213"/>
      <c r="AG155" s="213"/>
      <c r="AH155" s="213"/>
      <c r="AI155" s="213"/>
      <c r="AJ155" s="213"/>
      <c r="AK155" s="213"/>
      <c r="AL155" s="213"/>
      <c r="AM155" s="213"/>
      <c r="AN155" s="213"/>
      <c r="AO155" s="213"/>
      <c r="AP155" s="213"/>
      <c r="AQ155" s="213"/>
      <c r="AR155" s="211"/>
      <c r="AS155" s="211"/>
      <c r="AT155" s="211"/>
      <c r="AU155" s="211"/>
      <c r="AV155" s="211"/>
      <c r="AW155" s="211"/>
    </row>
    <row r="156" spans="1:49" ht="15" customHeight="1" x14ac:dyDescent="0.2">
      <c r="A156" s="41" t="str">
        <f t="shared" si="370"/>
        <v/>
      </c>
      <c r="B156" s="213"/>
      <c r="C156" s="213"/>
      <c r="D156" s="213"/>
      <c r="E156" s="213"/>
      <c r="F156" s="213"/>
      <c r="G156" s="213"/>
      <c r="H156" s="213"/>
      <c r="I156" s="213"/>
      <c r="J156" s="213"/>
      <c r="K156" s="213"/>
      <c r="L156" s="213"/>
      <c r="M156" s="213"/>
      <c r="N156" s="213"/>
      <c r="O156" s="213"/>
      <c r="P156" s="213"/>
      <c r="Q156" s="213"/>
      <c r="R156" s="213"/>
      <c r="S156" s="213"/>
      <c r="T156" s="213"/>
      <c r="U156" s="213"/>
      <c r="V156" s="213"/>
      <c r="W156" s="213"/>
      <c r="X156" s="213"/>
      <c r="Y156" s="213"/>
      <c r="Z156" s="213"/>
      <c r="AA156" s="213"/>
      <c r="AB156" s="213"/>
      <c r="AC156" s="213"/>
      <c r="AD156" s="213"/>
      <c r="AE156" s="213"/>
      <c r="AF156" s="213"/>
      <c r="AG156" s="213"/>
      <c r="AH156" s="213"/>
      <c r="AI156" s="213"/>
      <c r="AJ156" s="213"/>
      <c r="AK156" s="213"/>
      <c r="AL156" s="213"/>
      <c r="AM156" s="213"/>
      <c r="AN156" s="213"/>
      <c r="AO156" s="213"/>
      <c r="AP156" s="213"/>
      <c r="AQ156" s="213"/>
      <c r="AR156" s="211"/>
      <c r="AS156" s="211"/>
      <c r="AT156" s="211"/>
      <c r="AU156" s="211"/>
      <c r="AV156" s="211"/>
      <c r="AW156" s="211"/>
    </row>
    <row r="157" spans="1:49" ht="15" customHeight="1" x14ac:dyDescent="0.2">
      <c r="A157" s="41" t="str">
        <f t="shared" si="370"/>
        <v/>
      </c>
      <c r="B157" s="44" t="str" cm="1">
        <f t="array" aca="1" ref="B157" ca="1">IF(INDIRECT(_xlfn.CONCAT($Z365,B$364))="+","+",IF(ISNUMBER(INDIRECT(_xlfn.CONCAT($Z365,B$363))),"-",""))</f>
        <v/>
      </c>
      <c r="C157" s="41" t="str">
        <f ca="1">B157</f>
        <v/>
      </c>
      <c r="D157" s="41" t="str">
        <f t="shared" ref="D157" ca="1" si="701">C157</f>
        <v/>
      </c>
      <c r="E157" s="41" t="str">
        <f t="shared" ref="E157" ca="1" si="702">D157</f>
        <v/>
      </c>
      <c r="F157" s="41" t="str">
        <f t="shared" ref="F157" ca="1" si="703">E157</f>
        <v/>
      </c>
      <c r="G157" s="41" t="str">
        <f t="shared" ref="G157" ca="1" si="704">F157</f>
        <v/>
      </c>
      <c r="H157" s="41" t="str">
        <f t="shared" ref="H157" ca="1" si="705">G157</f>
        <v/>
      </c>
      <c r="I157" s="44" t="str" cm="1">
        <f t="array" aca="1" ref="I157" ca="1">IF(INDIRECT(_xlfn.CONCAT($Z365,C$364))="+","+",IF(ISNUMBER(INDIRECT(_xlfn.CONCAT($Z365,C$363))),"-",""))</f>
        <v/>
      </c>
      <c r="J157" s="41" t="str">
        <f ca="1">I157</f>
        <v/>
      </c>
      <c r="K157" s="41" t="str">
        <f t="shared" ref="K157" ca="1" si="706">J157</f>
        <v/>
      </c>
      <c r="L157" s="41" t="str">
        <f t="shared" ref="L157" ca="1" si="707">K157</f>
        <v/>
      </c>
      <c r="M157" s="41" t="str">
        <f t="shared" ref="M157" ca="1" si="708">L157</f>
        <v/>
      </c>
      <c r="N157" s="41" t="str">
        <f t="shared" ref="N157" ca="1" si="709">M157</f>
        <v/>
      </c>
      <c r="O157" s="41" t="str">
        <f t="shared" ref="O157" ca="1" si="710">N157</f>
        <v/>
      </c>
      <c r="P157" s="44" t="str" cm="1">
        <f t="array" aca="1" ref="P157" ca="1">IF(INDIRECT(_xlfn.CONCAT($Z365,D$364))="+","+",IF(ISNUMBER(INDIRECT(_xlfn.CONCAT($Z365,D$363))),"-",""))</f>
        <v/>
      </c>
      <c r="Q157" s="41" t="str">
        <f ca="1">P157</f>
        <v/>
      </c>
      <c r="R157" s="41" t="str">
        <f t="shared" ref="R157" ca="1" si="711">Q157</f>
        <v/>
      </c>
      <c r="S157" s="41" t="str">
        <f t="shared" ref="S157" ca="1" si="712">R157</f>
        <v/>
      </c>
      <c r="T157" s="41" t="str">
        <f t="shared" ref="T157" ca="1" si="713">S157</f>
        <v/>
      </c>
      <c r="U157" s="41" t="str">
        <f t="shared" ref="U157" ca="1" si="714">T157</f>
        <v/>
      </c>
      <c r="V157" s="41" t="str">
        <f t="shared" ref="V157" ca="1" si="715">U157</f>
        <v/>
      </c>
      <c r="W157" s="44" t="str" cm="1">
        <f t="array" aca="1" ref="W157" ca="1">IF(INDIRECT(_xlfn.CONCAT($Z365,E$364))="+","+",IF(ISNUMBER(INDIRECT(_xlfn.CONCAT($Z365,E$363))),"-",""))</f>
        <v/>
      </c>
      <c r="X157" s="41" t="str">
        <f ca="1">W157</f>
        <v/>
      </c>
      <c r="Y157" s="41" t="str">
        <f t="shared" ref="Y157" ca="1" si="716">X157</f>
        <v/>
      </c>
      <c r="Z157" s="41" t="str">
        <f t="shared" ref="Z157" ca="1" si="717">Y157</f>
        <v/>
      </c>
      <c r="AA157" s="41" t="str">
        <f t="shared" ref="AA157" ca="1" si="718">Z157</f>
        <v/>
      </c>
      <c r="AB157" s="41" t="str">
        <f t="shared" ref="AB157" ca="1" si="719">AA157</f>
        <v/>
      </c>
      <c r="AC157" s="41" t="str">
        <f t="shared" ref="AC157" ca="1" si="720">AB157</f>
        <v/>
      </c>
      <c r="AD157" s="44" t="str" cm="1">
        <f t="array" aca="1" ref="AD157" ca="1">IF(INDIRECT(_xlfn.CONCAT($Z365,F$364))="+","+",IF(ISNUMBER(INDIRECT(_xlfn.CONCAT($Z365,F$363))),"-",""))</f>
        <v/>
      </c>
      <c r="AE157" s="41" t="str">
        <f ca="1">AD157</f>
        <v/>
      </c>
      <c r="AF157" s="41" t="str">
        <f t="shared" ref="AF157" ca="1" si="721">AE157</f>
        <v/>
      </c>
      <c r="AG157" s="41" t="str">
        <f t="shared" ref="AG157" ca="1" si="722">AF157</f>
        <v/>
      </c>
      <c r="AH157" s="41" t="str">
        <f t="shared" ref="AH157" ca="1" si="723">AG157</f>
        <v/>
      </c>
      <c r="AI157" s="41" t="str">
        <f t="shared" ref="AI157" ca="1" si="724">AH157</f>
        <v/>
      </c>
      <c r="AJ157" s="41" t="str">
        <f t="shared" ref="AJ157" ca="1" si="725">AI157</f>
        <v/>
      </c>
      <c r="AK157" s="44" t="str" cm="1">
        <f t="array" aca="1" ref="AK157" ca="1">IF(INDIRECT(_xlfn.CONCAT($Z365,G$364))="+","+",IF(ISNUMBER(INDIRECT(_xlfn.CONCAT($Z365,G$363))),"-",""))</f>
        <v/>
      </c>
      <c r="AL157" s="41" t="str">
        <f ca="1">AK157</f>
        <v/>
      </c>
      <c r="AM157" s="41" t="str">
        <f t="shared" ref="AM157" ca="1" si="726">AL157</f>
        <v/>
      </c>
      <c r="AN157" s="41" t="str">
        <f t="shared" ref="AN157" ca="1" si="727">AM157</f>
        <v/>
      </c>
      <c r="AO157" s="41" t="str">
        <f t="shared" ref="AO157" ca="1" si="728">AN157</f>
        <v/>
      </c>
      <c r="AP157" s="41" t="str">
        <f t="shared" ref="AP157" ca="1" si="729">AO157</f>
        <v/>
      </c>
      <c r="AQ157" s="41" t="str">
        <f t="shared" ref="AQ157" ca="1" si="730">AP157</f>
        <v/>
      </c>
      <c r="AR157" s="44"/>
      <c r="AS157" s="41"/>
      <c r="AT157" s="41"/>
      <c r="AU157" s="41"/>
      <c r="AV157" s="41"/>
      <c r="AW157" s="41"/>
    </row>
    <row r="158" spans="1:49" ht="15" customHeight="1" x14ac:dyDescent="0.2">
      <c r="A158" s="41" t="str">
        <f t="shared" si="370"/>
        <v/>
      </c>
      <c r="B158" s="45" t="str" cm="1">
        <f t="array" aca="1" ref="B158" ca="1">IF(ISBLANK(INDIRECT(_xlfn.CONCAT($Z390,B$389))),"",INDIRECT(_xlfn.CONCAT($Z390,B$389)))</f>
        <v/>
      </c>
      <c r="C158" s="45"/>
      <c r="D158" s="45"/>
      <c r="E158" s="45"/>
      <c r="F158" s="45"/>
      <c r="G158" s="45"/>
      <c r="H158" s="45"/>
      <c r="I158" s="45" t="str" cm="1">
        <f t="array" aca="1" ref="I158" ca="1">IF(ISBLANK(INDIRECT(_xlfn.CONCAT($Z390,C$389))),"",INDIRECT(_xlfn.CONCAT($Z390,C$389)))</f>
        <v/>
      </c>
      <c r="J158" s="45"/>
      <c r="K158" s="45"/>
      <c r="L158" s="45"/>
      <c r="M158" s="45"/>
      <c r="N158" s="45"/>
      <c r="O158" s="45"/>
      <c r="P158" s="45" t="str" cm="1">
        <f t="array" aca="1" ref="P158" ca="1">IF(ISBLANK(INDIRECT(_xlfn.CONCAT($Z390,D$389))),"",INDIRECT(_xlfn.CONCAT($Z390,D$389)))</f>
        <v/>
      </c>
      <c r="Q158" s="45"/>
      <c r="R158" s="45"/>
      <c r="S158" s="45"/>
      <c r="T158" s="45"/>
      <c r="U158" s="45"/>
      <c r="V158" s="45"/>
      <c r="W158" s="45" t="str" cm="1">
        <f t="array" aca="1" ref="W158" ca="1">IF(ISBLANK(INDIRECT(_xlfn.CONCAT($Z390,E$389))),"",INDIRECT(_xlfn.CONCAT($Z390,E$389)))</f>
        <v/>
      </c>
      <c r="X158" s="45"/>
      <c r="Y158" s="45"/>
      <c r="Z158" s="45"/>
      <c r="AA158" s="45"/>
      <c r="AB158" s="45"/>
      <c r="AC158" s="45"/>
      <c r="AD158" s="45" t="str" cm="1">
        <f t="array" aca="1" ref="AD158" ca="1">IF(ISBLANK(INDIRECT(_xlfn.CONCAT($Z390,F$389))),"",INDIRECT(_xlfn.CONCAT($Z390,F$389)))</f>
        <v/>
      </c>
      <c r="AE158" s="45"/>
      <c r="AF158" s="45"/>
      <c r="AG158" s="45"/>
      <c r="AH158" s="45"/>
      <c r="AI158" s="45"/>
      <c r="AJ158" s="45"/>
      <c r="AK158" s="45" t="str" cm="1">
        <f t="array" aca="1" ref="AK158" ca="1">IF(ISBLANK(INDIRECT(_xlfn.CONCAT($Z390,G$389))),"",INDIRECT(_xlfn.CONCAT($Z390,G$389)))</f>
        <v/>
      </c>
      <c r="AL158" s="45"/>
      <c r="AM158" s="45"/>
      <c r="AN158" s="45"/>
      <c r="AO158" s="45"/>
      <c r="AP158" s="45"/>
      <c r="AQ158" s="45"/>
      <c r="AR158" s="45"/>
      <c r="AS158" s="46"/>
      <c r="AT158" s="46"/>
      <c r="AU158" s="46"/>
      <c r="AV158" s="46"/>
      <c r="AW158" s="46"/>
    </row>
    <row r="159" spans="1:49" ht="15" customHeight="1" x14ac:dyDescent="0.2">
      <c r="A159" s="41" t="str">
        <f t="shared" si="370"/>
        <v/>
      </c>
      <c r="B159" s="213" t="str" cm="1">
        <f t="array" ref="B159">IF(INDEX($U$427:$CB$432,B$436,$Z437)="-","",INDEX($U$427:$CB$432,B$436,$Z437))</f>
        <v/>
      </c>
      <c r="C159" s="213"/>
      <c r="D159" s="213"/>
      <c r="E159" s="213"/>
      <c r="F159" s="213"/>
      <c r="G159" s="213"/>
      <c r="H159" s="213"/>
      <c r="I159" s="213" t="str" cm="1">
        <f t="array" ref="I159">IF(INDEX($U$427:$CB$432,C$436,$Z437)="-","",INDEX($U$427:$CB$432,C$436,$Z437))</f>
        <v/>
      </c>
      <c r="J159" s="213"/>
      <c r="K159" s="213"/>
      <c r="L159" s="213"/>
      <c r="M159" s="213"/>
      <c r="N159" s="213"/>
      <c r="O159" s="213"/>
      <c r="P159" s="213" t="str" cm="1">
        <f t="array" ref="P159">IF(INDEX($U$427:$CB$432,D$436,$Z437)="-","",INDEX($U$427:$CB$432,D$436,$Z437))</f>
        <v/>
      </c>
      <c r="Q159" s="213"/>
      <c r="R159" s="213"/>
      <c r="S159" s="213"/>
      <c r="T159" s="213"/>
      <c r="U159" s="213"/>
      <c r="V159" s="213"/>
      <c r="W159" s="213" t="str" cm="1">
        <f t="array" ref="W159">IF(INDEX($U$427:$CB$432,E$436,$Z437)="-","",INDEX($U$427:$CB$432,E$436,$Z437))</f>
        <v/>
      </c>
      <c r="X159" s="213"/>
      <c r="Y159" s="213"/>
      <c r="Z159" s="213"/>
      <c r="AA159" s="213"/>
      <c r="AB159" s="213"/>
      <c r="AC159" s="213"/>
      <c r="AD159" s="213" t="str" cm="1">
        <f t="array" ref="AD159">IF(INDEX($U$427:$CB$432,F$436,$Z437)="-","",INDEX($U$427:$CB$432,F$436,$Z437))</f>
        <v/>
      </c>
      <c r="AE159" s="213"/>
      <c r="AF159" s="213"/>
      <c r="AG159" s="213"/>
      <c r="AH159" s="213"/>
      <c r="AI159" s="213"/>
      <c r="AJ159" s="213"/>
      <c r="AK159" s="213" t="str" cm="1">
        <f t="array" ref="AK159">IF(INDEX($U$427:$CB$432,G$436,$Z437)="-","",INDEX($U$427:$CB$432,G$436,$Z437))</f>
        <v/>
      </c>
      <c r="AL159" s="213"/>
      <c r="AM159" s="213"/>
      <c r="AN159" s="213"/>
      <c r="AO159" s="213"/>
      <c r="AP159" s="213"/>
      <c r="AQ159" s="213"/>
      <c r="AR159" s="211"/>
      <c r="AS159" s="211"/>
      <c r="AT159" s="211"/>
      <c r="AU159" s="211"/>
      <c r="AV159" s="211"/>
      <c r="AW159" s="211"/>
    </row>
    <row r="160" spans="1:49" ht="15" customHeight="1" x14ac:dyDescent="0.2">
      <c r="A160" s="41" t="str">
        <f t="shared" si="370"/>
        <v/>
      </c>
      <c r="B160" s="213"/>
      <c r="C160" s="213"/>
      <c r="D160" s="213"/>
      <c r="E160" s="213"/>
      <c r="F160" s="213"/>
      <c r="G160" s="213"/>
      <c r="H160" s="213"/>
      <c r="I160" s="213"/>
      <c r="J160" s="213"/>
      <c r="K160" s="213"/>
      <c r="L160" s="213"/>
      <c r="M160" s="213"/>
      <c r="N160" s="213"/>
      <c r="O160" s="213"/>
      <c r="P160" s="213"/>
      <c r="Q160" s="213"/>
      <c r="R160" s="213"/>
      <c r="S160" s="213"/>
      <c r="T160" s="213"/>
      <c r="U160" s="213"/>
      <c r="V160" s="213"/>
      <c r="W160" s="213"/>
      <c r="X160" s="213"/>
      <c r="Y160" s="213"/>
      <c r="Z160" s="213"/>
      <c r="AA160" s="213"/>
      <c r="AB160" s="213"/>
      <c r="AC160" s="213"/>
      <c r="AD160" s="213"/>
      <c r="AE160" s="213"/>
      <c r="AF160" s="213"/>
      <c r="AG160" s="213"/>
      <c r="AH160" s="213"/>
      <c r="AI160" s="213"/>
      <c r="AJ160" s="213"/>
      <c r="AK160" s="213"/>
      <c r="AL160" s="213"/>
      <c r="AM160" s="213"/>
      <c r="AN160" s="213"/>
      <c r="AO160" s="213"/>
      <c r="AP160" s="213"/>
      <c r="AQ160" s="213"/>
      <c r="AR160" s="211"/>
      <c r="AS160" s="211"/>
      <c r="AT160" s="211"/>
      <c r="AU160" s="211"/>
      <c r="AV160" s="211"/>
      <c r="AW160" s="211"/>
    </row>
    <row r="161" spans="1:49" ht="15" customHeight="1" x14ac:dyDescent="0.2">
      <c r="A161" s="41" t="str">
        <f t="shared" si="370"/>
        <v/>
      </c>
      <c r="B161" s="213"/>
      <c r="C161" s="213"/>
      <c r="D161" s="213"/>
      <c r="E161" s="213"/>
      <c r="F161" s="213"/>
      <c r="G161" s="213"/>
      <c r="H161" s="213"/>
      <c r="I161" s="213"/>
      <c r="J161" s="213"/>
      <c r="K161" s="213"/>
      <c r="L161" s="213"/>
      <c r="M161" s="213"/>
      <c r="N161" s="213"/>
      <c r="O161" s="213"/>
      <c r="P161" s="213"/>
      <c r="Q161" s="213"/>
      <c r="R161" s="213"/>
      <c r="S161" s="213"/>
      <c r="T161" s="213"/>
      <c r="U161" s="213"/>
      <c r="V161" s="213"/>
      <c r="W161" s="213"/>
      <c r="X161" s="213"/>
      <c r="Y161" s="213"/>
      <c r="Z161" s="213"/>
      <c r="AA161" s="213"/>
      <c r="AB161" s="213"/>
      <c r="AC161" s="213"/>
      <c r="AD161" s="213"/>
      <c r="AE161" s="213"/>
      <c r="AF161" s="213"/>
      <c r="AG161" s="213"/>
      <c r="AH161" s="213"/>
      <c r="AI161" s="213"/>
      <c r="AJ161" s="213"/>
      <c r="AK161" s="213"/>
      <c r="AL161" s="213"/>
      <c r="AM161" s="213"/>
      <c r="AN161" s="213"/>
      <c r="AO161" s="213"/>
      <c r="AP161" s="213"/>
      <c r="AQ161" s="213"/>
      <c r="AR161" s="211"/>
      <c r="AS161" s="211"/>
      <c r="AT161" s="211"/>
      <c r="AU161" s="211"/>
      <c r="AV161" s="211"/>
      <c r="AW161" s="211"/>
    </row>
    <row r="162" spans="1:49" ht="15" customHeight="1" x14ac:dyDescent="0.2">
      <c r="A162" s="41" t="str">
        <f t="shared" si="370"/>
        <v/>
      </c>
      <c r="B162" s="44" t="str" cm="1">
        <f t="array" aca="1" ref="B162" ca="1">IF(INDIRECT(_xlfn.CONCAT($AA365,B$364))="+","+",IF(ISNUMBER(INDIRECT(_xlfn.CONCAT($AA365,B$363))),"-",""))</f>
        <v/>
      </c>
      <c r="C162" s="41" t="str">
        <f ca="1">B162</f>
        <v/>
      </c>
      <c r="D162" s="41" t="str">
        <f t="shared" ref="D162" ca="1" si="731">C162</f>
        <v/>
      </c>
      <c r="E162" s="41" t="str">
        <f t="shared" ref="E162" ca="1" si="732">D162</f>
        <v/>
      </c>
      <c r="F162" s="41" t="str">
        <f t="shared" ref="F162" ca="1" si="733">E162</f>
        <v/>
      </c>
      <c r="G162" s="41" t="str">
        <f t="shared" ref="G162" ca="1" si="734">F162</f>
        <v/>
      </c>
      <c r="H162" s="41" t="str">
        <f t="shared" ref="H162" ca="1" si="735">G162</f>
        <v/>
      </c>
      <c r="I162" s="44" t="str" cm="1">
        <f t="array" aca="1" ref="I162" ca="1">IF(INDIRECT(_xlfn.CONCAT($AA365,C$364))="+","+",IF(ISNUMBER(INDIRECT(_xlfn.CONCAT($AA365,C$363))),"-",""))</f>
        <v/>
      </c>
      <c r="J162" s="41" t="str">
        <f ca="1">I162</f>
        <v/>
      </c>
      <c r="K162" s="41" t="str">
        <f t="shared" ref="K162" ca="1" si="736">J162</f>
        <v/>
      </c>
      <c r="L162" s="41" t="str">
        <f t="shared" ref="L162" ca="1" si="737">K162</f>
        <v/>
      </c>
      <c r="M162" s="41" t="str">
        <f t="shared" ref="M162" ca="1" si="738">L162</f>
        <v/>
      </c>
      <c r="N162" s="41" t="str">
        <f t="shared" ref="N162" ca="1" si="739">M162</f>
        <v/>
      </c>
      <c r="O162" s="41" t="str">
        <f t="shared" ref="O162" ca="1" si="740">N162</f>
        <v/>
      </c>
      <c r="P162" s="44" t="str" cm="1">
        <f t="array" aca="1" ref="P162" ca="1">IF(INDIRECT(_xlfn.CONCAT($AA365,D$364))="+","+",IF(ISNUMBER(INDIRECT(_xlfn.CONCAT($AA365,D$363))),"-",""))</f>
        <v/>
      </c>
      <c r="Q162" s="41" t="str">
        <f ca="1">P162</f>
        <v/>
      </c>
      <c r="R162" s="41" t="str">
        <f t="shared" ref="R162" ca="1" si="741">Q162</f>
        <v/>
      </c>
      <c r="S162" s="41" t="str">
        <f t="shared" ref="S162" ca="1" si="742">R162</f>
        <v/>
      </c>
      <c r="T162" s="41" t="str">
        <f t="shared" ref="T162" ca="1" si="743">S162</f>
        <v/>
      </c>
      <c r="U162" s="41" t="str">
        <f t="shared" ref="U162" ca="1" si="744">T162</f>
        <v/>
      </c>
      <c r="V162" s="41" t="str">
        <f t="shared" ref="V162" ca="1" si="745">U162</f>
        <v/>
      </c>
      <c r="W162" s="44" t="str" cm="1">
        <f t="array" aca="1" ref="W162" ca="1">IF(INDIRECT(_xlfn.CONCAT($AA365,E$364))="+","+",IF(ISNUMBER(INDIRECT(_xlfn.CONCAT($AA365,E$363))),"-",""))</f>
        <v/>
      </c>
      <c r="X162" s="41" t="str">
        <f ca="1">W162</f>
        <v/>
      </c>
      <c r="Y162" s="41" t="str">
        <f t="shared" ref="Y162" ca="1" si="746">X162</f>
        <v/>
      </c>
      <c r="Z162" s="41" t="str">
        <f t="shared" ref="Z162" ca="1" si="747">Y162</f>
        <v/>
      </c>
      <c r="AA162" s="41" t="str">
        <f t="shared" ref="AA162" ca="1" si="748">Z162</f>
        <v/>
      </c>
      <c r="AB162" s="41" t="str">
        <f t="shared" ref="AB162" ca="1" si="749">AA162</f>
        <v/>
      </c>
      <c r="AC162" s="41" t="str">
        <f t="shared" ref="AC162" ca="1" si="750">AB162</f>
        <v/>
      </c>
      <c r="AD162" s="44" t="str" cm="1">
        <f t="array" aca="1" ref="AD162" ca="1">IF(INDIRECT(_xlfn.CONCAT($AA365,F$364))="+","+",IF(ISNUMBER(INDIRECT(_xlfn.CONCAT($AA365,F$363))),"-",""))</f>
        <v/>
      </c>
      <c r="AE162" s="41" t="str">
        <f ca="1">AD162</f>
        <v/>
      </c>
      <c r="AF162" s="41" t="str">
        <f t="shared" ref="AF162" ca="1" si="751">AE162</f>
        <v/>
      </c>
      <c r="AG162" s="41" t="str">
        <f t="shared" ref="AG162" ca="1" si="752">AF162</f>
        <v/>
      </c>
      <c r="AH162" s="41" t="str">
        <f t="shared" ref="AH162" ca="1" si="753">AG162</f>
        <v/>
      </c>
      <c r="AI162" s="41" t="str">
        <f t="shared" ref="AI162" ca="1" si="754">AH162</f>
        <v/>
      </c>
      <c r="AJ162" s="41" t="str">
        <f t="shared" ref="AJ162" ca="1" si="755">AI162</f>
        <v/>
      </c>
      <c r="AK162" s="44" t="str" cm="1">
        <f t="array" aca="1" ref="AK162" ca="1">IF(INDIRECT(_xlfn.CONCAT($AA365,G$364))="+","+",IF(ISNUMBER(INDIRECT(_xlfn.CONCAT($AA365,G$363))),"-",""))</f>
        <v/>
      </c>
      <c r="AL162" s="41" t="str">
        <f ca="1">AK162</f>
        <v/>
      </c>
      <c r="AM162" s="41" t="str">
        <f t="shared" ref="AM162" ca="1" si="756">AL162</f>
        <v/>
      </c>
      <c r="AN162" s="41" t="str">
        <f t="shared" ref="AN162" ca="1" si="757">AM162</f>
        <v/>
      </c>
      <c r="AO162" s="41" t="str">
        <f t="shared" ref="AO162" ca="1" si="758">AN162</f>
        <v/>
      </c>
      <c r="AP162" s="41" t="str">
        <f t="shared" ref="AP162" ca="1" si="759">AO162</f>
        <v/>
      </c>
      <c r="AQ162" s="41" t="str">
        <f t="shared" ref="AQ162" ca="1" si="760">AP162</f>
        <v/>
      </c>
      <c r="AR162" s="44"/>
      <c r="AS162" s="41"/>
      <c r="AT162" s="41"/>
      <c r="AU162" s="41"/>
      <c r="AV162" s="41"/>
      <c r="AW162" s="41"/>
    </row>
    <row r="163" spans="1:49" ht="15" customHeight="1" x14ac:dyDescent="0.2">
      <c r="A163" s="41" t="str">
        <f t="shared" ref="A163:A226" si="761">IF(COUNTIFS($I$358:$BK$358,"&lt;="&amp;ROW(A163),$I$359:$BK$359,"&gt;="&amp;ROW(A163))&gt;0,"x","")</f>
        <v/>
      </c>
      <c r="B163" s="45" t="str" cm="1">
        <f t="array" aca="1" ref="B163" ca="1">IF(ISBLANK(INDIRECT(_xlfn.CONCAT($AA390,B$389))),"",INDIRECT(_xlfn.CONCAT($AA390,B$389)))</f>
        <v/>
      </c>
      <c r="C163" s="45"/>
      <c r="D163" s="45"/>
      <c r="E163" s="45"/>
      <c r="F163" s="45"/>
      <c r="G163" s="45"/>
      <c r="H163" s="45"/>
      <c r="I163" s="45" t="str" cm="1">
        <f t="array" aca="1" ref="I163" ca="1">IF(ISBLANK(INDIRECT(_xlfn.CONCAT($AA390,C$389))),"",INDIRECT(_xlfn.CONCAT($AA390,C$389)))</f>
        <v/>
      </c>
      <c r="J163" s="45"/>
      <c r="K163" s="45"/>
      <c r="L163" s="45"/>
      <c r="M163" s="45"/>
      <c r="N163" s="45"/>
      <c r="O163" s="45"/>
      <c r="P163" s="45" t="str" cm="1">
        <f t="array" aca="1" ref="P163" ca="1">IF(ISBLANK(INDIRECT(_xlfn.CONCAT($AA390,D$389))),"",INDIRECT(_xlfn.CONCAT($AA390,D$389)))</f>
        <v/>
      </c>
      <c r="Q163" s="45"/>
      <c r="R163" s="45"/>
      <c r="S163" s="45"/>
      <c r="T163" s="45"/>
      <c r="U163" s="45"/>
      <c r="V163" s="45"/>
      <c r="W163" s="45" t="str" cm="1">
        <f t="array" aca="1" ref="W163" ca="1">IF(ISBLANK(INDIRECT(_xlfn.CONCAT($AA390,E$389))),"",INDIRECT(_xlfn.CONCAT($AA390,E$389)))</f>
        <v/>
      </c>
      <c r="X163" s="45"/>
      <c r="Y163" s="45"/>
      <c r="Z163" s="45"/>
      <c r="AA163" s="45"/>
      <c r="AB163" s="45"/>
      <c r="AC163" s="45"/>
      <c r="AD163" s="45" t="str" cm="1">
        <f t="array" aca="1" ref="AD163" ca="1">IF(ISBLANK(INDIRECT(_xlfn.CONCAT($AA390,F$389))),"",INDIRECT(_xlfn.CONCAT($AA390,F$389)))</f>
        <v/>
      </c>
      <c r="AE163" s="45"/>
      <c r="AF163" s="45"/>
      <c r="AG163" s="45"/>
      <c r="AH163" s="45"/>
      <c r="AI163" s="45"/>
      <c r="AJ163" s="45"/>
      <c r="AK163" s="45" t="str" cm="1">
        <f t="array" aca="1" ref="AK163" ca="1">IF(ISBLANK(INDIRECT(_xlfn.CONCAT($AA390,G$389))),"",INDIRECT(_xlfn.CONCAT($AA390,G$389)))</f>
        <v/>
      </c>
      <c r="AL163" s="45"/>
      <c r="AM163" s="45"/>
      <c r="AN163" s="45"/>
      <c r="AO163" s="45"/>
      <c r="AP163" s="45"/>
      <c r="AQ163" s="45"/>
      <c r="AR163" s="45"/>
      <c r="AS163" s="46"/>
      <c r="AT163" s="46"/>
      <c r="AU163" s="46"/>
      <c r="AV163" s="46"/>
      <c r="AW163" s="46"/>
    </row>
    <row r="164" spans="1:49" ht="15" customHeight="1" x14ac:dyDescent="0.2">
      <c r="A164" s="41" t="str">
        <f t="shared" si="761"/>
        <v/>
      </c>
      <c r="B164" s="213" t="str" cm="1">
        <f t="array" ref="B164">IF(INDEX($U$427:$CB$432,B$436,$AA437)="-","",INDEX($U$427:$CB$432,B$436,$AA437))</f>
        <v/>
      </c>
      <c r="C164" s="213"/>
      <c r="D164" s="213"/>
      <c r="E164" s="213"/>
      <c r="F164" s="213"/>
      <c r="G164" s="213"/>
      <c r="H164" s="213"/>
      <c r="I164" s="213" t="str" cm="1">
        <f t="array" ref="I164">IF(INDEX($U$427:$CB$432,C$436,$AA437)="-","",INDEX($U$427:$CB$432,C$436,$AA437))</f>
        <v/>
      </c>
      <c r="J164" s="213"/>
      <c r="K164" s="213"/>
      <c r="L164" s="213"/>
      <c r="M164" s="213"/>
      <c r="N164" s="213"/>
      <c r="O164" s="213"/>
      <c r="P164" s="213" t="str" cm="1">
        <f t="array" ref="P164">IF(INDEX($U$427:$CB$432,D$436,$AA437)="-","",INDEX($U$427:$CB$432,D$436,$AA437))</f>
        <v/>
      </c>
      <c r="Q164" s="213"/>
      <c r="R164" s="213"/>
      <c r="S164" s="213"/>
      <c r="T164" s="213"/>
      <c r="U164" s="213"/>
      <c r="V164" s="213"/>
      <c r="W164" s="213" t="str" cm="1">
        <f t="array" ref="W164">IF(INDEX($U$427:$CB$432,E$436,$AA437)="-","",INDEX($U$427:$CB$432,E$436,$AA437))</f>
        <v/>
      </c>
      <c r="X164" s="213"/>
      <c r="Y164" s="213"/>
      <c r="Z164" s="213"/>
      <c r="AA164" s="213"/>
      <c r="AB164" s="213"/>
      <c r="AC164" s="213"/>
      <c r="AD164" s="213" t="str" cm="1">
        <f t="array" ref="AD164">IF(INDEX($U$427:$CB$432,F$436,$AA437)="-","",INDEX($U$427:$CB$432,F$436,$AA437))</f>
        <v/>
      </c>
      <c r="AE164" s="213"/>
      <c r="AF164" s="213"/>
      <c r="AG164" s="213"/>
      <c r="AH164" s="213"/>
      <c r="AI164" s="213"/>
      <c r="AJ164" s="213"/>
      <c r="AK164" s="213" t="str" cm="1">
        <f t="array" ref="AK164">IF(INDEX($U$427:$CB$432,G$436,$AA437)="-","",INDEX($U$427:$CB$432,G$436,$AA437))</f>
        <v/>
      </c>
      <c r="AL164" s="213"/>
      <c r="AM164" s="213"/>
      <c r="AN164" s="213"/>
      <c r="AO164" s="213"/>
      <c r="AP164" s="213"/>
      <c r="AQ164" s="213"/>
      <c r="AR164" s="211"/>
      <c r="AS164" s="211"/>
      <c r="AT164" s="211"/>
      <c r="AU164" s="211"/>
      <c r="AV164" s="211"/>
      <c r="AW164" s="211"/>
    </row>
    <row r="165" spans="1:49" ht="15" customHeight="1" x14ac:dyDescent="0.2">
      <c r="A165" s="41" t="str">
        <f t="shared" si="761"/>
        <v/>
      </c>
      <c r="B165" s="213"/>
      <c r="C165" s="213"/>
      <c r="D165" s="213"/>
      <c r="E165" s="213"/>
      <c r="F165" s="213"/>
      <c r="G165" s="213"/>
      <c r="H165" s="213"/>
      <c r="I165" s="213"/>
      <c r="J165" s="213"/>
      <c r="K165" s="213"/>
      <c r="L165" s="213"/>
      <c r="M165" s="213"/>
      <c r="N165" s="213"/>
      <c r="O165" s="213"/>
      <c r="P165" s="213"/>
      <c r="Q165" s="213"/>
      <c r="R165" s="213"/>
      <c r="S165" s="213"/>
      <c r="T165" s="213"/>
      <c r="U165" s="213"/>
      <c r="V165" s="213"/>
      <c r="W165" s="213"/>
      <c r="X165" s="213"/>
      <c r="Y165" s="213"/>
      <c r="Z165" s="213"/>
      <c r="AA165" s="213"/>
      <c r="AB165" s="213"/>
      <c r="AC165" s="213"/>
      <c r="AD165" s="213"/>
      <c r="AE165" s="213"/>
      <c r="AF165" s="213"/>
      <c r="AG165" s="213"/>
      <c r="AH165" s="213"/>
      <c r="AI165" s="213"/>
      <c r="AJ165" s="213"/>
      <c r="AK165" s="213"/>
      <c r="AL165" s="213"/>
      <c r="AM165" s="213"/>
      <c r="AN165" s="213"/>
      <c r="AO165" s="213"/>
      <c r="AP165" s="213"/>
      <c r="AQ165" s="213"/>
      <c r="AR165" s="211"/>
      <c r="AS165" s="211"/>
      <c r="AT165" s="211"/>
      <c r="AU165" s="211"/>
      <c r="AV165" s="211"/>
      <c r="AW165" s="211"/>
    </row>
    <row r="166" spans="1:49" ht="15" customHeight="1" x14ac:dyDescent="0.2">
      <c r="A166" s="41" t="str">
        <f t="shared" si="761"/>
        <v/>
      </c>
      <c r="B166" s="213"/>
      <c r="C166" s="213"/>
      <c r="D166" s="213"/>
      <c r="E166" s="213"/>
      <c r="F166" s="213"/>
      <c r="G166" s="213"/>
      <c r="H166" s="213"/>
      <c r="I166" s="213"/>
      <c r="J166" s="213"/>
      <c r="K166" s="213"/>
      <c r="L166" s="213"/>
      <c r="M166" s="213"/>
      <c r="N166" s="213"/>
      <c r="O166" s="213"/>
      <c r="P166" s="213"/>
      <c r="Q166" s="213"/>
      <c r="R166" s="213"/>
      <c r="S166" s="213"/>
      <c r="T166" s="213"/>
      <c r="U166" s="213"/>
      <c r="V166" s="213"/>
      <c r="W166" s="213"/>
      <c r="X166" s="213"/>
      <c r="Y166" s="213"/>
      <c r="Z166" s="213"/>
      <c r="AA166" s="213"/>
      <c r="AB166" s="213"/>
      <c r="AC166" s="213"/>
      <c r="AD166" s="213"/>
      <c r="AE166" s="213"/>
      <c r="AF166" s="213"/>
      <c r="AG166" s="213"/>
      <c r="AH166" s="213"/>
      <c r="AI166" s="213"/>
      <c r="AJ166" s="213"/>
      <c r="AK166" s="213"/>
      <c r="AL166" s="213"/>
      <c r="AM166" s="213"/>
      <c r="AN166" s="213"/>
      <c r="AO166" s="213"/>
      <c r="AP166" s="213"/>
      <c r="AQ166" s="213"/>
      <c r="AR166" s="211"/>
      <c r="AS166" s="211"/>
      <c r="AT166" s="211"/>
      <c r="AU166" s="211"/>
      <c r="AV166" s="211"/>
      <c r="AW166" s="211"/>
    </row>
    <row r="167" spans="1:49" ht="15" customHeight="1" x14ac:dyDescent="0.2">
      <c r="A167" s="41" t="str">
        <f t="shared" si="761"/>
        <v/>
      </c>
      <c r="B167" s="44" t="str" cm="1">
        <f t="array" aca="1" ref="B167" ca="1">IF(INDIRECT(_xlfn.CONCAT($AB365,B$364))="+","+",IF(ISNUMBER(INDIRECT(_xlfn.CONCAT($AB365,B$363))),"-",""))</f>
        <v/>
      </c>
      <c r="C167" s="41" t="str">
        <f ca="1">B167</f>
        <v/>
      </c>
      <c r="D167" s="41" t="str">
        <f t="shared" ref="D167" ca="1" si="762">C167</f>
        <v/>
      </c>
      <c r="E167" s="41" t="str">
        <f t="shared" ref="E167" ca="1" si="763">D167</f>
        <v/>
      </c>
      <c r="F167" s="41" t="str">
        <f t="shared" ref="F167" ca="1" si="764">E167</f>
        <v/>
      </c>
      <c r="G167" s="41" t="str">
        <f t="shared" ref="G167" ca="1" si="765">F167</f>
        <v/>
      </c>
      <c r="H167" s="41" t="str">
        <f t="shared" ref="H167" ca="1" si="766">G167</f>
        <v/>
      </c>
      <c r="I167" s="44" t="str" cm="1">
        <f t="array" aca="1" ref="I167" ca="1">IF(INDIRECT(_xlfn.CONCAT($AB365,C$364))="+","+",IF(ISNUMBER(INDIRECT(_xlfn.CONCAT($AB365,C$363))),"-",""))</f>
        <v/>
      </c>
      <c r="J167" s="41" t="str">
        <f ca="1">I167</f>
        <v/>
      </c>
      <c r="K167" s="41" t="str">
        <f t="shared" ref="K167" ca="1" si="767">J167</f>
        <v/>
      </c>
      <c r="L167" s="41" t="str">
        <f t="shared" ref="L167" ca="1" si="768">K167</f>
        <v/>
      </c>
      <c r="M167" s="41" t="str">
        <f t="shared" ref="M167" ca="1" si="769">L167</f>
        <v/>
      </c>
      <c r="N167" s="41" t="str">
        <f t="shared" ref="N167" ca="1" si="770">M167</f>
        <v/>
      </c>
      <c r="O167" s="41" t="str">
        <f t="shared" ref="O167" ca="1" si="771">N167</f>
        <v/>
      </c>
      <c r="P167" s="44" t="str" cm="1">
        <f t="array" aca="1" ref="P167" ca="1">IF(INDIRECT(_xlfn.CONCAT($AB365,D$364))="+","+",IF(ISNUMBER(INDIRECT(_xlfn.CONCAT($AB365,D$363))),"-",""))</f>
        <v/>
      </c>
      <c r="Q167" s="41" t="str">
        <f ca="1">P167</f>
        <v/>
      </c>
      <c r="R167" s="41" t="str">
        <f t="shared" ref="R167" ca="1" si="772">Q167</f>
        <v/>
      </c>
      <c r="S167" s="41" t="str">
        <f t="shared" ref="S167" ca="1" si="773">R167</f>
        <v/>
      </c>
      <c r="T167" s="41" t="str">
        <f t="shared" ref="T167" ca="1" si="774">S167</f>
        <v/>
      </c>
      <c r="U167" s="41" t="str">
        <f t="shared" ref="U167" ca="1" si="775">T167</f>
        <v/>
      </c>
      <c r="V167" s="41" t="str">
        <f t="shared" ref="V167" ca="1" si="776">U167</f>
        <v/>
      </c>
      <c r="W167" s="44" t="str" cm="1">
        <f t="array" aca="1" ref="W167" ca="1">IF(INDIRECT(_xlfn.CONCAT($AB365,E$364))="+","+",IF(ISNUMBER(INDIRECT(_xlfn.CONCAT($AB365,E$363))),"-",""))</f>
        <v/>
      </c>
      <c r="X167" s="41" t="str">
        <f ca="1">W167</f>
        <v/>
      </c>
      <c r="Y167" s="41" t="str">
        <f t="shared" ref="Y167" ca="1" si="777">X167</f>
        <v/>
      </c>
      <c r="Z167" s="41" t="str">
        <f t="shared" ref="Z167" ca="1" si="778">Y167</f>
        <v/>
      </c>
      <c r="AA167" s="41" t="str">
        <f t="shared" ref="AA167" ca="1" si="779">Z167</f>
        <v/>
      </c>
      <c r="AB167" s="41" t="str">
        <f t="shared" ref="AB167" ca="1" si="780">AA167</f>
        <v/>
      </c>
      <c r="AC167" s="41" t="str">
        <f t="shared" ref="AC167" ca="1" si="781">AB167</f>
        <v/>
      </c>
      <c r="AD167" s="44" t="str" cm="1">
        <f t="array" aca="1" ref="AD167" ca="1">IF(INDIRECT(_xlfn.CONCAT($AB365,F$364))="+","+",IF(ISNUMBER(INDIRECT(_xlfn.CONCAT($AB365,F$363))),"-",""))</f>
        <v/>
      </c>
      <c r="AE167" s="41" t="str">
        <f ca="1">AD167</f>
        <v/>
      </c>
      <c r="AF167" s="41" t="str">
        <f t="shared" ref="AF167" ca="1" si="782">AE167</f>
        <v/>
      </c>
      <c r="AG167" s="41" t="str">
        <f t="shared" ref="AG167" ca="1" si="783">AF167</f>
        <v/>
      </c>
      <c r="AH167" s="41" t="str">
        <f t="shared" ref="AH167" ca="1" si="784">AG167</f>
        <v/>
      </c>
      <c r="AI167" s="41" t="str">
        <f t="shared" ref="AI167" ca="1" si="785">AH167</f>
        <v/>
      </c>
      <c r="AJ167" s="41" t="str">
        <f t="shared" ref="AJ167" ca="1" si="786">AI167</f>
        <v/>
      </c>
      <c r="AK167" s="44" t="str" cm="1">
        <f t="array" aca="1" ref="AK167" ca="1">IF(INDIRECT(_xlfn.CONCAT($AB365,G$364))="+","+",IF(ISNUMBER(INDIRECT(_xlfn.CONCAT($AB365,G$363))),"-",""))</f>
        <v/>
      </c>
      <c r="AL167" s="41" t="str">
        <f ca="1">AK167</f>
        <v/>
      </c>
      <c r="AM167" s="41" t="str">
        <f t="shared" ref="AM167" ca="1" si="787">AL167</f>
        <v/>
      </c>
      <c r="AN167" s="41" t="str">
        <f t="shared" ref="AN167" ca="1" si="788">AM167</f>
        <v/>
      </c>
      <c r="AO167" s="41" t="str">
        <f t="shared" ref="AO167" ca="1" si="789">AN167</f>
        <v/>
      </c>
      <c r="AP167" s="41" t="str">
        <f t="shared" ref="AP167" ca="1" si="790">AO167</f>
        <v/>
      </c>
      <c r="AQ167" s="41" t="str">
        <f t="shared" ref="AQ167" ca="1" si="791">AP167</f>
        <v/>
      </c>
      <c r="AR167" s="44"/>
      <c r="AS167" s="41"/>
      <c r="AT167" s="41"/>
      <c r="AU167" s="41"/>
      <c r="AV167" s="41"/>
      <c r="AW167" s="41"/>
    </row>
    <row r="168" spans="1:49" ht="15" customHeight="1" x14ac:dyDescent="0.2">
      <c r="A168" s="41" t="str">
        <f t="shared" si="761"/>
        <v/>
      </c>
      <c r="B168" s="45" t="str" cm="1">
        <f t="array" aca="1" ref="B168" ca="1">IF(ISBLANK(INDIRECT(_xlfn.CONCAT($AB390,B$389))),"",INDIRECT(_xlfn.CONCAT($AB390,B$389)))</f>
        <v/>
      </c>
      <c r="C168" s="45"/>
      <c r="D168" s="45"/>
      <c r="E168" s="45"/>
      <c r="F168" s="45"/>
      <c r="G168" s="45"/>
      <c r="H168" s="45"/>
      <c r="I168" s="45" t="str" cm="1">
        <f t="array" aca="1" ref="I168" ca="1">IF(ISBLANK(INDIRECT(_xlfn.CONCAT($AB390,C$389))),"",INDIRECT(_xlfn.CONCAT($AB390,C$389)))</f>
        <v/>
      </c>
      <c r="J168" s="45"/>
      <c r="K168" s="45"/>
      <c r="L168" s="45"/>
      <c r="M168" s="45"/>
      <c r="N168" s="45"/>
      <c r="O168" s="45"/>
      <c r="P168" s="45" t="str" cm="1">
        <f t="array" aca="1" ref="P168" ca="1">IF(ISBLANK(INDIRECT(_xlfn.CONCAT($AB390,D$389))),"",INDIRECT(_xlfn.CONCAT($AB390,D$389)))</f>
        <v/>
      </c>
      <c r="Q168" s="45"/>
      <c r="R168" s="45"/>
      <c r="S168" s="45"/>
      <c r="T168" s="45"/>
      <c r="U168" s="45"/>
      <c r="V168" s="45"/>
      <c r="W168" s="45" t="str" cm="1">
        <f t="array" aca="1" ref="W168" ca="1">IF(ISBLANK(INDIRECT(_xlfn.CONCAT($AB390,E$389))),"",INDIRECT(_xlfn.CONCAT($AB390,E$389)))</f>
        <v/>
      </c>
      <c r="X168" s="45"/>
      <c r="Y168" s="45"/>
      <c r="Z168" s="45"/>
      <c r="AA168" s="45"/>
      <c r="AB168" s="45"/>
      <c r="AC168" s="45"/>
      <c r="AD168" s="45" t="str" cm="1">
        <f t="array" aca="1" ref="AD168" ca="1">IF(ISBLANK(INDIRECT(_xlfn.CONCAT($AB390,F$389))),"",INDIRECT(_xlfn.CONCAT($AB390,F$389)))</f>
        <v/>
      </c>
      <c r="AE168" s="45"/>
      <c r="AF168" s="45"/>
      <c r="AG168" s="45"/>
      <c r="AH168" s="45"/>
      <c r="AI168" s="45"/>
      <c r="AJ168" s="45"/>
      <c r="AK168" s="45" t="str" cm="1">
        <f t="array" aca="1" ref="AK168" ca="1">IF(ISBLANK(INDIRECT(_xlfn.CONCAT($AB390,G$389))),"",INDIRECT(_xlfn.CONCAT($AB390,G$389)))</f>
        <v/>
      </c>
      <c r="AL168" s="45"/>
      <c r="AM168" s="45"/>
      <c r="AN168" s="45"/>
      <c r="AO168" s="45"/>
      <c r="AP168" s="45"/>
      <c r="AQ168" s="45"/>
      <c r="AR168" s="45"/>
      <c r="AS168" s="46"/>
      <c r="AT168" s="46"/>
      <c r="AU168" s="46"/>
      <c r="AV168" s="46"/>
      <c r="AW168" s="46"/>
    </row>
    <row r="169" spans="1:49" ht="15" customHeight="1" x14ac:dyDescent="0.2">
      <c r="A169" s="41" t="str">
        <f t="shared" si="761"/>
        <v/>
      </c>
      <c r="B169" s="213" t="str" cm="1">
        <f t="array" ref="B169">IF(INDEX($U$427:$CB$432,B$436,$AB437)="-","",INDEX($U$427:$CB$432,B$436,$AB437))</f>
        <v/>
      </c>
      <c r="C169" s="213"/>
      <c r="D169" s="213"/>
      <c r="E169" s="213"/>
      <c r="F169" s="213"/>
      <c r="G169" s="213"/>
      <c r="H169" s="213"/>
      <c r="I169" s="213" t="str" cm="1">
        <f t="array" ref="I169">IF(INDEX($U$427:$CB$432,C$436,$AB437)="-","",INDEX($U$427:$CB$432,C$436,$AB437))</f>
        <v/>
      </c>
      <c r="J169" s="213"/>
      <c r="K169" s="213"/>
      <c r="L169" s="213"/>
      <c r="M169" s="213"/>
      <c r="N169" s="213"/>
      <c r="O169" s="213"/>
      <c r="P169" s="213" t="str" cm="1">
        <f t="array" ref="P169">IF(INDEX($U$427:$CB$432,D$436,$AB437)="-","",INDEX($U$427:$CB$432,D$436,$AB437))</f>
        <v/>
      </c>
      <c r="Q169" s="213"/>
      <c r="R169" s="213"/>
      <c r="S169" s="213"/>
      <c r="T169" s="213"/>
      <c r="U169" s="213"/>
      <c r="V169" s="213"/>
      <c r="W169" s="213" t="str" cm="1">
        <f t="array" ref="W169">IF(INDEX($U$427:$CB$432,E$436,$AB437)="-","",INDEX($U$427:$CB$432,E$436,$AB437))</f>
        <v/>
      </c>
      <c r="X169" s="213"/>
      <c r="Y169" s="213"/>
      <c r="Z169" s="213"/>
      <c r="AA169" s="213"/>
      <c r="AB169" s="213"/>
      <c r="AC169" s="213"/>
      <c r="AD169" s="213" t="str" cm="1">
        <f t="array" ref="AD169">IF(INDEX($U$427:$CB$432,F$436,$AB437)="-","",INDEX($U$427:$CB$432,F$436,$AB437))</f>
        <v/>
      </c>
      <c r="AE169" s="213"/>
      <c r="AF169" s="213"/>
      <c r="AG169" s="213"/>
      <c r="AH169" s="213"/>
      <c r="AI169" s="213"/>
      <c r="AJ169" s="213"/>
      <c r="AK169" s="213" t="str" cm="1">
        <f t="array" ref="AK169">IF(INDEX($U$427:$CB$432,G$436,$AB437)="-","",INDEX($U$427:$CB$432,G$436,$AB437))</f>
        <v/>
      </c>
      <c r="AL169" s="213"/>
      <c r="AM169" s="213"/>
      <c r="AN169" s="213"/>
      <c r="AO169" s="213"/>
      <c r="AP169" s="213"/>
      <c r="AQ169" s="213"/>
      <c r="AR169" s="211"/>
      <c r="AS169" s="211"/>
      <c r="AT169" s="211"/>
      <c r="AU169" s="211"/>
      <c r="AV169" s="211"/>
      <c r="AW169" s="211"/>
    </row>
    <row r="170" spans="1:49" ht="15" customHeight="1" x14ac:dyDescent="0.2">
      <c r="A170" s="41" t="str">
        <f t="shared" si="761"/>
        <v/>
      </c>
      <c r="B170" s="213"/>
      <c r="C170" s="213"/>
      <c r="D170" s="213"/>
      <c r="E170" s="213"/>
      <c r="F170" s="213"/>
      <c r="G170" s="213"/>
      <c r="H170" s="213"/>
      <c r="I170" s="213"/>
      <c r="J170" s="213"/>
      <c r="K170" s="213"/>
      <c r="L170" s="213"/>
      <c r="M170" s="213"/>
      <c r="N170" s="213"/>
      <c r="O170" s="213"/>
      <c r="P170" s="213"/>
      <c r="Q170" s="213"/>
      <c r="R170" s="213"/>
      <c r="S170" s="213"/>
      <c r="T170" s="213"/>
      <c r="U170" s="213"/>
      <c r="V170" s="213"/>
      <c r="W170" s="213"/>
      <c r="X170" s="213"/>
      <c r="Y170" s="213"/>
      <c r="Z170" s="213"/>
      <c r="AA170" s="213"/>
      <c r="AB170" s="213"/>
      <c r="AC170" s="213"/>
      <c r="AD170" s="213"/>
      <c r="AE170" s="213"/>
      <c r="AF170" s="213"/>
      <c r="AG170" s="213"/>
      <c r="AH170" s="213"/>
      <c r="AI170" s="213"/>
      <c r="AJ170" s="213"/>
      <c r="AK170" s="213"/>
      <c r="AL170" s="213"/>
      <c r="AM170" s="213"/>
      <c r="AN170" s="213"/>
      <c r="AO170" s="213"/>
      <c r="AP170" s="213"/>
      <c r="AQ170" s="213"/>
      <c r="AR170" s="211"/>
      <c r="AS170" s="211"/>
      <c r="AT170" s="211"/>
      <c r="AU170" s="211"/>
      <c r="AV170" s="211"/>
      <c r="AW170" s="211"/>
    </row>
    <row r="171" spans="1:49" ht="15" customHeight="1" x14ac:dyDescent="0.2">
      <c r="A171" s="41" t="str">
        <f t="shared" si="761"/>
        <v/>
      </c>
      <c r="B171" s="213"/>
      <c r="C171" s="213"/>
      <c r="D171" s="213"/>
      <c r="E171" s="213"/>
      <c r="F171" s="213"/>
      <c r="G171" s="213"/>
      <c r="H171" s="213"/>
      <c r="I171" s="213"/>
      <c r="J171" s="213"/>
      <c r="K171" s="213"/>
      <c r="L171" s="213"/>
      <c r="M171" s="213"/>
      <c r="N171" s="213"/>
      <c r="O171" s="213"/>
      <c r="P171" s="213"/>
      <c r="Q171" s="213"/>
      <c r="R171" s="213"/>
      <c r="S171" s="213"/>
      <c r="T171" s="213"/>
      <c r="U171" s="213"/>
      <c r="V171" s="213"/>
      <c r="W171" s="213"/>
      <c r="X171" s="213"/>
      <c r="Y171" s="213"/>
      <c r="Z171" s="213"/>
      <c r="AA171" s="213"/>
      <c r="AB171" s="213"/>
      <c r="AC171" s="213"/>
      <c r="AD171" s="213"/>
      <c r="AE171" s="213"/>
      <c r="AF171" s="213"/>
      <c r="AG171" s="213"/>
      <c r="AH171" s="213"/>
      <c r="AI171" s="213"/>
      <c r="AJ171" s="213"/>
      <c r="AK171" s="213"/>
      <c r="AL171" s="213"/>
      <c r="AM171" s="213"/>
      <c r="AN171" s="213"/>
      <c r="AO171" s="213"/>
      <c r="AP171" s="213"/>
      <c r="AQ171" s="213"/>
      <c r="AR171" s="211"/>
      <c r="AS171" s="211"/>
      <c r="AT171" s="211"/>
      <c r="AU171" s="211"/>
      <c r="AV171" s="211"/>
      <c r="AW171" s="211"/>
    </row>
    <row r="172" spans="1:49" ht="15" customHeight="1" x14ac:dyDescent="0.2">
      <c r="A172" s="41" t="str">
        <f t="shared" si="761"/>
        <v/>
      </c>
      <c r="B172" s="44" t="str" cm="1">
        <f t="array" aca="1" ref="B172" ca="1">IF(INDIRECT(_xlfn.CONCAT($AC365,B$364))="+","+",IF(ISNUMBER(INDIRECT(_xlfn.CONCAT($AC365,B$363))),"-",""))</f>
        <v/>
      </c>
      <c r="C172" s="41" t="str">
        <f ca="1">B172</f>
        <v/>
      </c>
      <c r="D172" s="41" t="str">
        <f t="shared" ref="D172" ca="1" si="792">C172</f>
        <v/>
      </c>
      <c r="E172" s="41" t="str">
        <f t="shared" ref="E172" ca="1" si="793">D172</f>
        <v/>
      </c>
      <c r="F172" s="41" t="str">
        <f t="shared" ref="F172" ca="1" si="794">E172</f>
        <v/>
      </c>
      <c r="G172" s="41" t="str">
        <f t="shared" ref="G172" ca="1" si="795">F172</f>
        <v/>
      </c>
      <c r="H172" s="41" t="str">
        <f t="shared" ref="H172" ca="1" si="796">G172</f>
        <v/>
      </c>
      <c r="I172" s="44" t="str" cm="1">
        <f t="array" aca="1" ref="I172" ca="1">IF(INDIRECT(_xlfn.CONCAT($AC365,C$364))="+","+",IF(ISNUMBER(INDIRECT(_xlfn.CONCAT($AC365,C$363))),"-",""))</f>
        <v/>
      </c>
      <c r="J172" s="41" t="str">
        <f ca="1">I172</f>
        <v/>
      </c>
      <c r="K172" s="41" t="str">
        <f t="shared" ref="K172" ca="1" si="797">J172</f>
        <v/>
      </c>
      <c r="L172" s="41" t="str">
        <f t="shared" ref="L172" ca="1" si="798">K172</f>
        <v/>
      </c>
      <c r="M172" s="41" t="str">
        <f t="shared" ref="M172" ca="1" si="799">L172</f>
        <v/>
      </c>
      <c r="N172" s="41" t="str">
        <f t="shared" ref="N172" ca="1" si="800">M172</f>
        <v/>
      </c>
      <c r="O172" s="41" t="str">
        <f t="shared" ref="O172" ca="1" si="801">N172</f>
        <v/>
      </c>
      <c r="P172" s="44" t="str" cm="1">
        <f t="array" aca="1" ref="P172" ca="1">IF(INDIRECT(_xlfn.CONCAT($AC365,D$364))="+","+",IF(ISNUMBER(INDIRECT(_xlfn.CONCAT($AC365,D$363))),"-",""))</f>
        <v/>
      </c>
      <c r="Q172" s="41" t="str">
        <f ca="1">P172</f>
        <v/>
      </c>
      <c r="R172" s="41" t="str">
        <f t="shared" ref="R172" ca="1" si="802">Q172</f>
        <v/>
      </c>
      <c r="S172" s="41" t="str">
        <f t="shared" ref="S172" ca="1" si="803">R172</f>
        <v/>
      </c>
      <c r="T172" s="41" t="str">
        <f t="shared" ref="T172" ca="1" si="804">S172</f>
        <v/>
      </c>
      <c r="U172" s="41" t="str">
        <f t="shared" ref="U172" ca="1" si="805">T172</f>
        <v/>
      </c>
      <c r="V172" s="41" t="str">
        <f t="shared" ref="V172" ca="1" si="806">U172</f>
        <v/>
      </c>
      <c r="W172" s="44" t="str" cm="1">
        <f t="array" aca="1" ref="W172" ca="1">IF(INDIRECT(_xlfn.CONCAT($AC365,E$364))="+","+",IF(ISNUMBER(INDIRECT(_xlfn.CONCAT($AC365,E$363))),"-",""))</f>
        <v/>
      </c>
      <c r="X172" s="41" t="str">
        <f ca="1">W172</f>
        <v/>
      </c>
      <c r="Y172" s="41" t="str">
        <f t="shared" ref="Y172" ca="1" si="807">X172</f>
        <v/>
      </c>
      <c r="Z172" s="41" t="str">
        <f t="shared" ref="Z172" ca="1" si="808">Y172</f>
        <v/>
      </c>
      <c r="AA172" s="41" t="str">
        <f t="shared" ref="AA172" ca="1" si="809">Z172</f>
        <v/>
      </c>
      <c r="AB172" s="41" t="str">
        <f t="shared" ref="AB172" ca="1" si="810">AA172</f>
        <v/>
      </c>
      <c r="AC172" s="41" t="str">
        <f t="shared" ref="AC172" ca="1" si="811">AB172</f>
        <v/>
      </c>
      <c r="AD172" s="44" t="str" cm="1">
        <f t="array" aca="1" ref="AD172" ca="1">IF(INDIRECT(_xlfn.CONCAT($AC365,F$364))="+","+",IF(ISNUMBER(INDIRECT(_xlfn.CONCAT($AC365,F$363))),"-",""))</f>
        <v/>
      </c>
      <c r="AE172" s="41" t="str">
        <f ca="1">AD172</f>
        <v/>
      </c>
      <c r="AF172" s="41" t="str">
        <f t="shared" ref="AF172" ca="1" si="812">AE172</f>
        <v/>
      </c>
      <c r="AG172" s="41" t="str">
        <f t="shared" ref="AG172" ca="1" si="813">AF172</f>
        <v/>
      </c>
      <c r="AH172" s="41" t="str">
        <f t="shared" ref="AH172" ca="1" si="814">AG172</f>
        <v/>
      </c>
      <c r="AI172" s="41" t="str">
        <f t="shared" ref="AI172" ca="1" si="815">AH172</f>
        <v/>
      </c>
      <c r="AJ172" s="41" t="str">
        <f t="shared" ref="AJ172" ca="1" si="816">AI172</f>
        <v/>
      </c>
      <c r="AK172" s="44" t="str" cm="1">
        <f t="array" aca="1" ref="AK172" ca="1">IF(INDIRECT(_xlfn.CONCAT($AC365,G$364))="+","+",IF(ISNUMBER(INDIRECT(_xlfn.CONCAT($AC365,G$363))),"-",""))</f>
        <v/>
      </c>
      <c r="AL172" s="41" t="str">
        <f ca="1">AK172</f>
        <v/>
      </c>
      <c r="AM172" s="41" t="str">
        <f t="shared" ref="AM172" ca="1" si="817">AL172</f>
        <v/>
      </c>
      <c r="AN172" s="41" t="str">
        <f t="shared" ref="AN172" ca="1" si="818">AM172</f>
        <v/>
      </c>
      <c r="AO172" s="41" t="str">
        <f t="shared" ref="AO172" ca="1" si="819">AN172</f>
        <v/>
      </c>
      <c r="AP172" s="41" t="str">
        <f t="shared" ref="AP172" ca="1" si="820">AO172</f>
        <v/>
      </c>
      <c r="AQ172" s="41" t="str">
        <f t="shared" ref="AQ172" ca="1" si="821">AP172</f>
        <v/>
      </c>
      <c r="AR172" s="44"/>
      <c r="AS172" s="41"/>
      <c r="AT172" s="41"/>
      <c r="AU172" s="41"/>
      <c r="AV172" s="41"/>
      <c r="AW172" s="41"/>
    </row>
    <row r="173" spans="1:49" ht="15" customHeight="1" x14ac:dyDescent="0.2">
      <c r="A173" s="41" t="str">
        <f t="shared" si="761"/>
        <v/>
      </c>
      <c r="B173" s="45" t="str" cm="1">
        <f t="array" aca="1" ref="B173" ca="1">IF(ISBLANK(INDIRECT(_xlfn.CONCAT($AC390,B$389))),"",INDIRECT(_xlfn.CONCAT($AC390,B$389)))</f>
        <v/>
      </c>
      <c r="C173" s="45"/>
      <c r="D173" s="45"/>
      <c r="E173" s="45"/>
      <c r="F173" s="45"/>
      <c r="G173" s="45"/>
      <c r="H173" s="45"/>
      <c r="I173" s="45" t="str" cm="1">
        <f t="array" aca="1" ref="I173" ca="1">IF(ISBLANK(INDIRECT(_xlfn.CONCAT($AC390,C$389))),"",INDIRECT(_xlfn.CONCAT($AC390,C$389)))</f>
        <v/>
      </c>
      <c r="J173" s="45"/>
      <c r="K173" s="45"/>
      <c r="L173" s="45"/>
      <c r="M173" s="45"/>
      <c r="N173" s="45"/>
      <c r="O173" s="45"/>
      <c r="P173" s="45" t="str" cm="1">
        <f t="array" aca="1" ref="P173" ca="1">IF(ISBLANK(INDIRECT(_xlfn.CONCAT($AC390,D$389))),"",INDIRECT(_xlfn.CONCAT($AC390,D$389)))</f>
        <v/>
      </c>
      <c r="Q173" s="45"/>
      <c r="R173" s="45"/>
      <c r="S173" s="45"/>
      <c r="T173" s="45"/>
      <c r="U173" s="45"/>
      <c r="V173" s="45"/>
      <c r="W173" s="45" t="str" cm="1">
        <f t="array" aca="1" ref="W173" ca="1">IF(ISBLANK(INDIRECT(_xlfn.CONCAT($AC390,E$389))),"",INDIRECT(_xlfn.CONCAT($AC390,E$389)))</f>
        <v/>
      </c>
      <c r="X173" s="45"/>
      <c r="Y173" s="45"/>
      <c r="Z173" s="45"/>
      <c r="AA173" s="45"/>
      <c r="AB173" s="45"/>
      <c r="AC173" s="45"/>
      <c r="AD173" s="45" t="str" cm="1">
        <f t="array" aca="1" ref="AD173" ca="1">IF(ISBLANK(INDIRECT(_xlfn.CONCAT($AC390,F$389))),"",INDIRECT(_xlfn.CONCAT($AC390,F$389)))</f>
        <v/>
      </c>
      <c r="AE173" s="45"/>
      <c r="AF173" s="45"/>
      <c r="AG173" s="45"/>
      <c r="AH173" s="45"/>
      <c r="AI173" s="45"/>
      <c r="AJ173" s="45"/>
      <c r="AK173" s="45" t="str" cm="1">
        <f t="array" aca="1" ref="AK173" ca="1">IF(ISBLANK(INDIRECT(_xlfn.CONCAT($AC390,G$389))),"",INDIRECT(_xlfn.CONCAT($AC390,G$389)))</f>
        <v/>
      </c>
      <c r="AL173" s="45"/>
      <c r="AM173" s="45"/>
      <c r="AN173" s="45"/>
      <c r="AO173" s="45"/>
      <c r="AP173" s="45"/>
      <c r="AQ173" s="45"/>
      <c r="AR173" s="45"/>
      <c r="AS173" s="46"/>
      <c r="AT173" s="46"/>
      <c r="AU173" s="46"/>
      <c r="AV173" s="46"/>
      <c r="AW173" s="46"/>
    </row>
    <row r="174" spans="1:49" ht="15" customHeight="1" x14ac:dyDescent="0.2">
      <c r="A174" s="41" t="str">
        <f t="shared" si="761"/>
        <v/>
      </c>
      <c r="B174" s="213" t="str" cm="1">
        <f t="array" ref="B174">IF(INDEX($U$427:$CB$432,B$436,$AC437)="-","",INDEX($U$427:$CB$432,B$436,$AC437))</f>
        <v/>
      </c>
      <c r="C174" s="213"/>
      <c r="D174" s="213"/>
      <c r="E174" s="213"/>
      <c r="F174" s="213"/>
      <c r="G174" s="213"/>
      <c r="H174" s="213"/>
      <c r="I174" s="213" t="str" cm="1">
        <f t="array" ref="I174">IF(INDEX($U$427:$CB$432,C$436,$AC437)="-","",INDEX($U$427:$CB$432,C$436,$AC437))</f>
        <v/>
      </c>
      <c r="J174" s="213"/>
      <c r="K174" s="213"/>
      <c r="L174" s="213"/>
      <c r="M174" s="213"/>
      <c r="N174" s="213"/>
      <c r="O174" s="213"/>
      <c r="P174" s="213" t="str" cm="1">
        <f t="array" ref="P174">IF(INDEX($U$427:$CB$432,D$436,$AC437)="-","",INDEX($U$427:$CB$432,D$436,$AC437))</f>
        <v/>
      </c>
      <c r="Q174" s="213"/>
      <c r="R174" s="213"/>
      <c r="S174" s="213"/>
      <c r="T174" s="213"/>
      <c r="U174" s="213"/>
      <c r="V174" s="213"/>
      <c r="W174" s="213" t="str" cm="1">
        <f t="array" ref="W174">IF(INDEX($U$427:$CB$432,E$436,$AC437)="-","",INDEX($U$427:$CB$432,E$436,$AC437))</f>
        <v/>
      </c>
      <c r="X174" s="213"/>
      <c r="Y174" s="213"/>
      <c r="Z174" s="213"/>
      <c r="AA174" s="213"/>
      <c r="AB174" s="213"/>
      <c r="AC174" s="213"/>
      <c r="AD174" s="213" t="str" cm="1">
        <f t="array" ref="AD174">IF(INDEX($U$427:$CB$432,F$436,$AC437)="-","",INDEX($U$427:$CB$432,F$436,$AC437))</f>
        <v/>
      </c>
      <c r="AE174" s="213"/>
      <c r="AF174" s="213"/>
      <c r="AG174" s="213"/>
      <c r="AH174" s="213"/>
      <c r="AI174" s="213"/>
      <c r="AJ174" s="213"/>
      <c r="AK174" s="213" t="str" cm="1">
        <f t="array" ref="AK174">IF(INDEX($U$427:$CB$432,G$436,$AC437)="-","",INDEX($U$427:$CB$432,G$436,$AC437))</f>
        <v/>
      </c>
      <c r="AL174" s="213"/>
      <c r="AM174" s="213"/>
      <c r="AN174" s="213"/>
      <c r="AO174" s="213"/>
      <c r="AP174" s="213"/>
      <c r="AQ174" s="213"/>
      <c r="AR174" s="211"/>
      <c r="AS174" s="211"/>
      <c r="AT174" s="211"/>
      <c r="AU174" s="211"/>
      <c r="AV174" s="211"/>
      <c r="AW174" s="211"/>
    </row>
    <row r="175" spans="1:49" ht="15" customHeight="1" x14ac:dyDescent="0.2">
      <c r="A175" s="41" t="str">
        <f t="shared" si="761"/>
        <v/>
      </c>
      <c r="B175" s="213"/>
      <c r="C175" s="213"/>
      <c r="D175" s="213"/>
      <c r="E175" s="213"/>
      <c r="F175" s="213"/>
      <c r="G175" s="213"/>
      <c r="H175" s="213"/>
      <c r="I175" s="213"/>
      <c r="J175" s="213"/>
      <c r="K175" s="213"/>
      <c r="L175" s="213"/>
      <c r="M175" s="213"/>
      <c r="N175" s="213"/>
      <c r="O175" s="213"/>
      <c r="P175" s="213"/>
      <c r="Q175" s="213"/>
      <c r="R175" s="213"/>
      <c r="S175" s="213"/>
      <c r="T175" s="213"/>
      <c r="U175" s="213"/>
      <c r="V175" s="213"/>
      <c r="W175" s="213"/>
      <c r="X175" s="213"/>
      <c r="Y175" s="213"/>
      <c r="Z175" s="213"/>
      <c r="AA175" s="213"/>
      <c r="AB175" s="213"/>
      <c r="AC175" s="213"/>
      <c r="AD175" s="213"/>
      <c r="AE175" s="213"/>
      <c r="AF175" s="213"/>
      <c r="AG175" s="213"/>
      <c r="AH175" s="213"/>
      <c r="AI175" s="213"/>
      <c r="AJ175" s="213"/>
      <c r="AK175" s="213"/>
      <c r="AL175" s="213"/>
      <c r="AM175" s="213"/>
      <c r="AN175" s="213"/>
      <c r="AO175" s="213"/>
      <c r="AP175" s="213"/>
      <c r="AQ175" s="213"/>
      <c r="AR175" s="211"/>
      <c r="AS175" s="211"/>
      <c r="AT175" s="211"/>
      <c r="AU175" s="211"/>
      <c r="AV175" s="211"/>
      <c r="AW175" s="211"/>
    </row>
    <row r="176" spans="1:49" ht="15" customHeight="1" x14ac:dyDescent="0.2">
      <c r="A176" s="41" t="str">
        <f t="shared" si="761"/>
        <v/>
      </c>
      <c r="B176" s="213"/>
      <c r="C176" s="213"/>
      <c r="D176" s="213"/>
      <c r="E176" s="213"/>
      <c r="F176" s="213"/>
      <c r="G176" s="213"/>
      <c r="H176" s="213"/>
      <c r="I176" s="213"/>
      <c r="J176" s="213"/>
      <c r="K176" s="213"/>
      <c r="L176" s="213"/>
      <c r="M176" s="213"/>
      <c r="N176" s="213"/>
      <c r="O176" s="213"/>
      <c r="P176" s="213"/>
      <c r="Q176" s="213"/>
      <c r="R176" s="213"/>
      <c r="S176" s="213"/>
      <c r="T176" s="213"/>
      <c r="U176" s="213"/>
      <c r="V176" s="213"/>
      <c r="W176" s="213"/>
      <c r="X176" s="213"/>
      <c r="Y176" s="213"/>
      <c r="Z176" s="213"/>
      <c r="AA176" s="213"/>
      <c r="AB176" s="213"/>
      <c r="AC176" s="213"/>
      <c r="AD176" s="213"/>
      <c r="AE176" s="213"/>
      <c r="AF176" s="213"/>
      <c r="AG176" s="213"/>
      <c r="AH176" s="213"/>
      <c r="AI176" s="213"/>
      <c r="AJ176" s="213"/>
      <c r="AK176" s="213"/>
      <c r="AL176" s="213"/>
      <c r="AM176" s="213"/>
      <c r="AN176" s="213"/>
      <c r="AO176" s="213"/>
      <c r="AP176" s="213"/>
      <c r="AQ176" s="213"/>
      <c r="AR176" s="211"/>
      <c r="AS176" s="211"/>
      <c r="AT176" s="211"/>
      <c r="AU176" s="211"/>
      <c r="AV176" s="211"/>
      <c r="AW176" s="211"/>
    </row>
    <row r="177" spans="1:49" ht="15" customHeight="1" x14ac:dyDescent="0.2">
      <c r="A177" s="41" t="str">
        <f t="shared" si="761"/>
        <v/>
      </c>
      <c r="B177" s="44" t="str" cm="1">
        <f t="array" aca="1" ref="B177" ca="1">IF(INDIRECT(_xlfn.CONCAT($AD365,B$364))="+","+",IF(ISNUMBER(INDIRECT(_xlfn.CONCAT($AD365,B$363))),"-",""))</f>
        <v/>
      </c>
      <c r="C177" s="41" t="str">
        <f ca="1">B177</f>
        <v/>
      </c>
      <c r="D177" s="41" t="str">
        <f t="shared" ref="D177" ca="1" si="822">C177</f>
        <v/>
      </c>
      <c r="E177" s="41" t="str">
        <f t="shared" ref="E177" ca="1" si="823">D177</f>
        <v/>
      </c>
      <c r="F177" s="41" t="str">
        <f t="shared" ref="F177" ca="1" si="824">E177</f>
        <v/>
      </c>
      <c r="G177" s="41" t="str">
        <f t="shared" ref="G177" ca="1" si="825">F177</f>
        <v/>
      </c>
      <c r="H177" s="41" t="str">
        <f t="shared" ref="H177" ca="1" si="826">G177</f>
        <v/>
      </c>
      <c r="I177" s="44" t="str" cm="1">
        <f t="array" aca="1" ref="I177" ca="1">IF(INDIRECT(_xlfn.CONCAT($AD365,C$364))="+","+",IF(ISNUMBER(INDIRECT(_xlfn.CONCAT($AD365,C$363))),"-",""))</f>
        <v/>
      </c>
      <c r="J177" s="41" t="str">
        <f ca="1">I177</f>
        <v/>
      </c>
      <c r="K177" s="41" t="str">
        <f t="shared" ref="K177" ca="1" si="827">J177</f>
        <v/>
      </c>
      <c r="L177" s="41" t="str">
        <f t="shared" ref="L177" ca="1" si="828">K177</f>
        <v/>
      </c>
      <c r="M177" s="41" t="str">
        <f t="shared" ref="M177" ca="1" si="829">L177</f>
        <v/>
      </c>
      <c r="N177" s="41" t="str">
        <f t="shared" ref="N177" ca="1" si="830">M177</f>
        <v/>
      </c>
      <c r="O177" s="41" t="str">
        <f t="shared" ref="O177" ca="1" si="831">N177</f>
        <v/>
      </c>
      <c r="P177" s="44" t="str" cm="1">
        <f t="array" aca="1" ref="P177" ca="1">IF(INDIRECT(_xlfn.CONCAT($AD365,D$364))="+","+",IF(ISNUMBER(INDIRECT(_xlfn.CONCAT($AD365,D$363))),"-",""))</f>
        <v/>
      </c>
      <c r="Q177" s="41" t="str">
        <f ca="1">P177</f>
        <v/>
      </c>
      <c r="R177" s="41" t="str">
        <f t="shared" ref="R177" ca="1" si="832">Q177</f>
        <v/>
      </c>
      <c r="S177" s="41" t="str">
        <f t="shared" ref="S177" ca="1" si="833">R177</f>
        <v/>
      </c>
      <c r="T177" s="41" t="str">
        <f t="shared" ref="T177" ca="1" si="834">S177</f>
        <v/>
      </c>
      <c r="U177" s="41" t="str">
        <f t="shared" ref="U177" ca="1" si="835">T177</f>
        <v/>
      </c>
      <c r="V177" s="41" t="str">
        <f t="shared" ref="V177" ca="1" si="836">U177</f>
        <v/>
      </c>
      <c r="W177" s="44" t="str" cm="1">
        <f t="array" aca="1" ref="W177" ca="1">IF(INDIRECT(_xlfn.CONCAT($AD365,E$364))="+","+",IF(ISNUMBER(INDIRECT(_xlfn.CONCAT($AD365,E$363))),"-",""))</f>
        <v/>
      </c>
      <c r="X177" s="41" t="str">
        <f ca="1">W177</f>
        <v/>
      </c>
      <c r="Y177" s="41" t="str">
        <f t="shared" ref="Y177" ca="1" si="837">X177</f>
        <v/>
      </c>
      <c r="Z177" s="41" t="str">
        <f t="shared" ref="Z177" ca="1" si="838">Y177</f>
        <v/>
      </c>
      <c r="AA177" s="41" t="str">
        <f t="shared" ref="AA177" ca="1" si="839">Z177</f>
        <v/>
      </c>
      <c r="AB177" s="41" t="str">
        <f t="shared" ref="AB177" ca="1" si="840">AA177</f>
        <v/>
      </c>
      <c r="AC177" s="41" t="str">
        <f t="shared" ref="AC177" ca="1" si="841">AB177</f>
        <v/>
      </c>
      <c r="AD177" s="44" t="str" cm="1">
        <f t="array" aca="1" ref="AD177" ca="1">IF(INDIRECT(_xlfn.CONCAT($AD365,F$364))="+","+",IF(ISNUMBER(INDIRECT(_xlfn.CONCAT($AD365,F$363))),"-",""))</f>
        <v/>
      </c>
      <c r="AE177" s="41" t="str">
        <f ca="1">AD177</f>
        <v/>
      </c>
      <c r="AF177" s="41" t="str">
        <f t="shared" ref="AF177" ca="1" si="842">AE177</f>
        <v/>
      </c>
      <c r="AG177" s="41" t="str">
        <f t="shared" ref="AG177" ca="1" si="843">AF177</f>
        <v/>
      </c>
      <c r="AH177" s="41" t="str">
        <f t="shared" ref="AH177" ca="1" si="844">AG177</f>
        <v/>
      </c>
      <c r="AI177" s="41" t="str">
        <f t="shared" ref="AI177" ca="1" si="845">AH177</f>
        <v/>
      </c>
      <c r="AJ177" s="41" t="str">
        <f t="shared" ref="AJ177" ca="1" si="846">AI177</f>
        <v/>
      </c>
      <c r="AK177" s="44" t="str" cm="1">
        <f t="array" aca="1" ref="AK177" ca="1">IF(INDIRECT(_xlfn.CONCAT($AD365,G$364))="+","+",IF(ISNUMBER(INDIRECT(_xlfn.CONCAT($AD365,G$363))),"-",""))</f>
        <v/>
      </c>
      <c r="AL177" s="41" t="str">
        <f ca="1">AK177</f>
        <v/>
      </c>
      <c r="AM177" s="41" t="str">
        <f t="shared" ref="AM177" ca="1" si="847">AL177</f>
        <v/>
      </c>
      <c r="AN177" s="41" t="str">
        <f t="shared" ref="AN177" ca="1" si="848">AM177</f>
        <v/>
      </c>
      <c r="AO177" s="41" t="str">
        <f t="shared" ref="AO177" ca="1" si="849">AN177</f>
        <v/>
      </c>
      <c r="AP177" s="41" t="str">
        <f t="shared" ref="AP177" ca="1" si="850">AO177</f>
        <v/>
      </c>
      <c r="AQ177" s="41" t="str">
        <f t="shared" ref="AQ177" ca="1" si="851">AP177</f>
        <v/>
      </c>
      <c r="AR177" s="44"/>
      <c r="AS177" s="41"/>
      <c r="AT177" s="41"/>
      <c r="AU177" s="41"/>
      <c r="AV177" s="41"/>
      <c r="AW177" s="41"/>
    </row>
    <row r="178" spans="1:49" ht="15" customHeight="1" x14ac:dyDescent="0.2">
      <c r="A178" s="41" t="str">
        <f t="shared" si="761"/>
        <v/>
      </c>
      <c r="B178" s="45" t="str" cm="1">
        <f t="array" aca="1" ref="B178" ca="1">IF(ISBLANK(INDIRECT(_xlfn.CONCAT($AD390,B$389))),"",INDIRECT(_xlfn.CONCAT($AD390,B$389)))</f>
        <v/>
      </c>
      <c r="C178" s="45"/>
      <c r="D178" s="45"/>
      <c r="E178" s="45"/>
      <c r="F178" s="45"/>
      <c r="G178" s="45"/>
      <c r="H178" s="45"/>
      <c r="I178" s="45" t="str" cm="1">
        <f t="array" aca="1" ref="I178" ca="1">IF(ISBLANK(INDIRECT(_xlfn.CONCAT($AD390,C$389))),"",INDIRECT(_xlfn.CONCAT($AD390,C$389)))</f>
        <v/>
      </c>
      <c r="J178" s="45"/>
      <c r="K178" s="45"/>
      <c r="L178" s="45"/>
      <c r="M178" s="45"/>
      <c r="N178" s="45"/>
      <c r="O178" s="45"/>
      <c r="P178" s="45" t="str" cm="1">
        <f t="array" aca="1" ref="P178" ca="1">IF(ISBLANK(INDIRECT(_xlfn.CONCAT($AD390,D$389))),"",INDIRECT(_xlfn.CONCAT($AD390,D$389)))</f>
        <v/>
      </c>
      <c r="Q178" s="45"/>
      <c r="R178" s="45"/>
      <c r="S178" s="45"/>
      <c r="T178" s="45"/>
      <c r="U178" s="45"/>
      <c r="V178" s="45"/>
      <c r="W178" s="45" t="str" cm="1">
        <f t="array" aca="1" ref="W178" ca="1">IF(ISBLANK(INDIRECT(_xlfn.CONCAT($AD390,E$389))),"",INDIRECT(_xlfn.CONCAT($AD390,E$389)))</f>
        <v/>
      </c>
      <c r="X178" s="45"/>
      <c r="Y178" s="45"/>
      <c r="Z178" s="45"/>
      <c r="AA178" s="45"/>
      <c r="AB178" s="45"/>
      <c r="AC178" s="45"/>
      <c r="AD178" s="45" t="str" cm="1">
        <f t="array" aca="1" ref="AD178" ca="1">IF(ISBLANK(INDIRECT(_xlfn.CONCAT($AD390,F$389))),"",INDIRECT(_xlfn.CONCAT($AD390,F$389)))</f>
        <v/>
      </c>
      <c r="AE178" s="45"/>
      <c r="AF178" s="45"/>
      <c r="AG178" s="45"/>
      <c r="AH178" s="45"/>
      <c r="AI178" s="45"/>
      <c r="AJ178" s="45"/>
      <c r="AK178" s="45" t="str" cm="1">
        <f t="array" aca="1" ref="AK178" ca="1">IF(ISBLANK(INDIRECT(_xlfn.CONCAT($AD390,G$389))),"",INDIRECT(_xlfn.CONCAT($AD390,G$389)))</f>
        <v/>
      </c>
      <c r="AL178" s="45"/>
      <c r="AM178" s="45"/>
      <c r="AN178" s="45"/>
      <c r="AO178" s="45"/>
      <c r="AP178" s="45"/>
      <c r="AQ178" s="45"/>
      <c r="AR178" s="45"/>
      <c r="AS178" s="46"/>
      <c r="AT178" s="46"/>
      <c r="AU178" s="46"/>
      <c r="AV178" s="46"/>
      <c r="AW178" s="46"/>
    </row>
    <row r="179" spans="1:49" ht="15" customHeight="1" x14ac:dyDescent="0.2">
      <c r="A179" s="41" t="str">
        <f t="shared" si="761"/>
        <v/>
      </c>
      <c r="B179" s="213" t="str" cm="1">
        <f t="array" ref="B179">IF(INDEX($U$427:$CB$432,B$436,$AD437)="-","",INDEX($U$427:$CB$432,B$436,$AD437))</f>
        <v/>
      </c>
      <c r="C179" s="213"/>
      <c r="D179" s="213"/>
      <c r="E179" s="213"/>
      <c r="F179" s="213"/>
      <c r="G179" s="213"/>
      <c r="H179" s="213"/>
      <c r="I179" s="213" t="str" cm="1">
        <f t="array" ref="I179">IF(INDEX($U$427:$CB$432,C$436,$AD437)="-","",INDEX($U$427:$CB$432,C$436,$AD437))</f>
        <v/>
      </c>
      <c r="J179" s="213"/>
      <c r="K179" s="213"/>
      <c r="L179" s="213"/>
      <c r="M179" s="213"/>
      <c r="N179" s="213"/>
      <c r="O179" s="213"/>
      <c r="P179" s="213" t="str" cm="1">
        <f t="array" ref="P179">IF(INDEX($U$427:$CB$432,D$436,$AD437)="-","",INDEX($U$427:$CB$432,D$436,$AD437))</f>
        <v/>
      </c>
      <c r="Q179" s="213"/>
      <c r="R179" s="213"/>
      <c r="S179" s="213"/>
      <c r="T179" s="213"/>
      <c r="U179" s="213"/>
      <c r="V179" s="213"/>
      <c r="W179" s="213" t="str" cm="1">
        <f t="array" ref="W179">IF(INDEX($U$427:$CB$432,E$436,$AD437)="-","",INDEX($U$427:$CB$432,E$436,$AD437))</f>
        <v/>
      </c>
      <c r="X179" s="213"/>
      <c r="Y179" s="213"/>
      <c r="Z179" s="213"/>
      <c r="AA179" s="213"/>
      <c r="AB179" s="213"/>
      <c r="AC179" s="213"/>
      <c r="AD179" s="213" t="str" cm="1">
        <f t="array" ref="AD179">IF(INDEX($U$427:$CB$432,F$436,$AD437)="-","",INDEX($U$427:$CB$432,F$436,$AD437))</f>
        <v/>
      </c>
      <c r="AE179" s="213"/>
      <c r="AF179" s="213"/>
      <c r="AG179" s="213"/>
      <c r="AH179" s="213"/>
      <c r="AI179" s="213"/>
      <c r="AJ179" s="213"/>
      <c r="AK179" s="213" t="str" cm="1">
        <f t="array" ref="AK179">IF(INDEX($U$427:$CB$432,G$436,$AD437)="-","",INDEX($U$427:$CB$432,G$436,$AD437))</f>
        <v/>
      </c>
      <c r="AL179" s="213"/>
      <c r="AM179" s="213"/>
      <c r="AN179" s="213"/>
      <c r="AO179" s="213"/>
      <c r="AP179" s="213"/>
      <c r="AQ179" s="213"/>
      <c r="AR179" s="211"/>
      <c r="AS179" s="211"/>
      <c r="AT179" s="211"/>
      <c r="AU179" s="211"/>
      <c r="AV179" s="211"/>
      <c r="AW179" s="211"/>
    </row>
    <row r="180" spans="1:49" ht="15" customHeight="1" x14ac:dyDescent="0.2">
      <c r="A180" s="41" t="str">
        <f t="shared" si="761"/>
        <v/>
      </c>
      <c r="B180" s="213"/>
      <c r="C180" s="213"/>
      <c r="D180" s="213"/>
      <c r="E180" s="213"/>
      <c r="F180" s="213"/>
      <c r="G180" s="213"/>
      <c r="H180" s="213"/>
      <c r="I180" s="213"/>
      <c r="J180" s="213"/>
      <c r="K180" s="213"/>
      <c r="L180" s="213"/>
      <c r="M180" s="213"/>
      <c r="N180" s="213"/>
      <c r="O180" s="213"/>
      <c r="P180" s="213"/>
      <c r="Q180" s="213"/>
      <c r="R180" s="213"/>
      <c r="S180" s="213"/>
      <c r="T180" s="213"/>
      <c r="U180" s="213"/>
      <c r="V180" s="213"/>
      <c r="W180" s="213"/>
      <c r="X180" s="213"/>
      <c r="Y180" s="213"/>
      <c r="Z180" s="213"/>
      <c r="AA180" s="213"/>
      <c r="AB180" s="213"/>
      <c r="AC180" s="213"/>
      <c r="AD180" s="213"/>
      <c r="AE180" s="213"/>
      <c r="AF180" s="213"/>
      <c r="AG180" s="213"/>
      <c r="AH180" s="213"/>
      <c r="AI180" s="213"/>
      <c r="AJ180" s="213"/>
      <c r="AK180" s="213"/>
      <c r="AL180" s="213"/>
      <c r="AM180" s="213"/>
      <c r="AN180" s="213"/>
      <c r="AO180" s="213"/>
      <c r="AP180" s="213"/>
      <c r="AQ180" s="213"/>
      <c r="AR180" s="211"/>
      <c r="AS180" s="211"/>
      <c r="AT180" s="211"/>
      <c r="AU180" s="211"/>
      <c r="AV180" s="211"/>
      <c r="AW180" s="211"/>
    </row>
    <row r="181" spans="1:49" ht="15" customHeight="1" x14ac:dyDescent="0.2">
      <c r="A181" s="41" t="str">
        <f t="shared" si="761"/>
        <v/>
      </c>
      <c r="B181" s="213"/>
      <c r="C181" s="213"/>
      <c r="D181" s="213"/>
      <c r="E181" s="213"/>
      <c r="F181" s="213"/>
      <c r="G181" s="213"/>
      <c r="H181" s="213"/>
      <c r="I181" s="213"/>
      <c r="J181" s="213"/>
      <c r="K181" s="213"/>
      <c r="L181" s="213"/>
      <c r="M181" s="213"/>
      <c r="N181" s="213"/>
      <c r="O181" s="213"/>
      <c r="P181" s="213"/>
      <c r="Q181" s="213"/>
      <c r="R181" s="213"/>
      <c r="S181" s="213"/>
      <c r="T181" s="213"/>
      <c r="U181" s="213"/>
      <c r="V181" s="213"/>
      <c r="W181" s="213"/>
      <c r="X181" s="213"/>
      <c r="Y181" s="213"/>
      <c r="Z181" s="213"/>
      <c r="AA181" s="213"/>
      <c r="AB181" s="213"/>
      <c r="AC181" s="213"/>
      <c r="AD181" s="213"/>
      <c r="AE181" s="213"/>
      <c r="AF181" s="213"/>
      <c r="AG181" s="213"/>
      <c r="AH181" s="213"/>
      <c r="AI181" s="213"/>
      <c r="AJ181" s="213"/>
      <c r="AK181" s="213"/>
      <c r="AL181" s="213"/>
      <c r="AM181" s="213"/>
      <c r="AN181" s="213"/>
      <c r="AO181" s="213"/>
      <c r="AP181" s="213"/>
      <c r="AQ181" s="213"/>
      <c r="AR181" s="211"/>
      <c r="AS181" s="211"/>
      <c r="AT181" s="211"/>
      <c r="AU181" s="211"/>
      <c r="AV181" s="211"/>
      <c r="AW181" s="211"/>
    </row>
    <row r="182" spans="1:49" ht="15" customHeight="1" x14ac:dyDescent="0.2">
      <c r="A182" s="41" t="str">
        <f t="shared" si="761"/>
        <v/>
      </c>
      <c r="B182" s="44" t="str" cm="1">
        <f t="array" aca="1" ref="B182" ca="1">IF(INDIRECT(_xlfn.CONCAT($AE365,B$364))="+","+",IF(ISNUMBER(INDIRECT(_xlfn.CONCAT($AE365,B$363))),"-",""))</f>
        <v/>
      </c>
      <c r="C182" s="41" t="str">
        <f ca="1">B182</f>
        <v/>
      </c>
      <c r="D182" s="41" t="str">
        <f t="shared" ref="D182" ca="1" si="852">C182</f>
        <v/>
      </c>
      <c r="E182" s="41" t="str">
        <f t="shared" ref="E182" ca="1" si="853">D182</f>
        <v/>
      </c>
      <c r="F182" s="41" t="str">
        <f t="shared" ref="F182" ca="1" si="854">E182</f>
        <v/>
      </c>
      <c r="G182" s="41" t="str">
        <f t="shared" ref="G182" ca="1" si="855">F182</f>
        <v/>
      </c>
      <c r="H182" s="41" t="str">
        <f t="shared" ref="H182" ca="1" si="856">G182</f>
        <v/>
      </c>
      <c r="I182" s="44" t="str" cm="1">
        <f t="array" aca="1" ref="I182" ca="1">IF(INDIRECT(_xlfn.CONCAT($AE365,C$364))="+","+",IF(ISNUMBER(INDIRECT(_xlfn.CONCAT($AE365,C$363))),"-",""))</f>
        <v/>
      </c>
      <c r="J182" s="41" t="str">
        <f ca="1">I182</f>
        <v/>
      </c>
      <c r="K182" s="41" t="str">
        <f t="shared" ref="K182" ca="1" si="857">J182</f>
        <v/>
      </c>
      <c r="L182" s="41" t="str">
        <f t="shared" ref="L182" ca="1" si="858">K182</f>
        <v/>
      </c>
      <c r="M182" s="41" t="str">
        <f t="shared" ref="M182" ca="1" si="859">L182</f>
        <v/>
      </c>
      <c r="N182" s="41" t="str">
        <f t="shared" ref="N182" ca="1" si="860">M182</f>
        <v/>
      </c>
      <c r="O182" s="41" t="str">
        <f t="shared" ref="O182" ca="1" si="861">N182</f>
        <v/>
      </c>
      <c r="P182" s="44" t="str" cm="1">
        <f t="array" aca="1" ref="P182" ca="1">IF(INDIRECT(_xlfn.CONCAT($AE365,D$364))="+","+",IF(ISNUMBER(INDIRECT(_xlfn.CONCAT($AE365,D$363))),"-",""))</f>
        <v/>
      </c>
      <c r="Q182" s="41" t="str">
        <f ca="1">P182</f>
        <v/>
      </c>
      <c r="R182" s="41" t="str">
        <f t="shared" ref="R182" ca="1" si="862">Q182</f>
        <v/>
      </c>
      <c r="S182" s="41" t="str">
        <f t="shared" ref="S182" ca="1" si="863">R182</f>
        <v/>
      </c>
      <c r="T182" s="41" t="str">
        <f t="shared" ref="T182" ca="1" si="864">S182</f>
        <v/>
      </c>
      <c r="U182" s="41" t="str">
        <f t="shared" ref="U182" ca="1" si="865">T182</f>
        <v/>
      </c>
      <c r="V182" s="41" t="str">
        <f t="shared" ref="V182" ca="1" si="866">U182</f>
        <v/>
      </c>
      <c r="W182" s="44" t="str" cm="1">
        <f t="array" aca="1" ref="W182" ca="1">IF(INDIRECT(_xlfn.CONCAT($AE365,E$364))="+","+",IF(ISNUMBER(INDIRECT(_xlfn.CONCAT($AE365,E$363))),"-",""))</f>
        <v/>
      </c>
      <c r="X182" s="41" t="str">
        <f ca="1">W182</f>
        <v/>
      </c>
      <c r="Y182" s="41" t="str">
        <f t="shared" ref="Y182" ca="1" si="867">X182</f>
        <v/>
      </c>
      <c r="Z182" s="41" t="str">
        <f t="shared" ref="Z182" ca="1" si="868">Y182</f>
        <v/>
      </c>
      <c r="AA182" s="41" t="str">
        <f t="shared" ref="AA182" ca="1" si="869">Z182</f>
        <v/>
      </c>
      <c r="AB182" s="41" t="str">
        <f t="shared" ref="AB182" ca="1" si="870">AA182</f>
        <v/>
      </c>
      <c r="AC182" s="41" t="str">
        <f t="shared" ref="AC182" ca="1" si="871">AB182</f>
        <v/>
      </c>
      <c r="AD182" s="44" t="str" cm="1">
        <f t="array" aca="1" ref="AD182" ca="1">IF(INDIRECT(_xlfn.CONCAT($AE365,F$364))="+","+",IF(ISNUMBER(INDIRECT(_xlfn.CONCAT($AE365,F$363))),"-",""))</f>
        <v/>
      </c>
      <c r="AE182" s="41" t="str">
        <f ca="1">AD182</f>
        <v/>
      </c>
      <c r="AF182" s="41" t="str">
        <f t="shared" ref="AF182" ca="1" si="872">AE182</f>
        <v/>
      </c>
      <c r="AG182" s="41" t="str">
        <f t="shared" ref="AG182" ca="1" si="873">AF182</f>
        <v/>
      </c>
      <c r="AH182" s="41" t="str">
        <f t="shared" ref="AH182" ca="1" si="874">AG182</f>
        <v/>
      </c>
      <c r="AI182" s="41" t="str">
        <f t="shared" ref="AI182" ca="1" si="875">AH182</f>
        <v/>
      </c>
      <c r="AJ182" s="41" t="str">
        <f t="shared" ref="AJ182" ca="1" si="876">AI182</f>
        <v/>
      </c>
      <c r="AK182" s="44" t="str" cm="1">
        <f t="array" aca="1" ref="AK182" ca="1">IF(INDIRECT(_xlfn.CONCAT($AE365,G$364))="+","+",IF(ISNUMBER(INDIRECT(_xlfn.CONCAT($AE365,G$363))),"-",""))</f>
        <v/>
      </c>
      <c r="AL182" s="41" t="str">
        <f ca="1">AK182</f>
        <v/>
      </c>
      <c r="AM182" s="41" t="str">
        <f t="shared" ref="AM182" ca="1" si="877">AL182</f>
        <v/>
      </c>
      <c r="AN182" s="41" t="str">
        <f t="shared" ref="AN182" ca="1" si="878">AM182</f>
        <v/>
      </c>
      <c r="AO182" s="41" t="str">
        <f t="shared" ref="AO182" ca="1" si="879">AN182</f>
        <v/>
      </c>
      <c r="AP182" s="41" t="str">
        <f t="shared" ref="AP182" ca="1" si="880">AO182</f>
        <v/>
      </c>
      <c r="AQ182" s="41" t="str">
        <f t="shared" ref="AQ182" ca="1" si="881">AP182</f>
        <v/>
      </c>
      <c r="AR182" s="44"/>
      <c r="AS182" s="41"/>
      <c r="AT182" s="41"/>
      <c r="AU182" s="41"/>
      <c r="AV182" s="41"/>
      <c r="AW182" s="41"/>
    </row>
    <row r="183" spans="1:49" ht="15" customHeight="1" x14ac:dyDescent="0.2">
      <c r="A183" s="41" t="str">
        <f t="shared" si="761"/>
        <v/>
      </c>
      <c r="B183" s="45" t="str" cm="1">
        <f t="array" aca="1" ref="B183" ca="1">IF(ISBLANK(INDIRECT(_xlfn.CONCAT($AE390,B$389))),"",INDIRECT(_xlfn.CONCAT($AE390,B$389)))</f>
        <v/>
      </c>
      <c r="C183" s="45"/>
      <c r="D183" s="45"/>
      <c r="E183" s="45"/>
      <c r="F183" s="45"/>
      <c r="G183" s="45"/>
      <c r="H183" s="45"/>
      <c r="I183" s="45" t="str" cm="1">
        <f t="array" aca="1" ref="I183" ca="1">IF(ISBLANK(INDIRECT(_xlfn.CONCAT($AE390,C$389))),"",INDIRECT(_xlfn.CONCAT($AE390,C$389)))</f>
        <v/>
      </c>
      <c r="J183" s="45"/>
      <c r="K183" s="45"/>
      <c r="L183" s="45"/>
      <c r="M183" s="45"/>
      <c r="N183" s="45"/>
      <c r="O183" s="45"/>
      <c r="P183" s="45" t="str" cm="1">
        <f t="array" aca="1" ref="P183" ca="1">IF(ISBLANK(INDIRECT(_xlfn.CONCAT($AE390,D$389))),"",INDIRECT(_xlfn.CONCAT($AE390,D$389)))</f>
        <v/>
      </c>
      <c r="Q183" s="45"/>
      <c r="R183" s="45"/>
      <c r="S183" s="45"/>
      <c r="T183" s="45"/>
      <c r="U183" s="45"/>
      <c r="V183" s="45"/>
      <c r="W183" s="45" t="str" cm="1">
        <f t="array" aca="1" ref="W183" ca="1">IF(ISBLANK(INDIRECT(_xlfn.CONCAT($AE390,E$389))),"",INDIRECT(_xlfn.CONCAT($AE390,E$389)))</f>
        <v/>
      </c>
      <c r="X183" s="45"/>
      <c r="Y183" s="45"/>
      <c r="Z183" s="45"/>
      <c r="AA183" s="45"/>
      <c r="AB183" s="45"/>
      <c r="AC183" s="45"/>
      <c r="AD183" s="45" t="str" cm="1">
        <f t="array" aca="1" ref="AD183" ca="1">IF(ISBLANK(INDIRECT(_xlfn.CONCAT($AE390,F$389))),"",INDIRECT(_xlfn.CONCAT($AE390,F$389)))</f>
        <v/>
      </c>
      <c r="AE183" s="45"/>
      <c r="AF183" s="45"/>
      <c r="AG183" s="45"/>
      <c r="AH183" s="45"/>
      <c r="AI183" s="45"/>
      <c r="AJ183" s="45"/>
      <c r="AK183" s="45" t="str" cm="1">
        <f t="array" aca="1" ref="AK183" ca="1">IF(ISBLANK(INDIRECT(_xlfn.CONCAT($AE390,G$389))),"",INDIRECT(_xlfn.CONCAT($AE390,G$389)))</f>
        <v/>
      </c>
      <c r="AL183" s="45"/>
      <c r="AM183" s="45"/>
      <c r="AN183" s="45"/>
      <c r="AO183" s="45"/>
      <c r="AP183" s="45"/>
      <c r="AQ183" s="45"/>
      <c r="AR183" s="45"/>
      <c r="AS183" s="46"/>
      <c r="AT183" s="46"/>
      <c r="AU183" s="46"/>
      <c r="AV183" s="46"/>
      <c r="AW183" s="46"/>
    </row>
    <row r="184" spans="1:49" ht="15" customHeight="1" x14ac:dyDescent="0.2">
      <c r="A184" s="41" t="str">
        <f t="shared" si="761"/>
        <v/>
      </c>
      <c r="B184" s="213" t="str" cm="1">
        <f t="array" ref="B184">IF(INDEX($U$427:$CB$432,B$436,$AE437)="-","",INDEX($U$427:$CB$432,B$436,$AE437))</f>
        <v/>
      </c>
      <c r="C184" s="213"/>
      <c r="D184" s="213"/>
      <c r="E184" s="213"/>
      <c r="F184" s="213"/>
      <c r="G184" s="213"/>
      <c r="H184" s="213"/>
      <c r="I184" s="213" t="str" cm="1">
        <f t="array" ref="I184">IF(INDEX($U$427:$CB$432,C$436,$AE437)="-","",INDEX($U$427:$CB$432,C$436,$AE437))</f>
        <v/>
      </c>
      <c r="J184" s="213"/>
      <c r="K184" s="213"/>
      <c r="L184" s="213"/>
      <c r="M184" s="213"/>
      <c r="N184" s="213"/>
      <c r="O184" s="213"/>
      <c r="P184" s="213" t="str" cm="1">
        <f t="array" ref="P184">IF(INDEX($U$427:$CB$432,D$436,$AE437)="-","",INDEX($U$427:$CB$432,D$436,$AE437))</f>
        <v/>
      </c>
      <c r="Q184" s="213"/>
      <c r="R184" s="213"/>
      <c r="S184" s="213"/>
      <c r="T184" s="213"/>
      <c r="U184" s="213"/>
      <c r="V184" s="213"/>
      <c r="W184" s="213" t="str" cm="1">
        <f t="array" ref="W184">IF(INDEX($U$427:$CB$432,E$436,$AE437)="-","",INDEX($U$427:$CB$432,E$436,$AE437))</f>
        <v/>
      </c>
      <c r="X184" s="213"/>
      <c r="Y184" s="213"/>
      <c r="Z184" s="213"/>
      <c r="AA184" s="213"/>
      <c r="AB184" s="213"/>
      <c r="AC184" s="213"/>
      <c r="AD184" s="213" t="str" cm="1">
        <f t="array" ref="AD184">IF(INDEX($U$427:$CB$432,F$436,$AE437)="-","",INDEX($U$427:$CB$432,F$436,$AE437))</f>
        <v/>
      </c>
      <c r="AE184" s="213"/>
      <c r="AF184" s="213"/>
      <c r="AG184" s="213"/>
      <c r="AH184" s="213"/>
      <c r="AI184" s="213"/>
      <c r="AJ184" s="213"/>
      <c r="AK184" s="213" t="str" cm="1">
        <f t="array" ref="AK184">IF(INDEX($U$427:$CB$432,G$436,$AE437)="-","",INDEX($U$427:$CB$432,G$436,$AE437))</f>
        <v/>
      </c>
      <c r="AL184" s="213"/>
      <c r="AM184" s="213"/>
      <c r="AN184" s="213"/>
      <c r="AO184" s="213"/>
      <c r="AP184" s="213"/>
      <c r="AQ184" s="213"/>
      <c r="AR184" s="211"/>
      <c r="AS184" s="211"/>
      <c r="AT184" s="211"/>
      <c r="AU184" s="211"/>
      <c r="AV184" s="211"/>
      <c r="AW184" s="211"/>
    </row>
    <row r="185" spans="1:49" ht="15" customHeight="1" x14ac:dyDescent="0.2">
      <c r="A185" s="41" t="str">
        <f t="shared" si="761"/>
        <v/>
      </c>
      <c r="B185" s="213"/>
      <c r="C185" s="213"/>
      <c r="D185" s="213"/>
      <c r="E185" s="213"/>
      <c r="F185" s="213"/>
      <c r="G185" s="213"/>
      <c r="H185" s="213"/>
      <c r="I185" s="213"/>
      <c r="J185" s="213"/>
      <c r="K185" s="213"/>
      <c r="L185" s="213"/>
      <c r="M185" s="213"/>
      <c r="N185" s="213"/>
      <c r="O185" s="213"/>
      <c r="P185" s="213"/>
      <c r="Q185" s="213"/>
      <c r="R185" s="213"/>
      <c r="S185" s="213"/>
      <c r="T185" s="213"/>
      <c r="U185" s="213"/>
      <c r="V185" s="213"/>
      <c r="W185" s="213"/>
      <c r="X185" s="213"/>
      <c r="Y185" s="213"/>
      <c r="Z185" s="213"/>
      <c r="AA185" s="213"/>
      <c r="AB185" s="213"/>
      <c r="AC185" s="213"/>
      <c r="AD185" s="213"/>
      <c r="AE185" s="213"/>
      <c r="AF185" s="213"/>
      <c r="AG185" s="213"/>
      <c r="AH185" s="213"/>
      <c r="AI185" s="213"/>
      <c r="AJ185" s="213"/>
      <c r="AK185" s="213"/>
      <c r="AL185" s="213"/>
      <c r="AM185" s="213"/>
      <c r="AN185" s="213"/>
      <c r="AO185" s="213"/>
      <c r="AP185" s="213"/>
      <c r="AQ185" s="213"/>
      <c r="AR185" s="211"/>
      <c r="AS185" s="211"/>
      <c r="AT185" s="211"/>
      <c r="AU185" s="211"/>
      <c r="AV185" s="211"/>
      <c r="AW185" s="211"/>
    </row>
    <row r="186" spans="1:49" ht="15" customHeight="1" x14ac:dyDescent="0.2">
      <c r="A186" s="41" t="str">
        <f t="shared" si="761"/>
        <v/>
      </c>
      <c r="B186" s="213"/>
      <c r="C186" s="213"/>
      <c r="D186" s="213"/>
      <c r="E186" s="213"/>
      <c r="F186" s="213"/>
      <c r="G186" s="213"/>
      <c r="H186" s="213"/>
      <c r="I186" s="213"/>
      <c r="J186" s="213"/>
      <c r="K186" s="213"/>
      <c r="L186" s="213"/>
      <c r="M186" s="213"/>
      <c r="N186" s="213"/>
      <c r="O186" s="213"/>
      <c r="P186" s="213"/>
      <c r="Q186" s="213"/>
      <c r="R186" s="213"/>
      <c r="S186" s="213"/>
      <c r="T186" s="213"/>
      <c r="U186" s="213"/>
      <c r="V186" s="213"/>
      <c r="W186" s="213"/>
      <c r="X186" s="213"/>
      <c r="Y186" s="213"/>
      <c r="Z186" s="213"/>
      <c r="AA186" s="213"/>
      <c r="AB186" s="213"/>
      <c r="AC186" s="213"/>
      <c r="AD186" s="213"/>
      <c r="AE186" s="213"/>
      <c r="AF186" s="213"/>
      <c r="AG186" s="213"/>
      <c r="AH186" s="213"/>
      <c r="AI186" s="213"/>
      <c r="AJ186" s="213"/>
      <c r="AK186" s="213"/>
      <c r="AL186" s="213"/>
      <c r="AM186" s="213"/>
      <c r="AN186" s="213"/>
      <c r="AO186" s="213"/>
      <c r="AP186" s="213"/>
      <c r="AQ186" s="213"/>
      <c r="AR186" s="211"/>
      <c r="AS186" s="211"/>
      <c r="AT186" s="211"/>
      <c r="AU186" s="211"/>
      <c r="AV186" s="211"/>
      <c r="AW186" s="211"/>
    </row>
    <row r="187" spans="1:49" ht="15" customHeight="1" x14ac:dyDescent="0.2">
      <c r="A187" s="41" t="str">
        <f t="shared" si="761"/>
        <v/>
      </c>
      <c r="B187" s="44" t="str" cm="1">
        <f t="array" aca="1" ref="B187" ca="1">IF(INDIRECT(_xlfn.CONCAT($AF365,B$364))="+","+",IF(ISNUMBER(INDIRECT(_xlfn.CONCAT($AF365,B$363))),"-",""))</f>
        <v/>
      </c>
      <c r="C187" s="41" t="str">
        <f ca="1">B187</f>
        <v/>
      </c>
      <c r="D187" s="41" t="str">
        <f t="shared" ref="D187" ca="1" si="882">C187</f>
        <v/>
      </c>
      <c r="E187" s="41" t="str">
        <f t="shared" ref="E187" ca="1" si="883">D187</f>
        <v/>
      </c>
      <c r="F187" s="41" t="str">
        <f t="shared" ref="F187" ca="1" si="884">E187</f>
        <v/>
      </c>
      <c r="G187" s="41" t="str">
        <f t="shared" ref="G187" ca="1" si="885">F187</f>
        <v/>
      </c>
      <c r="H187" s="41" t="str">
        <f t="shared" ref="H187" ca="1" si="886">G187</f>
        <v/>
      </c>
      <c r="I187" s="44" t="str" cm="1">
        <f t="array" aca="1" ref="I187" ca="1">IF(INDIRECT(_xlfn.CONCAT($AF365,C$364))="+","+",IF(ISNUMBER(INDIRECT(_xlfn.CONCAT($AF365,C$363))),"-",""))</f>
        <v/>
      </c>
      <c r="J187" s="41" t="str">
        <f ca="1">I187</f>
        <v/>
      </c>
      <c r="K187" s="41" t="str">
        <f t="shared" ref="K187" ca="1" si="887">J187</f>
        <v/>
      </c>
      <c r="L187" s="41" t="str">
        <f t="shared" ref="L187" ca="1" si="888">K187</f>
        <v/>
      </c>
      <c r="M187" s="41" t="str">
        <f t="shared" ref="M187" ca="1" si="889">L187</f>
        <v/>
      </c>
      <c r="N187" s="41" t="str">
        <f t="shared" ref="N187" ca="1" si="890">M187</f>
        <v/>
      </c>
      <c r="O187" s="41" t="str">
        <f t="shared" ref="O187" ca="1" si="891">N187</f>
        <v/>
      </c>
      <c r="P187" s="44" t="str" cm="1">
        <f t="array" aca="1" ref="P187" ca="1">IF(INDIRECT(_xlfn.CONCAT($AF365,D$364))="+","+",IF(ISNUMBER(INDIRECT(_xlfn.CONCAT($AF365,D$363))),"-",""))</f>
        <v/>
      </c>
      <c r="Q187" s="41" t="str">
        <f ca="1">P187</f>
        <v/>
      </c>
      <c r="R187" s="41" t="str">
        <f t="shared" ref="R187" ca="1" si="892">Q187</f>
        <v/>
      </c>
      <c r="S187" s="41" t="str">
        <f t="shared" ref="S187" ca="1" si="893">R187</f>
        <v/>
      </c>
      <c r="T187" s="41" t="str">
        <f t="shared" ref="T187" ca="1" si="894">S187</f>
        <v/>
      </c>
      <c r="U187" s="41" t="str">
        <f t="shared" ref="U187" ca="1" si="895">T187</f>
        <v/>
      </c>
      <c r="V187" s="41" t="str">
        <f t="shared" ref="V187" ca="1" si="896">U187</f>
        <v/>
      </c>
      <c r="W187" s="44" t="str" cm="1">
        <f t="array" aca="1" ref="W187" ca="1">IF(INDIRECT(_xlfn.CONCAT($AF365,E$364))="+","+",IF(ISNUMBER(INDIRECT(_xlfn.CONCAT($AF365,E$363))),"-",""))</f>
        <v/>
      </c>
      <c r="X187" s="41" t="str">
        <f ca="1">W187</f>
        <v/>
      </c>
      <c r="Y187" s="41" t="str">
        <f t="shared" ref="Y187" ca="1" si="897">X187</f>
        <v/>
      </c>
      <c r="Z187" s="41" t="str">
        <f t="shared" ref="Z187" ca="1" si="898">Y187</f>
        <v/>
      </c>
      <c r="AA187" s="41" t="str">
        <f t="shared" ref="AA187" ca="1" si="899">Z187</f>
        <v/>
      </c>
      <c r="AB187" s="41" t="str">
        <f t="shared" ref="AB187" ca="1" si="900">AA187</f>
        <v/>
      </c>
      <c r="AC187" s="41" t="str">
        <f t="shared" ref="AC187" ca="1" si="901">AB187</f>
        <v/>
      </c>
      <c r="AD187" s="44" t="str" cm="1">
        <f t="array" aca="1" ref="AD187" ca="1">IF(INDIRECT(_xlfn.CONCAT($AF365,F$364))="+","+",IF(ISNUMBER(INDIRECT(_xlfn.CONCAT($AF365,F$363))),"-",""))</f>
        <v/>
      </c>
      <c r="AE187" s="41" t="str">
        <f ca="1">AD187</f>
        <v/>
      </c>
      <c r="AF187" s="41" t="str">
        <f t="shared" ref="AF187" ca="1" si="902">AE187</f>
        <v/>
      </c>
      <c r="AG187" s="41" t="str">
        <f t="shared" ref="AG187" ca="1" si="903">AF187</f>
        <v/>
      </c>
      <c r="AH187" s="41" t="str">
        <f t="shared" ref="AH187" ca="1" si="904">AG187</f>
        <v/>
      </c>
      <c r="AI187" s="41" t="str">
        <f t="shared" ref="AI187" ca="1" si="905">AH187</f>
        <v/>
      </c>
      <c r="AJ187" s="41" t="str">
        <f t="shared" ref="AJ187" ca="1" si="906">AI187</f>
        <v/>
      </c>
      <c r="AK187" s="44" t="str" cm="1">
        <f t="array" aca="1" ref="AK187" ca="1">IF(INDIRECT(_xlfn.CONCAT($AF365,G$364))="+","+",IF(ISNUMBER(INDIRECT(_xlfn.CONCAT($AF365,G$363))),"-",""))</f>
        <v/>
      </c>
      <c r="AL187" s="41" t="str">
        <f ca="1">AK187</f>
        <v/>
      </c>
      <c r="AM187" s="41" t="str">
        <f t="shared" ref="AM187" ca="1" si="907">AL187</f>
        <v/>
      </c>
      <c r="AN187" s="41" t="str">
        <f t="shared" ref="AN187" ca="1" si="908">AM187</f>
        <v/>
      </c>
      <c r="AO187" s="41" t="str">
        <f t="shared" ref="AO187" ca="1" si="909">AN187</f>
        <v/>
      </c>
      <c r="AP187" s="41" t="str">
        <f t="shared" ref="AP187" ca="1" si="910">AO187</f>
        <v/>
      </c>
      <c r="AQ187" s="41" t="str">
        <f t="shared" ref="AQ187" ca="1" si="911">AP187</f>
        <v/>
      </c>
      <c r="AR187" s="44"/>
      <c r="AS187" s="41"/>
      <c r="AT187" s="41"/>
      <c r="AU187" s="41"/>
      <c r="AV187" s="41"/>
      <c r="AW187" s="41"/>
    </row>
    <row r="188" spans="1:49" ht="15" customHeight="1" x14ac:dyDescent="0.2">
      <c r="A188" s="41" t="str">
        <f t="shared" si="761"/>
        <v/>
      </c>
      <c r="B188" s="45" t="str" cm="1">
        <f t="array" aca="1" ref="B188" ca="1">IF(ISBLANK(INDIRECT(_xlfn.CONCAT($AF390,B$389))),"",INDIRECT(_xlfn.CONCAT($AF390,B$389)))</f>
        <v/>
      </c>
      <c r="C188" s="45"/>
      <c r="D188" s="45"/>
      <c r="E188" s="45"/>
      <c r="F188" s="45"/>
      <c r="G188" s="45"/>
      <c r="H188" s="45"/>
      <c r="I188" s="45" t="str" cm="1">
        <f t="array" aca="1" ref="I188" ca="1">IF(ISBLANK(INDIRECT(_xlfn.CONCAT($AF390,C$389))),"",INDIRECT(_xlfn.CONCAT($AF390,C$389)))</f>
        <v/>
      </c>
      <c r="J188" s="45"/>
      <c r="K188" s="45"/>
      <c r="L188" s="45"/>
      <c r="M188" s="45"/>
      <c r="N188" s="45"/>
      <c r="O188" s="45"/>
      <c r="P188" s="45" t="str" cm="1">
        <f t="array" aca="1" ref="P188" ca="1">IF(ISBLANK(INDIRECT(_xlfn.CONCAT($AF390,D$389))),"",INDIRECT(_xlfn.CONCAT($AF390,D$389)))</f>
        <v/>
      </c>
      <c r="Q188" s="45"/>
      <c r="R188" s="45"/>
      <c r="S188" s="45"/>
      <c r="T188" s="45"/>
      <c r="U188" s="45"/>
      <c r="V188" s="45"/>
      <c r="W188" s="45" t="str" cm="1">
        <f t="array" aca="1" ref="W188" ca="1">IF(ISBLANK(INDIRECT(_xlfn.CONCAT($AF390,E$389))),"",INDIRECT(_xlfn.CONCAT($AF390,E$389)))</f>
        <v/>
      </c>
      <c r="X188" s="45"/>
      <c r="Y188" s="45"/>
      <c r="Z188" s="45"/>
      <c r="AA188" s="45"/>
      <c r="AB188" s="45"/>
      <c r="AC188" s="45"/>
      <c r="AD188" s="45" t="str" cm="1">
        <f t="array" aca="1" ref="AD188" ca="1">IF(ISBLANK(INDIRECT(_xlfn.CONCAT($AF390,F$389))),"",INDIRECT(_xlfn.CONCAT($AF390,F$389)))</f>
        <v/>
      </c>
      <c r="AE188" s="45"/>
      <c r="AF188" s="45"/>
      <c r="AG188" s="45"/>
      <c r="AH188" s="45"/>
      <c r="AI188" s="45"/>
      <c r="AJ188" s="45"/>
      <c r="AK188" s="45" t="str" cm="1">
        <f t="array" aca="1" ref="AK188" ca="1">IF(ISBLANK(INDIRECT(_xlfn.CONCAT($AF390,G$389))),"",INDIRECT(_xlfn.CONCAT($AF390,G$389)))</f>
        <v/>
      </c>
      <c r="AL188" s="45"/>
      <c r="AM188" s="45"/>
      <c r="AN188" s="45"/>
      <c r="AO188" s="45"/>
      <c r="AP188" s="45"/>
      <c r="AQ188" s="45"/>
      <c r="AR188" s="45"/>
      <c r="AS188" s="46"/>
      <c r="AT188" s="46"/>
      <c r="AU188" s="46"/>
      <c r="AV188" s="46"/>
      <c r="AW188" s="46"/>
    </row>
    <row r="189" spans="1:49" ht="15" customHeight="1" x14ac:dyDescent="0.2">
      <c r="A189" s="41" t="str">
        <f t="shared" si="761"/>
        <v/>
      </c>
      <c r="B189" s="213" t="str" cm="1">
        <f t="array" ref="B189">IF(INDEX($U$427:$CB$432,B$436,$AF437)="-","",INDEX($U$427:$CB$432,B$436,$AF437))</f>
        <v/>
      </c>
      <c r="C189" s="213"/>
      <c r="D189" s="213"/>
      <c r="E189" s="213"/>
      <c r="F189" s="213"/>
      <c r="G189" s="213"/>
      <c r="H189" s="213"/>
      <c r="I189" s="213" t="str" cm="1">
        <f t="array" ref="I189">IF(INDEX($U$427:$CB$432,C$436,$AF437)="-","",INDEX($U$427:$CB$432,C$436,$AF437))</f>
        <v/>
      </c>
      <c r="J189" s="213"/>
      <c r="K189" s="213"/>
      <c r="L189" s="213"/>
      <c r="M189" s="213"/>
      <c r="N189" s="213"/>
      <c r="O189" s="213"/>
      <c r="P189" s="213" t="str" cm="1">
        <f t="array" ref="P189">IF(INDEX($U$427:$CB$432,D$436,$AF437)="-","",INDEX($U$427:$CB$432,D$436,$AF437))</f>
        <v/>
      </c>
      <c r="Q189" s="213"/>
      <c r="R189" s="213"/>
      <c r="S189" s="213"/>
      <c r="T189" s="213"/>
      <c r="U189" s="213"/>
      <c r="V189" s="213"/>
      <c r="W189" s="213" t="str" cm="1">
        <f t="array" ref="W189">IF(INDEX($U$427:$CB$432,E$436,$AF437)="-","",INDEX($U$427:$CB$432,E$436,$AF437))</f>
        <v/>
      </c>
      <c r="X189" s="213"/>
      <c r="Y189" s="213"/>
      <c r="Z189" s="213"/>
      <c r="AA189" s="213"/>
      <c r="AB189" s="213"/>
      <c r="AC189" s="213"/>
      <c r="AD189" s="213" t="str" cm="1">
        <f t="array" ref="AD189">IF(INDEX($U$427:$CB$432,F$436,$AF437)="-","",INDEX($U$427:$CB$432,F$436,$AF437))</f>
        <v/>
      </c>
      <c r="AE189" s="213"/>
      <c r="AF189" s="213"/>
      <c r="AG189" s="213"/>
      <c r="AH189" s="213"/>
      <c r="AI189" s="213"/>
      <c r="AJ189" s="213"/>
      <c r="AK189" s="213" t="str" cm="1">
        <f t="array" ref="AK189">IF(INDEX($U$427:$CB$432,G$436,$AF437)="-","",INDEX($U$427:$CB$432,G$436,$AF437))</f>
        <v/>
      </c>
      <c r="AL189" s="213"/>
      <c r="AM189" s="213"/>
      <c r="AN189" s="213"/>
      <c r="AO189" s="213"/>
      <c r="AP189" s="213"/>
      <c r="AQ189" s="213"/>
      <c r="AR189" s="211"/>
      <c r="AS189" s="211"/>
      <c r="AT189" s="211"/>
      <c r="AU189" s="211"/>
      <c r="AV189" s="211"/>
      <c r="AW189" s="211"/>
    </row>
    <row r="190" spans="1:49" ht="15" customHeight="1" x14ac:dyDescent="0.2">
      <c r="A190" s="41" t="str">
        <f t="shared" si="761"/>
        <v/>
      </c>
      <c r="B190" s="213"/>
      <c r="C190" s="213"/>
      <c r="D190" s="213"/>
      <c r="E190" s="213"/>
      <c r="F190" s="213"/>
      <c r="G190" s="213"/>
      <c r="H190" s="213"/>
      <c r="I190" s="213"/>
      <c r="J190" s="213"/>
      <c r="K190" s="213"/>
      <c r="L190" s="213"/>
      <c r="M190" s="213"/>
      <c r="N190" s="213"/>
      <c r="O190" s="213"/>
      <c r="P190" s="213"/>
      <c r="Q190" s="213"/>
      <c r="R190" s="213"/>
      <c r="S190" s="213"/>
      <c r="T190" s="213"/>
      <c r="U190" s="213"/>
      <c r="V190" s="213"/>
      <c r="W190" s="213"/>
      <c r="X190" s="213"/>
      <c r="Y190" s="213"/>
      <c r="Z190" s="213"/>
      <c r="AA190" s="213"/>
      <c r="AB190" s="213"/>
      <c r="AC190" s="213"/>
      <c r="AD190" s="213"/>
      <c r="AE190" s="213"/>
      <c r="AF190" s="213"/>
      <c r="AG190" s="213"/>
      <c r="AH190" s="213"/>
      <c r="AI190" s="213"/>
      <c r="AJ190" s="213"/>
      <c r="AK190" s="213"/>
      <c r="AL190" s="213"/>
      <c r="AM190" s="213"/>
      <c r="AN190" s="213"/>
      <c r="AO190" s="213"/>
      <c r="AP190" s="213"/>
      <c r="AQ190" s="213"/>
      <c r="AR190" s="211"/>
      <c r="AS190" s="211"/>
      <c r="AT190" s="211"/>
      <c r="AU190" s="211"/>
      <c r="AV190" s="211"/>
      <c r="AW190" s="211"/>
    </row>
    <row r="191" spans="1:49" ht="15" customHeight="1" x14ac:dyDescent="0.2">
      <c r="A191" s="41" t="str">
        <f t="shared" si="761"/>
        <v/>
      </c>
      <c r="B191" s="213"/>
      <c r="C191" s="213"/>
      <c r="D191" s="213"/>
      <c r="E191" s="213"/>
      <c r="F191" s="213"/>
      <c r="G191" s="213"/>
      <c r="H191" s="213"/>
      <c r="I191" s="213"/>
      <c r="J191" s="213"/>
      <c r="K191" s="213"/>
      <c r="L191" s="213"/>
      <c r="M191" s="213"/>
      <c r="N191" s="213"/>
      <c r="O191" s="213"/>
      <c r="P191" s="213"/>
      <c r="Q191" s="213"/>
      <c r="R191" s="213"/>
      <c r="S191" s="213"/>
      <c r="T191" s="213"/>
      <c r="U191" s="213"/>
      <c r="V191" s="213"/>
      <c r="W191" s="213"/>
      <c r="X191" s="213"/>
      <c r="Y191" s="213"/>
      <c r="Z191" s="213"/>
      <c r="AA191" s="213"/>
      <c r="AB191" s="213"/>
      <c r="AC191" s="213"/>
      <c r="AD191" s="213"/>
      <c r="AE191" s="213"/>
      <c r="AF191" s="213"/>
      <c r="AG191" s="213"/>
      <c r="AH191" s="213"/>
      <c r="AI191" s="213"/>
      <c r="AJ191" s="213"/>
      <c r="AK191" s="213"/>
      <c r="AL191" s="213"/>
      <c r="AM191" s="213"/>
      <c r="AN191" s="213"/>
      <c r="AO191" s="213"/>
      <c r="AP191" s="213"/>
      <c r="AQ191" s="213"/>
      <c r="AR191" s="211"/>
      <c r="AS191" s="211"/>
      <c r="AT191" s="211"/>
      <c r="AU191" s="211"/>
      <c r="AV191" s="211"/>
      <c r="AW191" s="211"/>
    </row>
    <row r="192" spans="1:49" ht="15" customHeight="1" x14ac:dyDescent="0.2">
      <c r="A192" s="41" t="str">
        <f t="shared" si="761"/>
        <v/>
      </c>
      <c r="B192" s="44" t="str" cm="1">
        <f t="array" aca="1" ref="B192" ca="1">IF(INDIRECT(_xlfn.CONCAT($AG365,B$364))="+","+",IF(ISNUMBER(INDIRECT(_xlfn.CONCAT($AG365,B$363))),"-",""))</f>
        <v/>
      </c>
      <c r="C192" s="41" t="str">
        <f ca="1">B192</f>
        <v/>
      </c>
      <c r="D192" s="41" t="str">
        <f t="shared" ref="D192" ca="1" si="912">C192</f>
        <v/>
      </c>
      <c r="E192" s="41" t="str">
        <f t="shared" ref="E192" ca="1" si="913">D192</f>
        <v/>
      </c>
      <c r="F192" s="41" t="str">
        <f t="shared" ref="F192" ca="1" si="914">E192</f>
        <v/>
      </c>
      <c r="G192" s="41" t="str">
        <f t="shared" ref="G192" ca="1" si="915">F192</f>
        <v/>
      </c>
      <c r="H192" s="41" t="str">
        <f t="shared" ref="H192" ca="1" si="916">G192</f>
        <v/>
      </c>
      <c r="I192" s="44" t="str" cm="1">
        <f t="array" aca="1" ref="I192" ca="1">IF(INDIRECT(_xlfn.CONCAT($AG365,C$364))="+","+",IF(ISNUMBER(INDIRECT(_xlfn.CONCAT($AG365,C$363))),"-",""))</f>
        <v/>
      </c>
      <c r="J192" s="41" t="str">
        <f ca="1">I192</f>
        <v/>
      </c>
      <c r="K192" s="41" t="str">
        <f t="shared" ref="K192" ca="1" si="917">J192</f>
        <v/>
      </c>
      <c r="L192" s="41" t="str">
        <f t="shared" ref="L192" ca="1" si="918">K192</f>
        <v/>
      </c>
      <c r="M192" s="41" t="str">
        <f t="shared" ref="M192" ca="1" si="919">L192</f>
        <v/>
      </c>
      <c r="N192" s="41" t="str">
        <f t="shared" ref="N192" ca="1" si="920">M192</f>
        <v/>
      </c>
      <c r="O192" s="41" t="str">
        <f t="shared" ref="O192" ca="1" si="921">N192</f>
        <v/>
      </c>
      <c r="P192" s="44" t="str" cm="1">
        <f t="array" aca="1" ref="P192" ca="1">IF(INDIRECT(_xlfn.CONCAT($AG365,D$364))="+","+",IF(ISNUMBER(INDIRECT(_xlfn.CONCAT($AG365,D$363))),"-",""))</f>
        <v/>
      </c>
      <c r="Q192" s="41" t="str">
        <f ca="1">P192</f>
        <v/>
      </c>
      <c r="R192" s="41" t="str">
        <f t="shared" ref="R192" ca="1" si="922">Q192</f>
        <v/>
      </c>
      <c r="S192" s="41" t="str">
        <f t="shared" ref="S192" ca="1" si="923">R192</f>
        <v/>
      </c>
      <c r="T192" s="41" t="str">
        <f t="shared" ref="T192" ca="1" si="924">S192</f>
        <v/>
      </c>
      <c r="U192" s="41" t="str">
        <f t="shared" ref="U192" ca="1" si="925">T192</f>
        <v/>
      </c>
      <c r="V192" s="41" t="str">
        <f t="shared" ref="V192" ca="1" si="926">U192</f>
        <v/>
      </c>
      <c r="W192" s="44" t="str" cm="1">
        <f t="array" aca="1" ref="W192" ca="1">IF(INDIRECT(_xlfn.CONCAT($AG365,E$364))="+","+",IF(ISNUMBER(INDIRECT(_xlfn.CONCAT($AG365,E$363))),"-",""))</f>
        <v/>
      </c>
      <c r="X192" s="41" t="str">
        <f ca="1">W192</f>
        <v/>
      </c>
      <c r="Y192" s="41" t="str">
        <f t="shared" ref="Y192" ca="1" si="927">X192</f>
        <v/>
      </c>
      <c r="Z192" s="41" t="str">
        <f t="shared" ref="Z192" ca="1" si="928">Y192</f>
        <v/>
      </c>
      <c r="AA192" s="41" t="str">
        <f t="shared" ref="AA192" ca="1" si="929">Z192</f>
        <v/>
      </c>
      <c r="AB192" s="41" t="str">
        <f t="shared" ref="AB192" ca="1" si="930">AA192</f>
        <v/>
      </c>
      <c r="AC192" s="41" t="str">
        <f t="shared" ref="AC192" ca="1" si="931">AB192</f>
        <v/>
      </c>
      <c r="AD192" s="44" t="str" cm="1">
        <f t="array" aca="1" ref="AD192" ca="1">IF(INDIRECT(_xlfn.CONCAT($AG365,F$364))="+","+",IF(ISNUMBER(INDIRECT(_xlfn.CONCAT($AG365,F$363))),"-",""))</f>
        <v/>
      </c>
      <c r="AE192" s="41" t="str">
        <f ca="1">AD192</f>
        <v/>
      </c>
      <c r="AF192" s="41" t="str">
        <f t="shared" ref="AF192" ca="1" si="932">AE192</f>
        <v/>
      </c>
      <c r="AG192" s="41" t="str">
        <f t="shared" ref="AG192" ca="1" si="933">AF192</f>
        <v/>
      </c>
      <c r="AH192" s="41" t="str">
        <f t="shared" ref="AH192" ca="1" si="934">AG192</f>
        <v/>
      </c>
      <c r="AI192" s="41" t="str">
        <f t="shared" ref="AI192" ca="1" si="935">AH192</f>
        <v/>
      </c>
      <c r="AJ192" s="41" t="str">
        <f t="shared" ref="AJ192" ca="1" si="936">AI192</f>
        <v/>
      </c>
      <c r="AK192" s="44" t="str" cm="1">
        <f t="array" aca="1" ref="AK192" ca="1">IF(INDIRECT(_xlfn.CONCAT($AG365,G$364))="+","+",IF(ISNUMBER(INDIRECT(_xlfn.CONCAT($AG365,G$363))),"-",""))</f>
        <v/>
      </c>
      <c r="AL192" s="41" t="str">
        <f ca="1">AK192</f>
        <v/>
      </c>
      <c r="AM192" s="41" t="str">
        <f t="shared" ref="AM192" ca="1" si="937">AL192</f>
        <v/>
      </c>
      <c r="AN192" s="41" t="str">
        <f t="shared" ref="AN192" ca="1" si="938">AM192</f>
        <v/>
      </c>
      <c r="AO192" s="41" t="str">
        <f t="shared" ref="AO192" ca="1" si="939">AN192</f>
        <v/>
      </c>
      <c r="AP192" s="41" t="str">
        <f t="shared" ref="AP192" ca="1" si="940">AO192</f>
        <v/>
      </c>
      <c r="AQ192" s="41" t="str">
        <f t="shared" ref="AQ192" ca="1" si="941">AP192</f>
        <v/>
      </c>
      <c r="AR192" s="44"/>
      <c r="AS192" s="41"/>
      <c r="AT192" s="41"/>
      <c r="AU192" s="41"/>
      <c r="AV192" s="41"/>
      <c r="AW192" s="41"/>
    </row>
    <row r="193" spans="1:49" ht="15" customHeight="1" x14ac:dyDescent="0.2">
      <c r="A193" s="41" t="str">
        <f t="shared" si="761"/>
        <v/>
      </c>
      <c r="B193" s="45" t="str" cm="1">
        <f t="array" aca="1" ref="B193" ca="1">IF(ISBLANK(INDIRECT(_xlfn.CONCAT($AG390,B$389))),"",INDIRECT(_xlfn.CONCAT($AG390,B$389)))</f>
        <v/>
      </c>
      <c r="C193" s="45"/>
      <c r="D193" s="45"/>
      <c r="E193" s="45"/>
      <c r="F193" s="45"/>
      <c r="G193" s="45"/>
      <c r="H193" s="45"/>
      <c r="I193" s="45" t="str" cm="1">
        <f t="array" aca="1" ref="I193" ca="1">IF(ISBLANK(INDIRECT(_xlfn.CONCAT($AG390,C$389))),"",INDIRECT(_xlfn.CONCAT($AG390,C$389)))</f>
        <v/>
      </c>
      <c r="J193" s="45"/>
      <c r="K193" s="45"/>
      <c r="L193" s="45"/>
      <c r="M193" s="45"/>
      <c r="N193" s="45"/>
      <c r="O193" s="45"/>
      <c r="P193" s="45" t="str" cm="1">
        <f t="array" aca="1" ref="P193" ca="1">IF(ISBLANK(INDIRECT(_xlfn.CONCAT($AG390,D$389))),"",INDIRECT(_xlfn.CONCAT($AG390,D$389)))</f>
        <v/>
      </c>
      <c r="Q193" s="45"/>
      <c r="R193" s="45"/>
      <c r="S193" s="45"/>
      <c r="T193" s="45"/>
      <c r="U193" s="45"/>
      <c r="V193" s="45"/>
      <c r="W193" s="45" t="str" cm="1">
        <f t="array" aca="1" ref="W193" ca="1">IF(ISBLANK(INDIRECT(_xlfn.CONCAT($AG390,E$389))),"",INDIRECT(_xlfn.CONCAT($AG390,E$389)))</f>
        <v/>
      </c>
      <c r="X193" s="45"/>
      <c r="Y193" s="45"/>
      <c r="Z193" s="45"/>
      <c r="AA193" s="45"/>
      <c r="AB193" s="45"/>
      <c r="AC193" s="45"/>
      <c r="AD193" s="45" t="str" cm="1">
        <f t="array" aca="1" ref="AD193" ca="1">IF(ISBLANK(INDIRECT(_xlfn.CONCAT($AG390,F$389))),"",INDIRECT(_xlfn.CONCAT($AG390,F$389)))</f>
        <v/>
      </c>
      <c r="AE193" s="45"/>
      <c r="AF193" s="45"/>
      <c r="AG193" s="45"/>
      <c r="AH193" s="45"/>
      <c r="AI193" s="45"/>
      <c r="AJ193" s="45"/>
      <c r="AK193" s="45" t="str" cm="1">
        <f t="array" aca="1" ref="AK193" ca="1">IF(ISBLANK(INDIRECT(_xlfn.CONCAT($AG390,G$389))),"",INDIRECT(_xlfn.CONCAT($AG390,G$389)))</f>
        <v/>
      </c>
      <c r="AL193" s="45"/>
      <c r="AM193" s="45"/>
      <c r="AN193" s="45"/>
      <c r="AO193" s="45"/>
      <c r="AP193" s="45"/>
      <c r="AQ193" s="45"/>
      <c r="AR193" s="45"/>
      <c r="AS193" s="46"/>
      <c r="AT193" s="46"/>
      <c r="AU193" s="46"/>
      <c r="AV193" s="46"/>
      <c r="AW193" s="46"/>
    </row>
    <row r="194" spans="1:49" ht="15" customHeight="1" x14ac:dyDescent="0.2">
      <c r="A194" s="41" t="str">
        <f t="shared" si="761"/>
        <v/>
      </c>
      <c r="B194" s="213" t="str" cm="1">
        <f t="array" ref="B194">IF(INDEX($U$427:$CB$432,B$436,$AG437)="-","",INDEX($U$427:$CB$432,B$436,$AG437))</f>
        <v/>
      </c>
      <c r="C194" s="213"/>
      <c r="D194" s="213"/>
      <c r="E194" s="213"/>
      <c r="F194" s="213"/>
      <c r="G194" s="213"/>
      <c r="H194" s="213"/>
      <c r="I194" s="213" t="str" cm="1">
        <f t="array" ref="I194">IF(INDEX($U$427:$CB$432,C$436,$AG437)="-","",INDEX($U$427:$CB$432,C$436,$AG437))</f>
        <v/>
      </c>
      <c r="J194" s="213"/>
      <c r="K194" s="213"/>
      <c r="L194" s="213"/>
      <c r="M194" s="213"/>
      <c r="N194" s="213"/>
      <c r="O194" s="213"/>
      <c r="P194" s="213" t="str" cm="1">
        <f t="array" ref="P194">IF(INDEX($U$427:$CB$432,D$436,$AG437)="-","",INDEX($U$427:$CB$432,D$436,$AG437))</f>
        <v/>
      </c>
      <c r="Q194" s="213"/>
      <c r="R194" s="213"/>
      <c r="S194" s="213"/>
      <c r="T194" s="213"/>
      <c r="U194" s="213"/>
      <c r="V194" s="213"/>
      <c r="W194" s="213" t="str" cm="1">
        <f t="array" ref="W194">IF(INDEX($U$427:$CB$432,E$436,$AG437)="-","",INDEX($U$427:$CB$432,E$436,$AG437))</f>
        <v/>
      </c>
      <c r="X194" s="213"/>
      <c r="Y194" s="213"/>
      <c r="Z194" s="213"/>
      <c r="AA194" s="213"/>
      <c r="AB194" s="213"/>
      <c r="AC194" s="213"/>
      <c r="AD194" s="213" t="str" cm="1">
        <f t="array" ref="AD194">IF(INDEX($U$427:$CB$432,F$436,$AG437)="-","",INDEX($U$427:$CB$432,F$436,$AG437))</f>
        <v/>
      </c>
      <c r="AE194" s="213"/>
      <c r="AF194" s="213"/>
      <c r="AG194" s="213"/>
      <c r="AH194" s="213"/>
      <c r="AI194" s="213"/>
      <c r="AJ194" s="213"/>
      <c r="AK194" s="213" t="str" cm="1">
        <f t="array" ref="AK194">IF(INDEX($U$427:$CB$432,G$436,$AG437)="-","",INDEX($U$427:$CB$432,G$436,$AG437))</f>
        <v/>
      </c>
      <c r="AL194" s="213"/>
      <c r="AM194" s="213"/>
      <c r="AN194" s="213"/>
      <c r="AO194" s="213"/>
      <c r="AP194" s="213"/>
      <c r="AQ194" s="213"/>
      <c r="AR194" s="211"/>
      <c r="AS194" s="211"/>
      <c r="AT194" s="211"/>
      <c r="AU194" s="211"/>
      <c r="AV194" s="211"/>
      <c r="AW194" s="211"/>
    </row>
    <row r="195" spans="1:49" ht="15" customHeight="1" x14ac:dyDescent="0.2">
      <c r="A195" s="41" t="str">
        <f t="shared" si="761"/>
        <v/>
      </c>
      <c r="B195" s="213"/>
      <c r="C195" s="213"/>
      <c r="D195" s="213"/>
      <c r="E195" s="213"/>
      <c r="F195" s="213"/>
      <c r="G195" s="213"/>
      <c r="H195" s="213"/>
      <c r="I195" s="213"/>
      <c r="J195" s="213"/>
      <c r="K195" s="213"/>
      <c r="L195" s="213"/>
      <c r="M195" s="213"/>
      <c r="N195" s="213"/>
      <c r="O195" s="213"/>
      <c r="P195" s="213"/>
      <c r="Q195" s="213"/>
      <c r="R195" s="213"/>
      <c r="S195" s="213"/>
      <c r="T195" s="213"/>
      <c r="U195" s="213"/>
      <c r="V195" s="213"/>
      <c r="W195" s="213"/>
      <c r="X195" s="213"/>
      <c r="Y195" s="213"/>
      <c r="Z195" s="213"/>
      <c r="AA195" s="213"/>
      <c r="AB195" s="213"/>
      <c r="AC195" s="213"/>
      <c r="AD195" s="213"/>
      <c r="AE195" s="213"/>
      <c r="AF195" s="213"/>
      <c r="AG195" s="213"/>
      <c r="AH195" s="213"/>
      <c r="AI195" s="213"/>
      <c r="AJ195" s="213"/>
      <c r="AK195" s="213"/>
      <c r="AL195" s="213"/>
      <c r="AM195" s="213"/>
      <c r="AN195" s="213"/>
      <c r="AO195" s="213"/>
      <c r="AP195" s="213"/>
      <c r="AQ195" s="213"/>
      <c r="AR195" s="211"/>
      <c r="AS195" s="211"/>
      <c r="AT195" s="211"/>
      <c r="AU195" s="211"/>
      <c r="AV195" s="211"/>
      <c r="AW195" s="211"/>
    </row>
    <row r="196" spans="1:49" ht="15" customHeight="1" x14ac:dyDescent="0.2">
      <c r="A196" s="41" t="str">
        <f t="shared" si="761"/>
        <v/>
      </c>
      <c r="B196" s="213"/>
      <c r="C196" s="213"/>
      <c r="D196" s="213"/>
      <c r="E196" s="213"/>
      <c r="F196" s="213"/>
      <c r="G196" s="213"/>
      <c r="H196" s="213"/>
      <c r="I196" s="213"/>
      <c r="J196" s="213"/>
      <c r="K196" s="213"/>
      <c r="L196" s="213"/>
      <c r="M196" s="213"/>
      <c r="N196" s="213"/>
      <c r="O196" s="213"/>
      <c r="P196" s="213"/>
      <c r="Q196" s="213"/>
      <c r="R196" s="213"/>
      <c r="S196" s="213"/>
      <c r="T196" s="213"/>
      <c r="U196" s="213"/>
      <c r="V196" s="213"/>
      <c r="W196" s="213"/>
      <c r="X196" s="213"/>
      <c r="Y196" s="213"/>
      <c r="Z196" s="213"/>
      <c r="AA196" s="213"/>
      <c r="AB196" s="213"/>
      <c r="AC196" s="213"/>
      <c r="AD196" s="213"/>
      <c r="AE196" s="213"/>
      <c r="AF196" s="213"/>
      <c r="AG196" s="213"/>
      <c r="AH196" s="213"/>
      <c r="AI196" s="213"/>
      <c r="AJ196" s="213"/>
      <c r="AK196" s="213"/>
      <c r="AL196" s="213"/>
      <c r="AM196" s="213"/>
      <c r="AN196" s="213"/>
      <c r="AO196" s="213"/>
      <c r="AP196" s="213"/>
      <c r="AQ196" s="213"/>
      <c r="AR196" s="211"/>
      <c r="AS196" s="211"/>
      <c r="AT196" s="211"/>
      <c r="AU196" s="211"/>
      <c r="AV196" s="211"/>
      <c r="AW196" s="211"/>
    </row>
    <row r="197" spans="1:49" ht="15" customHeight="1" x14ac:dyDescent="0.2">
      <c r="A197" s="41" t="str">
        <f t="shared" si="761"/>
        <v/>
      </c>
      <c r="B197" s="44" t="str" cm="1">
        <f t="array" aca="1" ref="B197" ca="1">IF(INDIRECT(_xlfn.CONCAT($AH365,B$364))="+","+",IF(ISNUMBER(INDIRECT(_xlfn.CONCAT($AH365,B$363))),"-",""))</f>
        <v/>
      </c>
      <c r="C197" s="41" t="str">
        <f ca="1">B197</f>
        <v/>
      </c>
      <c r="D197" s="41" t="str">
        <f t="shared" ref="D197" ca="1" si="942">C197</f>
        <v/>
      </c>
      <c r="E197" s="41" t="str">
        <f t="shared" ref="E197" ca="1" si="943">D197</f>
        <v/>
      </c>
      <c r="F197" s="41" t="str">
        <f t="shared" ref="F197" ca="1" si="944">E197</f>
        <v/>
      </c>
      <c r="G197" s="41" t="str">
        <f t="shared" ref="G197" ca="1" si="945">F197</f>
        <v/>
      </c>
      <c r="H197" s="41" t="str">
        <f t="shared" ref="H197" ca="1" si="946">G197</f>
        <v/>
      </c>
      <c r="I197" s="44" t="str" cm="1">
        <f t="array" aca="1" ref="I197" ca="1">IF(INDIRECT(_xlfn.CONCAT($AH365,C$364))="+","+",IF(ISNUMBER(INDIRECT(_xlfn.CONCAT($AH365,C$363))),"-",""))</f>
        <v/>
      </c>
      <c r="J197" s="41" t="str">
        <f ca="1">I197</f>
        <v/>
      </c>
      <c r="K197" s="41" t="str">
        <f t="shared" ref="K197" ca="1" si="947">J197</f>
        <v/>
      </c>
      <c r="L197" s="41" t="str">
        <f t="shared" ref="L197" ca="1" si="948">K197</f>
        <v/>
      </c>
      <c r="M197" s="41" t="str">
        <f t="shared" ref="M197" ca="1" si="949">L197</f>
        <v/>
      </c>
      <c r="N197" s="41" t="str">
        <f t="shared" ref="N197" ca="1" si="950">M197</f>
        <v/>
      </c>
      <c r="O197" s="41" t="str">
        <f t="shared" ref="O197" ca="1" si="951">N197</f>
        <v/>
      </c>
      <c r="P197" s="44" t="str" cm="1">
        <f t="array" aca="1" ref="P197" ca="1">IF(INDIRECT(_xlfn.CONCAT($AH365,D$364))="+","+",IF(ISNUMBER(INDIRECT(_xlfn.CONCAT($AH365,D$363))),"-",""))</f>
        <v/>
      </c>
      <c r="Q197" s="41" t="str">
        <f ca="1">P197</f>
        <v/>
      </c>
      <c r="R197" s="41" t="str">
        <f t="shared" ref="R197" ca="1" si="952">Q197</f>
        <v/>
      </c>
      <c r="S197" s="41" t="str">
        <f t="shared" ref="S197" ca="1" si="953">R197</f>
        <v/>
      </c>
      <c r="T197" s="41" t="str">
        <f t="shared" ref="T197" ca="1" si="954">S197</f>
        <v/>
      </c>
      <c r="U197" s="41" t="str">
        <f t="shared" ref="U197" ca="1" si="955">T197</f>
        <v/>
      </c>
      <c r="V197" s="41" t="str">
        <f t="shared" ref="V197" ca="1" si="956">U197</f>
        <v/>
      </c>
      <c r="W197" s="44" t="str" cm="1">
        <f t="array" aca="1" ref="W197" ca="1">IF(INDIRECT(_xlfn.CONCAT($AH365,E$364))="+","+",IF(ISNUMBER(INDIRECT(_xlfn.CONCAT($AH365,E$363))),"-",""))</f>
        <v/>
      </c>
      <c r="X197" s="41" t="str">
        <f ca="1">W197</f>
        <v/>
      </c>
      <c r="Y197" s="41" t="str">
        <f t="shared" ref="Y197" ca="1" si="957">X197</f>
        <v/>
      </c>
      <c r="Z197" s="41" t="str">
        <f t="shared" ref="Z197" ca="1" si="958">Y197</f>
        <v/>
      </c>
      <c r="AA197" s="41" t="str">
        <f t="shared" ref="AA197" ca="1" si="959">Z197</f>
        <v/>
      </c>
      <c r="AB197" s="41" t="str">
        <f t="shared" ref="AB197" ca="1" si="960">AA197</f>
        <v/>
      </c>
      <c r="AC197" s="41" t="str">
        <f t="shared" ref="AC197" ca="1" si="961">AB197</f>
        <v/>
      </c>
      <c r="AD197" s="44" t="str" cm="1">
        <f t="array" aca="1" ref="AD197" ca="1">IF(INDIRECT(_xlfn.CONCAT($AH365,F$364))="+","+",IF(ISNUMBER(INDIRECT(_xlfn.CONCAT($AH365,F$363))),"-",""))</f>
        <v/>
      </c>
      <c r="AE197" s="41" t="str">
        <f ca="1">AD197</f>
        <v/>
      </c>
      <c r="AF197" s="41" t="str">
        <f t="shared" ref="AF197" ca="1" si="962">AE197</f>
        <v/>
      </c>
      <c r="AG197" s="41" t="str">
        <f t="shared" ref="AG197" ca="1" si="963">AF197</f>
        <v/>
      </c>
      <c r="AH197" s="41" t="str">
        <f t="shared" ref="AH197" ca="1" si="964">AG197</f>
        <v/>
      </c>
      <c r="AI197" s="41" t="str">
        <f t="shared" ref="AI197" ca="1" si="965">AH197</f>
        <v/>
      </c>
      <c r="AJ197" s="41" t="str">
        <f t="shared" ref="AJ197" ca="1" si="966">AI197</f>
        <v/>
      </c>
      <c r="AK197" s="44" t="str" cm="1">
        <f t="array" aca="1" ref="AK197" ca="1">IF(INDIRECT(_xlfn.CONCAT($AH365,G$364))="+","+",IF(ISNUMBER(INDIRECT(_xlfn.CONCAT($AH365,G$363))),"-",""))</f>
        <v/>
      </c>
      <c r="AL197" s="41" t="str">
        <f ca="1">AK197</f>
        <v/>
      </c>
      <c r="AM197" s="41" t="str">
        <f t="shared" ref="AM197" ca="1" si="967">AL197</f>
        <v/>
      </c>
      <c r="AN197" s="41" t="str">
        <f t="shared" ref="AN197" ca="1" si="968">AM197</f>
        <v/>
      </c>
      <c r="AO197" s="41" t="str">
        <f t="shared" ref="AO197" ca="1" si="969">AN197</f>
        <v/>
      </c>
      <c r="AP197" s="41" t="str">
        <f t="shared" ref="AP197" ca="1" si="970">AO197</f>
        <v/>
      </c>
      <c r="AQ197" s="41" t="str">
        <f t="shared" ref="AQ197" ca="1" si="971">AP197</f>
        <v/>
      </c>
      <c r="AR197" s="44"/>
      <c r="AS197" s="41"/>
      <c r="AT197" s="41"/>
      <c r="AU197" s="41"/>
      <c r="AV197" s="41"/>
      <c r="AW197" s="41"/>
    </row>
    <row r="198" spans="1:49" ht="15" customHeight="1" x14ac:dyDescent="0.2">
      <c r="A198" s="41" t="str">
        <f t="shared" si="761"/>
        <v/>
      </c>
      <c r="B198" s="45" t="str" cm="1">
        <f t="array" aca="1" ref="B198" ca="1">IF(ISBLANK(INDIRECT(_xlfn.CONCAT($AH390,B$389))),"",INDIRECT(_xlfn.CONCAT($AH390,B$389)))</f>
        <v/>
      </c>
      <c r="C198" s="45"/>
      <c r="D198" s="45"/>
      <c r="E198" s="45"/>
      <c r="F198" s="45"/>
      <c r="G198" s="45"/>
      <c r="H198" s="45"/>
      <c r="I198" s="45" t="str" cm="1">
        <f t="array" aca="1" ref="I198" ca="1">IF(ISBLANK(INDIRECT(_xlfn.CONCAT($AH390,C$389))),"",INDIRECT(_xlfn.CONCAT($AH390,C$389)))</f>
        <v/>
      </c>
      <c r="J198" s="45"/>
      <c r="K198" s="45"/>
      <c r="L198" s="45"/>
      <c r="M198" s="45"/>
      <c r="N198" s="45"/>
      <c r="O198" s="45"/>
      <c r="P198" s="45" t="str" cm="1">
        <f t="array" aca="1" ref="P198" ca="1">IF(ISBLANK(INDIRECT(_xlfn.CONCAT($AH390,D$389))),"",INDIRECT(_xlfn.CONCAT($AH390,D$389)))</f>
        <v/>
      </c>
      <c r="Q198" s="45"/>
      <c r="R198" s="45"/>
      <c r="S198" s="45"/>
      <c r="T198" s="45"/>
      <c r="U198" s="45"/>
      <c r="V198" s="45"/>
      <c r="W198" s="45" t="str" cm="1">
        <f t="array" aca="1" ref="W198" ca="1">IF(ISBLANK(INDIRECT(_xlfn.CONCAT($AH390,E$389))),"",INDIRECT(_xlfn.CONCAT($AH390,E$389)))</f>
        <v/>
      </c>
      <c r="X198" s="45"/>
      <c r="Y198" s="45"/>
      <c r="Z198" s="45"/>
      <c r="AA198" s="45"/>
      <c r="AB198" s="45"/>
      <c r="AC198" s="45"/>
      <c r="AD198" s="45" t="str" cm="1">
        <f t="array" aca="1" ref="AD198" ca="1">IF(ISBLANK(INDIRECT(_xlfn.CONCAT($AH390,F$389))),"",INDIRECT(_xlfn.CONCAT($AH390,F$389)))</f>
        <v/>
      </c>
      <c r="AE198" s="45"/>
      <c r="AF198" s="45"/>
      <c r="AG198" s="45"/>
      <c r="AH198" s="45"/>
      <c r="AI198" s="45"/>
      <c r="AJ198" s="45"/>
      <c r="AK198" s="45" t="str" cm="1">
        <f t="array" aca="1" ref="AK198" ca="1">IF(ISBLANK(INDIRECT(_xlfn.CONCAT($AH390,G$389))),"",INDIRECT(_xlfn.CONCAT($AH390,G$389)))</f>
        <v/>
      </c>
      <c r="AL198" s="45"/>
      <c r="AM198" s="45"/>
      <c r="AN198" s="45"/>
      <c r="AO198" s="45"/>
      <c r="AP198" s="45"/>
      <c r="AQ198" s="45"/>
      <c r="AR198" s="45"/>
      <c r="AS198" s="46"/>
      <c r="AT198" s="46"/>
      <c r="AU198" s="46"/>
      <c r="AV198" s="46"/>
      <c r="AW198" s="46"/>
    </row>
    <row r="199" spans="1:49" ht="15" customHeight="1" x14ac:dyDescent="0.2">
      <c r="A199" s="41" t="str">
        <f t="shared" si="761"/>
        <v/>
      </c>
      <c r="B199" s="213" t="str" cm="1">
        <f t="array" ref="B199">IF(INDEX($U$427:$CB$432,B$436,$AH437)="-","",INDEX($U$427:$CB$432,B$436,$AH437))</f>
        <v/>
      </c>
      <c r="C199" s="213"/>
      <c r="D199" s="213"/>
      <c r="E199" s="213"/>
      <c r="F199" s="213"/>
      <c r="G199" s="213"/>
      <c r="H199" s="213"/>
      <c r="I199" s="213" t="str" cm="1">
        <f t="array" ref="I199">IF(INDEX($U$427:$CB$432,C$436,$AH437)="-","",INDEX($U$427:$CB$432,C$436,$AH437))</f>
        <v/>
      </c>
      <c r="J199" s="213"/>
      <c r="K199" s="213"/>
      <c r="L199" s="213"/>
      <c r="M199" s="213"/>
      <c r="N199" s="213"/>
      <c r="O199" s="213"/>
      <c r="P199" s="213" t="str" cm="1">
        <f t="array" ref="P199">IF(INDEX($U$427:$CB$432,D$436,$AH437)="-","",INDEX($U$427:$CB$432,D$436,$AH437))</f>
        <v/>
      </c>
      <c r="Q199" s="213"/>
      <c r="R199" s="213"/>
      <c r="S199" s="213"/>
      <c r="T199" s="213"/>
      <c r="U199" s="213"/>
      <c r="V199" s="213"/>
      <c r="W199" s="213" t="str" cm="1">
        <f t="array" ref="W199">IF(INDEX($U$427:$CB$432,E$436,$AH437)="-","",INDEX($U$427:$CB$432,E$436,$AH437))</f>
        <v/>
      </c>
      <c r="X199" s="213"/>
      <c r="Y199" s="213"/>
      <c r="Z199" s="213"/>
      <c r="AA199" s="213"/>
      <c r="AB199" s="213"/>
      <c r="AC199" s="213"/>
      <c r="AD199" s="213" t="str" cm="1">
        <f t="array" ref="AD199">IF(INDEX($U$427:$CB$432,F$436,$AH437)="-","",INDEX($U$427:$CB$432,F$436,$AH437))</f>
        <v/>
      </c>
      <c r="AE199" s="213"/>
      <c r="AF199" s="213"/>
      <c r="AG199" s="213"/>
      <c r="AH199" s="213"/>
      <c r="AI199" s="213"/>
      <c r="AJ199" s="213"/>
      <c r="AK199" s="213" t="str" cm="1">
        <f t="array" ref="AK199">IF(INDEX($U$427:$CB$432,G$436,$AH437)="-","",INDEX($U$427:$CB$432,G$436,$AH437))</f>
        <v/>
      </c>
      <c r="AL199" s="213"/>
      <c r="AM199" s="213"/>
      <c r="AN199" s="213"/>
      <c r="AO199" s="213"/>
      <c r="AP199" s="213"/>
      <c r="AQ199" s="213"/>
      <c r="AR199" s="211"/>
      <c r="AS199" s="211"/>
      <c r="AT199" s="211"/>
      <c r="AU199" s="211"/>
      <c r="AV199" s="211"/>
      <c r="AW199" s="211"/>
    </row>
    <row r="200" spans="1:49" ht="15" customHeight="1" x14ac:dyDescent="0.2">
      <c r="A200" s="41" t="str">
        <f t="shared" si="761"/>
        <v/>
      </c>
      <c r="B200" s="213"/>
      <c r="C200" s="213"/>
      <c r="D200" s="213"/>
      <c r="E200" s="213"/>
      <c r="F200" s="213"/>
      <c r="G200" s="213"/>
      <c r="H200" s="213"/>
      <c r="I200" s="213"/>
      <c r="J200" s="213"/>
      <c r="K200" s="213"/>
      <c r="L200" s="213"/>
      <c r="M200" s="213"/>
      <c r="N200" s="213"/>
      <c r="O200" s="213"/>
      <c r="P200" s="213"/>
      <c r="Q200" s="213"/>
      <c r="R200" s="213"/>
      <c r="S200" s="213"/>
      <c r="T200" s="213"/>
      <c r="U200" s="213"/>
      <c r="V200" s="213"/>
      <c r="W200" s="213"/>
      <c r="X200" s="213"/>
      <c r="Y200" s="213"/>
      <c r="Z200" s="213"/>
      <c r="AA200" s="213"/>
      <c r="AB200" s="213"/>
      <c r="AC200" s="213"/>
      <c r="AD200" s="213"/>
      <c r="AE200" s="213"/>
      <c r="AF200" s="213"/>
      <c r="AG200" s="213"/>
      <c r="AH200" s="213"/>
      <c r="AI200" s="213"/>
      <c r="AJ200" s="213"/>
      <c r="AK200" s="213"/>
      <c r="AL200" s="213"/>
      <c r="AM200" s="213"/>
      <c r="AN200" s="213"/>
      <c r="AO200" s="213"/>
      <c r="AP200" s="213"/>
      <c r="AQ200" s="213"/>
      <c r="AR200" s="211"/>
      <c r="AS200" s="211"/>
      <c r="AT200" s="211"/>
      <c r="AU200" s="211"/>
      <c r="AV200" s="211"/>
      <c r="AW200" s="211"/>
    </row>
    <row r="201" spans="1:49" ht="15" customHeight="1" x14ac:dyDescent="0.2">
      <c r="A201" s="41" t="str">
        <f t="shared" si="761"/>
        <v/>
      </c>
      <c r="B201" s="213"/>
      <c r="C201" s="213"/>
      <c r="D201" s="213"/>
      <c r="E201" s="213"/>
      <c r="F201" s="213"/>
      <c r="G201" s="213"/>
      <c r="H201" s="213"/>
      <c r="I201" s="213"/>
      <c r="J201" s="213"/>
      <c r="K201" s="213"/>
      <c r="L201" s="213"/>
      <c r="M201" s="213"/>
      <c r="N201" s="213"/>
      <c r="O201" s="213"/>
      <c r="P201" s="213"/>
      <c r="Q201" s="213"/>
      <c r="R201" s="213"/>
      <c r="S201" s="213"/>
      <c r="T201" s="213"/>
      <c r="U201" s="213"/>
      <c r="V201" s="213"/>
      <c r="W201" s="213"/>
      <c r="X201" s="213"/>
      <c r="Y201" s="213"/>
      <c r="Z201" s="213"/>
      <c r="AA201" s="213"/>
      <c r="AB201" s="213"/>
      <c r="AC201" s="213"/>
      <c r="AD201" s="213"/>
      <c r="AE201" s="213"/>
      <c r="AF201" s="213"/>
      <c r="AG201" s="213"/>
      <c r="AH201" s="213"/>
      <c r="AI201" s="213"/>
      <c r="AJ201" s="213"/>
      <c r="AK201" s="213"/>
      <c r="AL201" s="213"/>
      <c r="AM201" s="213"/>
      <c r="AN201" s="213"/>
      <c r="AO201" s="213"/>
      <c r="AP201" s="213"/>
      <c r="AQ201" s="213"/>
      <c r="AR201" s="211"/>
      <c r="AS201" s="211"/>
      <c r="AT201" s="211"/>
      <c r="AU201" s="211"/>
      <c r="AV201" s="211"/>
      <c r="AW201" s="211"/>
    </row>
    <row r="202" spans="1:49" ht="15" customHeight="1" x14ac:dyDescent="0.2">
      <c r="A202" s="41" t="str">
        <f t="shared" si="761"/>
        <v/>
      </c>
      <c r="B202" s="44" t="str" cm="1">
        <f t="array" aca="1" ref="B202" ca="1">IF(INDIRECT(_xlfn.CONCAT($AI365,B$364))="+","+",IF(ISNUMBER(INDIRECT(_xlfn.CONCAT($AI365,B$363))),"-",""))</f>
        <v/>
      </c>
      <c r="C202" s="41" t="str">
        <f ca="1">B202</f>
        <v/>
      </c>
      <c r="D202" s="41" t="str">
        <f t="shared" ref="D202" ca="1" si="972">C202</f>
        <v/>
      </c>
      <c r="E202" s="41" t="str">
        <f t="shared" ref="E202" ca="1" si="973">D202</f>
        <v/>
      </c>
      <c r="F202" s="41" t="str">
        <f t="shared" ref="F202" ca="1" si="974">E202</f>
        <v/>
      </c>
      <c r="G202" s="41" t="str">
        <f t="shared" ref="G202" ca="1" si="975">F202</f>
        <v/>
      </c>
      <c r="H202" s="41" t="str">
        <f t="shared" ref="H202" ca="1" si="976">G202</f>
        <v/>
      </c>
      <c r="I202" s="44" t="str" cm="1">
        <f t="array" aca="1" ref="I202" ca="1">IF(INDIRECT(_xlfn.CONCAT($AI365,C$364))="+","+",IF(ISNUMBER(INDIRECT(_xlfn.CONCAT($AI365,C$363))),"-",""))</f>
        <v/>
      </c>
      <c r="J202" s="41" t="str">
        <f ca="1">I202</f>
        <v/>
      </c>
      <c r="K202" s="41" t="str">
        <f t="shared" ref="K202" ca="1" si="977">J202</f>
        <v/>
      </c>
      <c r="L202" s="41" t="str">
        <f t="shared" ref="L202" ca="1" si="978">K202</f>
        <v/>
      </c>
      <c r="M202" s="41" t="str">
        <f t="shared" ref="M202" ca="1" si="979">L202</f>
        <v/>
      </c>
      <c r="N202" s="41" t="str">
        <f t="shared" ref="N202" ca="1" si="980">M202</f>
        <v/>
      </c>
      <c r="O202" s="41" t="str">
        <f t="shared" ref="O202" ca="1" si="981">N202</f>
        <v/>
      </c>
      <c r="P202" s="44" t="str" cm="1">
        <f t="array" aca="1" ref="P202" ca="1">IF(INDIRECT(_xlfn.CONCAT($AI365,D$364))="+","+",IF(ISNUMBER(INDIRECT(_xlfn.CONCAT($AI365,D$363))),"-",""))</f>
        <v/>
      </c>
      <c r="Q202" s="41" t="str">
        <f ca="1">P202</f>
        <v/>
      </c>
      <c r="R202" s="41" t="str">
        <f t="shared" ref="R202" ca="1" si="982">Q202</f>
        <v/>
      </c>
      <c r="S202" s="41" t="str">
        <f t="shared" ref="S202" ca="1" si="983">R202</f>
        <v/>
      </c>
      <c r="T202" s="41" t="str">
        <f t="shared" ref="T202" ca="1" si="984">S202</f>
        <v/>
      </c>
      <c r="U202" s="41" t="str">
        <f t="shared" ref="U202" ca="1" si="985">T202</f>
        <v/>
      </c>
      <c r="V202" s="41" t="str">
        <f t="shared" ref="V202" ca="1" si="986">U202</f>
        <v/>
      </c>
      <c r="W202" s="44" t="str" cm="1">
        <f t="array" aca="1" ref="W202" ca="1">IF(INDIRECT(_xlfn.CONCAT($AI365,E$364))="+","+",IF(ISNUMBER(INDIRECT(_xlfn.CONCAT($AI365,E$363))),"-",""))</f>
        <v/>
      </c>
      <c r="X202" s="41" t="str">
        <f ca="1">W202</f>
        <v/>
      </c>
      <c r="Y202" s="41" t="str">
        <f t="shared" ref="Y202" ca="1" si="987">X202</f>
        <v/>
      </c>
      <c r="Z202" s="41" t="str">
        <f t="shared" ref="Z202" ca="1" si="988">Y202</f>
        <v/>
      </c>
      <c r="AA202" s="41" t="str">
        <f t="shared" ref="AA202" ca="1" si="989">Z202</f>
        <v/>
      </c>
      <c r="AB202" s="41" t="str">
        <f t="shared" ref="AB202" ca="1" si="990">AA202</f>
        <v/>
      </c>
      <c r="AC202" s="41" t="str">
        <f t="shared" ref="AC202" ca="1" si="991">AB202</f>
        <v/>
      </c>
      <c r="AD202" s="44" t="str" cm="1">
        <f t="array" aca="1" ref="AD202" ca="1">IF(INDIRECT(_xlfn.CONCAT($AI365,F$364))="+","+",IF(ISNUMBER(INDIRECT(_xlfn.CONCAT($AI365,F$363))),"-",""))</f>
        <v/>
      </c>
      <c r="AE202" s="41" t="str">
        <f ca="1">AD202</f>
        <v/>
      </c>
      <c r="AF202" s="41" t="str">
        <f t="shared" ref="AF202" ca="1" si="992">AE202</f>
        <v/>
      </c>
      <c r="AG202" s="41" t="str">
        <f t="shared" ref="AG202" ca="1" si="993">AF202</f>
        <v/>
      </c>
      <c r="AH202" s="41" t="str">
        <f t="shared" ref="AH202" ca="1" si="994">AG202</f>
        <v/>
      </c>
      <c r="AI202" s="41" t="str">
        <f t="shared" ref="AI202" ca="1" si="995">AH202</f>
        <v/>
      </c>
      <c r="AJ202" s="41" t="str">
        <f t="shared" ref="AJ202" ca="1" si="996">AI202</f>
        <v/>
      </c>
      <c r="AK202" s="44" t="str" cm="1">
        <f t="array" aca="1" ref="AK202" ca="1">IF(INDIRECT(_xlfn.CONCAT($AI365,G$364))="+","+",IF(ISNUMBER(INDIRECT(_xlfn.CONCAT($AI365,G$363))),"-",""))</f>
        <v/>
      </c>
      <c r="AL202" s="41" t="str">
        <f ca="1">AK202</f>
        <v/>
      </c>
      <c r="AM202" s="41" t="str">
        <f t="shared" ref="AM202" ca="1" si="997">AL202</f>
        <v/>
      </c>
      <c r="AN202" s="41" t="str">
        <f t="shared" ref="AN202" ca="1" si="998">AM202</f>
        <v/>
      </c>
      <c r="AO202" s="41" t="str">
        <f t="shared" ref="AO202" ca="1" si="999">AN202</f>
        <v/>
      </c>
      <c r="AP202" s="41" t="str">
        <f t="shared" ref="AP202" ca="1" si="1000">AO202</f>
        <v/>
      </c>
      <c r="AQ202" s="41" t="str">
        <f t="shared" ref="AQ202" ca="1" si="1001">AP202</f>
        <v/>
      </c>
      <c r="AR202" s="44"/>
      <c r="AS202" s="41"/>
      <c r="AT202" s="41"/>
      <c r="AU202" s="41"/>
      <c r="AV202" s="41"/>
      <c r="AW202" s="41"/>
    </row>
    <row r="203" spans="1:49" ht="15" customHeight="1" x14ac:dyDescent="0.2">
      <c r="A203" s="41" t="str">
        <f t="shared" si="761"/>
        <v/>
      </c>
      <c r="B203" s="45" t="str" cm="1">
        <f t="array" aca="1" ref="B203" ca="1">IF(ISBLANK(INDIRECT(_xlfn.CONCAT($AI390,B$389))),"",INDIRECT(_xlfn.CONCAT($AI390,B$389)))</f>
        <v/>
      </c>
      <c r="C203" s="45"/>
      <c r="D203" s="45"/>
      <c r="E203" s="45"/>
      <c r="F203" s="45"/>
      <c r="G203" s="45"/>
      <c r="H203" s="45"/>
      <c r="I203" s="45" t="str" cm="1">
        <f t="array" aca="1" ref="I203" ca="1">IF(ISBLANK(INDIRECT(_xlfn.CONCAT($AI390,C$389))),"",INDIRECT(_xlfn.CONCAT($AI390,C$389)))</f>
        <v/>
      </c>
      <c r="J203" s="45"/>
      <c r="K203" s="45"/>
      <c r="L203" s="45"/>
      <c r="M203" s="45"/>
      <c r="N203" s="45"/>
      <c r="O203" s="45"/>
      <c r="P203" s="45" t="str" cm="1">
        <f t="array" aca="1" ref="P203" ca="1">IF(ISBLANK(INDIRECT(_xlfn.CONCAT($AI390,D$389))),"",INDIRECT(_xlfn.CONCAT($AI390,D$389)))</f>
        <v/>
      </c>
      <c r="Q203" s="45"/>
      <c r="R203" s="45"/>
      <c r="S203" s="45"/>
      <c r="T203" s="45"/>
      <c r="U203" s="45"/>
      <c r="V203" s="45"/>
      <c r="W203" s="45" t="str" cm="1">
        <f t="array" aca="1" ref="W203" ca="1">IF(ISBLANK(INDIRECT(_xlfn.CONCAT($AI390,E$389))),"",INDIRECT(_xlfn.CONCAT($AI390,E$389)))</f>
        <v/>
      </c>
      <c r="X203" s="45"/>
      <c r="Y203" s="45"/>
      <c r="Z203" s="45"/>
      <c r="AA203" s="45"/>
      <c r="AB203" s="45"/>
      <c r="AC203" s="45"/>
      <c r="AD203" s="45" t="str" cm="1">
        <f t="array" aca="1" ref="AD203" ca="1">IF(ISBLANK(INDIRECT(_xlfn.CONCAT($AI390,F$389))),"",INDIRECT(_xlfn.CONCAT($AI390,F$389)))</f>
        <v/>
      </c>
      <c r="AE203" s="45"/>
      <c r="AF203" s="45"/>
      <c r="AG203" s="45"/>
      <c r="AH203" s="45"/>
      <c r="AI203" s="45"/>
      <c r="AJ203" s="45"/>
      <c r="AK203" s="45" t="str" cm="1">
        <f t="array" aca="1" ref="AK203" ca="1">IF(ISBLANK(INDIRECT(_xlfn.CONCAT($AI390,G$389))),"",INDIRECT(_xlfn.CONCAT($AI390,G$389)))</f>
        <v/>
      </c>
      <c r="AL203" s="45"/>
      <c r="AM203" s="45"/>
      <c r="AN203" s="45"/>
      <c r="AO203" s="45"/>
      <c r="AP203" s="45"/>
      <c r="AQ203" s="45"/>
      <c r="AR203" s="45"/>
      <c r="AS203" s="46"/>
      <c r="AT203" s="46"/>
      <c r="AU203" s="46"/>
      <c r="AV203" s="46"/>
      <c r="AW203" s="46"/>
    </row>
    <row r="204" spans="1:49" ht="15" customHeight="1" x14ac:dyDescent="0.2">
      <c r="A204" s="41" t="str">
        <f t="shared" si="761"/>
        <v/>
      </c>
      <c r="B204" s="213" t="str" cm="1">
        <f t="array" ref="B204">IF(INDEX($U$427:$CB$432,B$436,$AI437)="-","",INDEX($U$427:$CB$432,B$436,$AI437))</f>
        <v/>
      </c>
      <c r="C204" s="213"/>
      <c r="D204" s="213"/>
      <c r="E204" s="213"/>
      <c r="F204" s="213"/>
      <c r="G204" s="213"/>
      <c r="H204" s="213"/>
      <c r="I204" s="213" t="str" cm="1">
        <f t="array" ref="I204">IF(INDEX($U$427:$CB$432,C$436,$AI437)="-","",INDEX($U$427:$CB$432,C$436,$AI437))</f>
        <v/>
      </c>
      <c r="J204" s="213"/>
      <c r="K204" s="213"/>
      <c r="L204" s="213"/>
      <c r="M204" s="213"/>
      <c r="N204" s="213"/>
      <c r="O204" s="213"/>
      <c r="P204" s="213" t="str" cm="1">
        <f t="array" ref="P204">IF(INDEX($U$427:$CB$432,D$436,$AI437)="-","",INDEX($U$427:$CB$432,D$436,$AI437))</f>
        <v/>
      </c>
      <c r="Q204" s="213"/>
      <c r="R204" s="213"/>
      <c r="S204" s="213"/>
      <c r="T204" s="213"/>
      <c r="U204" s="213"/>
      <c r="V204" s="213"/>
      <c r="W204" s="213" t="str" cm="1">
        <f t="array" ref="W204">IF(INDEX($U$427:$CB$432,E$436,$AI437)="-","",INDEX($U$427:$CB$432,E$436,$AI437))</f>
        <v/>
      </c>
      <c r="X204" s="213"/>
      <c r="Y204" s="213"/>
      <c r="Z204" s="213"/>
      <c r="AA204" s="213"/>
      <c r="AB204" s="213"/>
      <c r="AC204" s="213"/>
      <c r="AD204" s="213" t="str" cm="1">
        <f t="array" ref="AD204">IF(INDEX($U$427:$CB$432,F$436,$AI437)="-","",INDEX($U$427:$CB$432,F$436,$AI437))</f>
        <v/>
      </c>
      <c r="AE204" s="213"/>
      <c r="AF204" s="213"/>
      <c r="AG204" s="213"/>
      <c r="AH204" s="213"/>
      <c r="AI204" s="213"/>
      <c r="AJ204" s="213"/>
      <c r="AK204" s="213" t="str" cm="1">
        <f t="array" ref="AK204">IF(INDEX($U$427:$CB$432,G$436,$AI437)="-","",INDEX($U$427:$CB$432,G$436,$AI437))</f>
        <v/>
      </c>
      <c r="AL204" s="213"/>
      <c r="AM204" s="213"/>
      <c r="AN204" s="213"/>
      <c r="AO204" s="213"/>
      <c r="AP204" s="213"/>
      <c r="AQ204" s="213"/>
      <c r="AR204" s="211"/>
      <c r="AS204" s="211"/>
      <c r="AT204" s="211"/>
      <c r="AU204" s="211"/>
      <c r="AV204" s="211"/>
      <c r="AW204" s="211"/>
    </row>
    <row r="205" spans="1:49" ht="15" customHeight="1" x14ac:dyDescent="0.2">
      <c r="A205" s="41" t="str">
        <f t="shared" si="761"/>
        <v/>
      </c>
      <c r="B205" s="213"/>
      <c r="C205" s="213"/>
      <c r="D205" s="213"/>
      <c r="E205" s="213"/>
      <c r="F205" s="213"/>
      <c r="G205" s="213"/>
      <c r="H205" s="213"/>
      <c r="I205" s="213"/>
      <c r="J205" s="213"/>
      <c r="K205" s="213"/>
      <c r="L205" s="213"/>
      <c r="M205" s="213"/>
      <c r="N205" s="213"/>
      <c r="O205" s="213"/>
      <c r="P205" s="213"/>
      <c r="Q205" s="213"/>
      <c r="R205" s="213"/>
      <c r="S205" s="213"/>
      <c r="T205" s="213"/>
      <c r="U205" s="213"/>
      <c r="V205" s="213"/>
      <c r="W205" s="213"/>
      <c r="X205" s="213"/>
      <c r="Y205" s="213"/>
      <c r="Z205" s="213"/>
      <c r="AA205" s="213"/>
      <c r="AB205" s="213"/>
      <c r="AC205" s="213"/>
      <c r="AD205" s="213"/>
      <c r="AE205" s="213"/>
      <c r="AF205" s="213"/>
      <c r="AG205" s="213"/>
      <c r="AH205" s="213"/>
      <c r="AI205" s="213"/>
      <c r="AJ205" s="213"/>
      <c r="AK205" s="213"/>
      <c r="AL205" s="213"/>
      <c r="AM205" s="213"/>
      <c r="AN205" s="213"/>
      <c r="AO205" s="213"/>
      <c r="AP205" s="213"/>
      <c r="AQ205" s="213"/>
      <c r="AR205" s="211"/>
      <c r="AS205" s="211"/>
      <c r="AT205" s="211"/>
      <c r="AU205" s="211"/>
      <c r="AV205" s="211"/>
      <c r="AW205" s="211"/>
    </row>
    <row r="206" spans="1:49" ht="15" customHeight="1" x14ac:dyDescent="0.2">
      <c r="A206" s="41" t="str">
        <f t="shared" si="761"/>
        <v/>
      </c>
      <c r="B206" s="213"/>
      <c r="C206" s="213"/>
      <c r="D206" s="213"/>
      <c r="E206" s="213"/>
      <c r="F206" s="213"/>
      <c r="G206" s="213"/>
      <c r="H206" s="213"/>
      <c r="I206" s="213"/>
      <c r="J206" s="213"/>
      <c r="K206" s="213"/>
      <c r="L206" s="213"/>
      <c r="M206" s="213"/>
      <c r="N206" s="213"/>
      <c r="O206" s="213"/>
      <c r="P206" s="213"/>
      <c r="Q206" s="213"/>
      <c r="R206" s="213"/>
      <c r="S206" s="213"/>
      <c r="T206" s="213"/>
      <c r="U206" s="213"/>
      <c r="V206" s="213"/>
      <c r="W206" s="213"/>
      <c r="X206" s="213"/>
      <c r="Y206" s="213"/>
      <c r="Z206" s="213"/>
      <c r="AA206" s="213"/>
      <c r="AB206" s="213"/>
      <c r="AC206" s="213"/>
      <c r="AD206" s="213"/>
      <c r="AE206" s="213"/>
      <c r="AF206" s="213"/>
      <c r="AG206" s="213"/>
      <c r="AH206" s="213"/>
      <c r="AI206" s="213"/>
      <c r="AJ206" s="213"/>
      <c r="AK206" s="213"/>
      <c r="AL206" s="213"/>
      <c r="AM206" s="213"/>
      <c r="AN206" s="213"/>
      <c r="AO206" s="213"/>
      <c r="AP206" s="213"/>
      <c r="AQ206" s="213"/>
      <c r="AR206" s="211"/>
      <c r="AS206" s="211"/>
      <c r="AT206" s="211"/>
      <c r="AU206" s="211"/>
      <c r="AV206" s="211"/>
      <c r="AW206" s="211"/>
    </row>
    <row r="207" spans="1:49" ht="15" customHeight="1" x14ac:dyDescent="0.2">
      <c r="A207" s="41" t="str">
        <f t="shared" si="761"/>
        <v/>
      </c>
      <c r="B207" s="44" t="str" cm="1">
        <f t="array" aca="1" ref="B207" ca="1">IF(INDIRECT(_xlfn.CONCAT($AJ365,B$364))="+","+",IF(ISNUMBER(INDIRECT(_xlfn.CONCAT($AJ365,B$363))),"-",""))</f>
        <v/>
      </c>
      <c r="C207" s="41" t="str">
        <f ca="1">B207</f>
        <v/>
      </c>
      <c r="D207" s="41" t="str">
        <f t="shared" ref="D207" ca="1" si="1002">C207</f>
        <v/>
      </c>
      <c r="E207" s="41" t="str">
        <f t="shared" ref="E207" ca="1" si="1003">D207</f>
        <v/>
      </c>
      <c r="F207" s="41" t="str">
        <f t="shared" ref="F207" ca="1" si="1004">E207</f>
        <v/>
      </c>
      <c r="G207" s="41" t="str">
        <f t="shared" ref="G207" ca="1" si="1005">F207</f>
        <v/>
      </c>
      <c r="H207" s="41" t="str">
        <f t="shared" ref="H207" ca="1" si="1006">G207</f>
        <v/>
      </c>
      <c r="I207" s="44" t="str" cm="1">
        <f t="array" aca="1" ref="I207" ca="1">IF(INDIRECT(_xlfn.CONCAT($AJ365,C$364))="+","+",IF(ISNUMBER(INDIRECT(_xlfn.CONCAT($AJ365,C$363))),"-",""))</f>
        <v/>
      </c>
      <c r="J207" s="41" t="str">
        <f ca="1">I207</f>
        <v/>
      </c>
      <c r="K207" s="41" t="str">
        <f t="shared" ref="K207" ca="1" si="1007">J207</f>
        <v/>
      </c>
      <c r="L207" s="41" t="str">
        <f t="shared" ref="L207" ca="1" si="1008">K207</f>
        <v/>
      </c>
      <c r="M207" s="41" t="str">
        <f t="shared" ref="M207" ca="1" si="1009">L207</f>
        <v/>
      </c>
      <c r="N207" s="41" t="str">
        <f t="shared" ref="N207" ca="1" si="1010">M207</f>
        <v/>
      </c>
      <c r="O207" s="41" t="str">
        <f t="shared" ref="O207" ca="1" si="1011">N207</f>
        <v/>
      </c>
      <c r="P207" s="44" t="str" cm="1">
        <f t="array" aca="1" ref="P207" ca="1">IF(INDIRECT(_xlfn.CONCAT($AJ365,D$364))="+","+",IF(ISNUMBER(INDIRECT(_xlfn.CONCAT($AJ365,D$363))),"-",""))</f>
        <v/>
      </c>
      <c r="Q207" s="41" t="str">
        <f ca="1">P207</f>
        <v/>
      </c>
      <c r="R207" s="41" t="str">
        <f t="shared" ref="R207" ca="1" si="1012">Q207</f>
        <v/>
      </c>
      <c r="S207" s="41" t="str">
        <f t="shared" ref="S207" ca="1" si="1013">R207</f>
        <v/>
      </c>
      <c r="T207" s="41" t="str">
        <f t="shared" ref="T207" ca="1" si="1014">S207</f>
        <v/>
      </c>
      <c r="U207" s="41" t="str">
        <f t="shared" ref="U207" ca="1" si="1015">T207</f>
        <v/>
      </c>
      <c r="V207" s="41" t="str">
        <f t="shared" ref="V207" ca="1" si="1016">U207</f>
        <v/>
      </c>
      <c r="W207" s="44" t="str" cm="1">
        <f t="array" aca="1" ref="W207" ca="1">IF(INDIRECT(_xlfn.CONCAT($AJ365,E$364))="+","+",IF(ISNUMBER(INDIRECT(_xlfn.CONCAT($AJ365,E$363))),"-",""))</f>
        <v/>
      </c>
      <c r="X207" s="41" t="str">
        <f ca="1">W207</f>
        <v/>
      </c>
      <c r="Y207" s="41" t="str">
        <f t="shared" ref="Y207" ca="1" si="1017">X207</f>
        <v/>
      </c>
      <c r="Z207" s="41" t="str">
        <f t="shared" ref="Z207" ca="1" si="1018">Y207</f>
        <v/>
      </c>
      <c r="AA207" s="41" t="str">
        <f t="shared" ref="AA207" ca="1" si="1019">Z207</f>
        <v/>
      </c>
      <c r="AB207" s="41" t="str">
        <f t="shared" ref="AB207" ca="1" si="1020">AA207</f>
        <v/>
      </c>
      <c r="AC207" s="41" t="str">
        <f t="shared" ref="AC207" ca="1" si="1021">AB207</f>
        <v/>
      </c>
      <c r="AD207" s="44" t="str" cm="1">
        <f t="array" aca="1" ref="AD207" ca="1">IF(INDIRECT(_xlfn.CONCAT($AJ365,F$364))="+","+",IF(ISNUMBER(INDIRECT(_xlfn.CONCAT($AJ365,F$363))),"-",""))</f>
        <v/>
      </c>
      <c r="AE207" s="41" t="str">
        <f ca="1">AD207</f>
        <v/>
      </c>
      <c r="AF207" s="41" t="str">
        <f t="shared" ref="AF207" ca="1" si="1022">AE207</f>
        <v/>
      </c>
      <c r="AG207" s="41" t="str">
        <f t="shared" ref="AG207" ca="1" si="1023">AF207</f>
        <v/>
      </c>
      <c r="AH207" s="41" t="str">
        <f t="shared" ref="AH207" ca="1" si="1024">AG207</f>
        <v/>
      </c>
      <c r="AI207" s="41" t="str">
        <f t="shared" ref="AI207" ca="1" si="1025">AH207</f>
        <v/>
      </c>
      <c r="AJ207" s="41" t="str">
        <f t="shared" ref="AJ207" ca="1" si="1026">AI207</f>
        <v/>
      </c>
      <c r="AK207" s="44" t="str" cm="1">
        <f t="array" aca="1" ref="AK207" ca="1">IF(INDIRECT(_xlfn.CONCAT($AJ365,G$364))="+","+",IF(ISNUMBER(INDIRECT(_xlfn.CONCAT($AJ365,G$363))),"-",""))</f>
        <v/>
      </c>
      <c r="AL207" s="41" t="str">
        <f ca="1">AK207</f>
        <v/>
      </c>
      <c r="AM207" s="41" t="str">
        <f t="shared" ref="AM207" ca="1" si="1027">AL207</f>
        <v/>
      </c>
      <c r="AN207" s="41" t="str">
        <f t="shared" ref="AN207" ca="1" si="1028">AM207</f>
        <v/>
      </c>
      <c r="AO207" s="41" t="str">
        <f t="shared" ref="AO207" ca="1" si="1029">AN207</f>
        <v/>
      </c>
      <c r="AP207" s="41" t="str">
        <f t="shared" ref="AP207" ca="1" si="1030">AO207</f>
        <v/>
      </c>
      <c r="AQ207" s="41" t="str">
        <f t="shared" ref="AQ207" ca="1" si="1031">AP207</f>
        <v/>
      </c>
      <c r="AR207" s="44"/>
      <c r="AS207" s="41"/>
      <c r="AT207" s="41"/>
      <c r="AU207" s="41"/>
      <c r="AV207" s="41"/>
      <c r="AW207" s="41"/>
    </row>
    <row r="208" spans="1:49" ht="15" customHeight="1" x14ac:dyDescent="0.2">
      <c r="A208" s="41" t="str">
        <f t="shared" si="761"/>
        <v/>
      </c>
      <c r="B208" s="45" t="str" cm="1">
        <f t="array" aca="1" ref="B208" ca="1">IF(ISBLANK(INDIRECT(_xlfn.CONCAT($AJ390,B$389))),"",INDIRECT(_xlfn.CONCAT($AJ390,B$389)))</f>
        <v/>
      </c>
      <c r="C208" s="45"/>
      <c r="D208" s="45"/>
      <c r="E208" s="45"/>
      <c r="F208" s="45"/>
      <c r="G208" s="45"/>
      <c r="H208" s="45"/>
      <c r="I208" s="45" t="str" cm="1">
        <f t="array" aca="1" ref="I208" ca="1">IF(ISBLANK(INDIRECT(_xlfn.CONCAT($AJ390,C$389))),"",INDIRECT(_xlfn.CONCAT($AJ390,C$389)))</f>
        <v/>
      </c>
      <c r="J208" s="45"/>
      <c r="K208" s="45"/>
      <c r="L208" s="45"/>
      <c r="M208" s="45"/>
      <c r="N208" s="45"/>
      <c r="O208" s="45"/>
      <c r="P208" s="45" t="str" cm="1">
        <f t="array" aca="1" ref="P208" ca="1">IF(ISBLANK(INDIRECT(_xlfn.CONCAT($AJ390,D$389))),"",INDIRECT(_xlfn.CONCAT($AJ390,D$389)))</f>
        <v/>
      </c>
      <c r="Q208" s="45"/>
      <c r="R208" s="45"/>
      <c r="S208" s="45"/>
      <c r="T208" s="45"/>
      <c r="U208" s="45"/>
      <c r="V208" s="45"/>
      <c r="W208" s="45" t="str" cm="1">
        <f t="array" aca="1" ref="W208" ca="1">IF(ISBLANK(INDIRECT(_xlfn.CONCAT($AJ390,E$389))),"",INDIRECT(_xlfn.CONCAT($AJ390,E$389)))</f>
        <v/>
      </c>
      <c r="X208" s="45"/>
      <c r="Y208" s="45"/>
      <c r="Z208" s="45"/>
      <c r="AA208" s="45"/>
      <c r="AB208" s="45"/>
      <c r="AC208" s="45"/>
      <c r="AD208" s="45" t="str" cm="1">
        <f t="array" aca="1" ref="AD208" ca="1">IF(ISBLANK(INDIRECT(_xlfn.CONCAT($AJ390,F$389))),"",INDIRECT(_xlfn.CONCAT($AJ390,F$389)))</f>
        <v/>
      </c>
      <c r="AE208" s="45"/>
      <c r="AF208" s="45"/>
      <c r="AG208" s="45"/>
      <c r="AH208" s="45"/>
      <c r="AI208" s="45"/>
      <c r="AJ208" s="45"/>
      <c r="AK208" s="45" t="str" cm="1">
        <f t="array" aca="1" ref="AK208" ca="1">IF(ISBLANK(INDIRECT(_xlfn.CONCAT($AJ390,G$389))),"",INDIRECT(_xlfn.CONCAT($AJ390,G$389)))</f>
        <v/>
      </c>
      <c r="AL208" s="45"/>
      <c r="AM208" s="45"/>
      <c r="AN208" s="45"/>
      <c r="AO208" s="45"/>
      <c r="AP208" s="45"/>
      <c r="AQ208" s="45"/>
      <c r="AR208" s="45"/>
      <c r="AS208" s="46"/>
      <c r="AT208" s="46"/>
      <c r="AU208" s="46"/>
      <c r="AV208" s="46"/>
      <c r="AW208" s="46"/>
    </row>
    <row r="209" spans="1:49" ht="15" customHeight="1" x14ac:dyDescent="0.2">
      <c r="A209" s="41" t="str">
        <f t="shared" si="761"/>
        <v/>
      </c>
      <c r="B209" s="213" t="str" cm="1">
        <f t="array" ref="B209">IF(INDEX($U$427:$CB$432,B$436,$AJ437)="-","",INDEX($U$427:$CB$432,B$436,$AJ437))</f>
        <v/>
      </c>
      <c r="C209" s="213"/>
      <c r="D209" s="213"/>
      <c r="E209" s="213"/>
      <c r="F209" s="213"/>
      <c r="G209" s="213"/>
      <c r="H209" s="213"/>
      <c r="I209" s="213" t="str" cm="1">
        <f t="array" ref="I209">IF(INDEX($U$427:$CB$432,C$436,$AJ437)="-","",INDEX($U$427:$CB$432,C$436,$AJ437))</f>
        <v/>
      </c>
      <c r="J209" s="213"/>
      <c r="K209" s="213"/>
      <c r="L209" s="213"/>
      <c r="M209" s="213"/>
      <c r="N209" s="213"/>
      <c r="O209" s="213"/>
      <c r="P209" s="213" t="str" cm="1">
        <f t="array" ref="P209">IF(INDEX($U$427:$CB$432,D$436,$AJ437)="-","",INDEX($U$427:$CB$432,D$436,$AJ437))</f>
        <v/>
      </c>
      <c r="Q209" s="213"/>
      <c r="R209" s="213"/>
      <c r="S209" s="213"/>
      <c r="T209" s="213"/>
      <c r="U209" s="213"/>
      <c r="V209" s="213"/>
      <c r="W209" s="213" t="str" cm="1">
        <f t="array" ref="W209">IF(INDEX($U$427:$CB$432,E$436,$AJ437)="-","",INDEX($U$427:$CB$432,E$436,$AJ437))</f>
        <v/>
      </c>
      <c r="X209" s="213"/>
      <c r="Y209" s="213"/>
      <c r="Z209" s="213"/>
      <c r="AA209" s="213"/>
      <c r="AB209" s="213"/>
      <c r="AC209" s="213"/>
      <c r="AD209" s="213" t="str" cm="1">
        <f t="array" ref="AD209">IF(INDEX($U$427:$CB$432,F$436,$AJ437)="-","",INDEX($U$427:$CB$432,F$436,$AJ437))</f>
        <v/>
      </c>
      <c r="AE209" s="213"/>
      <c r="AF209" s="213"/>
      <c r="AG209" s="213"/>
      <c r="AH209" s="213"/>
      <c r="AI209" s="213"/>
      <c r="AJ209" s="213"/>
      <c r="AK209" s="213" t="str" cm="1">
        <f t="array" ref="AK209">IF(INDEX($U$427:$CB$432,G$436,$AJ437)="-","",INDEX($U$427:$CB$432,G$436,$AJ437))</f>
        <v/>
      </c>
      <c r="AL209" s="213"/>
      <c r="AM209" s="213"/>
      <c r="AN209" s="213"/>
      <c r="AO209" s="213"/>
      <c r="AP209" s="213"/>
      <c r="AQ209" s="213"/>
      <c r="AR209" s="211"/>
      <c r="AS209" s="211"/>
      <c r="AT209" s="211"/>
      <c r="AU209" s="211"/>
      <c r="AV209" s="211"/>
      <c r="AW209" s="211"/>
    </row>
    <row r="210" spans="1:49" ht="15" customHeight="1" x14ac:dyDescent="0.2">
      <c r="A210" s="41" t="str">
        <f t="shared" si="761"/>
        <v/>
      </c>
      <c r="B210" s="213"/>
      <c r="C210" s="213"/>
      <c r="D210" s="213"/>
      <c r="E210" s="213"/>
      <c r="F210" s="213"/>
      <c r="G210" s="213"/>
      <c r="H210" s="213"/>
      <c r="I210" s="213"/>
      <c r="J210" s="213"/>
      <c r="K210" s="213"/>
      <c r="L210" s="213"/>
      <c r="M210" s="213"/>
      <c r="N210" s="213"/>
      <c r="O210" s="213"/>
      <c r="P210" s="213"/>
      <c r="Q210" s="213"/>
      <c r="R210" s="213"/>
      <c r="S210" s="213"/>
      <c r="T210" s="213"/>
      <c r="U210" s="213"/>
      <c r="V210" s="213"/>
      <c r="W210" s="213"/>
      <c r="X210" s="213"/>
      <c r="Y210" s="213"/>
      <c r="Z210" s="213"/>
      <c r="AA210" s="213"/>
      <c r="AB210" s="213"/>
      <c r="AC210" s="213"/>
      <c r="AD210" s="213"/>
      <c r="AE210" s="213"/>
      <c r="AF210" s="213"/>
      <c r="AG210" s="213"/>
      <c r="AH210" s="213"/>
      <c r="AI210" s="213"/>
      <c r="AJ210" s="213"/>
      <c r="AK210" s="213"/>
      <c r="AL210" s="213"/>
      <c r="AM210" s="213"/>
      <c r="AN210" s="213"/>
      <c r="AO210" s="213"/>
      <c r="AP210" s="213"/>
      <c r="AQ210" s="213"/>
      <c r="AR210" s="211"/>
      <c r="AS210" s="211"/>
      <c r="AT210" s="211"/>
      <c r="AU210" s="211"/>
      <c r="AV210" s="211"/>
      <c r="AW210" s="211"/>
    </row>
    <row r="211" spans="1:49" ht="15" customHeight="1" x14ac:dyDescent="0.2">
      <c r="A211" s="41" t="str">
        <f t="shared" si="761"/>
        <v/>
      </c>
      <c r="B211" s="213"/>
      <c r="C211" s="213"/>
      <c r="D211" s="213"/>
      <c r="E211" s="213"/>
      <c r="F211" s="213"/>
      <c r="G211" s="213"/>
      <c r="H211" s="213"/>
      <c r="I211" s="213"/>
      <c r="J211" s="213"/>
      <c r="K211" s="213"/>
      <c r="L211" s="213"/>
      <c r="M211" s="213"/>
      <c r="N211" s="213"/>
      <c r="O211" s="213"/>
      <c r="P211" s="213"/>
      <c r="Q211" s="213"/>
      <c r="R211" s="213"/>
      <c r="S211" s="213"/>
      <c r="T211" s="213"/>
      <c r="U211" s="213"/>
      <c r="V211" s="213"/>
      <c r="W211" s="213"/>
      <c r="X211" s="213"/>
      <c r="Y211" s="213"/>
      <c r="Z211" s="213"/>
      <c r="AA211" s="213"/>
      <c r="AB211" s="213"/>
      <c r="AC211" s="213"/>
      <c r="AD211" s="213"/>
      <c r="AE211" s="213"/>
      <c r="AF211" s="213"/>
      <c r="AG211" s="213"/>
      <c r="AH211" s="213"/>
      <c r="AI211" s="213"/>
      <c r="AJ211" s="213"/>
      <c r="AK211" s="213"/>
      <c r="AL211" s="213"/>
      <c r="AM211" s="213"/>
      <c r="AN211" s="213"/>
      <c r="AO211" s="213"/>
      <c r="AP211" s="213"/>
      <c r="AQ211" s="213"/>
      <c r="AR211" s="211"/>
      <c r="AS211" s="211"/>
      <c r="AT211" s="211"/>
      <c r="AU211" s="211"/>
      <c r="AV211" s="211"/>
      <c r="AW211" s="211"/>
    </row>
    <row r="212" spans="1:49" ht="15" customHeight="1" x14ac:dyDescent="0.2">
      <c r="A212" s="41" t="str">
        <f t="shared" si="761"/>
        <v/>
      </c>
      <c r="B212" s="44" t="str" cm="1">
        <f t="array" aca="1" ref="B212" ca="1">IF(INDIRECT(_xlfn.CONCAT($AK365,B$364))="+","+",IF(ISNUMBER(INDIRECT(_xlfn.CONCAT($AK365,B$363))),"-",""))</f>
        <v/>
      </c>
      <c r="C212" s="41" t="str">
        <f ca="1">B212</f>
        <v/>
      </c>
      <c r="D212" s="41" t="str">
        <f t="shared" ref="D212" ca="1" si="1032">C212</f>
        <v/>
      </c>
      <c r="E212" s="41" t="str">
        <f t="shared" ref="E212" ca="1" si="1033">D212</f>
        <v/>
      </c>
      <c r="F212" s="41" t="str">
        <f t="shared" ref="F212" ca="1" si="1034">E212</f>
        <v/>
      </c>
      <c r="G212" s="41" t="str">
        <f t="shared" ref="G212" ca="1" si="1035">F212</f>
        <v/>
      </c>
      <c r="H212" s="41" t="str">
        <f t="shared" ref="H212" ca="1" si="1036">G212</f>
        <v/>
      </c>
      <c r="I212" s="44" t="str" cm="1">
        <f t="array" aca="1" ref="I212" ca="1">IF(INDIRECT(_xlfn.CONCAT($AK365,C$364))="+","+",IF(ISNUMBER(INDIRECT(_xlfn.CONCAT($AK365,C$363))),"-",""))</f>
        <v/>
      </c>
      <c r="J212" s="41" t="str">
        <f ca="1">I212</f>
        <v/>
      </c>
      <c r="K212" s="41" t="str">
        <f t="shared" ref="K212" ca="1" si="1037">J212</f>
        <v/>
      </c>
      <c r="L212" s="41" t="str">
        <f t="shared" ref="L212" ca="1" si="1038">K212</f>
        <v/>
      </c>
      <c r="M212" s="41" t="str">
        <f t="shared" ref="M212" ca="1" si="1039">L212</f>
        <v/>
      </c>
      <c r="N212" s="41" t="str">
        <f t="shared" ref="N212" ca="1" si="1040">M212</f>
        <v/>
      </c>
      <c r="O212" s="41" t="str">
        <f t="shared" ref="O212" ca="1" si="1041">N212</f>
        <v/>
      </c>
      <c r="P212" s="44" t="str" cm="1">
        <f t="array" aca="1" ref="P212" ca="1">IF(INDIRECT(_xlfn.CONCAT($AK365,D$364))="+","+",IF(ISNUMBER(INDIRECT(_xlfn.CONCAT($AK365,D$363))),"-",""))</f>
        <v/>
      </c>
      <c r="Q212" s="41" t="str">
        <f ca="1">P212</f>
        <v/>
      </c>
      <c r="R212" s="41" t="str">
        <f t="shared" ref="R212" ca="1" si="1042">Q212</f>
        <v/>
      </c>
      <c r="S212" s="41" t="str">
        <f t="shared" ref="S212" ca="1" si="1043">R212</f>
        <v/>
      </c>
      <c r="T212" s="41" t="str">
        <f t="shared" ref="T212" ca="1" si="1044">S212</f>
        <v/>
      </c>
      <c r="U212" s="41" t="str">
        <f t="shared" ref="U212" ca="1" si="1045">T212</f>
        <v/>
      </c>
      <c r="V212" s="41" t="str">
        <f t="shared" ref="V212" ca="1" si="1046">U212</f>
        <v/>
      </c>
      <c r="W212" s="44" t="str" cm="1">
        <f t="array" aca="1" ref="W212" ca="1">IF(INDIRECT(_xlfn.CONCAT($AK365,E$364))="+","+",IF(ISNUMBER(INDIRECT(_xlfn.CONCAT($AK365,E$363))),"-",""))</f>
        <v/>
      </c>
      <c r="X212" s="41" t="str">
        <f ca="1">W212</f>
        <v/>
      </c>
      <c r="Y212" s="41" t="str">
        <f t="shared" ref="Y212" ca="1" si="1047">X212</f>
        <v/>
      </c>
      <c r="Z212" s="41" t="str">
        <f t="shared" ref="Z212" ca="1" si="1048">Y212</f>
        <v/>
      </c>
      <c r="AA212" s="41" t="str">
        <f t="shared" ref="AA212" ca="1" si="1049">Z212</f>
        <v/>
      </c>
      <c r="AB212" s="41" t="str">
        <f t="shared" ref="AB212" ca="1" si="1050">AA212</f>
        <v/>
      </c>
      <c r="AC212" s="41" t="str">
        <f t="shared" ref="AC212" ca="1" si="1051">AB212</f>
        <v/>
      </c>
      <c r="AD212" s="44" t="str" cm="1">
        <f t="array" aca="1" ref="AD212" ca="1">IF(INDIRECT(_xlfn.CONCAT($AK365,F$364))="+","+",IF(ISNUMBER(INDIRECT(_xlfn.CONCAT($AK365,F$363))),"-",""))</f>
        <v/>
      </c>
      <c r="AE212" s="41" t="str">
        <f ca="1">AD212</f>
        <v/>
      </c>
      <c r="AF212" s="41" t="str">
        <f t="shared" ref="AF212" ca="1" si="1052">AE212</f>
        <v/>
      </c>
      <c r="AG212" s="41" t="str">
        <f t="shared" ref="AG212" ca="1" si="1053">AF212</f>
        <v/>
      </c>
      <c r="AH212" s="41" t="str">
        <f t="shared" ref="AH212" ca="1" si="1054">AG212</f>
        <v/>
      </c>
      <c r="AI212" s="41" t="str">
        <f t="shared" ref="AI212" ca="1" si="1055">AH212</f>
        <v/>
      </c>
      <c r="AJ212" s="41" t="str">
        <f t="shared" ref="AJ212" ca="1" si="1056">AI212</f>
        <v/>
      </c>
      <c r="AK212" s="44" t="str" cm="1">
        <f t="array" aca="1" ref="AK212" ca="1">IF(INDIRECT(_xlfn.CONCAT($AK365,G$364))="+","+",IF(ISNUMBER(INDIRECT(_xlfn.CONCAT($AK365,G$363))),"-",""))</f>
        <v/>
      </c>
      <c r="AL212" s="41" t="str">
        <f ca="1">AK212</f>
        <v/>
      </c>
      <c r="AM212" s="41" t="str">
        <f t="shared" ref="AM212" ca="1" si="1057">AL212</f>
        <v/>
      </c>
      <c r="AN212" s="41" t="str">
        <f t="shared" ref="AN212" ca="1" si="1058">AM212</f>
        <v/>
      </c>
      <c r="AO212" s="41" t="str">
        <f t="shared" ref="AO212" ca="1" si="1059">AN212</f>
        <v/>
      </c>
      <c r="AP212" s="41" t="str">
        <f t="shared" ref="AP212" ca="1" si="1060">AO212</f>
        <v/>
      </c>
      <c r="AQ212" s="41" t="str">
        <f t="shared" ref="AQ212" ca="1" si="1061">AP212</f>
        <v/>
      </c>
      <c r="AR212" s="44"/>
      <c r="AS212" s="41"/>
      <c r="AT212" s="41"/>
      <c r="AU212" s="41"/>
      <c r="AV212" s="41"/>
      <c r="AW212" s="41"/>
    </row>
    <row r="213" spans="1:49" ht="15" customHeight="1" x14ac:dyDescent="0.2">
      <c r="A213" s="41" t="str">
        <f t="shared" si="761"/>
        <v/>
      </c>
      <c r="B213" s="45" t="str" cm="1">
        <f t="array" aca="1" ref="B213" ca="1">IF(ISBLANK(INDIRECT(_xlfn.CONCAT($AK390,B$389))),"",INDIRECT(_xlfn.CONCAT($AK390,B$389)))</f>
        <v/>
      </c>
      <c r="C213" s="45"/>
      <c r="D213" s="45"/>
      <c r="E213" s="45"/>
      <c r="F213" s="45"/>
      <c r="G213" s="45"/>
      <c r="H213" s="45"/>
      <c r="I213" s="45" t="str" cm="1">
        <f t="array" aca="1" ref="I213" ca="1">IF(ISBLANK(INDIRECT(_xlfn.CONCAT($AK390,C$389))),"",INDIRECT(_xlfn.CONCAT($AK390,C$389)))</f>
        <v/>
      </c>
      <c r="J213" s="45"/>
      <c r="K213" s="45"/>
      <c r="L213" s="45"/>
      <c r="M213" s="45"/>
      <c r="N213" s="45"/>
      <c r="O213" s="45"/>
      <c r="P213" s="45" t="str" cm="1">
        <f t="array" aca="1" ref="P213" ca="1">IF(ISBLANK(INDIRECT(_xlfn.CONCAT($AK390,D$389))),"",INDIRECT(_xlfn.CONCAT($AK390,D$389)))</f>
        <v/>
      </c>
      <c r="Q213" s="45"/>
      <c r="R213" s="45"/>
      <c r="S213" s="45"/>
      <c r="T213" s="45"/>
      <c r="U213" s="45"/>
      <c r="V213" s="45"/>
      <c r="W213" s="45" t="str" cm="1">
        <f t="array" aca="1" ref="W213" ca="1">IF(ISBLANK(INDIRECT(_xlfn.CONCAT($AK390,E$389))),"",INDIRECT(_xlfn.CONCAT($AK390,E$389)))</f>
        <v/>
      </c>
      <c r="X213" s="45"/>
      <c r="Y213" s="45"/>
      <c r="Z213" s="45"/>
      <c r="AA213" s="45"/>
      <c r="AB213" s="45"/>
      <c r="AC213" s="45"/>
      <c r="AD213" s="45" t="str" cm="1">
        <f t="array" aca="1" ref="AD213" ca="1">IF(ISBLANK(INDIRECT(_xlfn.CONCAT($AK390,F$389))),"",INDIRECT(_xlfn.CONCAT($AK390,F$389)))</f>
        <v/>
      </c>
      <c r="AE213" s="45"/>
      <c r="AF213" s="45"/>
      <c r="AG213" s="45"/>
      <c r="AH213" s="45"/>
      <c r="AI213" s="45"/>
      <c r="AJ213" s="45"/>
      <c r="AK213" s="45" t="str" cm="1">
        <f t="array" aca="1" ref="AK213" ca="1">IF(ISBLANK(INDIRECT(_xlfn.CONCAT($AK390,G$389))),"",INDIRECT(_xlfn.CONCAT($AK390,G$389)))</f>
        <v/>
      </c>
      <c r="AL213" s="45"/>
      <c r="AM213" s="45"/>
      <c r="AN213" s="45"/>
      <c r="AO213" s="45"/>
      <c r="AP213" s="45"/>
      <c r="AQ213" s="45"/>
      <c r="AR213" s="45"/>
      <c r="AS213" s="46"/>
      <c r="AT213" s="46"/>
      <c r="AU213" s="46"/>
      <c r="AV213" s="46"/>
      <c r="AW213" s="46"/>
    </row>
    <row r="214" spans="1:49" ht="15" customHeight="1" x14ac:dyDescent="0.2">
      <c r="A214" s="41" t="str">
        <f t="shared" si="761"/>
        <v/>
      </c>
      <c r="B214" s="213" t="str" cm="1">
        <f t="array" ref="B214">IF(INDEX($U$427:$CB$432,B$436,$AK437)="-","",INDEX($U$427:$CB$432,B$436,$AK437))</f>
        <v/>
      </c>
      <c r="C214" s="213"/>
      <c r="D214" s="213"/>
      <c r="E214" s="213"/>
      <c r="F214" s="213"/>
      <c r="G214" s="213"/>
      <c r="H214" s="213"/>
      <c r="I214" s="213" t="str" cm="1">
        <f t="array" ref="I214">IF(INDEX($U$427:$CB$432,C$436,$AK437)="-","",INDEX($U$427:$CB$432,C$436,$AK437))</f>
        <v/>
      </c>
      <c r="J214" s="213"/>
      <c r="K214" s="213"/>
      <c r="L214" s="213"/>
      <c r="M214" s="213"/>
      <c r="N214" s="213"/>
      <c r="O214" s="213"/>
      <c r="P214" s="213" t="str" cm="1">
        <f t="array" ref="P214">IF(INDEX($U$427:$CB$432,D$436,$AK437)="-","",INDEX($U$427:$CB$432,D$436,$AK437))</f>
        <v/>
      </c>
      <c r="Q214" s="213"/>
      <c r="R214" s="213"/>
      <c r="S214" s="213"/>
      <c r="T214" s="213"/>
      <c r="U214" s="213"/>
      <c r="V214" s="213"/>
      <c r="W214" s="213" t="str" cm="1">
        <f t="array" ref="W214">IF(INDEX($U$427:$CB$432,E$436,$AK437)="-","",INDEX($U$427:$CB$432,E$436,$AK437))</f>
        <v/>
      </c>
      <c r="X214" s="213"/>
      <c r="Y214" s="213"/>
      <c r="Z214" s="213"/>
      <c r="AA214" s="213"/>
      <c r="AB214" s="213"/>
      <c r="AC214" s="213"/>
      <c r="AD214" s="213" t="str" cm="1">
        <f t="array" ref="AD214">IF(INDEX($U$427:$CB$432,F$436,$AK437)="-","",INDEX($U$427:$CB$432,F$436,$AK437))</f>
        <v/>
      </c>
      <c r="AE214" s="213"/>
      <c r="AF214" s="213"/>
      <c r="AG214" s="213"/>
      <c r="AH214" s="213"/>
      <c r="AI214" s="213"/>
      <c r="AJ214" s="213"/>
      <c r="AK214" s="213" t="str" cm="1">
        <f t="array" ref="AK214">IF(INDEX($U$427:$CB$432,G$436,$AK437)="-","",INDEX($U$427:$CB$432,G$436,$AK437))</f>
        <v/>
      </c>
      <c r="AL214" s="213"/>
      <c r="AM214" s="213"/>
      <c r="AN214" s="213"/>
      <c r="AO214" s="213"/>
      <c r="AP214" s="213"/>
      <c r="AQ214" s="213"/>
      <c r="AR214" s="211"/>
      <c r="AS214" s="211"/>
      <c r="AT214" s="211"/>
      <c r="AU214" s="211"/>
      <c r="AV214" s="211"/>
      <c r="AW214" s="211"/>
    </row>
    <row r="215" spans="1:49" ht="15" customHeight="1" x14ac:dyDescent="0.2">
      <c r="A215" s="41" t="str">
        <f t="shared" si="761"/>
        <v/>
      </c>
      <c r="B215" s="213"/>
      <c r="C215" s="213"/>
      <c r="D215" s="213"/>
      <c r="E215" s="213"/>
      <c r="F215" s="213"/>
      <c r="G215" s="213"/>
      <c r="H215" s="213"/>
      <c r="I215" s="213"/>
      <c r="J215" s="213"/>
      <c r="K215" s="213"/>
      <c r="L215" s="213"/>
      <c r="M215" s="213"/>
      <c r="N215" s="213"/>
      <c r="O215" s="213"/>
      <c r="P215" s="213"/>
      <c r="Q215" s="213"/>
      <c r="R215" s="213"/>
      <c r="S215" s="213"/>
      <c r="T215" s="213"/>
      <c r="U215" s="213"/>
      <c r="V215" s="213"/>
      <c r="W215" s="213"/>
      <c r="X215" s="213"/>
      <c r="Y215" s="213"/>
      <c r="Z215" s="213"/>
      <c r="AA215" s="213"/>
      <c r="AB215" s="213"/>
      <c r="AC215" s="213"/>
      <c r="AD215" s="213"/>
      <c r="AE215" s="213"/>
      <c r="AF215" s="213"/>
      <c r="AG215" s="213"/>
      <c r="AH215" s="213"/>
      <c r="AI215" s="213"/>
      <c r="AJ215" s="213"/>
      <c r="AK215" s="213"/>
      <c r="AL215" s="213"/>
      <c r="AM215" s="213"/>
      <c r="AN215" s="213"/>
      <c r="AO215" s="213"/>
      <c r="AP215" s="213"/>
      <c r="AQ215" s="213"/>
      <c r="AR215" s="211"/>
      <c r="AS215" s="211"/>
      <c r="AT215" s="211"/>
      <c r="AU215" s="211"/>
      <c r="AV215" s="211"/>
      <c r="AW215" s="211"/>
    </row>
    <row r="216" spans="1:49" ht="15" customHeight="1" x14ac:dyDescent="0.2">
      <c r="A216" s="41" t="str">
        <f t="shared" si="761"/>
        <v/>
      </c>
      <c r="B216" s="213"/>
      <c r="C216" s="213"/>
      <c r="D216" s="213"/>
      <c r="E216" s="213"/>
      <c r="F216" s="213"/>
      <c r="G216" s="213"/>
      <c r="H216" s="213"/>
      <c r="I216" s="213"/>
      <c r="J216" s="213"/>
      <c r="K216" s="213"/>
      <c r="L216" s="213"/>
      <c r="M216" s="213"/>
      <c r="N216" s="213"/>
      <c r="O216" s="213"/>
      <c r="P216" s="213"/>
      <c r="Q216" s="213"/>
      <c r="R216" s="213"/>
      <c r="S216" s="213"/>
      <c r="T216" s="213"/>
      <c r="U216" s="213"/>
      <c r="V216" s="213"/>
      <c r="W216" s="213"/>
      <c r="X216" s="213"/>
      <c r="Y216" s="213"/>
      <c r="Z216" s="213"/>
      <c r="AA216" s="213"/>
      <c r="AB216" s="213"/>
      <c r="AC216" s="213"/>
      <c r="AD216" s="213"/>
      <c r="AE216" s="213"/>
      <c r="AF216" s="213"/>
      <c r="AG216" s="213"/>
      <c r="AH216" s="213"/>
      <c r="AI216" s="213"/>
      <c r="AJ216" s="213"/>
      <c r="AK216" s="213"/>
      <c r="AL216" s="213"/>
      <c r="AM216" s="213"/>
      <c r="AN216" s="213"/>
      <c r="AO216" s="213"/>
      <c r="AP216" s="213"/>
      <c r="AQ216" s="213"/>
      <c r="AR216" s="211"/>
      <c r="AS216" s="211"/>
      <c r="AT216" s="211"/>
      <c r="AU216" s="211"/>
      <c r="AV216" s="211"/>
      <c r="AW216" s="211"/>
    </row>
    <row r="217" spans="1:49" ht="15" customHeight="1" x14ac:dyDescent="0.2">
      <c r="A217" s="41" t="str">
        <f t="shared" si="761"/>
        <v/>
      </c>
      <c r="B217" s="44" t="str" cm="1">
        <f t="array" aca="1" ref="B217" ca="1">IF(INDIRECT(_xlfn.CONCAT($AL365,B$364))="+","+",IF(ISNUMBER(INDIRECT(_xlfn.CONCAT($AL365,B$363))),"-",""))</f>
        <v/>
      </c>
      <c r="C217" s="41" t="str">
        <f ca="1">B217</f>
        <v/>
      </c>
      <c r="D217" s="41" t="str">
        <f t="shared" ref="D217" ca="1" si="1062">C217</f>
        <v/>
      </c>
      <c r="E217" s="41" t="str">
        <f t="shared" ref="E217" ca="1" si="1063">D217</f>
        <v/>
      </c>
      <c r="F217" s="41" t="str">
        <f t="shared" ref="F217" ca="1" si="1064">E217</f>
        <v/>
      </c>
      <c r="G217" s="41" t="str">
        <f t="shared" ref="G217" ca="1" si="1065">F217</f>
        <v/>
      </c>
      <c r="H217" s="41" t="str">
        <f t="shared" ref="H217" ca="1" si="1066">G217</f>
        <v/>
      </c>
      <c r="I217" s="44" t="str" cm="1">
        <f t="array" aca="1" ref="I217" ca="1">IF(INDIRECT(_xlfn.CONCAT($AL365,C$364))="+","+",IF(ISNUMBER(INDIRECT(_xlfn.CONCAT($AL365,C$363))),"-",""))</f>
        <v/>
      </c>
      <c r="J217" s="41" t="str">
        <f ca="1">I217</f>
        <v/>
      </c>
      <c r="K217" s="41" t="str">
        <f t="shared" ref="K217" ca="1" si="1067">J217</f>
        <v/>
      </c>
      <c r="L217" s="41" t="str">
        <f t="shared" ref="L217" ca="1" si="1068">K217</f>
        <v/>
      </c>
      <c r="M217" s="41" t="str">
        <f t="shared" ref="M217" ca="1" si="1069">L217</f>
        <v/>
      </c>
      <c r="N217" s="41" t="str">
        <f t="shared" ref="N217" ca="1" si="1070">M217</f>
        <v/>
      </c>
      <c r="O217" s="41" t="str">
        <f t="shared" ref="O217" ca="1" si="1071">N217</f>
        <v/>
      </c>
      <c r="P217" s="44" t="str" cm="1">
        <f t="array" aca="1" ref="P217" ca="1">IF(INDIRECT(_xlfn.CONCAT($AL365,D$364))="+","+",IF(ISNUMBER(INDIRECT(_xlfn.CONCAT($AL365,D$363))),"-",""))</f>
        <v/>
      </c>
      <c r="Q217" s="41" t="str">
        <f ca="1">P217</f>
        <v/>
      </c>
      <c r="R217" s="41" t="str">
        <f t="shared" ref="R217" ca="1" si="1072">Q217</f>
        <v/>
      </c>
      <c r="S217" s="41" t="str">
        <f t="shared" ref="S217" ca="1" si="1073">R217</f>
        <v/>
      </c>
      <c r="T217" s="41" t="str">
        <f t="shared" ref="T217" ca="1" si="1074">S217</f>
        <v/>
      </c>
      <c r="U217" s="41" t="str">
        <f t="shared" ref="U217" ca="1" si="1075">T217</f>
        <v/>
      </c>
      <c r="V217" s="41" t="str">
        <f t="shared" ref="V217" ca="1" si="1076">U217</f>
        <v/>
      </c>
      <c r="W217" s="44" t="str" cm="1">
        <f t="array" aca="1" ref="W217" ca="1">IF(INDIRECT(_xlfn.CONCAT($AL365,E$364))="+","+",IF(ISNUMBER(INDIRECT(_xlfn.CONCAT($AL365,E$363))),"-",""))</f>
        <v/>
      </c>
      <c r="X217" s="41" t="str">
        <f ca="1">W217</f>
        <v/>
      </c>
      <c r="Y217" s="41" t="str">
        <f t="shared" ref="Y217" ca="1" si="1077">X217</f>
        <v/>
      </c>
      <c r="Z217" s="41" t="str">
        <f t="shared" ref="Z217" ca="1" si="1078">Y217</f>
        <v/>
      </c>
      <c r="AA217" s="41" t="str">
        <f t="shared" ref="AA217" ca="1" si="1079">Z217</f>
        <v/>
      </c>
      <c r="AB217" s="41" t="str">
        <f t="shared" ref="AB217" ca="1" si="1080">AA217</f>
        <v/>
      </c>
      <c r="AC217" s="41" t="str">
        <f t="shared" ref="AC217" ca="1" si="1081">AB217</f>
        <v/>
      </c>
      <c r="AD217" s="44" t="str" cm="1">
        <f t="array" aca="1" ref="AD217" ca="1">IF(INDIRECT(_xlfn.CONCAT($AL365,F$364))="+","+",IF(ISNUMBER(INDIRECT(_xlfn.CONCAT($AL365,F$363))),"-",""))</f>
        <v/>
      </c>
      <c r="AE217" s="41" t="str">
        <f ca="1">AD217</f>
        <v/>
      </c>
      <c r="AF217" s="41" t="str">
        <f t="shared" ref="AF217" ca="1" si="1082">AE217</f>
        <v/>
      </c>
      <c r="AG217" s="41" t="str">
        <f t="shared" ref="AG217" ca="1" si="1083">AF217</f>
        <v/>
      </c>
      <c r="AH217" s="41" t="str">
        <f t="shared" ref="AH217" ca="1" si="1084">AG217</f>
        <v/>
      </c>
      <c r="AI217" s="41" t="str">
        <f t="shared" ref="AI217" ca="1" si="1085">AH217</f>
        <v/>
      </c>
      <c r="AJ217" s="41" t="str">
        <f t="shared" ref="AJ217" ca="1" si="1086">AI217</f>
        <v/>
      </c>
      <c r="AK217" s="44" t="str" cm="1">
        <f t="array" aca="1" ref="AK217" ca="1">IF(INDIRECT(_xlfn.CONCAT($AL365,G$364))="+","+",IF(ISNUMBER(INDIRECT(_xlfn.CONCAT($AL365,G$363))),"-",""))</f>
        <v/>
      </c>
      <c r="AL217" s="41" t="str">
        <f ca="1">AK217</f>
        <v/>
      </c>
      <c r="AM217" s="41" t="str">
        <f t="shared" ref="AM217" ca="1" si="1087">AL217</f>
        <v/>
      </c>
      <c r="AN217" s="41" t="str">
        <f t="shared" ref="AN217" ca="1" si="1088">AM217</f>
        <v/>
      </c>
      <c r="AO217" s="41" t="str">
        <f t="shared" ref="AO217" ca="1" si="1089">AN217</f>
        <v/>
      </c>
      <c r="AP217" s="41" t="str">
        <f t="shared" ref="AP217" ca="1" si="1090">AO217</f>
        <v/>
      </c>
      <c r="AQ217" s="41" t="str">
        <f t="shared" ref="AQ217" ca="1" si="1091">AP217</f>
        <v/>
      </c>
      <c r="AR217" s="44"/>
      <c r="AS217" s="41"/>
      <c r="AT217" s="41"/>
      <c r="AU217" s="41"/>
      <c r="AV217" s="41"/>
      <c r="AW217" s="41"/>
    </row>
    <row r="218" spans="1:49" ht="15" customHeight="1" x14ac:dyDescent="0.2">
      <c r="A218" s="41" t="str">
        <f t="shared" si="761"/>
        <v/>
      </c>
      <c r="B218" s="45" t="str" cm="1">
        <f t="array" aca="1" ref="B218" ca="1">IF(ISBLANK(INDIRECT(_xlfn.CONCAT($AL390,B$389))),"",INDIRECT(_xlfn.CONCAT($AL390,B$389)))</f>
        <v/>
      </c>
      <c r="C218" s="45"/>
      <c r="D218" s="45"/>
      <c r="E218" s="45"/>
      <c r="F218" s="45"/>
      <c r="G218" s="45"/>
      <c r="H218" s="45"/>
      <c r="I218" s="45" t="str" cm="1">
        <f t="array" aca="1" ref="I218" ca="1">IF(ISBLANK(INDIRECT(_xlfn.CONCAT($AL390,C$389))),"",INDIRECT(_xlfn.CONCAT($AL390,C$389)))</f>
        <v/>
      </c>
      <c r="J218" s="45"/>
      <c r="K218" s="45"/>
      <c r="L218" s="45"/>
      <c r="M218" s="45"/>
      <c r="N218" s="45"/>
      <c r="O218" s="45"/>
      <c r="P218" s="45" t="str" cm="1">
        <f t="array" aca="1" ref="P218" ca="1">IF(ISBLANK(INDIRECT(_xlfn.CONCAT($AL390,D$389))),"",INDIRECT(_xlfn.CONCAT($AL390,D$389)))</f>
        <v/>
      </c>
      <c r="Q218" s="45"/>
      <c r="R218" s="45"/>
      <c r="S218" s="45"/>
      <c r="T218" s="45"/>
      <c r="U218" s="45"/>
      <c r="V218" s="45"/>
      <c r="W218" s="45" t="str" cm="1">
        <f t="array" aca="1" ref="W218" ca="1">IF(ISBLANK(INDIRECT(_xlfn.CONCAT($AL390,E$389))),"",INDIRECT(_xlfn.CONCAT($AL390,E$389)))</f>
        <v/>
      </c>
      <c r="X218" s="45"/>
      <c r="Y218" s="45"/>
      <c r="Z218" s="45"/>
      <c r="AA218" s="45"/>
      <c r="AB218" s="45"/>
      <c r="AC218" s="45"/>
      <c r="AD218" s="45" t="str" cm="1">
        <f t="array" aca="1" ref="AD218" ca="1">IF(ISBLANK(INDIRECT(_xlfn.CONCAT($AL390,F$389))),"",INDIRECT(_xlfn.CONCAT($AL390,F$389)))</f>
        <v/>
      </c>
      <c r="AE218" s="45"/>
      <c r="AF218" s="45"/>
      <c r="AG218" s="45"/>
      <c r="AH218" s="45"/>
      <c r="AI218" s="45"/>
      <c r="AJ218" s="45"/>
      <c r="AK218" s="45" t="str" cm="1">
        <f t="array" aca="1" ref="AK218" ca="1">IF(ISBLANK(INDIRECT(_xlfn.CONCAT($AL390,G$389))),"",INDIRECT(_xlfn.CONCAT($AL390,G$389)))</f>
        <v/>
      </c>
      <c r="AL218" s="45"/>
      <c r="AM218" s="45"/>
      <c r="AN218" s="45"/>
      <c r="AO218" s="45"/>
      <c r="AP218" s="45"/>
      <c r="AQ218" s="45"/>
      <c r="AR218" s="45"/>
      <c r="AS218" s="46"/>
      <c r="AT218" s="46"/>
      <c r="AU218" s="46"/>
      <c r="AV218" s="46"/>
      <c r="AW218" s="46"/>
    </row>
    <row r="219" spans="1:49" ht="15" customHeight="1" x14ac:dyDescent="0.2">
      <c r="A219" s="41" t="str">
        <f t="shared" si="761"/>
        <v/>
      </c>
      <c r="B219" s="213" t="str" cm="1">
        <f t="array" ref="B219">IF(INDEX($U$427:$CB$432,B$436,$AL437)="-","",INDEX($U$427:$CB$432,B$436,$AL437))</f>
        <v/>
      </c>
      <c r="C219" s="213"/>
      <c r="D219" s="213"/>
      <c r="E219" s="213"/>
      <c r="F219" s="213"/>
      <c r="G219" s="213"/>
      <c r="H219" s="213"/>
      <c r="I219" s="213" t="str" cm="1">
        <f t="array" ref="I219">IF(INDEX($U$427:$CB$432,C$436,$AL437)="-","",INDEX($U$427:$CB$432,C$436,$AL437))</f>
        <v/>
      </c>
      <c r="J219" s="213"/>
      <c r="K219" s="213"/>
      <c r="L219" s="213"/>
      <c r="M219" s="213"/>
      <c r="N219" s="213"/>
      <c r="O219" s="213"/>
      <c r="P219" s="213" t="str" cm="1">
        <f t="array" ref="P219">IF(INDEX($U$427:$CB$432,D$436,$AL437)="-","",INDEX($U$427:$CB$432,D$436,$AL437))</f>
        <v/>
      </c>
      <c r="Q219" s="213"/>
      <c r="R219" s="213"/>
      <c r="S219" s="213"/>
      <c r="T219" s="213"/>
      <c r="U219" s="213"/>
      <c r="V219" s="213"/>
      <c r="W219" s="213" t="str" cm="1">
        <f t="array" ref="W219">IF(INDEX($U$427:$CB$432,E$436,$AL437)="-","",INDEX($U$427:$CB$432,E$436,$AL437))</f>
        <v/>
      </c>
      <c r="X219" s="213"/>
      <c r="Y219" s="213"/>
      <c r="Z219" s="213"/>
      <c r="AA219" s="213"/>
      <c r="AB219" s="213"/>
      <c r="AC219" s="213"/>
      <c r="AD219" s="213" t="str" cm="1">
        <f t="array" ref="AD219">IF(INDEX($U$427:$CB$432,F$436,$AL437)="-","",INDEX($U$427:$CB$432,F$436,$AL437))</f>
        <v/>
      </c>
      <c r="AE219" s="213"/>
      <c r="AF219" s="213"/>
      <c r="AG219" s="213"/>
      <c r="AH219" s="213"/>
      <c r="AI219" s="213"/>
      <c r="AJ219" s="213"/>
      <c r="AK219" s="213" t="str" cm="1">
        <f t="array" ref="AK219">IF(INDEX($U$427:$CB$432,G$436,$AL437)="-","",INDEX($U$427:$CB$432,G$436,$AL437))</f>
        <v/>
      </c>
      <c r="AL219" s="213"/>
      <c r="AM219" s="213"/>
      <c r="AN219" s="213"/>
      <c r="AO219" s="213"/>
      <c r="AP219" s="213"/>
      <c r="AQ219" s="213"/>
      <c r="AR219" s="211"/>
      <c r="AS219" s="211"/>
      <c r="AT219" s="211"/>
      <c r="AU219" s="211"/>
      <c r="AV219" s="211"/>
      <c r="AW219" s="211"/>
    </row>
    <row r="220" spans="1:49" ht="15" customHeight="1" x14ac:dyDescent="0.2">
      <c r="A220" s="41" t="str">
        <f t="shared" si="761"/>
        <v/>
      </c>
      <c r="B220" s="213"/>
      <c r="C220" s="213"/>
      <c r="D220" s="213"/>
      <c r="E220" s="213"/>
      <c r="F220" s="213"/>
      <c r="G220" s="213"/>
      <c r="H220" s="213"/>
      <c r="I220" s="213"/>
      <c r="J220" s="213"/>
      <c r="K220" s="213"/>
      <c r="L220" s="213"/>
      <c r="M220" s="213"/>
      <c r="N220" s="213"/>
      <c r="O220" s="213"/>
      <c r="P220" s="213"/>
      <c r="Q220" s="213"/>
      <c r="R220" s="213"/>
      <c r="S220" s="213"/>
      <c r="T220" s="213"/>
      <c r="U220" s="213"/>
      <c r="V220" s="213"/>
      <c r="W220" s="213"/>
      <c r="X220" s="213"/>
      <c r="Y220" s="213"/>
      <c r="Z220" s="213"/>
      <c r="AA220" s="213"/>
      <c r="AB220" s="213"/>
      <c r="AC220" s="213"/>
      <c r="AD220" s="213"/>
      <c r="AE220" s="213"/>
      <c r="AF220" s="213"/>
      <c r="AG220" s="213"/>
      <c r="AH220" s="213"/>
      <c r="AI220" s="213"/>
      <c r="AJ220" s="213"/>
      <c r="AK220" s="213"/>
      <c r="AL220" s="213"/>
      <c r="AM220" s="213"/>
      <c r="AN220" s="213"/>
      <c r="AO220" s="213"/>
      <c r="AP220" s="213"/>
      <c r="AQ220" s="213"/>
      <c r="AR220" s="211"/>
      <c r="AS220" s="211"/>
      <c r="AT220" s="211"/>
      <c r="AU220" s="211"/>
      <c r="AV220" s="211"/>
      <c r="AW220" s="211"/>
    </row>
    <row r="221" spans="1:49" ht="15" customHeight="1" x14ac:dyDescent="0.2">
      <c r="A221" s="41" t="str">
        <f t="shared" si="761"/>
        <v/>
      </c>
      <c r="B221" s="213"/>
      <c r="C221" s="213"/>
      <c r="D221" s="213"/>
      <c r="E221" s="213"/>
      <c r="F221" s="213"/>
      <c r="G221" s="213"/>
      <c r="H221" s="213"/>
      <c r="I221" s="213"/>
      <c r="J221" s="213"/>
      <c r="K221" s="213"/>
      <c r="L221" s="213"/>
      <c r="M221" s="213"/>
      <c r="N221" s="213"/>
      <c r="O221" s="213"/>
      <c r="P221" s="213"/>
      <c r="Q221" s="213"/>
      <c r="R221" s="213"/>
      <c r="S221" s="213"/>
      <c r="T221" s="213"/>
      <c r="U221" s="213"/>
      <c r="V221" s="213"/>
      <c r="W221" s="213"/>
      <c r="X221" s="213"/>
      <c r="Y221" s="213"/>
      <c r="Z221" s="213"/>
      <c r="AA221" s="213"/>
      <c r="AB221" s="213"/>
      <c r="AC221" s="213"/>
      <c r="AD221" s="213"/>
      <c r="AE221" s="213"/>
      <c r="AF221" s="213"/>
      <c r="AG221" s="213"/>
      <c r="AH221" s="213"/>
      <c r="AI221" s="213"/>
      <c r="AJ221" s="213"/>
      <c r="AK221" s="213"/>
      <c r="AL221" s="213"/>
      <c r="AM221" s="213"/>
      <c r="AN221" s="213"/>
      <c r="AO221" s="213"/>
      <c r="AP221" s="213"/>
      <c r="AQ221" s="213"/>
      <c r="AR221" s="211"/>
      <c r="AS221" s="211"/>
      <c r="AT221" s="211"/>
      <c r="AU221" s="211"/>
      <c r="AV221" s="211"/>
      <c r="AW221" s="211"/>
    </row>
    <row r="222" spans="1:49" ht="15" customHeight="1" x14ac:dyDescent="0.2">
      <c r="A222" s="41" t="str">
        <f t="shared" si="761"/>
        <v/>
      </c>
      <c r="B222" s="44" t="str" cm="1">
        <f t="array" aca="1" ref="B222" ca="1">IF(INDIRECT(_xlfn.CONCAT($AM365,B$364))="+","+",IF(ISNUMBER(INDIRECT(_xlfn.CONCAT($AM365,B$363))),"-",""))</f>
        <v/>
      </c>
      <c r="C222" s="41" t="str">
        <f ca="1">B222</f>
        <v/>
      </c>
      <c r="D222" s="41" t="str">
        <f t="shared" ref="D222" ca="1" si="1092">C222</f>
        <v/>
      </c>
      <c r="E222" s="41" t="str">
        <f t="shared" ref="E222" ca="1" si="1093">D222</f>
        <v/>
      </c>
      <c r="F222" s="41" t="str">
        <f t="shared" ref="F222" ca="1" si="1094">E222</f>
        <v/>
      </c>
      <c r="G222" s="41" t="str">
        <f t="shared" ref="G222" ca="1" si="1095">F222</f>
        <v/>
      </c>
      <c r="H222" s="41" t="str">
        <f t="shared" ref="H222" ca="1" si="1096">G222</f>
        <v/>
      </c>
      <c r="I222" s="44" t="str" cm="1">
        <f t="array" aca="1" ref="I222" ca="1">IF(INDIRECT(_xlfn.CONCAT($AM365,C$364))="+","+",IF(ISNUMBER(INDIRECT(_xlfn.CONCAT($AM365,C$363))),"-",""))</f>
        <v/>
      </c>
      <c r="J222" s="41" t="str">
        <f ca="1">I222</f>
        <v/>
      </c>
      <c r="K222" s="41" t="str">
        <f t="shared" ref="K222" ca="1" si="1097">J222</f>
        <v/>
      </c>
      <c r="L222" s="41" t="str">
        <f t="shared" ref="L222" ca="1" si="1098">K222</f>
        <v/>
      </c>
      <c r="M222" s="41" t="str">
        <f t="shared" ref="M222" ca="1" si="1099">L222</f>
        <v/>
      </c>
      <c r="N222" s="41" t="str">
        <f t="shared" ref="N222" ca="1" si="1100">M222</f>
        <v/>
      </c>
      <c r="O222" s="41" t="str">
        <f t="shared" ref="O222" ca="1" si="1101">N222</f>
        <v/>
      </c>
      <c r="P222" s="44" t="str" cm="1">
        <f t="array" aca="1" ref="P222" ca="1">IF(INDIRECT(_xlfn.CONCAT($AM365,D$364))="+","+",IF(ISNUMBER(INDIRECT(_xlfn.CONCAT($AM365,D$363))),"-",""))</f>
        <v/>
      </c>
      <c r="Q222" s="41" t="str">
        <f ca="1">P222</f>
        <v/>
      </c>
      <c r="R222" s="41" t="str">
        <f t="shared" ref="R222" ca="1" si="1102">Q222</f>
        <v/>
      </c>
      <c r="S222" s="41" t="str">
        <f t="shared" ref="S222" ca="1" si="1103">R222</f>
        <v/>
      </c>
      <c r="T222" s="41" t="str">
        <f t="shared" ref="T222" ca="1" si="1104">S222</f>
        <v/>
      </c>
      <c r="U222" s="41" t="str">
        <f t="shared" ref="U222" ca="1" si="1105">T222</f>
        <v/>
      </c>
      <c r="V222" s="41" t="str">
        <f t="shared" ref="V222" ca="1" si="1106">U222</f>
        <v/>
      </c>
      <c r="W222" s="44" t="str" cm="1">
        <f t="array" aca="1" ref="W222" ca="1">IF(INDIRECT(_xlfn.CONCAT($AM365,E$364))="+","+",IF(ISNUMBER(INDIRECT(_xlfn.CONCAT($AM365,E$363))),"-",""))</f>
        <v/>
      </c>
      <c r="X222" s="41" t="str">
        <f ca="1">W222</f>
        <v/>
      </c>
      <c r="Y222" s="41" t="str">
        <f t="shared" ref="Y222" ca="1" si="1107">X222</f>
        <v/>
      </c>
      <c r="Z222" s="41" t="str">
        <f t="shared" ref="Z222" ca="1" si="1108">Y222</f>
        <v/>
      </c>
      <c r="AA222" s="41" t="str">
        <f t="shared" ref="AA222" ca="1" si="1109">Z222</f>
        <v/>
      </c>
      <c r="AB222" s="41" t="str">
        <f t="shared" ref="AB222" ca="1" si="1110">AA222</f>
        <v/>
      </c>
      <c r="AC222" s="41" t="str">
        <f t="shared" ref="AC222" ca="1" si="1111">AB222</f>
        <v/>
      </c>
      <c r="AD222" s="44" t="str" cm="1">
        <f t="array" aca="1" ref="AD222" ca="1">IF(INDIRECT(_xlfn.CONCAT($AM365,F$364))="+","+",IF(ISNUMBER(INDIRECT(_xlfn.CONCAT($AM365,F$363))),"-",""))</f>
        <v/>
      </c>
      <c r="AE222" s="41" t="str">
        <f ca="1">AD222</f>
        <v/>
      </c>
      <c r="AF222" s="41" t="str">
        <f t="shared" ref="AF222" ca="1" si="1112">AE222</f>
        <v/>
      </c>
      <c r="AG222" s="41" t="str">
        <f t="shared" ref="AG222" ca="1" si="1113">AF222</f>
        <v/>
      </c>
      <c r="AH222" s="41" t="str">
        <f t="shared" ref="AH222" ca="1" si="1114">AG222</f>
        <v/>
      </c>
      <c r="AI222" s="41" t="str">
        <f t="shared" ref="AI222" ca="1" si="1115">AH222</f>
        <v/>
      </c>
      <c r="AJ222" s="41" t="str">
        <f t="shared" ref="AJ222" ca="1" si="1116">AI222</f>
        <v/>
      </c>
      <c r="AK222" s="44" t="str" cm="1">
        <f t="array" aca="1" ref="AK222" ca="1">IF(INDIRECT(_xlfn.CONCAT($AM365,G$364))="+","+",IF(ISNUMBER(INDIRECT(_xlfn.CONCAT($AM365,G$363))),"-",""))</f>
        <v/>
      </c>
      <c r="AL222" s="41" t="str">
        <f ca="1">AK222</f>
        <v/>
      </c>
      <c r="AM222" s="41" t="str">
        <f t="shared" ref="AM222" ca="1" si="1117">AL222</f>
        <v/>
      </c>
      <c r="AN222" s="41" t="str">
        <f t="shared" ref="AN222" ca="1" si="1118">AM222</f>
        <v/>
      </c>
      <c r="AO222" s="41" t="str">
        <f t="shared" ref="AO222" ca="1" si="1119">AN222</f>
        <v/>
      </c>
      <c r="AP222" s="41" t="str">
        <f t="shared" ref="AP222" ca="1" si="1120">AO222</f>
        <v/>
      </c>
      <c r="AQ222" s="41" t="str">
        <f t="shared" ref="AQ222" ca="1" si="1121">AP222</f>
        <v/>
      </c>
      <c r="AR222" s="44"/>
      <c r="AS222" s="41"/>
      <c r="AT222" s="41"/>
      <c r="AU222" s="41"/>
      <c r="AV222" s="41"/>
      <c r="AW222" s="41"/>
    </row>
    <row r="223" spans="1:49" ht="15" customHeight="1" x14ac:dyDescent="0.2">
      <c r="A223" s="41" t="str">
        <f t="shared" si="761"/>
        <v/>
      </c>
      <c r="B223" s="45" t="str" cm="1">
        <f t="array" aca="1" ref="B223" ca="1">IF(ISBLANK(INDIRECT(_xlfn.CONCAT($AM390,B$389))),"",INDIRECT(_xlfn.CONCAT($AM390,B$389)))</f>
        <v/>
      </c>
      <c r="C223" s="45"/>
      <c r="D223" s="45"/>
      <c r="E223" s="45"/>
      <c r="F223" s="45"/>
      <c r="G223" s="45"/>
      <c r="H223" s="45"/>
      <c r="I223" s="45" t="str" cm="1">
        <f t="array" aca="1" ref="I223" ca="1">IF(ISBLANK(INDIRECT(_xlfn.CONCAT($AM390,C$389))),"",INDIRECT(_xlfn.CONCAT($AM390,C$389)))</f>
        <v/>
      </c>
      <c r="J223" s="45"/>
      <c r="K223" s="45"/>
      <c r="L223" s="45"/>
      <c r="M223" s="45"/>
      <c r="N223" s="45"/>
      <c r="O223" s="45"/>
      <c r="P223" s="45" t="str" cm="1">
        <f t="array" aca="1" ref="P223" ca="1">IF(ISBLANK(INDIRECT(_xlfn.CONCAT($AM390,D$389))),"",INDIRECT(_xlfn.CONCAT($AM390,D$389)))</f>
        <v/>
      </c>
      <c r="Q223" s="45"/>
      <c r="R223" s="45"/>
      <c r="S223" s="45"/>
      <c r="T223" s="45"/>
      <c r="U223" s="45"/>
      <c r="V223" s="45"/>
      <c r="W223" s="45" t="str" cm="1">
        <f t="array" aca="1" ref="W223" ca="1">IF(ISBLANK(INDIRECT(_xlfn.CONCAT($AM390,E$389))),"",INDIRECT(_xlfn.CONCAT($AM390,E$389)))</f>
        <v/>
      </c>
      <c r="X223" s="45"/>
      <c r="Y223" s="45"/>
      <c r="Z223" s="45"/>
      <c r="AA223" s="45"/>
      <c r="AB223" s="45"/>
      <c r="AC223" s="45"/>
      <c r="AD223" s="45" t="str" cm="1">
        <f t="array" aca="1" ref="AD223" ca="1">IF(ISBLANK(INDIRECT(_xlfn.CONCAT($AM390,F$389))),"",INDIRECT(_xlfn.CONCAT($AM390,F$389)))</f>
        <v/>
      </c>
      <c r="AE223" s="45"/>
      <c r="AF223" s="45"/>
      <c r="AG223" s="45"/>
      <c r="AH223" s="45"/>
      <c r="AI223" s="45"/>
      <c r="AJ223" s="45"/>
      <c r="AK223" s="45" t="str" cm="1">
        <f t="array" aca="1" ref="AK223" ca="1">IF(ISBLANK(INDIRECT(_xlfn.CONCAT($AM390,G$389))),"",INDIRECT(_xlfn.CONCAT($AM390,G$389)))</f>
        <v/>
      </c>
      <c r="AL223" s="45"/>
      <c r="AM223" s="45"/>
      <c r="AN223" s="45"/>
      <c r="AO223" s="45"/>
      <c r="AP223" s="45"/>
      <c r="AQ223" s="45"/>
      <c r="AR223" s="45"/>
      <c r="AS223" s="46"/>
      <c r="AT223" s="46"/>
      <c r="AU223" s="46"/>
      <c r="AV223" s="46"/>
      <c r="AW223" s="46"/>
    </row>
    <row r="224" spans="1:49" ht="15" customHeight="1" x14ac:dyDescent="0.2">
      <c r="A224" s="41" t="str">
        <f t="shared" si="761"/>
        <v/>
      </c>
      <c r="B224" s="213" t="str" cm="1">
        <f t="array" ref="B224">IF(INDEX($U$427:$CB$432,B$436,$AM437)="-","",INDEX($U$427:$CB$432,B$436,$AM437))</f>
        <v/>
      </c>
      <c r="C224" s="213"/>
      <c r="D224" s="213"/>
      <c r="E224" s="213"/>
      <c r="F224" s="213"/>
      <c r="G224" s="213"/>
      <c r="H224" s="213"/>
      <c r="I224" s="213" t="str" cm="1">
        <f t="array" ref="I224">IF(INDEX($U$427:$CB$432,C$436,$AM437)="-","",INDEX($U$427:$CB$432,C$436,$AM437))</f>
        <v/>
      </c>
      <c r="J224" s="213"/>
      <c r="K224" s="213"/>
      <c r="L224" s="213"/>
      <c r="M224" s="213"/>
      <c r="N224" s="213"/>
      <c r="O224" s="213"/>
      <c r="P224" s="213" t="str" cm="1">
        <f t="array" ref="P224">IF(INDEX($U$427:$CB$432,D$436,$AM437)="-","",INDEX($U$427:$CB$432,D$436,$AM437))</f>
        <v/>
      </c>
      <c r="Q224" s="213"/>
      <c r="R224" s="213"/>
      <c r="S224" s="213"/>
      <c r="T224" s="213"/>
      <c r="U224" s="213"/>
      <c r="V224" s="213"/>
      <c r="W224" s="213" t="str" cm="1">
        <f t="array" ref="W224">IF(INDEX($U$427:$CB$432,E$436,$AM437)="-","",INDEX($U$427:$CB$432,E$436,$AM437))</f>
        <v/>
      </c>
      <c r="X224" s="213"/>
      <c r="Y224" s="213"/>
      <c r="Z224" s="213"/>
      <c r="AA224" s="213"/>
      <c r="AB224" s="213"/>
      <c r="AC224" s="213"/>
      <c r="AD224" s="213" t="str" cm="1">
        <f t="array" ref="AD224">IF(INDEX($U$427:$CB$432,F$436,$AM437)="-","",INDEX($U$427:$CB$432,F$436,$AM437))</f>
        <v/>
      </c>
      <c r="AE224" s="213"/>
      <c r="AF224" s="213"/>
      <c r="AG224" s="213"/>
      <c r="AH224" s="213"/>
      <c r="AI224" s="213"/>
      <c r="AJ224" s="213"/>
      <c r="AK224" s="213" t="str" cm="1">
        <f t="array" ref="AK224">IF(INDEX($U$427:$CB$432,G$436,$AM437)="-","",INDEX($U$427:$CB$432,G$436,$AM437))</f>
        <v/>
      </c>
      <c r="AL224" s="213"/>
      <c r="AM224" s="213"/>
      <c r="AN224" s="213"/>
      <c r="AO224" s="213"/>
      <c r="AP224" s="213"/>
      <c r="AQ224" s="213"/>
      <c r="AR224" s="211"/>
      <c r="AS224" s="211"/>
      <c r="AT224" s="211"/>
      <c r="AU224" s="211"/>
      <c r="AV224" s="211"/>
      <c r="AW224" s="211"/>
    </row>
    <row r="225" spans="1:49" ht="15" customHeight="1" x14ac:dyDescent="0.2">
      <c r="A225" s="41" t="str">
        <f t="shared" si="761"/>
        <v/>
      </c>
      <c r="B225" s="213"/>
      <c r="C225" s="213"/>
      <c r="D225" s="213"/>
      <c r="E225" s="213"/>
      <c r="F225" s="213"/>
      <c r="G225" s="213"/>
      <c r="H225" s="213"/>
      <c r="I225" s="213"/>
      <c r="J225" s="213"/>
      <c r="K225" s="213"/>
      <c r="L225" s="213"/>
      <c r="M225" s="213"/>
      <c r="N225" s="213"/>
      <c r="O225" s="213"/>
      <c r="P225" s="213"/>
      <c r="Q225" s="213"/>
      <c r="R225" s="213"/>
      <c r="S225" s="213"/>
      <c r="T225" s="213"/>
      <c r="U225" s="213"/>
      <c r="V225" s="213"/>
      <c r="W225" s="213"/>
      <c r="X225" s="213"/>
      <c r="Y225" s="213"/>
      <c r="Z225" s="213"/>
      <c r="AA225" s="213"/>
      <c r="AB225" s="213"/>
      <c r="AC225" s="213"/>
      <c r="AD225" s="213"/>
      <c r="AE225" s="213"/>
      <c r="AF225" s="213"/>
      <c r="AG225" s="213"/>
      <c r="AH225" s="213"/>
      <c r="AI225" s="213"/>
      <c r="AJ225" s="213"/>
      <c r="AK225" s="213"/>
      <c r="AL225" s="213"/>
      <c r="AM225" s="213"/>
      <c r="AN225" s="213"/>
      <c r="AO225" s="213"/>
      <c r="AP225" s="213"/>
      <c r="AQ225" s="213"/>
      <c r="AR225" s="211"/>
      <c r="AS225" s="211"/>
      <c r="AT225" s="211"/>
      <c r="AU225" s="211"/>
      <c r="AV225" s="211"/>
      <c r="AW225" s="211"/>
    </row>
    <row r="226" spans="1:49" ht="15" customHeight="1" x14ac:dyDescent="0.2">
      <c r="A226" s="41" t="str">
        <f t="shared" si="761"/>
        <v/>
      </c>
      <c r="B226" s="213"/>
      <c r="C226" s="213"/>
      <c r="D226" s="213"/>
      <c r="E226" s="213"/>
      <c r="F226" s="213"/>
      <c r="G226" s="213"/>
      <c r="H226" s="213"/>
      <c r="I226" s="213"/>
      <c r="J226" s="213"/>
      <c r="K226" s="213"/>
      <c r="L226" s="213"/>
      <c r="M226" s="213"/>
      <c r="N226" s="213"/>
      <c r="O226" s="213"/>
      <c r="P226" s="213"/>
      <c r="Q226" s="213"/>
      <c r="R226" s="213"/>
      <c r="S226" s="213"/>
      <c r="T226" s="213"/>
      <c r="U226" s="213"/>
      <c r="V226" s="213"/>
      <c r="W226" s="213"/>
      <c r="X226" s="213"/>
      <c r="Y226" s="213"/>
      <c r="Z226" s="213"/>
      <c r="AA226" s="213"/>
      <c r="AB226" s="213"/>
      <c r="AC226" s="213"/>
      <c r="AD226" s="213"/>
      <c r="AE226" s="213"/>
      <c r="AF226" s="213"/>
      <c r="AG226" s="213"/>
      <c r="AH226" s="213"/>
      <c r="AI226" s="213"/>
      <c r="AJ226" s="213"/>
      <c r="AK226" s="213"/>
      <c r="AL226" s="213"/>
      <c r="AM226" s="213"/>
      <c r="AN226" s="213"/>
      <c r="AO226" s="213"/>
      <c r="AP226" s="213"/>
      <c r="AQ226" s="213"/>
      <c r="AR226" s="211"/>
      <c r="AS226" s="211"/>
      <c r="AT226" s="211"/>
      <c r="AU226" s="211"/>
      <c r="AV226" s="211"/>
      <c r="AW226" s="211"/>
    </row>
    <row r="227" spans="1:49" ht="15" customHeight="1" x14ac:dyDescent="0.2">
      <c r="A227" s="41" t="str">
        <f t="shared" ref="A227:A290" si="1122">IF(COUNTIFS($I$358:$BK$358,"&lt;="&amp;ROW(A227),$I$359:$BK$359,"&gt;="&amp;ROW(A227))&gt;0,"x","")</f>
        <v/>
      </c>
      <c r="B227" s="44" t="str" cm="1">
        <f t="array" aca="1" ref="B227" ca="1">IF(INDIRECT(_xlfn.CONCAT($AN365,B$364))="+","+",IF(ISNUMBER(INDIRECT(_xlfn.CONCAT($AN365,B$363))),"-",""))</f>
        <v/>
      </c>
      <c r="C227" s="41" t="str">
        <f ca="1">B227</f>
        <v/>
      </c>
      <c r="D227" s="41" t="str">
        <f t="shared" ref="D227" ca="1" si="1123">C227</f>
        <v/>
      </c>
      <c r="E227" s="41" t="str">
        <f t="shared" ref="E227" ca="1" si="1124">D227</f>
        <v/>
      </c>
      <c r="F227" s="41" t="str">
        <f t="shared" ref="F227" ca="1" si="1125">E227</f>
        <v/>
      </c>
      <c r="G227" s="41" t="str">
        <f t="shared" ref="G227" ca="1" si="1126">F227</f>
        <v/>
      </c>
      <c r="H227" s="41" t="str">
        <f t="shared" ref="H227" ca="1" si="1127">G227</f>
        <v/>
      </c>
      <c r="I227" s="44" t="str" cm="1">
        <f t="array" aca="1" ref="I227" ca="1">IF(INDIRECT(_xlfn.CONCAT($AN365,C$364))="+","+",IF(ISNUMBER(INDIRECT(_xlfn.CONCAT($AN365,C$363))),"-",""))</f>
        <v/>
      </c>
      <c r="J227" s="41" t="str">
        <f ca="1">I227</f>
        <v/>
      </c>
      <c r="K227" s="41" t="str">
        <f t="shared" ref="K227" ca="1" si="1128">J227</f>
        <v/>
      </c>
      <c r="L227" s="41" t="str">
        <f t="shared" ref="L227" ca="1" si="1129">K227</f>
        <v/>
      </c>
      <c r="M227" s="41" t="str">
        <f t="shared" ref="M227" ca="1" si="1130">L227</f>
        <v/>
      </c>
      <c r="N227" s="41" t="str">
        <f t="shared" ref="N227" ca="1" si="1131">M227</f>
        <v/>
      </c>
      <c r="O227" s="41" t="str">
        <f t="shared" ref="O227" ca="1" si="1132">N227</f>
        <v/>
      </c>
      <c r="P227" s="44" t="str" cm="1">
        <f t="array" aca="1" ref="P227" ca="1">IF(INDIRECT(_xlfn.CONCAT($AN365,D$364))="+","+",IF(ISNUMBER(INDIRECT(_xlfn.CONCAT($AN365,D$363))),"-",""))</f>
        <v/>
      </c>
      <c r="Q227" s="41" t="str">
        <f ca="1">P227</f>
        <v/>
      </c>
      <c r="R227" s="41" t="str">
        <f t="shared" ref="R227" ca="1" si="1133">Q227</f>
        <v/>
      </c>
      <c r="S227" s="41" t="str">
        <f t="shared" ref="S227" ca="1" si="1134">R227</f>
        <v/>
      </c>
      <c r="T227" s="41" t="str">
        <f t="shared" ref="T227" ca="1" si="1135">S227</f>
        <v/>
      </c>
      <c r="U227" s="41" t="str">
        <f t="shared" ref="U227" ca="1" si="1136">T227</f>
        <v/>
      </c>
      <c r="V227" s="41" t="str">
        <f t="shared" ref="V227" ca="1" si="1137">U227</f>
        <v/>
      </c>
      <c r="W227" s="44" t="str" cm="1">
        <f t="array" aca="1" ref="W227" ca="1">IF(INDIRECT(_xlfn.CONCAT($AN365,E$364))="+","+",IF(ISNUMBER(INDIRECT(_xlfn.CONCAT($AN365,E$363))),"-",""))</f>
        <v/>
      </c>
      <c r="X227" s="41" t="str">
        <f ca="1">W227</f>
        <v/>
      </c>
      <c r="Y227" s="41" t="str">
        <f t="shared" ref="Y227" ca="1" si="1138">X227</f>
        <v/>
      </c>
      <c r="Z227" s="41" t="str">
        <f t="shared" ref="Z227" ca="1" si="1139">Y227</f>
        <v/>
      </c>
      <c r="AA227" s="41" t="str">
        <f t="shared" ref="AA227" ca="1" si="1140">Z227</f>
        <v/>
      </c>
      <c r="AB227" s="41" t="str">
        <f t="shared" ref="AB227" ca="1" si="1141">AA227</f>
        <v/>
      </c>
      <c r="AC227" s="41" t="str">
        <f t="shared" ref="AC227" ca="1" si="1142">AB227</f>
        <v/>
      </c>
      <c r="AD227" s="44" t="str" cm="1">
        <f t="array" aca="1" ref="AD227" ca="1">IF(INDIRECT(_xlfn.CONCAT($AN365,F$364))="+","+",IF(ISNUMBER(INDIRECT(_xlfn.CONCAT($AN365,F$363))),"-",""))</f>
        <v/>
      </c>
      <c r="AE227" s="41" t="str">
        <f ca="1">AD227</f>
        <v/>
      </c>
      <c r="AF227" s="41" t="str">
        <f t="shared" ref="AF227" ca="1" si="1143">AE227</f>
        <v/>
      </c>
      <c r="AG227" s="41" t="str">
        <f t="shared" ref="AG227" ca="1" si="1144">AF227</f>
        <v/>
      </c>
      <c r="AH227" s="41" t="str">
        <f t="shared" ref="AH227" ca="1" si="1145">AG227</f>
        <v/>
      </c>
      <c r="AI227" s="41" t="str">
        <f t="shared" ref="AI227" ca="1" si="1146">AH227</f>
        <v/>
      </c>
      <c r="AJ227" s="41" t="str">
        <f t="shared" ref="AJ227" ca="1" si="1147">AI227</f>
        <v/>
      </c>
      <c r="AK227" s="44" t="str" cm="1">
        <f t="array" aca="1" ref="AK227" ca="1">IF(INDIRECT(_xlfn.CONCAT($AN365,G$364))="+","+",IF(ISNUMBER(INDIRECT(_xlfn.CONCAT($AN365,G$363))),"-",""))</f>
        <v/>
      </c>
      <c r="AL227" s="41" t="str">
        <f ca="1">AK227</f>
        <v/>
      </c>
      <c r="AM227" s="41" t="str">
        <f t="shared" ref="AM227" ca="1" si="1148">AL227</f>
        <v/>
      </c>
      <c r="AN227" s="41" t="str">
        <f t="shared" ref="AN227" ca="1" si="1149">AM227</f>
        <v/>
      </c>
      <c r="AO227" s="41" t="str">
        <f t="shared" ref="AO227" ca="1" si="1150">AN227</f>
        <v/>
      </c>
      <c r="AP227" s="41" t="str">
        <f t="shared" ref="AP227" ca="1" si="1151">AO227</f>
        <v/>
      </c>
      <c r="AQ227" s="41" t="str">
        <f t="shared" ref="AQ227" ca="1" si="1152">AP227</f>
        <v/>
      </c>
      <c r="AR227" s="44"/>
      <c r="AS227" s="41"/>
      <c r="AT227" s="41"/>
      <c r="AU227" s="41"/>
      <c r="AV227" s="41"/>
      <c r="AW227" s="41"/>
    </row>
    <row r="228" spans="1:49" ht="15" customHeight="1" x14ac:dyDescent="0.2">
      <c r="A228" s="41" t="str">
        <f t="shared" si="1122"/>
        <v/>
      </c>
      <c r="B228" s="45" t="str" cm="1">
        <f t="array" aca="1" ref="B228" ca="1">IF(ISBLANK(INDIRECT(_xlfn.CONCAT($AN390,B$389))),"",INDIRECT(_xlfn.CONCAT($AN390,B$389)))</f>
        <v/>
      </c>
      <c r="C228" s="45"/>
      <c r="D228" s="45"/>
      <c r="E228" s="45"/>
      <c r="F228" s="45"/>
      <c r="G228" s="45"/>
      <c r="H228" s="45"/>
      <c r="I228" s="45" t="str" cm="1">
        <f t="array" aca="1" ref="I228" ca="1">IF(ISBLANK(INDIRECT(_xlfn.CONCAT($AN390,C$389))),"",INDIRECT(_xlfn.CONCAT($AN390,C$389)))</f>
        <v/>
      </c>
      <c r="J228" s="45"/>
      <c r="K228" s="45"/>
      <c r="L228" s="45"/>
      <c r="M228" s="45"/>
      <c r="N228" s="45"/>
      <c r="O228" s="45"/>
      <c r="P228" s="45" t="str" cm="1">
        <f t="array" aca="1" ref="P228" ca="1">IF(ISBLANK(INDIRECT(_xlfn.CONCAT($AN390,D$389))),"",INDIRECT(_xlfn.CONCAT($AN390,D$389)))</f>
        <v/>
      </c>
      <c r="Q228" s="45"/>
      <c r="R228" s="45"/>
      <c r="S228" s="45"/>
      <c r="T228" s="45"/>
      <c r="U228" s="45"/>
      <c r="V228" s="45"/>
      <c r="W228" s="45" t="str" cm="1">
        <f t="array" aca="1" ref="W228" ca="1">IF(ISBLANK(INDIRECT(_xlfn.CONCAT($AN390,E$389))),"",INDIRECT(_xlfn.CONCAT($AN390,E$389)))</f>
        <v/>
      </c>
      <c r="X228" s="45"/>
      <c r="Y228" s="45"/>
      <c r="Z228" s="45"/>
      <c r="AA228" s="45"/>
      <c r="AB228" s="45"/>
      <c r="AC228" s="45"/>
      <c r="AD228" s="45" t="str" cm="1">
        <f t="array" aca="1" ref="AD228" ca="1">IF(ISBLANK(INDIRECT(_xlfn.CONCAT($AN390,F$389))),"",INDIRECT(_xlfn.CONCAT($AN390,F$389)))</f>
        <v/>
      </c>
      <c r="AE228" s="45"/>
      <c r="AF228" s="45"/>
      <c r="AG228" s="45"/>
      <c r="AH228" s="45"/>
      <c r="AI228" s="45"/>
      <c r="AJ228" s="45"/>
      <c r="AK228" s="45" t="str" cm="1">
        <f t="array" aca="1" ref="AK228" ca="1">IF(ISBLANK(INDIRECT(_xlfn.CONCAT($AN390,G$389))),"",INDIRECT(_xlfn.CONCAT($AN390,G$389)))</f>
        <v/>
      </c>
      <c r="AL228" s="45"/>
      <c r="AM228" s="45"/>
      <c r="AN228" s="45"/>
      <c r="AO228" s="45"/>
      <c r="AP228" s="45"/>
      <c r="AQ228" s="45"/>
      <c r="AR228" s="45"/>
      <c r="AS228" s="46"/>
      <c r="AT228" s="46"/>
      <c r="AU228" s="46"/>
      <c r="AV228" s="46"/>
      <c r="AW228" s="46"/>
    </row>
    <row r="229" spans="1:49" ht="15" customHeight="1" x14ac:dyDescent="0.2">
      <c r="A229" s="41" t="str">
        <f t="shared" si="1122"/>
        <v/>
      </c>
      <c r="B229" s="213" t="str" cm="1">
        <f t="array" ref="B229">IF(INDEX($U$427:$CB$432,B$436,$AN437)="-","",INDEX($U$427:$CB$432,B$436,$AN437))</f>
        <v/>
      </c>
      <c r="C229" s="213"/>
      <c r="D229" s="213"/>
      <c r="E229" s="213"/>
      <c r="F229" s="213"/>
      <c r="G229" s="213"/>
      <c r="H229" s="213"/>
      <c r="I229" s="213" t="str" cm="1">
        <f t="array" ref="I229">IF(INDEX($U$427:$CB$432,C$436,$AN437)="-","",INDEX($U$427:$CB$432,C$436,$AN437))</f>
        <v/>
      </c>
      <c r="J229" s="213"/>
      <c r="K229" s="213"/>
      <c r="L229" s="213"/>
      <c r="M229" s="213"/>
      <c r="N229" s="213"/>
      <c r="O229" s="213"/>
      <c r="P229" s="213" t="str" cm="1">
        <f t="array" ref="P229">IF(INDEX($U$427:$CB$432,D$436,$AN437)="-","",INDEX($U$427:$CB$432,D$436,$AN437))</f>
        <v/>
      </c>
      <c r="Q229" s="213"/>
      <c r="R229" s="213"/>
      <c r="S229" s="213"/>
      <c r="T229" s="213"/>
      <c r="U229" s="213"/>
      <c r="V229" s="213"/>
      <c r="W229" s="213" t="str" cm="1">
        <f t="array" ref="W229">IF(INDEX($U$427:$CB$432,E$436,$AN437)="-","",INDEX($U$427:$CB$432,E$436,$AN437))</f>
        <v/>
      </c>
      <c r="X229" s="213"/>
      <c r="Y229" s="213"/>
      <c r="Z229" s="213"/>
      <c r="AA229" s="213"/>
      <c r="AB229" s="213"/>
      <c r="AC229" s="213"/>
      <c r="AD229" s="213" t="str" cm="1">
        <f t="array" ref="AD229">IF(INDEX($U$427:$CB$432,F$436,$AN437)="-","",INDEX($U$427:$CB$432,F$436,$AN437))</f>
        <v/>
      </c>
      <c r="AE229" s="213"/>
      <c r="AF229" s="213"/>
      <c r="AG229" s="213"/>
      <c r="AH229" s="213"/>
      <c r="AI229" s="213"/>
      <c r="AJ229" s="213"/>
      <c r="AK229" s="213" t="str" cm="1">
        <f t="array" ref="AK229">IF(INDEX($U$427:$CB$432,G$436,$AN437)="-","",INDEX($U$427:$CB$432,G$436,$AN437))</f>
        <v/>
      </c>
      <c r="AL229" s="213"/>
      <c r="AM229" s="213"/>
      <c r="AN229" s="213"/>
      <c r="AO229" s="213"/>
      <c r="AP229" s="213"/>
      <c r="AQ229" s="213"/>
      <c r="AR229" s="211"/>
      <c r="AS229" s="211"/>
      <c r="AT229" s="211"/>
      <c r="AU229" s="211"/>
      <c r="AV229" s="211"/>
      <c r="AW229" s="211"/>
    </row>
    <row r="230" spans="1:49" ht="15" customHeight="1" x14ac:dyDescent="0.2">
      <c r="A230" s="41" t="str">
        <f t="shared" si="1122"/>
        <v/>
      </c>
      <c r="B230" s="213"/>
      <c r="C230" s="213"/>
      <c r="D230" s="213"/>
      <c r="E230" s="213"/>
      <c r="F230" s="213"/>
      <c r="G230" s="213"/>
      <c r="H230" s="213"/>
      <c r="I230" s="213"/>
      <c r="J230" s="213"/>
      <c r="K230" s="213"/>
      <c r="L230" s="213"/>
      <c r="M230" s="213"/>
      <c r="N230" s="213"/>
      <c r="O230" s="213"/>
      <c r="P230" s="213"/>
      <c r="Q230" s="213"/>
      <c r="R230" s="213"/>
      <c r="S230" s="213"/>
      <c r="T230" s="213"/>
      <c r="U230" s="213"/>
      <c r="V230" s="213"/>
      <c r="W230" s="213"/>
      <c r="X230" s="213"/>
      <c r="Y230" s="213"/>
      <c r="Z230" s="213"/>
      <c r="AA230" s="213"/>
      <c r="AB230" s="213"/>
      <c r="AC230" s="213"/>
      <c r="AD230" s="213"/>
      <c r="AE230" s="213"/>
      <c r="AF230" s="213"/>
      <c r="AG230" s="213"/>
      <c r="AH230" s="213"/>
      <c r="AI230" s="213"/>
      <c r="AJ230" s="213"/>
      <c r="AK230" s="213"/>
      <c r="AL230" s="213"/>
      <c r="AM230" s="213"/>
      <c r="AN230" s="213"/>
      <c r="AO230" s="213"/>
      <c r="AP230" s="213"/>
      <c r="AQ230" s="213"/>
      <c r="AR230" s="211"/>
      <c r="AS230" s="211"/>
      <c r="AT230" s="211"/>
      <c r="AU230" s="211"/>
      <c r="AV230" s="211"/>
      <c r="AW230" s="211"/>
    </row>
    <row r="231" spans="1:49" ht="15" customHeight="1" x14ac:dyDescent="0.2">
      <c r="A231" s="41" t="str">
        <f t="shared" si="1122"/>
        <v/>
      </c>
      <c r="B231" s="213"/>
      <c r="C231" s="213"/>
      <c r="D231" s="213"/>
      <c r="E231" s="213"/>
      <c r="F231" s="213"/>
      <c r="G231" s="213"/>
      <c r="H231" s="213"/>
      <c r="I231" s="213"/>
      <c r="J231" s="213"/>
      <c r="K231" s="213"/>
      <c r="L231" s="213"/>
      <c r="M231" s="213"/>
      <c r="N231" s="213"/>
      <c r="O231" s="213"/>
      <c r="P231" s="213"/>
      <c r="Q231" s="213"/>
      <c r="R231" s="213"/>
      <c r="S231" s="213"/>
      <c r="T231" s="213"/>
      <c r="U231" s="213"/>
      <c r="V231" s="213"/>
      <c r="W231" s="213"/>
      <c r="X231" s="213"/>
      <c r="Y231" s="213"/>
      <c r="Z231" s="213"/>
      <c r="AA231" s="213"/>
      <c r="AB231" s="213"/>
      <c r="AC231" s="213"/>
      <c r="AD231" s="213"/>
      <c r="AE231" s="213"/>
      <c r="AF231" s="213"/>
      <c r="AG231" s="213"/>
      <c r="AH231" s="213"/>
      <c r="AI231" s="213"/>
      <c r="AJ231" s="213"/>
      <c r="AK231" s="213"/>
      <c r="AL231" s="213"/>
      <c r="AM231" s="213"/>
      <c r="AN231" s="213"/>
      <c r="AO231" s="213"/>
      <c r="AP231" s="213"/>
      <c r="AQ231" s="213"/>
      <c r="AR231" s="211"/>
      <c r="AS231" s="211"/>
      <c r="AT231" s="211"/>
      <c r="AU231" s="211"/>
      <c r="AV231" s="211"/>
      <c r="AW231" s="211"/>
    </row>
    <row r="232" spans="1:49" ht="15" customHeight="1" x14ac:dyDescent="0.2">
      <c r="A232" s="41" t="str">
        <f t="shared" si="1122"/>
        <v/>
      </c>
      <c r="B232" s="44" t="str" cm="1">
        <f t="array" aca="1" ref="B232" ca="1">IF(INDIRECT(_xlfn.CONCAT($AO365,B$364))="+","+",IF(ISNUMBER(INDIRECT(_xlfn.CONCAT($AO365,B$363))),"-",""))</f>
        <v/>
      </c>
      <c r="C232" s="41" t="str">
        <f ca="1">B232</f>
        <v/>
      </c>
      <c r="D232" s="41" t="str">
        <f t="shared" ref="D232" ca="1" si="1153">C232</f>
        <v/>
      </c>
      <c r="E232" s="41" t="str">
        <f t="shared" ref="E232" ca="1" si="1154">D232</f>
        <v/>
      </c>
      <c r="F232" s="41" t="str">
        <f t="shared" ref="F232" ca="1" si="1155">E232</f>
        <v/>
      </c>
      <c r="G232" s="41" t="str">
        <f t="shared" ref="G232" ca="1" si="1156">F232</f>
        <v/>
      </c>
      <c r="H232" s="41" t="str">
        <f t="shared" ref="H232" ca="1" si="1157">G232</f>
        <v/>
      </c>
      <c r="I232" s="44" t="str" cm="1">
        <f t="array" aca="1" ref="I232" ca="1">IF(INDIRECT(_xlfn.CONCAT($AO365,C$364))="+","+",IF(ISNUMBER(INDIRECT(_xlfn.CONCAT($AO365,C$363))),"-",""))</f>
        <v/>
      </c>
      <c r="J232" s="41" t="str">
        <f ca="1">I232</f>
        <v/>
      </c>
      <c r="K232" s="41" t="str">
        <f t="shared" ref="K232" ca="1" si="1158">J232</f>
        <v/>
      </c>
      <c r="L232" s="41" t="str">
        <f t="shared" ref="L232" ca="1" si="1159">K232</f>
        <v/>
      </c>
      <c r="M232" s="41" t="str">
        <f t="shared" ref="M232" ca="1" si="1160">L232</f>
        <v/>
      </c>
      <c r="N232" s="41" t="str">
        <f t="shared" ref="N232" ca="1" si="1161">M232</f>
        <v/>
      </c>
      <c r="O232" s="41" t="str">
        <f t="shared" ref="O232" ca="1" si="1162">N232</f>
        <v/>
      </c>
      <c r="P232" s="44" t="str" cm="1">
        <f t="array" aca="1" ref="P232" ca="1">IF(INDIRECT(_xlfn.CONCAT($AO365,D$364))="+","+",IF(ISNUMBER(INDIRECT(_xlfn.CONCAT($AO365,D$363))),"-",""))</f>
        <v/>
      </c>
      <c r="Q232" s="41" t="str">
        <f ca="1">P232</f>
        <v/>
      </c>
      <c r="R232" s="41" t="str">
        <f t="shared" ref="R232" ca="1" si="1163">Q232</f>
        <v/>
      </c>
      <c r="S232" s="41" t="str">
        <f t="shared" ref="S232" ca="1" si="1164">R232</f>
        <v/>
      </c>
      <c r="T232" s="41" t="str">
        <f t="shared" ref="T232" ca="1" si="1165">S232</f>
        <v/>
      </c>
      <c r="U232" s="41" t="str">
        <f t="shared" ref="U232" ca="1" si="1166">T232</f>
        <v/>
      </c>
      <c r="V232" s="41" t="str">
        <f t="shared" ref="V232" ca="1" si="1167">U232</f>
        <v/>
      </c>
      <c r="W232" s="44" t="str" cm="1">
        <f t="array" aca="1" ref="W232" ca="1">IF(INDIRECT(_xlfn.CONCAT($AO365,E$364))="+","+",IF(ISNUMBER(INDIRECT(_xlfn.CONCAT($AO365,E$363))),"-",""))</f>
        <v/>
      </c>
      <c r="X232" s="41" t="str">
        <f ca="1">W232</f>
        <v/>
      </c>
      <c r="Y232" s="41" t="str">
        <f t="shared" ref="Y232" ca="1" si="1168">X232</f>
        <v/>
      </c>
      <c r="Z232" s="41" t="str">
        <f t="shared" ref="Z232" ca="1" si="1169">Y232</f>
        <v/>
      </c>
      <c r="AA232" s="41" t="str">
        <f t="shared" ref="AA232" ca="1" si="1170">Z232</f>
        <v/>
      </c>
      <c r="AB232" s="41" t="str">
        <f t="shared" ref="AB232" ca="1" si="1171">AA232</f>
        <v/>
      </c>
      <c r="AC232" s="41" t="str">
        <f t="shared" ref="AC232" ca="1" si="1172">AB232</f>
        <v/>
      </c>
      <c r="AD232" s="44" t="str" cm="1">
        <f t="array" aca="1" ref="AD232" ca="1">IF(INDIRECT(_xlfn.CONCAT($AO365,F$364))="+","+",IF(ISNUMBER(INDIRECT(_xlfn.CONCAT($AO365,F$363))),"-",""))</f>
        <v/>
      </c>
      <c r="AE232" s="41" t="str">
        <f ca="1">AD232</f>
        <v/>
      </c>
      <c r="AF232" s="41" t="str">
        <f t="shared" ref="AF232" ca="1" si="1173">AE232</f>
        <v/>
      </c>
      <c r="AG232" s="41" t="str">
        <f t="shared" ref="AG232" ca="1" si="1174">AF232</f>
        <v/>
      </c>
      <c r="AH232" s="41" t="str">
        <f t="shared" ref="AH232" ca="1" si="1175">AG232</f>
        <v/>
      </c>
      <c r="AI232" s="41" t="str">
        <f t="shared" ref="AI232" ca="1" si="1176">AH232</f>
        <v/>
      </c>
      <c r="AJ232" s="41" t="str">
        <f t="shared" ref="AJ232" ca="1" si="1177">AI232</f>
        <v/>
      </c>
      <c r="AK232" s="44" t="str" cm="1">
        <f t="array" aca="1" ref="AK232" ca="1">IF(INDIRECT(_xlfn.CONCAT($AO365,G$364))="+","+",IF(ISNUMBER(INDIRECT(_xlfn.CONCAT($AO365,G$363))),"-",""))</f>
        <v/>
      </c>
      <c r="AL232" s="41" t="str">
        <f ca="1">AK232</f>
        <v/>
      </c>
      <c r="AM232" s="41" t="str">
        <f t="shared" ref="AM232" ca="1" si="1178">AL232</f>
        <v/>
      </c>
      <c r="AN232" s="41" t="str">
        <f t="shared" ref="AN232" ca="1" si="1179">AM232</f>
        <v/>
      </c>
      <c r="AO232" s="41" t="str">
        <f t="shared" ref="AO232" ca="1" si="1180">AN232</f>
        <v/>
      </c>
      <c r="AP232" s="41" t="str">
        <f t="shared" ref="AP232" ca="1" si="1181">AO232</f>
        <v/>
      </c>
      <c r="AQ232" s="41" t="str">
        <f t="shared" ref="AQ232" ca="1" si="1182">AP232</f>
        <v/>
      </c>
      <c r="AR232" s="44"/>
      <c r="AS232" s="41"/>
      <c r="AT232" s="41"/>
      <c r="AU232" s="41"/>
      <c r="AV232" s="41"/>
      <c r="AW232" s="41"/>
    </row>
    <row r="233" spans="1:49" ht="15" customHeight="1" x14ac:dyDescent="0.2">
      <c r="A233" s="41" t="str">
        <f t="shared" si="1122"/>
        <v/>
      </c>
      <c r="B233" s="45" t="str" cm="1">
        <f t="array" aca="1" ref="B233" ca="1">IF(ISBLANK(INDIRECT(_xlfn.CONCAT($AO390,B$389))),"",INDIRECT(_xlfn.CONCAT($AO390,B$389)))</f>
        <v/>
      </c>
      <c r="C233" s="45"/>
      <c r="D233" s="45"/>
      <c r="E233" s="45"/>
      <c r="F233" s="45"/>
      <c r="G233" s="45"/>
      <c r="H233" s="45"/>
      <c r="I233" s="45" t="str" cm="1">
        <f t="array" aca="1" ref="I233" ca="1">IF(ISBLANK(INDIRECT(_xlfn.CONCAT($AO390,C$389))),"",INDIRECT(_xlfn.CONCAT($AO390,C$389)))</f>
        <v/>
      </c>
      <c r="J233" s="45"/>
      <c r="K233" s="45"/>
      <c r="L233" s="45"/>
      <c r="M233" s="45"/>
      <c r="N233" s="45"/>
      <c r="O233" s="45"/>
      <c r="P233" s="45" t="str" cm="1">
        <f t="array" aca="1" ref="P233" ca="1">IF(ISBLANK(INDIRECT(_xlfn.CONCAT($AO390,D$389))),"",INDIRECT(_xlfn.CONCAT($AO390,D$389)))</f>
        <v/>
      </c>
      <c r="Q233" s="45"/>
      <c r="R233" s="45"/>
      <c r="S233" s="45"/>
      <c r="T233" s="45"/>
      <c r="U233" s="45"/>
      <c r="V233" s="45"/>
      <c r="W233" s="45" t="str" cm="1">
        <f t="array" aca="1" ref="W233" ca="1">IF(ISBLANK(INDIRECT(_xlfn.CONCAT($AO390,E$389))),"",INDIRECT(_xlfn.CONCAT($AO390,E$389)))</f>
        <v/>
      </c>
      <c r="X233" s="45"/>
      <c r="Y233" s="45"/>
      <c r="Z233" s="45"/>
      <c r="AA233" s="45"/>
      <c r="AB233" s="45"/>
      <c r="AC233" s="45"/>
      <c r="AD233" s="45" t="str" cm="1">
        <f t="array" aca="1" ref="AD233" ca="1">IF(ISBLANK(INDIRECT(_xlfn.CONCAT($AO390,F$389))),"",INDIRECT(_xlfn.CONCAT($AO390,F$389)))</f>
        <v/>
      </c>
      <c r="AE233" s="45"/>
      <c r="AF233" s="45"/>
      <c r="AG233" s="45"/>
      <c r="AH233" s="45"/>
      <c r="AI233" s="45"/>
      <c r="AJ233" s="45"/>
      <c r="AK233" s="45" t="str" cm="1">
        <f t="array" aca="1" ref="AK233" ca="1">IF(ISBLANK(INDIRECT(_xlfn.CONCAT($AO390,G$389))),"",INDIRECT(_xlfn.CONCAT($AO390,G$389)))</f>
        <v/>
      </c>
      <c r="AL233" s="45"/>
      <c r="AM233" s="45"/>
      <c r="AN233" s="45"/>
      <c r="AO233" s="45"/>
      <c r="AP233" s="45"/>
      <c r="AQ233" s="45"/>
      <c r="AR233" s="45"/>
      <c r="AS233" s="46"/>
      <c r="AT233" s="46"/>
      <c r="AU233" s="46"/>
      <c r="AV233" s="46"/>
      <c r="AW233" s="46"/>
    </row>
    <row r="234" spans="1:49" ht="15" customHeight="1" x14ac:dyDescent="0.2">
      <c r="A234" s="41" t="str">
        <f t="shared" si="1122"/>
        <v/>
      </c>
      <c r="B234" s="213" t="str" cm="1">
        <f t="array" ref="B234">IF(INDEX($U$427:$CB$432,B$436,$AO437)="-","",INDEX($U$427:$CB$432,B$436,$AO437))</f>
        <v/>
      </c>
      <c r="C234" s="213"/>
      <c r="D234" s="213"/>
      <c r="E234" s="213"/>
      <c r="F234" s="213"/>
      <c r="G234" s="213"/>
      <c r="H234" s="213"/>
      <c r="I234" s="213" t="str" cm="1">
        <f t="array" ref="I234">IF(INDEX($U$427:$CB$432,C$436,$AO437)="-","",INDEX($U$427:$CB$432,C$436,$AO437))</f>
        <v/>
      </c>
      <c r="J234" s="213"/>
      <c r="K234" s="213"/>
      <c r="L234" s="213"/>
      <c r="M234" s="213"/>
      <c r="N234" s="213"/>
      <c r="O234" s="213"/>
      <c r="P234" s="213" t="str" cm="1">
        <f t="array" ref="P234">IF(INDEX($U$427:$CB$432,D$436,$AO437)="-","",INDEX($U$427:$CB$432,D$436,$AO437))</f>
        <v/>
      </c>
      <c r="Q234" s="213"/>
      <c r="R234" s="213"/>
      <c r="S234" s="213"/>
      <c r="T234" s="213"/>
      <c r="U234" s="213"/>
      <c r="V234" s="213"/>
      <c r="W234" s="213" t="str" cm="1">
        <f t="array" ref="W234">IF(INDEX($U$427:$CB$432,E$436,$AO437)="-","",INDEX($U$427:$CB$432,E$436,$AO437))</f>
        <v/>
      </c>
      <c r="X234" s="213"/>
      <c r="Y234" s="213"/>
      <c r="Z234" s="213"/>
      <c r="AA234" s="213"/>
      <c r="AB234" s="213"/>
      <c r="AC234" s="213"/>
      <c r="AD234" s="213" t="str" cm="1">
        <f t="array" ref="AD234">IF(INDEX($U$427:$CB$432,F$436,$AO437)="-","",INDEX($U$427:$CB$432,F$436,$AO437))</f>
        <v/>
      </c>
      <c r="AE234" s="213"/>
      <c r="AF234" s="213"/>
      <c r="AG234" s="213"/>
      <c r="AH234" s="213"/>
      <c r="AI234" s="213"/>
      <c r="AJ234" s="213"/>
      <c r="AK234" s="213" t="str" cm="1">
        <f t="array" ref="AK234">IF(INDEX($U$427:$CB$432,G$436,$AO437)="-","",INDEX($U$427:$CB$432,G$436,$AO437))</f>
        <v/>
      </c>
      <c r="AL234" s="213"/>
      <c r="AM234" s="213"/>
      <c r="AN234" s="213"/>
      <c r="AO234" s="213"/>
      <c r="AP234" s="213"/>
      <c r="AQ234" s="213"/>
      <c r="AR234" s="211"/>
      <c r="AS234" s="211"/>
      <c r="AT234" s="211"/>
      <c r="AU234" s="211"/>
      <c r="AV234" s="211"/>
      <c r="AW234" s="211"/>
    </row>
    <row r="235" spans="1:49" ht="15" customHeight="1" x14ac:dyDescent="0.2">
      <c r="A235" s="41" t="str">
        <f t="shared" si="1122"/>
        <v/>
      </c>
      <c r="B235" s="213"/>
      <c r="C235" s="213"/>
      <c r="D235" s="213"/>
      <c r="E235" s="213"/>
      <c r="F235" s="213"/>
      <c r="G235" s="213"/>
      <c r="H235" s="213"/>
      <c r="I235" s="213"/>
      <c r="J235" s="213"/>
      <c r="K235" s="213"/>
      <c r="L235" s="213"/>
      <c r="M235" s="213"/>
      <c r="N235" s="213"/>
      <c r="O235" s="213"/>
      <c r="P235" s="213"/>
      <c r="Q235" s="213"/>
      <c r="R235" s="213"/>
      <c r="S235" s="213"/>
      <c r="T235" s="213"/>
      <c r="U235" s="213"/>
      <c r="V235" s="213"/>
      <c r="W235" s="213"/>
      <c r="X235" s="213"/>
      <c r="Y235" s="213"/>
      <c r="Z235" s="213"/>
      <c r="AA235" s="213"/>
      <c r="AB235" s="213"/>
      <c r="AC235" s="213"/>
      <c r="AD235" s="213"/>
      <c r="AE235" s="213"/>
      <c r="AF235" s="213"/>
      <c r="AG235" s="213"/>
      <c r="AH235" s="213"/>
      <c r="AI235" s="213"/>
      <c r="AJ235" s="213"/>
      <c r="AK235" s="213"/>
      <c r="AL235" s="213"/>
      <c r="AM235" s="213"/>
      <c r="AN235" s="213"/>
      <c r="AO235" s="213"/>
      <c r="AP235" s="213"/>
      <c r="AQ235" s="213"/>
      <c r="AR235" s="211"/>
      <c r="AS235" s="211"/>
      <c r="AT235" s="211"/>
      <c r="AU235" s="211"/>
      <c r="AV235" s="211"/>
      <c r="AW235" s="211"/>
    </row>
    <row r="236" spans="1:49" ht="15" customHeight="1" x14ac:dyDescent="0.2">
      <c r="A236" s="41" t="str">
        <f t="shared" si="1122"/>
        <v/>
      </c>
      <c r="B236" s="213"/>
      <c r="C236" s="213"/>
      <c r="D236" s="213"/>
      <c r="E236" s="213"/>
      <c r="F236" s="213"/>
      <c r="G236" s="213"/>
      <c r="H236" s="213"/>
      <c r="I236" s="213"/>
      <c r="J236" s="213"/>
      <c r="K236" s="213"/>
      <c r="L236" s="213"/>
      <c r="M236" s="213"/>
      <c r="N236" s="213"/>
      <c r="O236" s="213"/>
      <c r="P236" s="213"/>
      <c r="Q236" s="213"/>
      <c r="R236" s="213"/>
      <c r="S236" s="213"/>
      <c r="T236" s="213"/>
      <c r="U236" s="213"/>
      <c r="V236" s="213"/>
      <c r="W236" s="213"/>
      <c r="X236" s="213"/>
      <c r="Y236" s="213"/>
      <c r="Z236" s="213"/>
      <c r="AA236" s="213"/>
      <c r="AB236" s="213"/>
      <c r="AC236" s="213"/>
      <c r="AD236" s="213"/>
      <c r="AE236" s="213"/>
      <c r="AF236" s="213"/>
      <c r="AG236" s="213"/>
      <c r="AH236" s="213"/>
      <c r="AI236" s="213"/>
      <c r="AJ236" s="213"/>
      <c r="AK236" s="213"/>
      <c r="AL236" s="213"/>
      <c r="AM236" s="213"/>
      <c r="AN236" s="213"/>
      <c r="AO236" s="213"/>
      <c r="AP236" s="213"/>
      <c r="AQ236" s="213"/>
      <c r="AR236" s="211"/>
      <c r="AS236" s="211"/>
      <c r="AT236" s="211"/>
      <c r="AU236" s="211"/>
      <c r="AV236" s="211"/>
      <c r="AW236" s="211"/>
    </row>
    <row r="237" spans="1:49" ht="15" customHeight="1" x14ac:dyDescent="0.2">
      <c r="A237" s="41" t="str">
        <f t="shared" si="1122"/>
        <v/>
      </c>
      <c r="B237" s="44" t="str" cm="1">
        <f t="array" aca="1" ref="B237" ca="1">IF(INDIRECT(_xlfn.CONCAT($AP365,B$364))="+","+",IF(ISNUMBER(INDIRECT(_xlfn.CONCAT($AP365,B$363))),"-",""))</f>
        <v/>
      </c>
      <c r="C237" s="41" t="str">
        <f ca="1">B237</f>
        <v/>
      </c>
      <c r="D237" s="41" t="str">
        <f t="shared" ref="D237" ca="1" si="1183">C237</f>
        <v/>
      </c>
      <c r="E237" s="41" t="str">
        <f t="shared" ref="E237" ca="1" si="1184">D237</f>
        <v/>
      </c>
      <c r="F237" s="41" t="str">
        <f t="shared" ref="F237" ca="1" si="1185">E237</f>
        <v/>
      </c>
      <c r="G237" s="41" t="str">
        <f t="shared" ref="G237" ca="1" si="1186">F237</f>
        <v/>
      </c>
      <c r="H237" s="41" t="str">
        <f t="shared" ref="H237" ca="1" si="1187">G237</f>
        <v/>
      </c>
      <c r="I237" s="44" t="str" cm="1">
        <f t="array" aca="1" ref="I237" ca="1">IF(INDIRECT(_xlfn.CONCAT($AP365,C$364))="+","+",IF(ISNUMBER(INDIRECT(_xlfn.CONCAT($AP365,C$363))),"-",""))</f>
        <v/>
      </c>
      <c r="J237" s="41" t="str">
        <f ca="1">I237</f>
        <v/>
      </c>
      <c r="K237" s="41" t="str">
        <f t="shared" ref="K237" ca="1" si="1188">J237</f>
        <v/>
      </c>
      <c r="L237" s="41" t="str">
        <f t="shared" ref="L237" ca="1" si="1189">K237</f>
        <v/>
      </c>
      <c r="M237" s="41" t="str">
        <f t="shared" ref="M237" ca="1" si="1190">L237</f>
        <v/>
      </c>
      <c r="N237" s="41" t="str">
        <f t="shared" ref="N237" ca="1" si="1191">M237</f>
        <v/>
      </c>
      <c r="O237" s="41" t="str">
        <f t="shared" ref="O237" ca="1" si="1192">N237</f>
        <v/>
      </c>
      <c r="P237" s="44" t="str" cm="1">
        <f t="array" aca="1" ref="P237" ca="1">IF(INDIRECT(_xlfn.CONCAT($AP365,D$364))="+","+",IF(ISNUMBER(INDIRECT(_xlfn.CONCAT($AP365,D$363))),"-",""))</f>
        <v/>
      </c>
      <c r="Q237" s="41" t="str">
        <f ca="1">P237</f>
        <v/>
      </c>
      <c r="R237" s="41" t="str">
        <f t="shared" ref="R237" ca="1" si="1193">Q237</f>
        <v/>
      </c>
      <c r="S237" s="41" t="str">
        <f t="shared" ref="S237" ca="1" si="1194">R237</f>
        <v/>
      </c>
      <c r="T237" s="41" t="str">
        <f t="shared" ref="T237" ca="1" si="1195">S237</f>
        <v/>
      </c>
      <c r="U237" s="41" t="str">
        <f t="shared" ref="U237" ca="1" si="1196">T237</f>
        <v/>
      </c>
      <c r="V237" s="41" t="str">
        <f t="shared" ref="V237" ca="1" si="1197">U237</f>
        <v/>
      </c>
      <c r="W237" s="44" t="str" cm="1">
        <f t="array" aca="1" ref="W237" ca="1">IF(INDIRECT(_xlfn.CONCAT($AP365,E$364))="+","+",IF(ISNUMBER(INDIRECT(_xlfn.CONCAT($AP365,E$363))),"-",""))</f>
        <v/>
      </c>
      <c r="X237" s="41" t="str">
        <f ca="1">W237</f>
        <v/>
      </c>
      <c r="Y237" s="41" t="str">
        <f t="shared" ref="Y237" ca="1" si="1198">X237</f>
        <v/>
      </c>
      <c r="Z237" s="41" t="str">
        <f t="shared" ref="Z237" ca="1" si="1199">Y237</f>
        <v/>
      </c>
      <c r="AA237" s="41" t="str">
        <f t="shared" ref="AA237" ca="1" si="1200">Z237</f>
        <v/>
      </c>
      <c r="AB237" s="41" t="str">
        <f t="shared" ref="AB237" ca="1" si="1201">AA237</f>
        <v/>
      </c>
      <c r="AC237" s="41" t="str">
        <f t="shared" ref="AC237" ca="1" si="1202">AB237</f>
        <v/>
      </c>
      <c r="AD237" s="44" t="str" cm="1">
        <f t="array" aca="1" ref="AD237" ca="1">IF(INDIRECT(_xlfn.CONCAT($AP365,F$364))="+","+",IF(ISNUMBER(INDIRECT(_xlfn.CONCAT($AP365,F$363))),"-",""))</f>
        <v/>
      </c>
      <c r="AE237" s="41" t="str">
        <f ca="1">AD237</f>
        <v/>
      </c>
      <c r="AF237" s="41" t="str">
        <f t="shared" ref="AF237" ca="1" si="1203">AE237</f>
        <v/>
      </c>
      <c r="AG237" s="41" t="str">
        <f t="shared" ref="AG237" ca="1" si="1204">AF237</f>
        <v/>
      </c>
      <c r="AH237" s="41" t="str">
        <f t="shared" ref="AH237" ca="1" si="1205">AG237</f>
        <v/>
      </c>
      <c r="AI237" s="41" t="str">
        <f t="shared" ref="AI237" ca="1" si="1206">AH237</f>
        <v/>
      </c>
      <c r="AJ237" s="41" t="str">
        <f t="shared" ref="AJ237" ca="1" si="1207">AI237</f>
        <v/>
      </c>
      <c r="AK237" s="44" t="str" cm="1">
        <f t="array" aca="1" ref="AK237" ca="1">IF(INDIRECT(_xlfn.CONCAT($AP365,G$364))="+","+",IF(ISNUMBER(INDIRECT(_xlfn.CONCAT($AP365,G$363))),"-",""))</f>
        <v/>
      </c>
      <c r="AL237" s="41" t="str">
        <f ca="1">AK237</f>
        <v/>
      </c>
      <c r="AM237" s="41" t="str">
        <f t="shared" ref="AM237" ca="1" si="1208">AL237</f>
        <v/>
      </c>
      <c r="AN237" s="41" t="str">
        <f t="shared" ref="AN237" ca="1" si="1209">AM237</f>
        <v/>
      </c>
      <c r="AO237" s="41" t="str">
        <f t="shared" ref="AO237" ca="1" si="1210">AN237</f>
        <v/>
      </c>
      <c r="AP237" s="41" t="str">
        <f t="shared" ref="AP237" ca="1" si="1211">AO237</f>
        <v/>
      </c>
      <c r="AQ237" s="41" t="str">
        <f t="shared" ref="AQ237" ca="1" si="1212">AP237</f>
        <v/>
      </c>
      <c r="AR237" s="44"/>
      <c r="AS237" s="41"/>
      <c r="AT237" s="41"/>
      <c r="AU237" s="41"/>
      <c r="AV237" s="41"/>
      <c r="AW237" s="41"/>
    </row>
    <row r="238" spans="1:49" ht="15" customHeight="1" x14ac:dyDescent="0.2">
      <c r="A238" s="41" t="str">
        <f t="shared" si="1122"/>
        <v/>
      </c>
      <c r="B238" s="45" t="str" cm="1">
        <f t="array" aca="1" ref="B238" ca="1">IF(ISBLANK(INDIRECT(_xlfn.CONCAT($AP390,B$389))),"",INDIRECT(_xlfn.CONCAT($AP390,B$389)))</f>
        <v/>
      </c>
      <c r="C238" s="45"/>
      <c r="D238" s="45"/>
      <c r="E238" s="45"/>
      <c r="F238" s="45"/>
      <c r="G238" s="45"/>
      <c r="H238" s="45"/>
      <c r="I238" s="45" t="str" cm="1">
        <f t="array" aca="1" ref="I238" ca="1">IF(ISBLANK(INDIRECT(_xlfn.CONCAT($AP390,C$389))),"",INDIRECT(_xlfn.CONCAT($AP390,C$389)))</f>
        <v/>
      </c>
      <c r="J238" s="45"/>
      <c r="K238" s="45"/>
      <c r="L238" s="45"/>
      <c r="M238" s="45"/>
      <c r="N238" s="45"/>
      <c r="O238" s="45"/>
      <c r="P238" s="45" t="str" cm="1">
        <f t="array" aca="1" ref="P238" ca="1">IF(ISBLANK(INDIRECT(_xlfn.CONCAT($AP390,D$389))),"",INDIRECT(_xlfn.CONCAT($AP390,D$389)))</f>
        <v/>
      </c>
      <c r="Q238" s="45"/>
      <c r="R238" s="45"/>
      <c r="S238" s="45"/>
      <c r="T238" s="45"/>
      <c r="U238" s="45"/>
      <c r="V238" s="45"/>
      <c r="W238" s="45" t="str" cm="1">
        <f t="array" aca="1" ref="W238" ca="1">IF(ISBLANK(INDIRECT(_xlfn.CONCAT($AP390,E$389))),"",INDIRECT(_xlfn.CONCAT($AP390,E$389)))</f>
        <v/>
      </c>
      <c r="X238" s="45"/>
      <c r="Y238" s="45"/>
      <c r="Z238" s="45"/>
      <c r="AA238" s="45"/>
      <c r="AB238" s="45"/>
      <c r="AC238" s="45"/>
      <c r="AD238" s="45" t="str" cm="1">
        <f t="array" aca="1" ref="AD238" ca="1">IF(ISBLANK(INDIRECT(_xlfn.CONCAT($AP390,F$389))),"",INDIRECT(_xlfn.CONCAT($AP390,F$389)))</f>
        <v/>
      </c>
      <c r="AE238" s="45"/>
      <c r="AF238" s="45"/>
      <c r="AG238" s="45"/>
      <c r="AH238" s="45"/>
      <c r="AI238" s="45"/>
      <c r="AJ238" s="45"/>
      <c r="AK238" s="45" t="str" cm="1">
        <f t="array" aca="1" ref="AK238" ca="1">IF(ISBLANK(INDIRECT(_xlfn.CONCAT($AP390,G$389))),"",INDIRECT(_xlfn.CONCAT($AP390,G$389)))</f>
        <v/>
      </c>
      <c r="AL238" s="45"/>
      <c r="AM238" s="45"/>
      <c r="AN238" s="45"/>
      <c r="AO238" s="45"/>
      <c r="AP238" s="45"/>
      <c r="AQ238" s="45"/>
      <c r="AR238" s="45"/>
      <c r="AS238" s="46"/>
      <c r="AT238" s="46"/>
      <c r="AU238" s="46"/>
      <c r="AV238" s="46"/>
      <c r="AW238" s="46"/>
    </row>
    <row r="239" spans="1:49" ht="15" customHeight="1" x14ac:dyDescent="0.2">
      <c r="A239" s="41" t="str">
        <f t="shared" si="1122"/>
        <v/>
      </c>
      <c r="B239" s="213" t="str" cm="1">
        <f t="array" ref="B239">IF(INDEX($U$427:$CB$432,B$436,$AP437)="-","",INDEX($U$427:$CB$432,B$436,$AP437))</f>
        <v/>
      </c>
      <c r="C239" s="213"/>
      <c r="D239" s="213"/>
      <c r="E239" s="213"/>
      <c r="F239" s="213"/>
      <c r="G239" s="213"/>
      <c r="H239" s="213"/>
      <c r="I239" s="213" t="str" cm="1">
        <f t="array" ref="I239">IF(INDEX($U$427:$CB$432,C$436,$AP437)="-","",INDEX($U$427:$CB$432,C$436,$AP437))</f>
        <v/>
      </c>
      <c r="J239" s="213"/>
      <c r="K239" s="213"/>
      <c r="L239" s="213"/>
      <c r="M239" s="213"/>
      <c r="N239" s="213"/>
      <c r="O239" s="213"/>
      <c r="P239" s="213" t="str" cm="1">
        <f t="array" ref="P239">IF(INDEX($U$427:$CB$432,D$436,$AP437)="-","",INDEX($U$427:$CB$432,D$436,$AP437))</f>
        <v/>
      </c>
      <c r="Q239" s="213"/>
      <c r="R239" s="213"/>
      <c r="S239" s="213"/>
      <c r="T239" s="213"/>
      <c r="U239" s="213"/>
      <c r="V239" s="213"/>
      <c r="W239" s="213" t="str" cm="1">
        <f t="array" ref="W239">IF(INDEX($U$427:$CB$432,E$436,$AP437)="-","",INDEX($U$427:$CB$432,E$436,$AP437))</f>
        <v/>
      </c>
      <c r="X239" s="213"/>
      <c r="Y239" s="213"/>
      <c r="Z239" s="213"/>
      <c r="AA239" s="213"/>
      <c r="AB239" s="213"/>
      <c r="AC239" s="213"/>
      <c r="AD239" s="213" t="str" cm="1">
        <f t="array" ref="AD239">IF(INDEX($U$427:$CB$432,F$436,$AP437)="-","",INDEX($U$427:$CB$432,F$436,$AP437))</f>
        <v/>
      </c>
      <c r="AE239" s="213"/>
      <c r="AF239" s="213"/>
      <c r="AG239" s="213"/>
      <c r="AH239" s="213"/>
      <c r="AI239" s="213"/>
      <c r="AJ239" s="213"/>
      <c r="AK239" s="213" t="str" cm="1">
        <f t="array" ref="AK239">IF(INDEX($U$427:$CB$432,G$436,$AP437)="-","",INDEX($U$427:$CB$432,G$436,$AP437))</f>
        <v/>
      </c>
      <c r="AL239" s="213"/>
      <c r="AM239" s="213"/>
      <c r="AN239" s="213"/>
      <c r="AO239" s="213"/>
      <c r="AP239" s="213"/>
      <c r="AQ239" s="213"/>
      <c r="AR239" s="211"/>
      <c r="AS239" s="211"/>
      <c r="AT239" s="211"/>
      <c r="AU239" s="211"/>
      <c r="AV239" s="211"/>
      <c r="AW239" s="211"/>
    </row>
    <row r="240" spans="1:49" ht="15" customHeight="1" x14ac:dyDescent="0.2">
      <c r="A240" s="41" t="str">
        <f t="shared" si="1122"/>
        <v/>
      </c>
      <c r="B240" s="213"/>
      <c r="C240" s="213"/>
      <c r="D240" s="213"/>
      <c r="E240" s="213"/>
      <c r="F240" s="213"/>
      <c r="G240" s="213"/>
      <c r="H240" s="213"/>
      <c r="I240" s="213"/>
      <c r="J240" s="213"/>
      <c r="K240" s="213"/>
      <c r="L240" s="213"/>
      <c r="M240" s="213"/>
      <c r="N240" s="213"/>
      <c r="O240" s="213"/>
      <c r="P240" s="213"/>
      <c r="Q240" s="213"/>
      <c r="R240" s="213"/>
      <c r="S240" s="213"/>
      <c r="T240" s="213"/>
      <c r="U240" s="213"/>
      <c r="V240" s="213"/>
      <c r="W240" s="213"/>
      <c r="X240" s="213"/>
      <c r="Y240" s="213"/>
      <c r="Z240" s="213"/>
      <c r="AA240" s="213"/>
      <c r="AB240" s="213"/>
      <c r="AC240" s="213"/>
      <c r="AD240" s="213"/>
      <c r="AE240" s="213"/>
      <c r="AF240" s="213"/>
      <c r="AG240" s="213"/>
      <c r="AH240" s="213"/>
      <c r="AI240" s="213"/>
      <c r="AJ240" s="213"/>
      <c r="AK240" s="213"/>
      <c r="AL240" s="213"/>
      <c r="AM240" s="213"/>
      <c r="AN240" s="213"/>
      <c r="AO240" s="213"/>
      <c r="AP240" s="213"/>
      <c r="AQ240" s="213"/>
      <c r="AR240" s="211"/>
      <c r="AS240" s="211"/>
      <c r="AT240" s="211"/>
      <c r="AU240" s="211"/>
      <c r="AV240" s="211"/>
      <c r="AW240" s="211"/>
    </row>
    <row r="241" spans="1:49" ht="15" customHeight="1" x14ac:dyDescent="0.2">
      <c r="A241" s="41" t="str">
        <f t="shared" si="1122"/>
        <v/>
      </c>
      <c r="B241" s="213"/>
      <c r="C241" s="213"/>
      <c r="D241" s="213"/>
      <c r="E241" s="213"/>
      <c r="F241" s="213"/>
      <c r="G241" s="213"/>
      <c r="H241" s="213"/>
      <c r="I241" s="213"/>
      <c r="J241" s="213"/>
      <c r="K241" s="213"/>
      <c r="L241" s="213"/>
      <c r="M241" s="213"/>
      <c r="N241" s="213"/>
      <c r="O241" s="213"/>
      <c r="P241" s="213"/>
      <c r="Q241" s="213"/>
      <c r="R241" s="213"/>
      <c r="S241" s="213"/>
      <c r="T241" s="213"/>
      <c r="U241" s="213"/>
      <c r="V241" s="213"/>
      <c r="W241" s="213"/>
      <c r="X241" s="213"/>
      <c r="Y241" s="213"/>
      <c r="Z241" s="213"/>
      <c r="AA241" s="213"/>
      <c r="AB241" s="213"/>
      <c r="AC241" s="213"/>
      <c r="AD241" s="213"/>
      <c r="AE241" s="213"/>
      <c r="AF241" s="213"/>
      <c r="AG241" s="213"/>
      <c r="AH241" s="213"/>
      <c r="AI241" s="213"/>
      <c r="AJ241" s="213"/>
      <c r="AK241" s="213"/>
      <c r="AL241" s="213"/>
      <c r="AM241" s="213"/>
      <c r="AN241" s="213"/>
      <c r="AO241" s="213"/>
      <c r="AP241" s="213"/>
      <c r="AQ241" s="213"/>
      <c r="AR241" s="211"/>
      <c r="AS241" s="211"/>
      <c r="AT241" s="211"/>
      <c r="AU241" s="211"/>
      <c r="AV241" s="211"/>
      <c r="AW241" s="211"/>
    </row>
    <row r="242" spans="1:49" ht="15" customHeight="1" x14ac:dyDescent="0.2">
      <c r="A242" s="41" t="str">
        <f t="shared" si="1122"/>
        <v/>
      </c>
      <c r="B242" s="44" t="str" cm="1">
        <f t="array" aca="1" ref="B242" ca="1">IF(INDIRECT(_xlfn.CONCAT($AQ365,B$364))="+","+",IF(ISNUMBER(INDIRECT(_xlfn.CONCAT($AQ365,B$363))),"-",""))</f>
        <v/>
      </c>
      <c r="C242" s="41" t="str">
        <f ca="1">B242</f>
        <v/>
      </c>
      <c r="D242" s="41" t="str">
        <f t="shared" ref="D242" ca="1" si="1213">C242</f>
        <v/>
      </c>
      <c r="E242" s="41" t="str">
        <f t="shared" ref="E242" ca="1" si="1214">D242</f>
        <v/>
      </c>
      <c r="F242" s="41" t="str">
        <f t="shared" ref="F242" ca="1" si="1215">E242</f>
        <v/>
      </c>
      <c r="G242" s="41" t="str">
        <f t="shared" ref="G242" ca="1" si="1216">F242</f>
        <v/>
      </c>
      <c r="H242" s="41" t="str">
        <f t="shared" ref="H242" ca="1" si="1217">G242</f>
        <v/>
      </c>
      <c r="I242" s="44" t="str" cm="1">
        <f t="array" aca="1" ref="I242" ca="1">IF(INDIRECT(_xlfn.CONCAT($AQ365,C$364))="+","+",IF(ISNUMBER(INDIRECT(_xlfn.CONCAT($AQ365,C$363))),"-",""))</f>
        <v/>
      </c>
      <c r="J242" s="41" t="str">
        <f ca="1">I242</f>
        <v/>
      </c>
      <c r="K242" s="41" t="str">
        <f t="shared" ref="K242" ca="1" si="1218">J242</f>
        <v/>
      </c>
      <c r="L242" s="41" t="str">
        <f t="shared" ref="L242" ca="1" si="1219">K242</f>
        <v/>
      </c>
      <c r="M242" s="41" t="str">
        <f t="shared" ref="M242" ca="1" si="1220">L242</f>
        <v/>
      </c>
      <c r="N242" s="41" t="str">
        <f t="shared" ref="N242" ca="1" si="1221">M242</f>
        <v/>
      </c>
      <c r="O242" s="41" t="str">
        <f t="shared" ref="O242" ca="1" si="1222">N242</f>
        <v/>
      </c>
      <c r="P242" s="44" t="str" cm="1">
        <f t="array" aca="1" ref="P242" ca="1">IF(INDIRECT(_xlfn.CONCAT($AQ365,D$364))="+","+",IF(ISNUMBER(INDIRECT(_xlfn.CONCAT($AQ365,D$363))),"-",""))</f>
        <v/>
      </c>
      <c r="Q242" s="41" t="str">
        <f ca="1">P242</f>
        <v/>
      </c>
      <c r="R242" s="41" t="str">
        <f t="shared" ref="R242" ca="1" si="1223">Q242</f>
        <v/>
      </c>
      <c r="S242" s="41" t="str">
        <f t="shared" ref="S242" ca="1" si="1224">R242</f>
        <v/>
      </c>
      <c r="T242" s="41" t="str">
        <f t="shared" ref="T242" ca="1" si="1225">S242</f>
        <v/>
      </c>
      <c r="U242" s="41" t="str">
        <f t="shared" ref="U242" ca="1" si="1226">T242</f>
        <v/>
      </c>
      <c r="V242" s="41" t="str">
        <f t="shared" ref="V242" ca="1" si="1227">U242</f>
        <v/>
      </c>
      <c r="W242" s="44" t="str" cm="1">
        <f t="array" aca="1" ref="W242" ca="1">IF(INDIRECT(_xlfn.CONCAT($AQ365,E$364))="+","+",IF(ISNUMBER(INDIRECT(_xlfn.CONCAT($AQ365,E$363))),"-",""))</f>
        <v/>
      </c>
      <c r="X242" s="41" t="str">
        <f ca="1">W242</f>
        <v/>
      </c>
      <c r="Y242" s="41" t="str">
        <f t="shared" ref="Y242" ca="1" si="1228">X242</f>
        <v/>
      </c>
      <c r="Z242" s="41" t="str">
        <f t="shared" ref="Z242" ca="1" si="1229">Y242</f>
        <v/>
      </c>
      <c r="AA242" s="41" t="str">
        <f t="shared" ref="AA242" ca="1" si="1230">Z242</f>
        <v/>
      </c>
      <c r="AB242" s="41" t="str">
        <f t="shared" ref="AB242" ca="1" si="1231">AA242</f>
        <v/>
      </c>
      <c r="AC242" s="41" t="str">
        <f t="shared" ref="AC242" ca="1" si="1232">AB242</f>
        <v/>
      </c>
      <c r="AD242" s="44" t="str" cm="1">
        <f t="array" aca="1" ref="AD242" ca="1">IF(INDIRECT(_xlfn.CONCAT($AQ365,F$364))="+","+",IF(ISNUMBER(INDIRECT(_xlfn.CONCAT($AQ365,F$363))),"-",""))</f>
        <v/>
      </c>
      <c r="AE242" s="41" t="str">
        <f ca="1">AD242</f>
        <v/>
      </c>
      <c r="AF242" s="41" t="str">
        <f t="shared" ref="AF242" ca="1" si="1233">AE242</f>
        <v/>
      </c>
      <c r="AG242" s="41" t="str">
        <f t="shared" ref="AG242" ca="1" si="1234">AF242</f>
        <v/>
      </c>
      <c r="AH242" s="41" t="str">
        <f t="shared" ref="AH242" ca="1" si="1235">AG242</f>
        <v/>
      </c>
      <c r="AI242" s="41" t="str">
        <f t="shared" ref="AI242" ca="1" si="1236">AH242</f>
        <v/>
      </c>
      <c r="AJ242" s="41" t="str">
        <f t="shared" ref="AJ242" ca="1" si="1237">AI242</f>
        <v/>
      </c>
      <c r="AK242" s="44" t="str" cm="1">
        <f t="array" aca="1" ref="AK242" ca="1">IF(INDIRECT(_xlfn.CONCAT($AQ365,G$364))="+","+",IF(ISNUMBER(INDIRECT(_xlfn.CONCAT($AQ365,G$363))),"-",""))</f>
        <v/>
      </c>
      <c r="AL242" s="41" t="str">
        <f ca="1">AK242</f>
        <v/>
      </c>
      <c r="AM242" s="41" t="str">
        <f t="shared" ref="AM242" ca="1" si="1238">AL242</f>
        <v/>
      </c>
      <c r="AN242" s="41" t="str">
        <f t="shared" ref="AN242" ca="1" si="1239">AM242</f>
        <v/>
      </c>
      <c r="AO242" s="41" t="str">
        <f t="shared" ref="AO242" ca="1" si="1240">AN242</f>
        <v/>
      </c>
      <c r="AP242" s="41" t="str">
        <f t="shared" ref="AP242" ca="1" si="1241">AO242</f>
        <v/>
      </c>
      <c r="AQ242" s="41" t="str">
        <f t="shared" ref="AQ242" ca="1" si="1242">AP242</f>
        <v/>
      </c>
      <c r="AR242" s="44"/>
      <c r="AS242" s="41"/>
      <c r="AT242" s="41"/>
      <c r="AU242" s="41"/>
      <c r="AV242" s="41"/>
      <c r="AW242" s="41"/>
    </row>
    <row r="243" spans="1:49" ht="15" customHeight="1" x14ac:dyDescent="0.2">
      <c r="A243" s="41" t="str">
        <f t="shared" si="1122"/>
        <v/>
      </c>
      <c r="B243" s="45" t="str" cm="1">
        <f t="array" aca="1" ref="B243" ca="1">IF(ISBLANK(INDIRECT(_xlfn.CONCAT($AQ390,B$389))),"",INDIRECT(_xlfn.CONCAT($AQ390,B$389)))</f>
        <v/>
      </c>
      <c r="C243" s="45"/>
      <c r="D243" s="45"/>
      <c r="E243" s="45"/>
      <c r="F243" s="45"/>
      <c r="G243" s="45"/>
      <c r="H243" s="45"/>
      <c r="I243" s="45" t="str" cm="1">
        <f t="array" aca="1" ref="I243" ca="1">IF(ISBLANK(INDIRECT(_xlfn.CONCAT($AQ390,C$389))),"",INDIRECT(_xlfn.CONCAT($AQ390,C$389)))</f>
        <v/>
      </c>
      <c r="J243" s="45"/>
      <c r="K243" s="45"/>
      <c r="L243" s="45"/>
      <c r="M243" s="45"/>
      <c r="N243" s="45"/>
      <c r="O243" s="45"/>
      <c r="P243" s="45" t="str" cm="1">
        <f t="array" aca="1" ref="P243" ca="1">IF(ISBLANK(INDIRECT(_xlfn.CONCAT($AQ390,D$389))),"",INDIRECT(_xlfn.CONCAT($AQ390,D$389)))</f>
        <v/>
      </c>
      <c r="Q243" s="45"/>
      <c r="R243" s="45"/>
      <c r="S243" s="45"/>
      <c r="T243" s="45"/>
      <c r="U243" s="45"/>
      <c r="V243" s="45"/>
      <c r="W243" s="45" t="str" cm="1">
        <f t="array" aca="1" ref="W243" ca="1">IF(ISBLANK(INDIRECT(_xlfn.CONCAT($AQ390,E$389))),"",INDIRECT(_xlfn.CONCAT($AQ390,E$389)))</f>
        <v/>
      </c>
      <c r="X243" s="45"/>
      <c r="Y243" s="45"/>
      <c r="Z243" s="45"/>
      <c r="AA243" s="45"/>
      <c r="AB243" s="45"/>
      <c r="AC243" s="45"/>
      <c r="AD243" s="45" t="str" cm="1">
        <f t="array" aca="1" ref="AD243" ca="1">IF(ISBLANK(INDIRECT(_xlfn.CONCAT($AQ390,F$389))),"",INDIRECT(_xlfn.CONCAT($AQ390,F$389)))</f>
        <v/>
      </c>
      <c r="AE243" s="45"/>
      <c r="AF243" s="45"/>
      <c r="AG243" s="45"/>
      <c r="AH243" s="45"/>
      <c r="AI243" s="45"/>
      <c r="AJ243" s="45"/>
      <c r="AK243" s="45" t="str" cm="1">
        <f t="array" aca="1" ref="AK243" ca="1">IF(ISBLANK(INDIRECT(_xlfn.CONCAT($AQ390,G$389))),"",INDIRECT(_xlfn.CONCAT($AQ390,G$389)))</f>
        <v/>
      </c>
      <c r="AL243" s="45"/>
      <c r="AM243" s="45"/>
      <c r="AN243" s="45"/>
      <c r="AO243" s="45"/>
      <c r="AP243" s="45"/>
      <c r="AQ243" s="45"/>
      <c r="AR243" s="45"/>
      <c r="AS243" s="46"/>
      <c r="AT243" s="46"/>
      <c r="AU243" s="46"/>
      <c r="AV243" s="46"/>
      <c r="AW243" s="46"/>
    </row>
    <row r="244" spans="1:49" ht="15" customHeight="1" x14ac:dyDescent="0.2">
      <c r="A244" s="41" t="str">
        <f t="shared" si="1122"/>
        <v/>
      </c>
      <c r="B244" s="213" t="str" cm="1">
        <f t="array" ref="B244">IF(INDEX($U$427:$CB$432,B$436,$AQ437)="-","",INDEX($U$427:$CB$432,B$436,$AQ437))</f>
        <v/>
      </c>
      <c r="C244" s="213"/>
      <c r="D244" s="213"/>
      <c r="E244" s="213"/>
      <c r="F244" s="213"/>
      <c r="G244" s="213"/>
      <c r="H244" s="213"/>
      <c r="I244" s="213" t="str" cm="1">
        <f t="array" ref="I244">IF(INDEX($U$427:$CB$432,C$436,$AQ437)="-","",INDEX($U$427:$CB$432,C$436,$AQ437))</f>
        <v/>
      </c>
      <c r="J244" s="213"/>
      <c r="K244" s="213"/>
      <c r="L244" s="213"/>
      <c r="M244" s="213"/>
      <c r="N244" s="213"/>
      <c r="O244" s="213"/>
      <c r="P244" s="213" t="str" cm="1">
        <f t="array" ref="P244">IF(INDEX($U$427:$CB$432,D$436,$AQ437)="-","",INDEX($U$427:$CB$432,D$436,$AQ437))</f>
        <v/>
      </c>
      <c r="Q244" s="213"/>
      <c r="R244" s="213"/>
      <c r="S244" s="213"/>
      <c r="T244" s="213"/>
      <c r="U244" s="213"/>
      <c r="V244" s="213"/>
      <c r="W244" s="213" t="str" cm="1">
        <f t="array" ref="W244">IF(INDEX($U$427:$CB$432,E$436,$AQ437)="-","",INDEX($U$427:$CB$432,E$436,$AQ437))</f>
        <v/>
      </c>
      <c r="X244" s="213"/>
      <c r="Y244" s="213"/>
      <c r="Z244" s="213"/>
      <c r="AA244" s="213"/>
      <c r="AB244" s="213"/>
      <c r="AC244" s="213"/>
      <c r="AD244" s="213" t="str" cm="1">
        <f t="array" ref="AD244">IF(INDEX($U$427:$CB$432,F$436,$AQ437)="-","",INDEX($U$427:$CB$432,F$436,$AQ437))</f>
        <v/>
      </c>
      <c r="AE244" s="213"/>
      <c r="AF244" s="213"/>
      <c r="AG244" s="213"/>
      <c r="AH244" s="213"/>
      <c r="AI244" s="213"/>
      <c r="AJ244" s="213"/>
      <c r="AK244" s="213" t="str" cm="1">
        <f t="array" ref="AK244">IF(INDEX($U$427:$CB$432,G$436,$AQ437)="-","",INDEX($U$427:$CB$432,G$436,$AQ437))</f>
        <v/>
      </c>
      <c r="AL244" s="213"/>
      <c r="AM244" s="213"/>
      <c r="AN244" s="213"/>
      <c r="AO244" s="213"/>
      <c r="AP244" s="213"/>
      <c r="AQ244" s="213"/>
      <c r="AR244" s="211"/>
      <c r="AS244" s="211"/>
      <c r="AT244" s="211"/>
      <c r="AU244" s="211"/>
      <c r="AV244" s="211"/>
      <c r="AW244" s="211"/>
    </row>
    <row r="245" spans="1:49" ht="15" customHeight="1" x14ac:dyDescent="0.2">
      <c r="A245" s="41" t="str">
        <f t="shared" si="1122"/>
        <v/>
      </c>
      <c r="B245" s="213"/>
      <c r="C245" s="213"/>
      <c r="D245" s="213"/>
      <c r="E245" s="213"/>
      <c r="F245" s="213"/>
      <c r="G245" s="213"/>
      <c r="H245" s="213"/>
      <c r="I245" s="213"/>
      <c r="J245" s="213"/>
      <c r="K245" s="213"/>
      <c r="L245" s="213"/>
      <c r="M245" s="213"/>
      <c r="N245" s="213"/>
      <c r="O245" s="213"/>
      <c r="P245" s="213"/>
      <c r="Q245" s="213"/>
      <c r="R245" s="213"/>
      <c r="S245" s="213"/>
      <c r="T245" s="213"/>
      <c r="U245" s="213"/>
      <c r="V245" s="213"/>
      <c r="W245" s="213"/>
      <c r="X245" s="213"/>
      <c r="Y245" s="213"/>
      <c r="Z245" s="213"/>
      <c r="AA245" s="213"/>
      <c r="AB245" s="213"/>
      <c r="AC245" s="213"/>
      <c r="AD245" s="213"/>
      <c r="AE245" s="213"/>
      <c r="AF245" s="213"/>
      <c r="AG245" s="213"/>
      <c r="AH245" s="213"/>
      <c r="AI245" s="213"/>
      <c r="AJ245" s="213"/>
      <c r="AK245" s="213"/>
      <c r="AL245" s="213"/>
      <c r="AM245" s="213"/>
      <c r="AN245" s="213"/>
      <c r="AO245" s="213"/>
      <c r="AP245" s="213"/>
      <c r="AQ245" s="213"/>
      <c r="AR245" s="211"/>
      <c r="AS245" s="211"/>
      <c r="AT245" s="211"/>
      <c r="AU245" s="211"/>
      <c r="AV245" s="211"/>
      <c r="AW245" s="211"/>
    </row>
    <row r="246" spans="1:49" ht="15" customHeight="1" x14ac:dyDescent="0.2">
      <c r="A246" s="41" t="str">
        <f t="shared" si="1122"/>
        <v/>
      </c>
      <c r="B246" s="213"/>
      <c r="C246" s="213"/>
      <c r="D246" s="213"/>
      <c r="E246" s="213"/>
      <c r="F246" s="213"/>
      <c r="G246" s="213"/>
      <c r="H246" s="213"/>
      <c r="I246" s="213"/>
      <c r="J246" s="213"/>
      <c r="K246" s="213"/>
      <c r="L246" s="213"/>
      <c r="M246" s="213"/>
      <c r="N246" s="213"/>
      <c r="O246" s="213"/>
      <c r="P246" s="213"/>
      <c r="Q246" s="213"/>
      <c r="R246" s="213"/>
      <c r="S246" s="213"/>
      <c r="T246" s="213"/>
      <c r="U246" s="213"/>
      <c r="V246" s="213"/>
      <c r="W246" s="213"/>
      <c r="X246" s="213"/>
      <c r="Y246" s="213"/>
      <c r="Z246" s="213"/>
      <c r="AA246" s="213"/>
      <c r="AB246" s="213"/>
      <c r="AC246" s="213"/>
      <c r="AD246" s="213"/>
      <c r="AE246" s="213"/>
      <c r="AF246" s="213"/>
      <c r="AG246" s="213"/>
      <c r="AH246" s="213"/>
      <c r="AI246" s="213"/>
      <c r="AJ246" s="213"/>
      <c r="AK246" s="213"/>
      <c r="AL246" s="213"/>
      <c r="AM246" s="213"/>
      <c r="AN246" s="213"/>
      <c r="AO246" s="213"/>
      <c r="AP246" s="213"/>
      <c r="AQ246" s="213"/>
      <c r="AR246" s="211"/>
      <c r="AS246" s="211"/>
      <c r="AT246" s="211"/>
      <c r="AU246" s="211"/>
      <c r="AV246" s="211"/>
      <c r="AW246" s="211"/>
    </row>
    <row r="247" spans="1:49" ht="15" customHeight="1" x14ac:dyDescent="0.2">
      <c r="A247" s="41" t="str">
        <f t="shared" si="1122"/>
        <v/>
      </c>
      <c r="B247" s="44" t="str" cm="1">
        <f t="array" aca="1" ref="B247" ca="1">IF(INDIRECT(_xlfn.CONCAT($AR365,B$364))="+","+",IF(ISNUMBER(INDIRECT(_xlfn.CONCAT($AR365,B$363))),"-",""))</f>
        <v/>
      </c>
      <c r="C247" s="41" t="str">
        <f ca="1">B247</f>
        <v/>
      </c>
      <c r="D247" s="41" t="str">
        <f t="shared" ref="D247" ca="1" si="1243">C247</f>
        <v/>
      </c>
      <c r="E247" s="41" t="str">
        <f t="shared" ref="E247" ca="1" si="1244">D247</f>
        <v/>
      </c>
      <c r="F247" s="41" t="str">
        <f t="shared" ref="F247" ca="1" si="1245">E247</f>
        <v/>
      </c>
      <c r="G247" s="41" t="str">
        <f t="shared" ref="G247" ca="1" si="1246">F247</f>
        <v/>
      </c>
      <c r="H247" s="41" t="str">
        <f t="shared" ref="H247" ca="1" si="1247">G247</f>
        <v/>
      </c>
      <c r="I247" s="44" t="str" cm="1">
        <f t="array" aca="1" ref="I247" ca="1">IF(INDIRECT(_xlfn.CONCAT($AR365,C$364))="+","+",IF(ISNUMBER(INDIRECT(_xlfn.CONCAT($AR365,C$363))),"-",""))</f>
        <v/>
      </c>
      <c r="J247" s="41" t="str">
        <f ca="1">I247</f>
        <v/>
      </c>
      <c r="K247" s="41" t="str">
        <f t="shared" ref="K247" ca="1" si="1248">J247</f>
        <v/>
      </c>
      <c r="L247" s="41" t="str">
        <f t="shared" ref="L247" ca="1" si="1249">K247</f>
        <v/>
      </c>
      <c r="M247" s="41" t="str">
        <f t="shared" ref="M247" ca="1" si="1250">L247</f>
        <v/>
      </c>
      <c r="N247" s="41" t="str">
        <f t="shared" ref="N247" ca="1" si="1251">M247</f>
        <v/>
      </c>
      <c r="O247" s="41" t="str">
        <f t="shared" ref="O247" ca="1" si="1252">N247</f>
        <v/>
      </c>
      <c r="P247" s="44" t="str" cm="1">
        <f t="array" aca="1" ref="P247" ca="1">IF(INDIRECT(_xlfn.CONCAT($AR365,D$364))="+","+",IF(ISNUMBER(INDIRECT(_xlfn.CONCAT($AR365,D$363))),"-",""))</f>
        <v/>
      </c>
      <c r="Q247" s="41" t="str">
        <f ca="1">P247</f>
        <v/>
      </c>
      <c r="R247" s="41" t="str">
        <f t="shared" ref="R247" ca="1" si="1253">Q247</f>
        <v/>
      </c>
      <c r="S247" s="41" t="str">
        <f t="shared" ref="S247" ca="1" si="1254">R247</f>
        <v/>
      </c>
      <c r="T247" s="41" t="str">
        <f t="shared" ref="T247" ca="1" si="1255">S247</f>
        <v/>
      </c>
      <c r="U247" s="41" t="str">
        <f t="shared" ref="U247" ca="1" si="1256">T247</f>
        <v/>
      </c>
      <c r="V247" s="41" t="str">
        <f t="shared" ref="V247" ca="1" si="1257">U247</f>
        <v/>
      </c>
      <c r="W247" s="44" t="str" cm="1">
        <f t="array" aca="1" ref="W247" ca="1">IF(INDIRECT(_xlfn.CONCAT($AR365,E$364))="+","+",IF(ISNUMBER(INDIRECT(_xlfn.CONCAT($AR365,E$363))),"-",""))</f>
        <v/>
      </c>
      <c r="X247" s="41" t="str">
        <f ca="1">W247</f>
        <v/>
      </c>
      <c r="Y247" s="41" t="str">
        <f t="shared" ref="Y247" ca="1" si="1258">X247</f>
        <v/>
      </c>
      <c r="Z247" s="41" t="str">
        <f t="shared" ref="Z247" ca="1" si="1259">Y247</f>
        <v/>
      </c>
      <c r="AA247" s="41" t="str">
        <f t="shared" ref="AA247" ca="1" si="1260">Z247</f>
        <v/>
      </c>
      <c r="AB247" s="41" t="str">
        <f t="shared" ref="AB247" ca="1" si="1261">AA247</f>
        <v/>
      </c>
      <c r="AC247" s="41" t="str">
        <f t="shared" ref="AC247" ca="1" si="1262">AB247</f>
        <v/>
      </c>
      <c r="AD247" s="44" t="str" cm="1">
        <f t="array" aca="1" ref="AD247" ca="1">IF(INDIRECT(_xlfn.CONCAT($AR365,F$364))="+","+",IF(ISNUMBER(INDIRECT(_xlfn.CONCAT($AR365,F$363))),"-",""))</f>
        <v/>
      </c>
      <c r="AE247" s="41" t="str">
        <f ca="1">AD247</f>
        <v/>
      </c>
      <c r="AF247" s="41" t="str">
        <f t="shared" ref="AF247" ca="1" si="1263">AE247</f>
        <v/>
      </c>
      <c r="AG247" s="41" t="str">
        <f t="shared" ref="AG247" ca="1" si="1264">AF247</f>
        <v/>
      </c>
      <c r="AH247" s="41" t="str">
        <f t="shared" ref="AH247" ca="1" si="1265">AG247</f>
        <v/>
      </c>
      <c r="AI247" s="41" t="str">
        <f t="shared" ref="AI247" ca="1" si="1266">AH247</f>
        <v/>
      </c>
      <c r="AJ247" s="41" t="str">
        <f t="shared" ref="AJ247" ca="1" si="1267">AI247</f>
        <v/>
      </c>
      <c r="AK247" s="44" t="str" cm="1">
        <f t="array" aca="1" ref="AK247" ca="1">IF(INDIRECT(_xlfn.CONCAT($AR365,G$364))="+","+",IF(ISNUMBER(INDIRECT(_xlfn.CONCAT($AR365,G$363))),"-",""))</f>
        <v/>
      </c>
      <c r="AL247" s="41" t="str">
        <f ca="1">AK247</f>
        <v/>
      </c>
      <c r="AM247" s="41" t="str">
        <f t="shared" ref="AM247" ca="1" si="1268">AL247</f>
        <v/>
      </c>
      <c r="AN247" s="41" t="str">
        <f t="shared" ref="AN247" ca="1" si="1269">AM247</f>
        <v/>
      </c>
      <c r="AO247" s="41" t="str">
        <f t="shared" ref="AO247" ca="1" si="1270">AN247</f>
        <v/>
      </c>
      <c r="AP247" s="41" t="str">
        <f t="shared" ref="AP247" ca="1" si="1271">AO247</f>
        <v/>
      </c>
      <c r="AQ247" s="41" t="str">
        <f t="shared" ref="AQ247" ca="1" si="1272">AP247</f>
        <v/>
      </c>
      <c r="AR247" s="44"/>
      <c r="AS247" s="41"/>
      <c r="AT247" s="41"/>
      <c r="AU247" s="41"/>
      <c r="AV247" s="41"/>
      <c r="AW247" s="41"/>
    </row>
    <row r="248" spans="1:49" ht="15" customHeight="1" x14ac:dyDescent="0.2">
      <c r="A248" s="41" t="str">
        <f t="shared" si="1122"/>
        <v/>
      </c>
      <c r="B248" s="45" t="str" cm="1">
        <f t="array" aca="1" ref="B248" ca="1">IF(ISBLANK(INDIRECT(_xlfn.CONCAT($AR390,B$389))),"",INDIRECT(_xlfn.CONCAT($AR390,B$389)))</f>
        <v/>
      </c>
      <c r="C248" s="45"/>
      <c r="D248" s="45"/>
      <c r="E248" s="45"/>
      <c r="F248" s="45"/>
      <c r="G248" s="45"/>
      <c r="H248" s="45"/>
      <c r="I248" s="45" t="str" cm="1">
        <f t="array" aca="1" ref="I248" ca="1">IF(ISBLANK(INDIRECT(_xlfn.CONCAT($AR390,C$389))),"",INDIRECT(_xlfn.CONCAT($AR390,C$389)))</f>
        <v/>
      </c>
      <c r="J248" s="45"/>
      <c r="K248" s="45"/>
      <c r="L248" s="45"/>
      <c r="M248" s="45"/>
      <c r="N248" s="45"/>
      <c r="O248" s="45"/>
      <c r="P248" s="45" t="str" cm="1">
        <f t="array" aca="1" ref="P248" ca="1">IF(ISBLANK(INDIRECT(_xlfn.CONCAT($AR390,D$389))),"",INDIRECT(_xlfn.CONCAT($AR390,D$389)))</f>
        <v/>
      </c>
      <c r="Q248" s="45"/>
      <c r="R248" s="45"/>
      <c r="S248" s="45"/>
      <c r="T248" s="45"/>
      <c r="U248" s="45"/>
      <c r="V248" s="45"/>
      <c r="W248" s="45" t="str" cm="1">
        <f t="array" aca="1" ref="W248" ca="1">IF(ISBLANK(INDIRECT(_xlfn.CONCAT($AR390,E$389))),"",INDIRECT(_xlfn.CONCAT($AR390,E$389)))</f>
        <v/>
      </c>
      <c r="X248" s="45"/>
      <c r="Y248" s="45"/>
      <c r="Z248" s="45"/>
      <c r="AA248" s="45"/>
      <c r="AB248" s="45"/>
      <c r="AC248" s="45"/>
      <c r="AD248" s="45" t="str" cm="1">
        <f t="array" aca="1" ref="AD248" ca="1">IF(ISBLANK(INDIRECT(_xlfn.CONCAT($AR390,F$389))),"",INDIRECT(_xlfn.CONCAT($AR390,F$389)))</f>
        <v/>
      </c>
      <c r="AE248" s="45"/>
      <c r="AF248" s="45"/>
      <c r="AG248" s="45"/>
      <c r="AH248" s="45"/>
      <c r="AI248" s="45"/>
      <c r="AJ248" s="45"/>
      <c r="AK248" s="45" t="str" cm="1">
        <f t="array" aca="1" ref="AK248" ca="1">IF(ISBLANK(INDIRECT(_xlfn.CONCAT($AR390,G$389))),"",INDIRECT(_xlfn.CONCAT($AR390,G$389)))</f>
        <v/>
      </c>
      <c r="AL248" s="45"/>
      <c r="AM248" s="45"/>
      <c r="AN248" s="45"/>
      <c r="AO248" s="45"/>
      <c r="AP248" s="45"/>
      <c r="AQ248" s="45"/>
      <c r="AR248" s="45"/>
      <c r="AS248" s="46"/>
      <c r="AT248" s="46"/>
      <c r="AU248" s="46"/>
      <c r="AV248" s="46"/>
      <c r="AW248" s="46"/>
    </row>
    <row r="249" spans="1:49" ht="15" customHeight="1" x14ac:dyDescent="0.2">
      <c r="A249" s="41" t="str">
        <f t="shared" si="1122"/>
        <v/>
      </c>
      <c r="B249" s="213" t="str" cm="1">
        <f t="array" ref="B249">IF(INDEX($U$427:$CB$432,B$436,$AR437)="-","",INDEX($U$427:$CB$432,B$436,$AR437))</f>
        <v/>
      </c>
      <c r="C249" s="213"/>
      <c r="D249" s="213"/>
      <c r="E249" s="213"/>
      <c r="F249" s="213"/>
      <c r="G249" s="213"/>
      <c r="H249" s="213"/>
      <c r="I249" s="213" t="str" cm="1">
        <f t="array" ref="I249">IF(INDEX($U$427:$CB$432,C$436,$AR437)="-","",INDEX($U$427:$CB$432,C$436,$AR437))</f>
        <v/>
      </c>
      <c r="J249" s="213"/>
      <c r="K249" s="213"/>
      <c r="L249" s="213"/>
      <c r="M249" s="213"/>
      <c r="N249" s="213"/>
      <c r="O249" s="213"/>
      <c r="P249" s="213" t="str" cm="1">
        <f t="array" ref="P249">IF(INDEX($U$427:$CB$432,D$436,$AR437)="-","",INDEX($U$427:$CB$432,D$436,$AR437))</f>
        <v/>
      </c>
      <c r="Q249" s="213"/>
      <c r="R249" s="213"/>
      <c r="S249" s="213"/>
      <c r="T249" s="213"/>
      <c r="U249" s="213"/>
      <c r="V249" s="213"/>
      <c r="W249" s="213" t="str" cm="1">
        <f t="array" ref="W249">IF(INDEX($U$427:$CB$432,E$436,$AR437)="-","",INDEX($U$427:$CB$432,E$436,$AR437))</f>
        <v/>
      </c>
      <c r="X249" s="213"/>
      <c r="Y249" s="213"/>
      <c r="Z249" s="213"/>
      <c r="AA249" s="213"/>
      <c r="AB249" s="213"/>
      <c r="AC249" s="213"/>
      <c r="AD249" s="213" t="str" cm="1">
        <f t="array" ref="AD249">IF(INDEX($U$427:$CB$432,F$436,$AR437)="-","",INDEX($U$427:$CB$432,F$436,$AR437))</f>
        <v/>
      </c>
      <c r="AE249" s="213"/>
      <c r="AF249" s="213"/>
      <c r="AG249" s="213"/>
      <c r="AH249" s="213"/>
      <c r="AI249" s="213"/>
      <c r="AJ249" s="213"/>
      <c r="AK249" s="213" t="str" cm="1">
        <f t="array" ref="AK249">IF(INDEX($U$427:$CB$432,G$436,$AR437)="-","",INDEX($U$427:$CB$432,G$436,$AR437))</f>
        <v/>
      </c>
      <c r="AL249" s="213"/>
      <c r="AM249" s="213"/>
      <c r="AN249" s="213"/>
      <c r="AO249" s="213"/>
      <c r="AP249" s="213"/>
      <c r="AQ249" s="213"/>
      <c r="AR249" s="211"/>
      <c r="AS249" s="211"/>
      <c r="AT249" s="211"/>
      <c r="AU249" s="211"/>
      <c r="AV249" s="211"/>
      <c r="AW249" s="211"/>
    </row>
    <row r="250" spans="1:49" ht="15" customHeight="1" x14ac:dyDescent="0.2">
      <c r="A250" s="41" t="str">
        <f t="shared" si="1122"/>
        <v/>
      </c>
      <c r="B250" s="213"/>
      <c r="C250" s="213"/>
      <c r="D250" s="213"/>
      <c r="E250" s="213"/>
      <c r="F250" s="213"/>
      <c r="G250" s="213"/>
      <c r="H250" s="213"/>
      <c r="I250" s="213"/>
      <c r="J250" s="213"/>
      <c r="K250" s="213"/>
      <c r="L250" s="213"/>
      <c r="M250" s="213"/>
      <c r="N250" s="213"/>
      <c r="O250" s="213"/>
      <c r="P250" s="213"/>
      <c r="Q250" s="213"/>
      <c r="R250" s="213"/>
      <c r="S250" s="213"/>
      <c r="T250" s="213"/>
      <c r="U250" s="213"/>
      <c r="V250" s="213"/>
      <c r="W250" s="213"/>
      <c r="X250" s="213"/>
      <c r="Y250" s="213"/>
      <c r="Z250" s="213"/>
      <c r="AA250" s="213"/>
      <c r="AB250" s="213"/>
      <c r="AC250" s="213"/>
      <c r="AD250" s="213"/>
      <c r="AE250" s="213"/>
      <c r="AF250" s="213"/>
      <c r="AG250" s="213"/>
      <c r="AH250" s="213"/>
      <c r="AI250" s="213"/>
      <c r="AJ250" s="213"/>
      <c r="AK250" s="213"/>
      <c r="AL250" s="213"/>
      <c r="AM250" s="213"/>
      <c r="AN250" s="213"/>
      <c r="AO250" s="213"/>
      <c r="AP250" s="213"/>
      <c r="AQ250" s="213"/>
      <c r="AR250" s="211"/>
      <c r="AS250" s="211"/>
      <c r="AT250" s="211"/>
      <c r="AU250" s="211"/>
      <c r="AV250" s="211"/>
      <c r="AW250" s="211"/>
    </row>
    <row r="251" spans="1:49" ht="15" customHeight="1" x14ac:dyDescent="0.2">
      <c r="A251" s="41" t="str">
        <f t="shared" si="1122"/>
        <v/>
      </c>
      <c r="B251" s="213"/>
      <c r="C251" s="213"/>
      <c r="D251" s="213"/>
      <c r="E251" s="213"/>
      <c r="F251" s="213"/>
      <c r="G251" s="213"/>
      <c r="H251" s="213"/>
      <c r="I251" s="213"/>
      <c r="J251" s="213"/>
      <c r="K251" s="213"/>
      <c r="L251" s="213"/>
      <c r="M251" s="213"/>
      <c r="N251" s="213"/>
      <c r="O251" s="213"/>
      <c r="P251" s="213"/>
      <c r="Q251" s="213"/>
      <c r="R251" s="213"/>
      <c r="S251" s="213"/>
      <c r="T251" s="213"/>
      <c r="U251" s="213"/>
      <c r="V251" s="213"/>
      <c r="W251" s="213"/>
      <c r="X251" s="213"/>
      <c r="Y251" s="213"/>
      <c r="Z251" s="213"/>
      <c r="AA251" s="213"/>
      <c r="AB251" s="213"/>
      <c r="AC251" s="213"/>
      <c r="AD251" s="213"/>
      <c r="AE251" s="213"/>
      <c r="AF251" s="213"/>
      <c r="AG251" s="213"/>
      <c r="AH251" s="213"/>
      <c r="AI251" s="213"/>
      <c r="AJ251" s="213"/>
      <c r="AK251" s="213"/>
      <c r="AL251" s="213"/>
      <c r="AM251" s="213"/>
      <c r="AN251" s="213"/>
      <c r="AO251" s="213"/>
      <c r="AP251" s="213"/>
      <c r="AQ251" s="213"/>
      <c r="AR251" s="211"/>
      <c r="AS251" s="211"/>
      <c r="AT251" s="211"/>
      <c r="AU251" s="211"/>
      <c r="AV251" s="211"/>
      <c r="AW251" s="211"/>
    </row>
    <row r="252" spans="1:49" ht="15" customHeight="1" x14ac:dyDescent="0.2">
      <c r="A252" s="41" t="str">
        <f t="shared" si="1122"/>
        <v/>
      </c>
      <c r="B252" s="44" t="str" cm="1">
        <f t="array" aca="1" ref="B252" ca="1">IF(INDIRECT(_xlfn.CONCAT($AS365,B$364))="+","+",IF(ISNUMBER(INDIRECT(_xlfn.CONCAT($AS365,B$363))),"-",""))</f>
        <v/>
      </c>
      <c r="C252" s="41" t="str">
        <f ca="1">B252</f>
        <v/>
      </c>
      <c r="D252" s="41" t="str">
        <f t="shared" ref="D252" ca="1" si="1273">C252</f>
        <v/>
      </c>
      <c r="E252" s="41" t="str">
        <f t="shared" ref="E252" ca="1" si="1274">D252</f>
        <v/>
      </c>
      <c r="F252" s="41" t="str">
        <f t="shared" ref="F252" ca="1" si="1275">E252</f>
        <v/>
      </c>
      <c r="G252" s="41" t="str">
        <f t="shared" ref="G252" ca="1" si="1276">F252</f>
        <v/>
      </c>
      <c r="H252" s="41" t="str">
        <f t="shared" ref="H252" ca="1" si="1277">G252</f>
        <v/>
      </c>
      <c r="I252" s="44" t="str" cm="1">
        <f t="array" aca="1" ref="I252" ca="1">IF(INDIRECT(_xlfn.CONCAT($AS365,C$364))="+","+",IF(ISNUMBER(INDIRECT(_xlfn.CONCAT($AS365,C$363))),"-",""))</f>
        <v/>
      </c>
      <c r="J252" s="41" t="str">
        <f ca="1">I252</f>
        <v/>
      </c>
      <c r="K252" s="41" t="str">
        <f t="shared" ref="K252" ca="1" si="1278">J252</f>
        <v/>
      </c>
      <c r="L252" s="41" t="str">
        <f t="shared" ref="L252" ca="1" si="1279">K252</f>
        <v/>
      </c>
      <c r="M252" s="41" t="str">
        <f t="shared" ref="M252" ca="1" si="1280">L252</f>
        <v/>
      </c>
      <c r="N252" s="41" t="str">
        <f t="shared" ref="N252" ca="1" si="1281">M252</f>
        <v/>
      </c>
      <c r="O252" s="41" t="str">
        <f t="shared" ref="O252" ca="1" si="1282">N252</f>
        <v/>
      </c>
      <c r="P252" s="44" t="str" cm="1">
        <f t="array" aca="1" ref="P252" ca="1">IF(INDIRECT(_xlfn.CONCAT($AS365,D$364))="+","+",IF(ISNUMBER(INDIRECT(_xlfn.CONCAT($AS365,D$363))),"-",""))</f>
        <v/>
      </c>
      <c r="Q252" s="41" t="str">
        <f ca="1">P252</f>
        <v/>
      </c>
      <c r="R252" s="41" t="str">
        <f t="shared" ref="R252" ca="1" si="1283">Q252</f>
        <v/>
      </c>
      <c r="S252" s="41" t="str">
        <f t="shared" ref="S252" ca="1" si="1284">R252</f>
        <v/>
      </c>
      <c r="T252" s="41" t="str">
        <f t="shared" ref="T252" ca="1" si="1285">S252</f>
        <v/>
      </c>
      <c r="U252" s="41" t="str">
        <f t="shared" ref="U252" ca="1" si="1286">T252</f>
        <v/>
      </c>
      <c r="V252" s="41" t="str">
        <f t="shared" ref="V252" ca="1" si="1287">U252</f>
        <v/>
      </c>
      <c r="W252" s="44" t="str" cm="1">
        <f t="array" aca="1" ref="W252" ca="1">IF(INDIRECT(_xlfn.CONCAT($AS365,E$364))="+","+",IF(ISNUMBER(INDIRECT(_xlfn.CONCAT($AS365,E$363))),"-",""))</f>
        <v/>
      </c>
      <c r="X252" s="41" t="str">
        <f ca="1">W252</f>
        <v/>
      </c>
      <c r="Y252" s="41" t="str">
        <f t="shared" ref="Y252" ca="1" si="1288">X252</f>
        <v/>
      </c>
      <c r="Z252" s="41" t="str">
        <f t="shared" ref="Z252" ca="1" si="1289">Y252</f>
        <v/>
      </c>
      <c r="AA252" s="41" t="str">
        <f t="shared" ref="AA252" ca="1" si="1290">Z252</f>
        <v/>
      </c>
      <c r="AB252" s="41" t="str">
        <f t="shared" ref="AB252" ca="1" si="1291">AA252</f>
        <v/>
      </c>
      <c r="AC252" s="41" t="str">
        <f t="shared" ref="AC252" ca="1" si="1292">AB252</f>
        <v/>
      </c>
      <c r="AD252" s="44" t="str" cm="1">
        <f t="array" aca="1" ref="AD252" ca="1">IF(INDIRECT(_xlfn.CONCAT($AS365,F$364))="+","+",IF(ISNUMBER(INDIRECT(_xlfn.CONCAT($AS365,F$363))),"-",""))</f>
        <v/>
      </c>
      <c r="AE252" s="41" t="str">
        <f ca="1">AD252</f>
        <v/>
      </c>
      <c r="AF252" s="41" t="str">
        <f t="shared" ref="AF252" ca="1" si="1293">AE252</f>
        <v/>
      </c>
      <c r="AG252" s="41" t="str">
        <f t="shared" ref="AG252" ca="1" si="1294">AF252</f>
        <v/>
      </c>
      <c r="AH252" s="41" t="str">
        <f t="shared" ref="AH252" ca="1" si="1295">AG252</f>
        <v/>
      </c>
      <c r="AI252" s="41" t="str">
        <f t="shared" ref="AI252" ca="1" si="1296">AH252</f>
        <v/>
      </c>
      <c r="AJ252" s="41" t="str">
        <f t="shared" ref="AJ252" ca="1" si="1297">AI252</f>
        <v/>
      </c>
      <c r="AK252" s="44" t="str" cm="1">
        <f t="array" aca="1" ref="AK252" ca="1">IF(INDIRECT(_xlfn.CONCAT($AS365,G$364))="+","+",IF(ISNUMBER(INDIRECT(_xlfn.CONCAT($AS365,G$363))),"-",""))</f>
        <v/>
      </c>
      <c r="AL252" s="41" t="str">
        <f ca="1">AK252</f>
        <v/>
      </c>
      <c r="AM252" s="41" t="str">
        <f t="shared" ref="AM252" ca="1" si="1298">AL252</f>
        <v/>
      </c>
      <c r="AN252" s="41" t="str">
        <f t="shared" ref="AN252" ca="1" si="1299">AM252</f>
        <v/>
      </c>
      <c r="AO252" s="41" t="str">
        <f t="shared" ref="AO252" ca="1" si="1300">AN252</f>
        <v/>
      </c>
      <c r="AP252" s="41" t="str">
        <f t="shared" ref="AP252" ca="1" si="1301">AO252</f>
        <v/>
      </c>
      <c r="AQ252" s="41" t="str">
        <f t="shared" ref="AQ252" ca="1" si="1302">AP252</f>
        <v/>
      </c>
      <c r="AR252" s="44"/>
      <c r="AS252" s="41"/>
      <c r="AT252" s="41"/>
      <c r="AU252" s="41"/>
      <c r="AV252" s="41"/>
      <c r="AW252" s="41"/>
    </row>
    <row r="253" spans="1:49" ht="15" customHeight="1" x14ac:dyDescent="0.2">
      <c r="A253" s="41" t="str">
        <f t="shared" si="1122"/>
        <v/>
      </c>
      <c r="B253" s="45" t="str" cm="1">
        <f t="array" aca="1" ref="B253" ca="1">IF(ISBLANK(INDIRECT(_xlfn.CONCAT($AS390,B$389))),"",INDIRECT(_xlfn.CONCAT($AS390,B$389)))</f>
        <v/>
      </c>
      <c r="C253" s="45"/>
      <c r="D253" s="45"/>
      <c r="E253" s="45"/>
      <c r="F253" s="45"/>
      <c r="G253" s="45"/>
      <c r="H253" s="45"/>
      <c r="I253" s="45" t="str" cm="1">
        <f t="array" aca="1" ref="I253" ca="1">IF(ISBLANK(INDIRECT(_xlfn.CONCAT($AS390,C$389))),"",INDIRECT(_xlfn.CONCAT($AS390,C$389)))</f>
        <v/>
      </c>
      <c r="J253" s="45"/>
      <c r="K253" s="45"/>
      <c r="L253" s="45"/>
      <c r="M253" s="45"/>
      <c r="N253" s="45"/>
      <c r="O253" s="45"/>
      <c r="P253" s="45" t="str" cm="1">
        <f t="array" aca="1" ref="P253" ca="1">IF(ISBLANK(INDIRECT(_xlfn.CONCAT($AS390,D$389))),"",INDIRECT(_xlfn.CONCAT($AS390,D$389)))</f>
        <v/>
      </c>
      <c r="Q253" s="45"/>
      <c r="R253" s="45"/>
      <c r="S253" s="45"/>
      <c r="T253" s="45"/>
      <c r="U253" s="45"/>
      <c r="V253" s="45"/>
      <c r="W253" s="45" t="str" cm="1">
        <f t="array" aca="1" ref="W253" ca="1">IF(ISBLANK(INDIRECT(_xlfn.CONCAT($AS390,E$389))),"",INDIRECT(_xlfn.CONCAT($AS390,E$389)))</f>
        <v/>
      </c>
      <c r="X253" s="45"/>
      <c r="Y253" s="45"/>
      <c r="Z253" s="45"/>
      <c r="AA253" s="45"/>
      <c r="AB253" s="45"/>
      <c r="AC253" s="45"/>
      <c r="AD253" s="45" t="str" cm="1">
        <f t="array" aca="1" ref="AD253" ca="1">IF(ISBLANK(INDIRECT(_xlfn.CONCAT($AS390,F$389))),"",INDIRECT(_xlfn.CONCAT($AS390,F$389)))</f>
        <v/>
      </c>
      <c r="AE253" s="45"/>
      <c r="AF253" s="45"/>
      <c r="AG253" s="45"/>
      <c r="AH253" s="45"/>
      <c r="AI253" s="45"/>
      <c r="AJ253" s="45"/>
      <c r="AK253" s="45" t="str" cm="1">
        <f t="array" aca="1" ref="AK253" ca="1">IF(ISBLANK(INDIRECT(_xlfn.CONCAT($AS390,G$389))),"",INDIRECT(_xlfn.CONCAT($AS390,G$389)))</f>
        <v/>
      </c>
      <c r="AL253" s="45"/>
      <c r="AM253" s="45"/>
      <c r="AN253" s="45"/>
      <c r="AO253" s="45"/>
      <c r="AP253" s="45"/>
      <c r="AQ253" s="45"/>
      <c r="AR253" s="45"/>
      <c r="AS253" s="46"/>
      <c r="AT253" s="46"/>
      <c r="AU253" s="46"/>
      <c r="AV253" s="46"/>
      <c r="AW253" s="46"/>
    </row>
    <row r="254" spans="1:49" ht="15" customHeight="1" x14ac:dyDescent="0.2">
      <c r="A254" s="41" t="str">
        <f t="shared" si="1122"/>
        <v/>
      </c>
      <c r="B254" s="213" t="str" cm="1">
        <f t="array" ref="B254">IF(INDEX($U$427:$CB$432,B$436,$AS437)="-","",INDEX($U$427:$CB$432,B$436,$AS437))</f>
        <v/>
      </c>
      <c r="C254" s="213"/>
      <c r="D254" s="213"/>
      <c r="E254" s="213"/>
      <c r="F254" s="213"/>
      <c r="G254" s="213"/>
      <c r="H254" s="213"/>
      <c r="I254" s="213" t="str" cm="1">
        <f t="array" ref="I254">IF(INDEX($U$427:$CB$432,C$436,$AS437)="-","",INDEX($U$427:$CB$432,C$436,$AS437))</f>
        <v/>
      </c>
      <c r="J254" s="213"/>
      <c r="K254" s="213"/>
      <c r="L254" s="213"/>
      <c r="M254" s="213"/>
      <c r="N254" s="213"/>
      <c r="O254" s="213"/>
      <c r="P254" s="213" t="str" cm="1">
        <f t="array" ref="P254">IF(INDEX($U$427:$CB$432,D$436,$AS437)="-","",INDEX($U$427:$CB$432,D$436,$AS437))</f>
        <v/>
      </c>
      <c r="Q254" s="213"/>
      <c r="R254" s="213"/>
      <c r="S254" s="213"/>
      <c r="T254" s="213"/>
      <c r="U254" s="213"/>
      <c r="V254" s="213"/>
      <c r="W254" s="213" t="str" cm="1">
        <f t="array" ref="W254">IF(INDEX($U$427:$CB$432,E$436,$AS437)="-","",INDEX($U$427:$CB$432,E$436,$AS437))</f>
        <v/>
      </c>
      <c r="X254" s="213"/>
      <c r="Y254" s="213"/>
      <c r="Z254" s="213"/>
      <c r="AA254" s="213"/>
      <c r="AB254" s="213"/>
      <c r="AC254" s="213"/>
      <c r="AD254" s="213" t="str" cm="1">
        <f t="array" ref="AD254">IF(INDEX($U$427:$CB$432,F$436,$AS437)="-","",INDEX($U$427:$CB$432,F$436,$AS437))</f>
        <v/>
      </c>
      <c r="AE254" s="213"/>
      <c r="AF254" s="213"/>
      <c r="AG254" s="213"/>
      <c r="AH254" s="213"/>
      <c r="AI254" s="213"/>
      <c r="AJ254" s="213"/>
      <c r="AK254" s="213" t="str" cm="1">
        <f t="array" ref="AK254">IF(INDEX($U$427:$CB$432,G$436,$AS437)="-","",INDEX($U$427:$CB$432,G$436,$AS437))</f>
        <v/>
      </c>
      <c r="AL254" s="213"/>
      <c r="AM254" s="213"/>
      <c r="AN254" s="213"/>
      <c r="AO254" s="213"/>
      <c r="AP254" s="213"/>
      <c r="AQ254" s="213"/>
      <c r="AR254" s="211"/>
      <c r="AS254" s="211"/>
      <c r="AT254" s="211"/>
      <c r="AU254" s="211"/>
      <c r="AV254" s="211"/>
      <c r="AW254" s="211"/>
    </row>
    <row r="255" spans="1:49" ht="15" customHeight="1" x14ac:dyDescent="0.2">
      <c r="A255" s="41" t="str">
        <f t="shared" si="1122"/>
        <v/>
      </c>
      <c r="B255" s="213"/>
      <c r="C255" s="213"/>
      <c r="D255" s="213"/>
      <c r="E255" s="213"/>
      <c r="F255" s="213"/>
      <c r="G255" s="213"/>
      <c r="H255" s="213"/>
      <c r="I255" s="213"/>
      <c r="J255" s="213"/>
      <c r="K255" s="213"/>
      <c r="L255" s="213"/>
      <c r="M255" s="213"/>
      <c r="N255" s="213"/>
      <c r="O255" s="213"/>
      <c r="P255" s="213"/>
      <c r="Q255" s="213"/>
      <c r="R255" s="213"/>
      <c r="S255" s="213"/>
      <c r="T255" s="213"/>
      <c r="U255" s="213"/>
      <c r="V255" s="213"/>
      <c r="W255" s="213"/>
      <c r="X255" s="213"/>
      <c r="Y255" s="213"/>
      <c r="Z255" s="213"/>
      <c r="AA255" s="213"/>
      <c r="AB255" s="213"/>
      <c r="AC255" s="213"/>
      <c r="AD255" s="213"/>
      <c r="AE255" s="213"/>
      <c r="AF255" s="213"/>
      <c r="AG255" s="213"/>
      <c r="AH255" s="213"/>
      <c r="AI255" s="213"/>
      <c r="AJ255" s="213"/>
      <c r="AK255" s="213"/>
      <c r="AL255" s="213"/>
      <c r="AM255" s="213"/>
      <c r="AN255" s="213"/>
      <c r="AO255" s="213"/>
      <c r="AP255" s="213"/>
      <c r="AQ255" s="213"/>
      <c r="AR255" s="211"/>
      <c r="AS255" s="211"/>
      <c r="AT255" s="211"/>
      <c r="AU255" s="211"/>
      <c r="AV255" s="211"/>
      <c r="AW255" s="211"/>
    </row>
    <row r="256" spans="1:49" ht="15" customHeight="1" x14ac:dyDescent="0.2">
      <c r="A256" s="41" t="str">
        <f t="shared" si="1122"/>
        <v/>
      </c>
      <c r="B256" s="213"/>
      <c r="C256" s="213"/>
      <c r="D256" s="213"/>
      <c r="E256" s="213"/>
      <c r="F256" s="213"/>
      <c r="G256" s="213"/>
      <c r="H256" s="213"/>
      <c r="I256" s="213"/>
      <c r="J256" s="213"/>
      <c r="K256" s="213"/>
      <c r="L256" s="213"/>
      <c r="M256" s="213"/>
      <c r="N256" s="213"/>
      <c r="O256" s="213"/>
      <c r="P256" s="213"/>
      <c r="Q256" s="213"/>
      <c r="R256" s="213"/>
      <c r="S256" s="213"/>
      <c r="T256" s="213"/>
      <c r="U256" s="213"/>
      <c r="V256" s="213"/>
      <c r="W256" s="213"/>
      <c r="X256" s="213"/>
      <c r="Y256" s="213"/>
      <c r="Z256" s="213"/>
      <c r="AA256" s="213"/>
      <c r="AB256" s="213"/>
      <c r="AC256" s="213"/>
      <c r="AD256" s="213"/>
      <c r="AE256" s="213"/>
      <c r="AF256" s="213"/>
      <c r="AG256" s="213"/>
      <c r="AH256" s="213"/>
      <c r="AI256" s="213"/>
      <c r="AJ256" s="213"/>
      <c r="AK256" s="213"/>
      <c r="AL256" s="213"/>
      <c r="AM256" s="213"/>
      <c r="AN256" s="213"/>
      <c r="AO256" s="213"/>
      <c r="AP256" s="213"/>
      <c r="AQ256" s="213"/>
      <c r="AR256" s="211"/>
      <c r="AS256" s="211"/>
      <c r="AT256" s="211"/>
      <c r="AU256" s="211"/>
      <c r="AV256" s="211"/>
      <c r="AW256" s="211"/>
    </row>
    <row r="257" spans="1:49" ht="15" customHeight="1" x14ac:dyDescent="0.2">
      <c r="A257" s="41" t="str">
        <f t="shared" si="1122"/>
        <v/>
      </c>
      <c r="B257" s="44" t="str" cm="1">
        <f t="array" aca="1" ref="B257" ca="1">IF(INDIRECT(_xlfn.CONCAT($AT365,B$364))="+","+",IF(ISNUMBER(INDIRECT(_xlfn.CONCAT($AT365,B$363))),"-",""))</f>
        <v/>
      </c>
      <c r="C257" s="41" t="str">
        <f ca="1">B257</f>
        <v/>
      </c>
      <c r="D257" s="41" t="str">
        <f t="shared" ref="D257" ca="1" si="1303">C257</f>
        <v/>
      </c>
      <c r="E257" s="41" t="str">
        <f t="shared" ref="E257" ca="1" si="1304">D257</f>
        <v/>
      </c>
      <c r="F257" s="41" t="str">
        <f t="shared" ref="F257" ca="1" si="1305">E257</f>
        <v/>
      </c>
      <c r="G257" s="41" t="str">
        <f t="shared" ref="G257" ca="1" si="1306">F257</f>
        <v/>
      </c>
      <c r="H257" s="41" t="str">
        <f t="shared" ref="H257" ca="1" si="1307">G257</f>
        <v/>
      </c>
      <c r="I257" s="44" t="str" cm="1">
        <f t="array" aca="1" ref="I257" ca="1">IF(INDIRECT(_xlfn.CONCAT($AT365,C$364))="+","+",IF(ISNUMBER(INDIRECT(_xlfn.CONCAT($AT365,C$363))),"-",""))</f>
        <v/>
      </c>
      <c r="J257" s="41" t="str">
        <f ca="1">I257</f>
        <v/>
      </c>
      <c r="K257" s="41" t="str">
        <f t="shared" ref="K257" ca="1" si="1308">J257</f>
        <v/>
      </c>
      <c r="L257" s="41" t="str">
        <f t="shared" ref="L257" ca="1" si="1309">K257</f>
        <v/>
      </c>
      <c r="M257" s="41" t="str">
        <f t="shared" ref="M257" ca="1" si="1310">L257</f>
        <v/>
      </c>
      <c r="N257" s="41" t="str">
        <f t="shared" ref="N257" ca="1" si="1311">M257</f>
        <v/>
      </c>
      <c r="O257" s="41" t="str">
        <f t="shared" ref="O257" ca="1" si="1312">N257</f>
        <v/>
      </c>
      <c r="P257" s="44" t="str" cm="1">
        <f t="array" aca="1" ref="P257" ca="1">IF(INDIRECT(_xlfn.CONCAT($AT365,D$364))="+","+",IF(ISNUMBER(INDIRECT(_xlfn.CONCAT($AT365,D$363))),"-",""))</f>
        <v/>
      </c>
      <c r="Q257" s="41" t="str">
        <f ca="1">P257</f>
        <v/>
      </c>
      <c r="R257" s="41" t="str">
        <f t="shared" ref="R257" ca="1" si="1313">Q257</f>
        <v/>
      </c>
      <c r="S257" s="41" t="str">
        <f t="shared" ref="S257" ca="1" si="1314">R257</f>
        <v/>
      </c>
      <c r="T257" s="41" t="str">
        <f t="shared" ref="T257" ca="1" si="1315">S257</f>
        <v/>
      </c>
      <c r="U257" s="41" t="str">
        <f t="shared" ref="U257" ca="1" si="1316">T257</f>
        <v/>
      </c>
      <c r="V257" s="41" t="str">
        <f t="shared" ref="V257" ca="1" si="1317">U257</f>
        <v/>
      </c>
      <c r="W257" s="44" t="str" cm="1">
        <f t="array" aca="1" ref="W257" ca="1">IF(INDIRECT(_xlfn.CONCAT($AT365,E$364))="+","+",IF(ISNUMBER(INDIRECT(_xlfn.CONCAT($AT365,E$363))),"-",""))</f>
        <v/>
      </c>
      <c r="X257" s="41" t="str">
        <f ca="1">W257</f>
        <v/>
      </c>
      <c r="Y257" s="41" t="str">
        <f t="shared" ref="Y257" ca="1" si="1318">X257</f>
        <v/>
      </c>
      <c r="Z257" s="41" t="str">
        <f t="shared" ref="Z257" ca="1" si="1319">Y257</f>
        <v/>
      </c>
      <c r="AA257" s="41" t="str">
        <f t="shared" ref="AA257" ca="1" si="1320">Z257</f>
        <v/>
      </c>
      <c r="AB257" s="41" t="str">
        <f t="shared" ref="AB257" ca="1" si="1321">AA257</f>
        <v/>
      </c>
      <c r="AC257" s="41" t="str">
        <f t="shared" ref="AC257" ca="1" si="1322">AB257</f>
        <v/>
      </c>
      <c r="AD257" s="44" t="str" cm="1">
        <f t="array" aca="1" ref="AD257" ca="1">IF(INDIRECT(_xlfn.CONCAT($AT365,F$364))="+","+",IF(ISNUMBER(INDIRECT(_xlfn.CONCAT($AT365,F$363))),"-",""))</f>
        <v/>
      </c>
      <c r="AE257" s="41" t="str">
        <f ca="1">AD257</f>
        <v/>
      </c>
      <c r="AF257" s="41" t="str">
        <f t="shared" ref="AF257" ca="1" si="1323">AE257</f>
        <v/>
      </c>
      <c r="AG257" s="41" t="str">
        <f t="shared" ref="AG257" ca="1" si="1324">AF257</f>
        <v/>
      </c>
      <c r="AH257" s="41" t="str">
        <f t="shared" ref="AH257" ca="1" si="1325">AG257</f>
        <v/>
      </c>
      <c r="AI257" s="41" t="str">
        <f t="shared" ref="AI257" ca="1" si="1326">AH257</f>
        <v/>
      </c>
      <c r="AJ257" s="41" t="str">
        <f t="shared" ref="AJ257" ca="1" si="1327">AI257</f>
        <v/>
      </c>
      <c r="AK257" s="44" t="str" cm="1">
        <f t="array" aca="1" ref="AK257" ca="1">IF(INDIRECT(_xlfn.CONCAT($AT365,G$364))="+","+",IF(ISNUMBER(INDIRECT(_xlfn.CONCAT($AT365,G$363))),"-",""))</f>
        <v/>
      </c>
      <c r="AL257" s="41" t="str">
        <f ca="1">AK257</f>
        <v/>
      </c>
      <c r="AM257" s="41" t="str">
        <f t="shared" ref="AM257" ca="1" si="1328">AL257</f>
        <v/>
      </c>
      <c r="AN257" s="41" t="str">
        <f t="shared" ref="AN257" ca="1" si="1329">AM257</f>
        <v/>
      </c>
      <c r="AO257" s="41" t="str">
        <f t="shared" ref="AO257" ca="1" si="1330">AN257</f>
        <v/>
      </c>
      <c r="AP257" s="41" t="str">
        <f t="shared" ref="AP257" ca="1" si="1331">AO257</f>
        <v/>
      </c>
      <c r="AQ257" s="41" t="str">
        <f t="shared" ref="AQ257" ca="1" si="1332">AP257</f>
        <v/>
      </c>
      <c r="AR257" s="44"/>
      <c r="AS257" s="41"/>
      <c r="AT257" s="41"/>
      <c r="AU257" s="41"/>
      <c r="AV257" s="41"/>
      <c r="AW257" s="41"/>
    </row>
    <row r="258" spans="1:49" ht="15" customHeight="1" x14ac:dyDescent="0.2">
      <c r="A258" s="41" t="str">
        <f t="shared" si="1122"/>
        <v/>
      </c>
      <c r="B258" s="45" t="str" cm="1">
        <f t="array" aca="1" ref="B258" ca="1">IF(ISBLANK(INDIRECT(_xlfn.CONCAT($AT390,B$389))),"",INDIRECT(_xlfn.CONCAT($AT390,B$389)))</f>
        <v/>
      </c>
      <c r="C258" s="45"/>
      <c r="D258" s="45"/>
      <c r="E258" s="45"/>
      <c r="F258" s="45"/>
      <c r="G258" s="45"/>
      <c r="H258" s="45"/>
      <c r="I258" s="45" t="str" cm="1">
        <f t="array" aca="1" ref="I258" ca="1">IF(ISBLANK(INDIRECT(_xlfn.CONCAT($AT390,C$389))),"",INDIRECT(_xlfn.CONCAT($AT390,C$389)))</f>
        <v/>
      </c>
      <c r="J258" s="45"/>
      <c r="K258" s="45"/>
      <c r="L258" s="45"/>
      <c r="M258" s="45"/>
      <c r="N258" s="45"/>
      <c r="O258" s="45"/>
      <c r="P258" s="45" t="str" cm="1">
        <f t="array" aca="1" ref="P258" ca="1">IF(ISBLANK(INDIRECT(_xlfn.CONCAT($AT390,D$389))),"",INDIRECT(_xlfn.CONCAT($AT390,D$389)))</f>
        <v/>
      </c>
      <c r="Q258" s="45"/>
      <c r="R258" s="45"/>
      <c r="S258" s="45"/>
      <c r="T258" s="45"/>
      <c r="U258" s="45"/>
      <c r="V258" s="45"/>
      <c r="W258" s="45" t="str" cm="1">
        <f t="array" aca="1" ref="W258" ca="1">IF(ISBLANK(INDIRECT(_xlfn.CONCAT($AT390,E$389))),"",INDIRECT(_xlfn.CONCAT($AT390,E$389)))</f>
        <v/>
      </c>
      <c r="X258" s="45"/>
      <c r="Y258" s="45"/>
      <c r="Z258" s="45"/>
      <c r="AA258" s="45"/>
      <c r="AB258" s="45"/>
      <c r="AC258" s="45"/>
      <c r="AD258" s="45" t="str" cm="1">
        <f t="array" aca="1" ref="AD258" ca="1">IF(ISBLANK(INDIRECT(_xlfn.CONCAT($AT390,F$389))),"",INDIRECT(_xlfn.CONCAT($AT390,F$389)))</f>
        <v/>
      </c>
      <c r="AE258" s="45"/>
      <c r="AF258" s="45"/>
      <c r="AG258" s="45"/>
      <c r="AH258" s="45"/>
      <c r="AI258" s="45"/>
      <c r="AJ258" s="45"/>
      <c r="AK258" s="45" t="str" cm="1">
        <f t="array" aca="1" ref="AK258" ca="1">IF(ISBLANK(INDIRECT(_xlfn.CONCAT($AT390,G$389))),"",INDIRECT(_xlfn.CONCAT($AT390,G$389)))</f>
        <v/>
      </c>
      <c r="AL258" s="45"/>
      <c r="AM258" s="45"/>
      <c r="AN258" s="45"/>
      <c r="AO258" s="45"/>
      <c r="AP258" s="45"/>
      <c r="AQ258" s="45"/>
      <c r="AR258" s="45"/>
      <c r="AS258" s="46"/>
      <c r="AT258" s="46"/>
      <c r="AU258" s="46"/>
      <c r="AV258" s="46"/>
      <c r="AW258" s="46"/>
    </row>
    <row r="259" spans="1:49" ht="15" customHeight="1" x14ac:dyDescent="0.2">
      <c r="A259" s="41" t="str">
        <f t="shared" si="1122"/>
        <v/>
      </c>
      <c r="B259" s="213" t="str" cm="1">
        <f t="array" ref="B259">IF(INDEX($U$427:$CB$432,B$436,$AT437)="-","",INDEX($U$427:$CB$432,B$436,$AT437))</f>
        <v/>
      </c>
      <c r="C259" s="213"/>
      <c r="D259" s="213"/>
      <c r="E259" s="213"/>
      <c r="F259" s="213"/>
      <c r="G259" s="213"/>
      <c r="H259" s="213"/>
      <c r="I259" s="213" t="str" cm="1">
        <f t="array" ref="I259">IF(INDEX($U$427:$CB$432,C$436,$AT437)="-","",INDEX($U$427:$CB$432,C$436,$AT437))</f>
        <v/>
      </c>
      <c r="J259" s="213"/>
      <c r="K259" s="213"/>
      <c r="L259" s="213"/>
      <c r="M259" s="213"/>
      <c r="N259" s="213"/>
      <c r="O259" s="213"/>
      <c r="P259" s="213" t="str" cm="1">
        <f t="array" ref="P259">IF(INDEX($U$427:$CB$432,D$436,$AT437)="-","",INDEX($U$427:$CB$432,D$436,$AT437))</f>
        <v/>
      </c>
      <c r="Q259" s="213"/>
      <c r="R259" s="213"/>
      <c r="S259" s="213"/>
      <c r="T259" s="213"/>
      <c r="U259" s="213"/>
      <c r="V259" s="213"/>
      <c r="W259" s="213" t="str" cm="1">
        <f t="array" ref="W259">IF(INDEX($U$427:$CB$432,E$436,$AT437)="-","",INDEX($U$427:$CB$432,E$436,$AT437))</f>
        <v/>
      </c>
      <c r="X259" s="213"/>
      <c r="Y259" s="213"/>
      <c r="Z259" s="213"/>
      <c r="AA259" s="213"/>
      <c r="AB259" s="213"/>
      <c r="AC259" s="213"/>
      <c r="AD259" s="213" t="str" cm="1">
        <f t="array" ref="AD259">IF(INDEX($U$427:$CB$432,F$436,$AT437)="-","",INDEX($U$427:$CB$432,F$436,$AT437))</f>
        <v/>
      </c>
      <c r="AE259" s="213"/>
      <c r="AF259" s="213"/>
      <c r="AG259" s="213"/>
      <c r="AH259" s="213"/>
      <c r="AI259" s="213"/>
      <c r="AJ259" s="213"/>
      <c r="AK259" s="213" t="str" cm="1">
        <f t="array" ref="AK259">IF(INDEX($U$427:$CB$432,G$436,$AT437)="-","",INDEX($U$427:$CB$432,G$436,$AT437))</f>
        <v/>
      </c>
      <c r="AL259" s="213"/>
      <c r="AM259" s="213"/>
      <c r="AN259" s="213"/>
      <c r="AO259" s="213"/>
      <c r="AP259" s="213"/>
      <c r="AQ259" s="213"/>
      <c r="AR259" s="211"/>
      <c r="AS259" s="211"/>
      <c r="AT259" s="211"/>
      <c r="AU259" s="211"/>
      <c r="AV259" s="211"/>
      <c r="AW259" s="211"/>
    </row>
    <row r="260" spans="1:49" ht="15" customHeight="1" x14ac:dyDescent="0.2">
      <c r="A260" s="41" t="str">
        <f t="shared" si="1122"/>
        <v/>
      </c>
      <c r="B260" s="213"/>
      <c r="C260" s="213"/>
      <c r="D260" s="213"/>
      <c r="E260" s="213"/>
      <c r="F260" s="213"/>
      <c r="G260" s="213"/>
      <c r="H260" s="213"/>
      <c r="I260" s="213"/>
      <c r="J260" s="213"/>
      <c r="K260" s="213"/>
      <c r="L260" s="213"/>
      <c r="M260" s="213"/>
      <c r="N260" s="213"/>
      <c r="O260" s="213"/>
      <c r="P260" s="213"/>
      <c r="Q260" s="213"/>
      <c r="R260" s="213"/>
      <c r="S260" s="213"/>
      <c r="T260" s="213"/>
      <c r="U260" s="213"/>
      <c r="V260" s="213"/>
      <c r="W260" s="213"/>
      <c r="X260" s="213"/>
      <c r="Y260" s="213"/>
      <c r="Z260" s="213"/>
      <c r="AA260" s="213"/>
      <c r="AB260" s="213"/>
      <c r="AC260" s="213"/>
      <c r="AD260" s="213"/>
      <c r="AE260" s="213"/>
      <c r="AF260" s="213"/>
      <c r="AG260" s="213"/>
      <c r="AH260" s="213"/>
      <c r="AI260" s="213"/>
      <c r="AJ260" s="213"/>
      <c r="AK260" s="213"/>
      <c r="AL260" s="213"/>
      <c r="AM260" s="213"/>
      <c r="AN260" s="213"/>
      <c r="AO260" s="213"/>
      <c r="AP260" s="213"/>
      <c r="AQ260" s="213"/>
      <c r="AR260" s="211"/>
      <c r="AS260" s="211"/>
      <c r="AT260" s="211"/>
      <c r="AU260" s="211"/>
      <c r="AV260" s="211"/>
      <c r="AW260" s="211"/>
    </row>
    <row r="261" spans="1:49" ht="15" customHeight="1" x14ac:dyDescent="0.2">
      <c r="A261" s="41" t="str">
        <f t="shared" si="1122"/>
        <v/>
      </c>
      <c r="B261" s="213"/>
      <c r="C261" s="213"/>
      <c r="D261" s="213"/>
      <c r="E261" s="213"/>
      <c r="F261" s="213"/>
      <c r="G261" s="213"/>
      <c r="H261" s="213"/>
      <c r="I261" s="213"/>
      <c r="J261" s="213"/>
      <c r="K261" s="213"/>
      <c r="L261" s="213"/>
      <c r="M261" s="213"/>
      <c r="N261" s="213"/>
      <c r="O261" s="213"/>
      <c r="P261" s="213"/>
      <c r="Q261" s="213"/>
      <c r="R261" s="213"/>
      <c r="S261" s="213"/>
      <c r="T261" s="213"/>
      <c r="U261" s="213"/>
      <c r="V261" s="213"/>
      <c r="W261" s="213"/>
      <c r="X261" s="213"/>
      <c r="Y261" s="213"/>
      <c r="Z261" s="213"/>
      <c r="AA261" s="213"/>
      <c r="AB261" s="213"/>
      <c r="AC261" s="213"/>
      <c r="AD261" s="213"/>
      <c r="AE261" s="213"/>
      <c r="AF261" s="213"/>
      <c r="AG261" s="213"/>
      <c r="AH261" s="213"/>
      <c r="AI261" s="213"/>
      <c r="AJ261" s="213"/>
      <c r="AK261" s="213"/>
      <c r="AL261" s="213"/>
      <c r="AM261" s="213"/>
      <c r="AN261" s="213"/>
      <c r="AO261" s="213"/>
      <c r="AP261" s="213"/>
      <c r="AQ261" s="213"/>
      <c r="AR261" s="211"/>
      <c r="AS261" s="211"/>
      <c r="AT261" s="211"/>
      <c r="AU261" s="211"/>
      <c r="AV261" s="211"/>
      <c r="AW261" s="211"/>
    </row>
    <row r="262" spans="1:49" ht="15" customHeight="1" x14ac:dyDescent="0.2">
      <c r="A262" s="41" t="str">
        <f t="shared" si="1122"/>
        <v/>
      </c>
      <c r="B262" s="44" t="str" cm="1">
        <f t="array" aca="1" ref="B262" ca="1">IF(INDIRECT(_xlfn.CONCAT($AU365,B$364))="+","+",IF(ISNUMBER(INDIRECT(_xlfn.CONCAT($AU365,B$363))),"-",""))</f>
        <v/>
      </c>
      <c r="C262" s="41" t="str">
        <f ca="1">B262</f>
        <v/>
      </c>
      <c r="D262" s="41" t="str">
        <f t="shared" ref="D262" ca="1" si="1333">C262</f>
        <v/>
      </c>
      <c r="E262" s="41" t="str">
        <f t="shared" ref="E262" ca="1" si="1334">D262</f>
        <v/>
      </c>
      <c r="F262" s="41" t="str">
        <f t="shared" ref="F262" ca="1" si="1335">E262</f>
        <v/>
      </c>
      <c r="G262" s="41" t="str">
        <f t="shared" ref="G262" ca="1" si="1336">F262</f>
        <v/>
      </c>
      <c r="H262" s="41" t="str">
        <f t="shared" ref="H262" ca="1" si="1337">G262</f>
        <v/>
      </c>
      <c r="I262" s="44" t="str" cm="1">
        <f t="array" aca="1" ref="I262" ca="1">IF(INDIRECT(_xlfn.CONCAT($AU365,C$364))="+","+",IF(ISNUMBER(INDIRECT(_xlfn.CONCAT($AU365,C$363))),"-",""))</f>
        <v/>
      </c>
      <c r="J262" s="41" t="str">
        <f ca="1">I262</f>
        <v/>
      </c>
      <c r="K262" s="41" t="str">
        <f t="shared" ref="K262" ca="1" si="1338">J262</f>
        <v/>
      </c>
      <c r="L262" s="41" t="str">
        <f t="shared" ref="L262" ca="1" si="1339">K262</f>
        <v/>
      </c>
      <c r="M262" s="41" t="str">
        <f t="shared" ref="M262" ca="1" si="1340">L262</f>
        <v/>
      </c>
      <c r="N262" s="41" t="str">
        <f t="shared" ref="N262" ca="1" si="1341">M262</f>
        <v/>
      </c>
      <c r="O262" s="41" t="str">
        <f t="shared" ref="O262" ca="1" si="1342">N262</f>
        <v/>
      </c>
      <c r="P262" s="44" t="str" cm="1">
        <f t="array" aca="1" ref="P262" ca="1">IF(INDIRECT(_xlfn.CONCAT($AU365,D$364))="+","+",IF(ISNUMBER(INDIRECT(_xlfn.CONCAT($AU365,D$363))),"-",""))</f>
        <v/>
      </c>
      <c r="Q262" s="41" t="str">
        <f ca="1">P262</f>
        <v/>
      </c>
      <c r="R262" s="41" t="str">
        <f t="shared" ref="R262" ca="1" si="1343">Q262</f>
        <v/>
      </c>
      <c r="S262" s="41" t="str">
        <f t="shared" ref="S262" ca="1" si="1344">R262</f>
        <v/>
      </c>
      <c r="T262" s="41" t="str">
        <f t="shared" ref="T262" ca="1" si="1345">S262</f>
        <v/>
      </c>
      <c r="U262" s="41" t="str">
        <f t="shared" ref="U262" ca="1" si="1346">T262</f>
        <v/>
      </c>
      <c r="V262" s="41" t="str">
        <f t="shared" ref="V262" ca="1" si="1347">U262</f>
        <v/>
      </c>
      <c r="W262" s="44" t="str" cm="1">
        <f t="array" aca="1" ref="W262" ca="1">IF(INDIRECT(_xlfn.CONCAT($AU365,E$364))="+","+",IF(ISNUMBER(INDIRECT(_xlfn.CONCAT($AU365,E$363))),"-",""))</f>
        <v/>
      </c>
      <c r="X262" s="41" t="str">
        <f ca="1">W262</f>
        <v/>
      </c>
      <c r="Y262" s="41" t="str">
        <f t="shared" ref="Y262" ca="1" si="1348">X262</f>
        <v/>
      </c>
      <c r="Z262" s="41" t="str">
        <f t="shared" ref="Z262" ca="1" si="1349">Y262</f>
        <v/>
      </c>
      <c r="AA262" s="41" t="str">
        <f t="shared" ref="AA262" ca="1" si="1350">Z262</f>
        <v/>
      </c>
      <c r="AB262" s="41" t="str">
        <f t="shared" ref="AB262" ca="1" si="1351">AA262</f>
        <v/>
      </c>
      <c r="AC262" s="41" t="str">
        <f t="shared" ref="AC262" ca="1" si="1352">AB262</f>
        <v/>
      </c>
      <c r="AD262" s="44" t="str" cm="1">
        <f t="array" aca="1" ref="AD262" ca="1">IF(INDIRECT(_xlfn.CONCAT($AU365,F$364))="+","+",IF(ISNUMBER(INDIRECT(_xlfn.CONCAT($AU365,F$363))),"-",""))</f>
        <v/>
      </c>
      <c r="AE262" s="41" t="str">
        <f ca="1">AD262</f>
        <v/>
      </c>
      <c r="AF262" s="41" t="str">
        <f t="shared" ref="AF262" ca="1" si="1353">AE262</f>
        <v/>
      </c>
      <c r="AG262" s="41" t="str">
        <f t="shared" ref="AG262" ca="1" si="1354">AF262</f>
        <v/>
      </c>
      <c r="AH262" s="41" t="str">
        <f t="shared" ref="AH262" ca="1" si="1355">AG262</f>
        <v/>
      </c>
      <c r="AI262" s="41" t="str">
        <f t="shared" ref="AI262" ca="1" si="1356">AH262</f>
        <v/>
      </c>
      <c r="AJ262" s="41" t="str">
        <f t="shared" ref="AJ262" ca="1" si="1357">AI262</f>
        <v/>
      </c>
      <c r="AK262" s="44" t="str" cm="1">
        <f t="array" aca="1" ref="AK262" ca="1">IF(INDIRECT(_xlfn.CONCAT($AU365,G$364))="+","+",IF(ISNUMBER(INDIRECT(_xlfn.CONCAT($AU365,G$363))),"-",""))</f>
        <v/>
      </c>
      <c r="AL262" s="41" t="str">
        <f ca="1">AK262</f>
        <v/>
      </c>
      <c r="AM262" s="41" t="str">
        <f t="shared" ref="AM262" ca="1" si="1358">AL262</f>
        <v/>
      </c>
      <c r="AN262" s="41" t="str">
        <f t="shared" ref="AN262" ca="1" si="1359">AM262</f>
        <v/>
      </c>
      <c r="AO262" s="41" t="str">
        <f t="shared" ref="AO262" ca="1" si="1360">AN262</f>
        <v/>
      </c>
      <c r="AP262" s="41" t="str">
        <f t="shared" ref="AP262" ca="1" si="1361">AO262</f>
        <v/>
      </c>
      <c r="AQ262" s="41" t="str">
        <f t="shared" ref="AQ262" ca="1" si="1362">AP262</f>
        <v/>
      </c>
      <c r="AR262" s="44"/>
      <c r="AS262" s="41"/>
      <c r="AT262" s="41"/>
      <c r="AU262" s="41"/>
      <c r="AV262" s="41"/>
      <c r="AW262" s="41"/>
    </row>
    <row r="263" spans="1:49" ht="15" customHeight="1" x14ac:dyDescent="0.2">
      <c r="A263" s="41" t="str">
        <f t="shared" si="1122"/>
        <v/>
      </c>
      <c r="B263" s="45" t="str" cm="1">
        <f t="array" aca="1" ref="B263" ca="1">IF(ISBLANK(INDIRECT(_xlfn.CONCAT($AU390,B$389))),"",INDIRECT(_xlfn.CONCAT($AU390,B$389)))</f>
        <v/>
      </c>
      <c r="C263" s="45"/>
      <c r="D263" s="45"/>
      <c r="E263" s="45"/>
      <c r="F263" s="45"/>
      <c r="G263" s="45"/>
      <c r="H263" s="45"/>
      <c r="I263" s="45" t="str" cm="1">
        <f t="array" aca="1" ref="I263" ca="1">IF(ISBLANK(INDIRECT(_xlfn.CONCAT($AU390,C$389))),"",INDIRECT(_xlfn.CONCAT($AU390,C$389)))</f>
        <v/>
      </c>
      <c r="J263" s="45"/>
      <c r="K263" s="45"/>
      <c r="L263" s="45"/>
      <c r="M263" s="45"/>
      <c r="N263" s="45"/>
      <c r="O263" s="45"/>
      <c r="P263" s="45" t="str" cm="1">
        <f t="array" aca="1" ref="P263" ca="1">IF(ISBLANK(INDIRECT(_xlfn.CONCAT($AU390,D$389))),"",INDIRECT(_xlfn.CONCAT($AU390,D$389)))</f>
        <v/>
      </c>
      <c r="Q263" s="45"/>
      <c r="R263" s="45"/>
      <c r="S263" s="45"/>
      <c r="T263" s="45"/>
      <c r="U263" s="45"/>
      <c r="V263" s="45"/>
      <c r="W263" s="45" t="str" cm="1">
        <f t="array" aca="1" ref="W263" ca="1">IF(ISBLANK(INDIRECT(_xlfn.CONCAT($AU390,E$389))),"",INDIRECT(_xlfn.CONCAT($AU390,E$389)))</f>
        <v/>
      </c>
      <c r="X263" s="45"/>
      <c r="Y263" s="45"/>
      <c r="Z263" s="45"/>
      <c r="AA263" s="45"/>
      <c r="AB263" s="45"/>
      <c r="AC263" s="45"/>
      <c r="AD263" s="45" t="str" cm="1">
        <f t="array" aca="1" ref="AD263" ca="1">IF(ISBLANK(INDIRECT(_xlfn.CONCAT($AU390,F$389))),"",INDIRECT(_xlfn.CONCAT($AU390,F$389)))</f>
        <v/>
      </c>
      <c r="AE263" s="45"/>
      <c r="AF263" s="45"/>
      <c r="AG263" s="45"/>
      <c r="AH263" s="45"/>
      <c r="AI263" s="45"/>
      <c r="AJ263" s="45"/>
      <c r="AK263" s="45" t="str" cm="1">
        <f t="array" aca="1" ref="AK263" ca="1">IF(ISBLANK(INDIRECT(_xlfn.CONCAT($AU390,G$389))),"",INDIRECT(_xlfn.CONCAT($AU390,G$389)))</f>
        <v/>
      </c>
      <c r="AL263" s="45"/>
      <c r="AM263" s="45"/>
      <c r="AN263" s="45"/>
      <c r="AO263" s="45"/>
      <c r="AP263" s="45"/>
      <c r="AQ263" s="45"/>
      <c r="AR263" s="45"/>
      <c r="AS263" s="46"/>
      <c r="AT263" s="46"/>
      <c r="AU263" s="46"/>
      <c r="AV263" s="46"/>
      <c r="AW263" s="46"/>
    </row>
    <row r="264" spans="1:49" ht="15" customHeight="1" x14ac:dyDescent="0.2">
      <c r="A264" s="41" t="str">
        <f t="shared" si="1122"/>
        <v/>
      </c>
      <c r="B264" s="213" t="str" cm="1">
        <f t="array" ref="B264">IF(INDEX($U$427:$CB$432,B$436,$AU437)="-","",INDEX($U$427:$CB$432,B$436,$AU437))</f>
        <v/>
      </c>
      <c r="C264" s="213"/>
      <c r="D264" s="213"/>
      <c r="E264" s="213"/>
      <c r="F264" s="213"/>
      <c r="G264" s="213"/>
      <c r="H264" s="213"/>
      <c r="I264" s="213" t="str" cm="1">
        <f t="array" ref="I264">IF(INDEX($U$427:$CB$432,C$436,$AU437)="-","",INDEX($U$427:$CB$432,C$436,$AU437))</f>
        <v/>
      </c>
      <c r="J264" s="213"/>
      <c r="K264" s="213"/>
      <c r="L264" s="213"/>
      <c r="M264" s="213"/>
      <c r="N264" s="213"/>
      <c r="O264" s="213"/>
      <c r="P264" s="213" t="str" cm="1">
        <f t="array" ref="P264">IF(INDEX($U$427:$CB$432,D$436,$AU437)="-","",INDEX($U$427:$CB$432,D$436,$AU437))</f>
        <v/>
      </c>
      <c r="Q264" s="213"/>
      <c r="R264" s="213"/>
      <c r="S264" s="213"/>
      <c r="T264" s="213"/>
      <c r="U264" s="213"/>
      <c r="V264" s="213"/>
      <c r="W264" s="213" t="str" cm="1">
        <f t="array" ref="W264">IF(INDEX($U$427:$CB$432,E$436,$AU437)="-","",INDEX($U$427:$CB$432,E$436,$AU437))</f>
        <v/>
      </c>
      <c r="X264" s="213"/>
      <c r="Y264" s="213"/>
      <c r="Z264" s="213"/>
      <c r="AA264" s="213"/>
      <c r="AB264" s="213"/>
      <c r="AC264" s="213"/>
      <c r="AD264" s="213" t="str" cm="1">
        <f t="array" ref="AD264">IF(INDEX($U$427:$CB$432,F$436,$AU437)="-","",INDEX($U$427:$CB$432,F$436,$AU437))</f>
        <v/>
      </c>
      <c r="AE264" s="213"/>
      <c r="AF264" s="213"/>
      <c r="AG264" s="213"/>
      <c r="AH264" s="213"/>
      <c r="AI264" s="213"/>
      <c r="AJ264" s="213"/>
      <c r="AK264" s="213" t="str" cm="1">
        <f t="array" ref="AK264">IF(INDEX($U$427:$CB$432,G$436,$AU437)="-","",INDEX($U$427:$CB$432,G$436,$AU437))</f>
        <v/>
      </c>
      <c r="AL264" s="213"/>
      <c r="AM264" s="213"/>
      <c r="AN264" s="213"/>
      <c r="AO264" s="213"/>
      <c r="AP264" s="213"/>
      <c r="AQ264" s="213"/>
      <c r="AR264" s="211"/>
      <c r="AS264" s="211"/>
      <c r="AT264" s="211"/>
      <c r="AU264" s="211"/>
      <c r="AV264" s="211"/>
      <c r="AW264" s="211"/>
    </row>
    <row r="265" spans="1:49" ht="15" customHeight="1" x14ac:dyDescent="0.2">
      <c r="A265" s="41" t="str">
        <f t="shared" si="1122"/>
        <v/>
      </c>
      <c r="B265" s="213"/>
      <c r="C265" s="213"/>
      <c r="D265" s="213"/>
      <c r="E265" s="213"/>
      <c r="F265" s="213"/>
      <c r="G265" s="213"/>
      <c r="H265" s="213"/>
      <c r="I265" s="213"/>
      <c r="J265" s="213"/>
      <c r="K265" s="213"/>
      <c r="L265" s="213"/>
      <c r="M265" s="213"/>
      <c r="N265" s="213"/>
      <c r="O265" s="213"/>
      <c r="P265" s="213"/>
      <c r="Q265" s="213"/>
      <c r="R265" s="213"/>
      <c r="S265" s="213"/>
      <c r="T265" s="213"/>
      <c r="U265" s="213"/>
      <c r="V265" s="213"/>
      <c r="W265" s="213"/>
      <c r="X265" s="213"/>
      <c r="Y265" s="213"/>
      <c r="Z265" s="213"/>
      <c r="AA265" s="213"/>
      <c r="AB265" s="213"/>
      <c r="AC265" s="213"/>
      <c r="AD265" s="213"/>
      <c r="AE265" s="213"/>
      <c r="AF265" s="213"/>
      <c r="AG265" s="213"/>
      <c r="AH265" s="213"/>
      <c r="AI265" s="213"/>
      <c r="AJ265" s="213"/>
      <c r="AK265" s="213"/>
      <c r="AL265" s="213"/>
      <c r="AM265" s="213"/>
      <c r="AN265" s="213"/>
      <c r="AO265" s="213"/>
      <c r="AP265" s="213"/>
      <c r="AQ265" s="213"/>
      <c r="AR265" s="211"/>
      <c r="AS265" s="211"/>
      <c r="AT265" s="211"/>
      <c r="AU265" s="211"/>
      <c r="AV265" s="211"/>
      <c r="AW265" s="211"/>
    </row>
    <row r="266" spans="1:49" ht="15" customHeight="1" x14ac:dyDescent="0.2">
      <c r="A266" s="41" t="str">
        <f t="shared" si="1122"/>
        <v/>
      </c>
      <c r="B266" s="213"/>
      <c r="C266" s="213"/>
      <c r="D266" s="213"/>
      <c r="E266" s="213"/>
      <c r="F266" s="213"/>
      <c r="G266" s="213"/>
      <c r="H266" s="213"/>
      <c r="I266" s="213"/>
      <c r="J266" s="213"/>
      <c r="K266" s="213"/>
      <c r="L266" s="213"/>
      <c r="M266" s="213"/>
      <c r="N266" s="213"/>
      <c r="O266" s="213"/>
      <c r="P266" s="213"/>
      <c r="Q266" s="213"/>
      <c r="R266" s="213"/>
      <c r="S266" s="213"/>
      <c r="T266" s="213"/>
      <c r="U266" s="213"/>
      <c r="V266" s="213"/>
      <c r="W266" s="213"/>
      <c r="X266" s="213"/>
      <c r="Y266" s="213"/>
      <c r="Z266" s="213"/>
      <c r="AA266" s="213"/>
      <c r="AB266" s="213"/>
      <c r="AC266" s="213"/>
      <c r="AD266" s="213"/>
      <c r="AE266" s="213"/>
      <c r="AF266" s="213"/>
      <c r="AG266" s="213"/>
      <c r="AH266" s="213"/>
      <c r="AI266" s="213"/>
      <c r="AJ266" s="213"/>
      <c r="AK266" s="213"/>
      <c r="AL266" s="213"/>
      <c r="AM266" s="213"/>
      <c r="AN266" s="213"/>
      <c r="AO266" s="213"/>
      <c r="AP266" s="213"/>
      <c r="AQ266" s="213"/>
      <c r="AR266" s="211"/>
      <c r="AS266" s="211"/>
      <c r="AT266" s="211"/>
      <c r="AU266" s="211"/>
      <c r="AV266" s="211"/>
      <c r="AW266" s="211"/>
    </row>
    <row r="267" spans="1:49" ht="15" customHeight="1" x14ac:dyDescent="0.2">
      <c r="A267" s="41" t="str">
        <f t="shared" si="1122"/>
        <v/>
      </c>
      <c r="B267" s="44" t="str" cm="1">
        <f t="array" aca="1" ref="B267" ca="1">IF(INDIRECT(_xlfn.CONCAT($AV365,B$364))="+","+",IF(ISNUMBER(INDIRECT(_xlfn.CONCAT($AV365,B$363))),"-",""))</f>
        <v/>
      </c>
      <c r="C267" s="41" t="str">
        <f ca="1">B267</f>
        <v/>
      </c>
      <c r="D267" s="41" t="str">
        <f t="shared" ref="D267" ca="1" si="1363">C267</f>
        <v/>
      </c>
      <c r="E267" s="41" t="str">
        <f t="shared" ref="E267" ca="1" si="1364">D267</f>
        <v/>
      </c>
      <c r="F267" s="41" t="str">
        <f t="shared" ref="F267" ca="1" si="1365">E267</f>
        <v/>
      </c>
      <c r="G267" s="41" t="str">
        <f t="shared" ref="G267" ca="1" si="1366">F267</f>
        <v/>
      </c>
      <c r="H267" s="41" t="str">
        <f t="shared" ref="H267" ca="1" si="1367">G267</f>
        <v/>
      </c>
      <c r="I267" s="44" t="str" cm="1">
        <f t="array" aca="1" ref="I267" ca="1">IF(INDIRECT(_xlfn.CONCAT($AV365,C$364))="+","+",IF(ISNUMBER(INDIRECT(_xlfn.CONCAT($AV365,C$363))),"-",""))</f>
        <v/>
      </c>
      <c r="J267" s="41" t="str">
        <f ca="1">I267</f>
        <v/>
      </c>
      <c r="K267" s="41" t="str">
        <f t="shared" ref="K267" ca="1" si="1368">J267</f>
        <v/>
      </c>
      <c r="L267" s="41" t="str">
        <f t="shared" ref="L267" ca="1" si="1369">K267</f>
        <v/>
      </c>
      <c r="M267" s="41" t="str">
        <f t="shared" ref="M267" ca="1" si="1370">L267</f>
        <v/>
      </c>
      <c r="N267" s="41" t="str">
        <f t="shared" ref="N267" ca="1" si="1371">M267</f>
        <v/>
      </c>
      <c r="O267" s="41" t="str">
        <f t="shared" ref="O267" ca="1" si="1372">N267</f>
        <v/>
      </c>
      <c r="P267" s="44" t="str" cm="1">
        <f t="array" aca="1" ref="P267" ca="1">IF(INDIRECT(_xlfn.CONCAT($AV365,D$364))="+","+",IF(ISNUMBER(INDIRECT(_xlfn.CONCAT($AV365,D$363))),"-",""))</f>
        <v/>
      </c>
      <c r="Q267" s="41" t="str">
        <f ca="1">P267</f>
        <v/>
      </c>
      <c r="R267" s="41" t="str">
        <f t="shared" ref="R267" ca="1" si="1373">Q267</f>
        <v/>
      </c>
      <c r="S267" s="41" t="str">
        <f t="shared" ref="S267" ca="1" si="1374">R267</f>
        <v/>
      </c>
      <c r="T267" s="41" t="str">
        <f t="shared" ref="T267" ca="1" si="1375">S267</f>
        <v/>
      </c>
      <c r="U267" s="41" t="str">
        <f t="shared" ref="U267" ca="1" si="1376">T267</f>
        <v/>
      </c>
      <c r="V267" s="41" t="str">
        <f t="shared" ref="V267" ca="1" si="1377">U267</f>
        <v/>
      </c>
      <c r="W267" s="44" t="str" cm="1">
        <f t="array" aca="1" ref="W267" ca="1">IF(INDIRECT(_xlfn.CONCAT($AV365,E$364))="+","+",IF(ISNUMBER(INDIRECT(_xlfn.CONCAT($AV365,E$363))),"-",""))</f>
        <v/>
      </c>
      <c r="X267" s="41" t="str">
        <f ca="1">W267</f>
        <v/>
      </c>
      <c r="Y267" s="41" t="str">
        <f t="shared" ref="Y267" ca="1" si="1378">X267</f>
        <v/>
      </c>
      <c r="Z267" s="41" t="str">
        <f t="shared" ref="Z267" ca="1" si="1379">Y267</f>
        <v/>
      </c>
      <c r="AA267" s="41" t="str">
        <f t="shared" ref="AA267" ca="1" si="1380">Z267</f>
        <v/>
      </c>
      <c r="AB267" s="41" t="str">
        <f t="shared" ref="AB267" ca="1" si="1381">AA267</f>
        <v/>
      </c>
      <c r="AC267" s="41" t="str">
        <f t="shared" ref="AC267" ca="1" si="1382">AB267</f>
        <v/>
      </c>
      <c r="AD267" s="44" t="str" cm="1">
        <f t="array" aca="1" ref="AD267" ca="1">IF(INDIRECT(_xlfn.CONCAT($AV365,F$364))="+","+",IF(ISNUMBER(INDIRECT(_xlfn.CONCAT($AV365,F$363))),"-",""))</f>
        <v/>
      </c>
      <c r="AE267" s="41" t="str">
        <f ca="1">AD267</f>
        <v/>
      </c>
      <c r="AF267" s="41" t="str">
        <f t="shared" ref="AF267" ca="1" si="1383">AE267</f>
        <v/>
      </c>
      <c r="AG267" s="41" t="str">
        <f t="shared" ref="AG267" ca="1" si="1384">AF267</f>
        <v/>
      </c>
      <c r="AH267" s="41" t="str">
        <f t="shared" ref="AH267" ca="1" si="1385">AG267</f>
        <v/>
      </c>
      <c r="AI267" s="41" t="str">
        <f t="shared" ref="AI267" ca="1" si="1386">AH267</f>
        <v/>
      </c>
      <c r="AJ267" s="41" t="str">
        <f t="shared" ref="AJ267" ca="1" si="1387">AI267</f>
        <v/>
      </c>
      <c r="AK267" s="44" t="str" cm="1">
        <f t="array" aca="1" ref="AK267" ca="1">IF(INDIRECT(_xlfn.CONCAT($AV365,G$364))="+","+",IF(ISNUMBER(INDIRECT(_xlfn.CONCAT($AV365,G$363))),"-",""))</f>
        <v/>
      </c>
      <c r="AL267" s="41" t="str">
        <f ca="1">AK267</f>
        <v/>
      </c>
      <c r="AM267" s="41" t="str">
        <f t="shared" ref="AM267" ca="1" si="1388">AL267</f>
        <v/>
      </c>
      <c r="AN267" s="41" t="str">
        <f t="shared" ref="AN267" ca="1" si="1389">AM267</f>
        <v/>
      </c>
      <c r="AO267" s="41" t="str">
        <f t="shared" ref="AO267" ca="1" si="1390">AN267</f>
        <v/>
      </c>
      <c r="AP267" s="41" t="str">
        <f t="shared" ref="AP267" ca="1" si="1391">AO267</f>
        <v/>
      </c>
      <c r="AQ267" s="41" t="str">
        <f t="shared" ref="AQ267" ca="1" si="1392">AP267</f>
        <v/>
      </c>
      <c r="AR267" s="44"/>
      <c r="AS267" s="41"/>
      <c r="AT267" s="41"/>
      <c r="AU267" s="41"/>
      <c r="AV267" s="41"/>
      <c r="AW267" s="41"/>
    </row>
    <row r="268" spans="1:49" ht="15" customHeight="1" x14ac:dyDescent="0.2">
      <c r="A268" s="41" t="str">
        <f t="shared" si="1122"/>
        <v/>
      </c>
      <c r="B268" s="45" t="str" cm="1">
        <f t="array" aca="1" ref="B268" ca="1">IF(ISBLANK(INDIRECT(_xlfn.CONCAT($AV390,B$389))),"",INDIRECT(_xlfn.CONCAT($AV390,B$389)))</f>
        <v/>
      </c>
      <c r="C268" s="45"/>
      <c r="D268" s="45"/>
      <c r="E268" s="45"/>
      <c r="F268" s="45"/>
      <c r="G268" s="45"/>
      <c r="H268" s="45"/>
      <c r="I268" s="45" t="str" cm="1">
        <f t="array" aca="1" ref="I268" ca="1">IF(ISBLANK(INDIRECT(_xlfn.CONCAT($AV390,C$389))),"",INDIRECT(_xlfn.CONCAT($AV390,C$389)))</f>
        <v/>
      </c>
      <c r="J268" s="45"/>
      <c r="K268" s="45"/>
      <c r="L268" s="45"/>
      <c r="M268" s="45"/>
      <c r="N268" s="45"/>
      <c r="O268" s="45"/>
      <c r="P268" s="45" t="str" cm="1">
        <f t="array" aca="1" ref="P268" ca="1">IF(ISBLANK(INDIRECT(_xlfn.CONCAT($AV390,D$389))),"",INDIRECT(_xlfn.CONCAT($AV390,D$389)))</f>
        <v/>
      </c>
      <c r="Q268" s="45"/>
      <c r="R268" s="45"/>
      <c r="S268" s="45"/>
      <c r="T268" s="45"/>
      <c r="U268" s="45"/>
      <c r="V268" s="45"/>
      <c r="W268" s="45" t="str" cm="1">
        <f t="array" aca="1" ref="W268" ca="1">IF(ISBLANK(INDIRECT(_xlfn.CONCAT($AV390,E$389))),"",INDIRECT(_xlfn.CONCAT($AV390,E$389)))</f>
        <v/>
      </c>
      <c r="X268" s="45"/>
      <c r="Y268" s="45"/>
      <c r="Z268" s="45"/>
      <c r="AA268" s="45"/>
      <c r="AB268" s="45"/>
      <c r="AC268" s="45"/>
      <c r="AD268" s="45" t="str" cm="1">
        <f t="array" aca="1" ref="AD268" ca="1">IF(ISBLANK(INDIRECT(_xlfn.CONCAT($AV390,F$389))),"",INDIRECT(_xlfn.CONCAT($AV390,F$389)))</f>
        <v/>
      </c>
      <c r="AE268" s="45"/>
      <c r="AF268" s="45"/>
      <c r="AG268" s="45"/>
      <c r="AH268" s="45"/>
      <c r="AI268" s="45"/>
      <c r="AJ268" s="45"/>
      <c r="AK268" s="45" t="str" cm="1">
        <f t="array" aca="1" ref="AK268" ca="1">IF(ISBLANK(INDIRECT(_xlfn.CONCAT($AV390,G$389))),"",INDIRECT(_xlfn.CONCAT($AV390,G$389)))</f>
        <v/>
      </c>
      <c r="AL268" s="45"/>
      <c r="AM268" s="45"/>
      <c r="AN268" s="45"/>
      <c r="AO268" s="45"/>
      <c r="AP268" s="45"/>
      <c r="AQ268" s="45"/>
      <c r="AR268" s="45"/>
      <c r="AS268" s="46"/>
      <c r="AT268" s="46"/>
      <c r="AU268" s="46"/>
      <c r="AV268" s="46"/>
      <c r="AW268" s="46"/>
    </row>
    <row r="269" spans="1:49" ht="15" customHeight="1" x14ac:dyDescent="0.2">
      <c r="A269" s="41" t="str">
        <f t="shared" si="1122"/>
        <v/>
      </c>
      <c r="B269" s="213" t="str" cm="1">
        <f t="array" ref="B269">IF(INDEX($U$427:$CB$432,B$436,$AV437)="-","",INDEX($U$427:$CB$432,B$436,$AV437))</f>
        <v/>
      </c>
      <c r="C269" s="213"/>
      <c r="D269" s="213"/>
      <c r="E269" s="213"/>
      <c r="F269" s="213"/>
      <c r="G269" s="213"/>
      <c r="H269" s="213"/>
      <c r="I269" s="213" t="str" cm="1">
        <f t="array" ref="I269">IF(INDEX($U$427:$CB$432,C$436,$AV437)="-","",INDEX($U$427:$CB$432,C$436,$AV437))</f>
        <v/>
      </c>
      <c r="J269" s="213"/>
      <c r="K269" s="213"/>
      <c r="L269" s="213"/>
      <c r="M269" s="213"/>
      <c r="N269" s="213"/>
      <c r="O269" s="213"/>
      <c r="P269" s="213" t="str" cm="1">
        <f t="array" ref="P269">IF(INDEX($U$427:$CB$432,D$436,$AV437)="-","",INDEX($U$427:$CB$432,D$436,$AV437))</f>
        <v/>
      </c>
      <c r="Q269" s="213"/>
      <c r="R269" s="213"/>
      <c r="S269" s="213"/>
      <c r="T269" s="213"/>
      <c r="U269" s="213"/>
      <c r="V269" s="213"/>
      <c r="W269" s="213" t="str" cm="1">
        <f t="array" ref="W269">IF(INDEX($U$427:$CB$432,E$436,$AV437)="-","",INDEX($U$427:$CB$432,E$436,$AV437))</f>
        <v/>
      </c>
      <c r="X269" s="213"/>
      <c r="Y269" s="213"/>
      <c r="Z269" s="213"/>
      <c r="AA269" s="213"/>
      <c r="AB269" s="213"/>
      <c r="AC269" s="213"/>
      <c r="AD269" s="213" t="str" cm="1">
        <f t="array" ref="AD269">IF(INDEX($U$427:$CB$432,F$436,$AV437)="-","",INDEX($U$427:$CB$432,F$436,$AV437))</f>
        <v/>
      </c>
      <c r="AE269" s="213"/>
      <c r="AF269" s="213"/>
      <c r="AG269" s="213"/>
      <c r="AH269" s="213"/>
      <c r="AI269" s="213"/>
      <c r="AJ269" s="213"/>
      <c r="AK269" s="213" t="str" cm="1">
        <f t="array" ref="AK269">IF(INDEX($U$427:$CB$432,G$436,$AV437)="-","",INDEX($U$427:$CB$432,G$436,$AV437))</f>
        <v/>
      </c>
      <c r="AL269" s="213"/>
      <c r="AM269" s="213"/>
      <c r="AN269" s="213"/>
      <c r="AO269" s="213"/>
      <c r="AP269" s="213"/>
      <c r="AQ269" s="213"/>
      <c r="AR269" s="211"/>
      <c r="AS269" s="211"/>
      <c r="AT269" s="211"/>
      <c r="AU269" s="211"/>
      <c r="AV269" s="211"/>
      <c r="AW269" s="211"/>
    </row>
    <row r="270" spans="1:49" ht="15" customHeight="1" x14ac:dyDescent="0.2">
      <c r="A270" s="41" t="str">
        <f t="shared" si="1122"/>
        <v/>
      </c>
      <c r="B270" s="213"/>
      <c r="C270" s="213"/>
      <c r="D270" s="213"/>
      <c r="E270" s="213"/>
      <c r="F270" s="213"/>
      <c r="G270" s="213"/>
      <c r="H270" s="213"/>
      <c r="I270" s="213"/>
      <c r="J270" s="213"/>
      <c r="K270" s="213"/>
      <c r="L270" s="213"/>
      <c r="M270" s="213"/>
      <c r="N270" s="213"/>
      <c r="O270" s="213"/>
      <c r="P270" s="213"/>
      <c r="Q270" s="213"/>
      <c r="R270" s="213"/>
      <c r="S270" s="213"/>
      <c r="T270" s="213"/>
      <c r="U270" s="213"/>
      <c r="V270" s="213"/>
      <c r="W270" s="213"/>
      <c r="X270" s="213"/>
      <c r="Y270" s="213"/>
      <c r="Z270" s="213"/>
      <c r="AA270" s="213"/>
      <c r="AB270" s="213"/>
      <c r="AC270" s="213"/>
      <c r="AD270" s="213"/>
      <c r="AE270" s="213"/>
      <c r="AF270" s="213"/>
      <c r="AG270" s="213"/>
      <c r="AH270" s="213"/>
      <c r="AI270" s="213"/>
      <c r="AJ270" s="213"/>
      <c r="AK270" s="213"/>
      <c r="AL270" s="213"/>
      <c r="AM270" s="213"/>
      <c r="AN270" s="213"/>
      <c r="AO270" s="213"/>
      <c r="AP270" s="213"/>
      <c r="AQ270" s="213"/>
      <c r="AR270" s="211"/>
      <c r="AS270" s="211"/>
      <c r="AT270" s="211"/>
      <c r="AU270" s="211"/>
      <c r="AV270" s="211"/>
      <c r="AW270" s="211"/>
    </row>
    <row r="271" spans="1:49" ht="15" customHeight="1" x14ac:dyDescent="0.2">
      <c r="A271" s="41" t="str">
        <f t="shared" si="1122"/>
        <v/>
      </c>
      <c r="B271" s="213"/>
      <c r="C271" s="213"/>
      <c r="D271" s="213"/>
      <c r="E271" s="213"/>
      <c r="F271" s="213"/>
      <c r="G271" s="213"/>
      <c r="H271" s="213"/>
      <c r="I271" s="213"/>
      <c r="J271" s="213"/>
      <c r="K271" s="213"/>
      <c r="L271" s="213"/>
      <c r="M271" s="213"/>
      <c r="N271" s="213"/>
      <c r="O271" s="213"/>
      <c r="P271" s="213"/>
      <c r="Q271" s="213"/>
      <c r="R271" s="213"/>
      <c r="S271" s="213"/>
      <c r="T271" s="213"/>
      <c r="U271" s="213"/>
      <c r="V271" s="213"/>
      <c r="W271" s="213"/>
      <c r="X271" s="213"/>
      <c r="Y271" s="213"/>
      <c r="Z271" s="213"/>
      <c r="AA271" s="213"/>
      <c r="AB271" s="213"/>
      <c r="AC271" s="213"/>
      <c r="AD271" s="213"/>
      <c r="AE271" s="213"/>
      <c r="AF271" s="213"/>
      <c r="AG271" s="213"/>
      <c r="AH271" s="213"/>
      <c r="AI271" s="213"/>
      <c r="AJ271" s="213"/>
      <c r="AK271" s="213"/>
      <c r="AL271" s="213"/>
      <c r="AM271" s="213"/>
      <c r="AN271" s="213"/>
      <c r="AO271" s="213"/>
      <c r="AP271" s="213"/>
      <c r="AQ271" s="213"/>
      <c r="AR271" s="211"/>
      <c r="AS271" s="211"/>
      <c r="AT271" s="211"/>
      <c r="AU271" s="211"/>
      <c r="AV271" s="211"/>
      <c r="AW271" s="211"/>
    </row>
    <row r="272" spans="1:49" ht="15" customHeight="1" x14ac:dyDescent="0.2">
      <c r="A272" s="41" t="str">
        <f t="shared" si="1122"/>
        <v/>
      </c>
      <c r="B272" s="44" t="str" cm="1">
        <f t="array" aca="1" ref="B272" ca="1">IF(INDIRECT(_xlfn.CONCAT($AW365,B$364))="+","+",IF(ISNUMBER(INDIRECT(_xlfn.CONCAT($AW365,B$363))),"-",""))</f>
        <v/>
      </c>
      <c r="C272" s="41" t="str">
        <f ca="1">B272</f>
        <v/>
      </c>
      <c r="D272" s="41" t="str">
        <f t="shared" ref="D272" ca="1" si="1393">C272</f>
        <v/>
      </c>
      <c r="E272" s="41" t="str">
        <f t="shared" ref="E272" ca="1" si="1394">D272</f>
        <v/>
      </c>
      <c r="F272" s="41" t="str">
        <f t="shared" ref="F272" ca="1" si="1395">E272</f>
        <v/>
      </c>
      <c r="G272" s="41" t="str">
        <f t="shared" ref="G272" ca="1" si="1396">F272</f>
        <v/>
      </c>
      <c r="H272" s="41" t="str">
        <f t="shared" ref="H272" ca="1" si="1397">G272</f>
        <v/>
      </c>
      <c r="I272" s="44" t="str" cm="1">
        <f t="array" aca="1" ref="I272" ca="1">IF(INDIRECT(_xlfn.CONCAT($AW365,C$364))="+","+",IF(ISNUMBER(INDIRECT(_xlfn.CONCAT($AW365,C$363))),"-",""))</f>
        <v/>
      </c>
      <c r="J272" s="41" t="str">
        <f ca="1">I272</f>
        <v/>
      </c>
      <c r="K272" s="41" t="str">
        <f t="shared" ref="K272" ca="1" si="1398">J272</f>
        <v/>
      </c>
      <c r="L272" s="41" t="str">
        <f t="shared" ref="L272" ca="1" si="1399">K272</f>
        <v/>
      </c>
      <c r="M272" s="41" t="str">
        <f t="shared" ref="M272" ca="1" si="1400">L272</f>
        <v/>
      </c>
      <c r="N272" s="41" t="str">
        <f t="shared" ref="N272" ca="1" si="1401">M272</f>
        <v/>
      </c>
      <c r="O272" s="41" t="str">
        <f t="shared" ref="O272" ca="1" si="1402">N272</f>
        <v/>
      </c>
      <c r="P272" s="44" t="str" cm="1">
        <f t="array" aca="1" ref="P272" ca="1">IF(INDIRECT(_xlfn.CONCAT($AW365,D$364))="+","+",IF(ISNUMBER(INDIRECT(_xlfn.CONCAT($AW365,D$363))),"-",""))</f>
        <v/>
      </c>
      <c r="Q272" s="41" t="str">
        <f ca="1">P272</f>
        <v/>
      </c>
      <c r="R272" s="41" t="str">
        <f t="shared" ref="R272" ca="1" si="1403">Q272</f>
        <v/>
      </c>
      <c r="S272" s="41" t="str">
        <f t="shared" ref="S272" ca="1" si="1404">R272</f>
        <v/>
      </c>
      <c r="T272" s="41" t="str">
        <f t="shared" ref="T272" ca="1" si="1405">S272</f>
        <v/>
      </c>
      <c r="U272" s="41" t="str">
        <f t="shared" ref="U272" ca="1" si="1406">T272</f>
        <v/>
      </c>
      <c r="V272" s="41" t="str">
        <f t="shared" ref="V272" ca="1" si="1407">U272</f>
        <v/>
      </c>
      <c r="W272" s="44" t="str" cm="1">
        <f t="array" aca="1" ref="W272" ca="1">IF(INDIRECT(_xlfn.CONCAT($AW365,E$364))="+","+",IF(ISNUMBER(INDIRECT(_xlfn.CONCAT($AW365,E$363))),"-",""))</f>
        <v/>
      </c>
      <c r="X272" s="41" t="str">
        <f ca="1">W272</f>
        <v/>
      </c>
      <c r="Y272" s="41" t="str">
        <f t="shared" ref="Y272" ca="1" si="1408">X272</f>
        <v/>
      </c>
      <c r="Z272" s="41" t="str">
        <f t="shared" ref="Z272" ca="1" si="1409">Y272</f>
        <v/>
      </c>
      <c r="AA272" s="41" t="str">
        <f t="shared" ref="AA272" ca="1" si="1410">Z272</f>
        <v/>
      </c>
      <c r="AB272" s="41" t="str">
        <f t="shared" ref="AB272" ca="1" si="1411">AA272</f>
        <v/>
      </c>
      <c r="AC272" s="41" t="str">
        <f t="shared" ref="AC272" ca="1" si="1412">AB272</f>
        <v/>
      </c>
      <c r="AD272" s="44" t="str" cm="1">
        <f t="array" aca="1" ref="AD272" ca="1">IF(INDIRECT(_xlfn.CONCAT($AW365,F$364))="+","+",IF(ISNUMBER(INDIRECT(_xlfn.CONCAT($AW365,F$363))),"-",""))</f>
        <v/>
      </c>
      <c r="AE272" s="41" t="str">
        <f ca="1">AD272</f>
        <v/>
      </c>
      <c r="AF272" s="41" t="str">
        <f t="shared" ref="AF272" ca="1" si="1413">AE272</f>
        <v/>
      </c>
      <c r="AG272" s="41" t="str">
        <f t="shared" ref="AG272" ca="1" si="1414">AF272</f>
        <v/>
      </c>
      <c r="AH272" s="41" t="str">
        <f t="shared" ref="AH272" ca="1" si="1415">AG272</f>
        <v/>
      </c>
      <c r="AI272" s="41" t="str">
        <f t="shared" ref="AI272" ca="1" si="1416">AH272</f>
        <v/>
      </c>
      <c r="AJ272" s="41" t="str">
        <f t="shared" ref="AJ272" ca="1" si="1417">AI272</f>
        <v/>
      </c>
      <c r="AK272" s="44" t="str" cm="1">
        <f t="array" aca="1" ref="AK272" ca="1">IF(INDIRECT(_xlfn.CONCAT($AW365,G$364))="+","+",IF(ISNUMBER(INDIRECT(_xlfn.CONCAT($AW365,G$363))),"-",""))</f>
        <v/>
      </c>
      <c r="AL272" s="41" t="str">
        <f ca="1">AK272</f>
        <v/>
      </c>
      <c r="AM272" s="41" t="str">
        <f t="shared" ref="AM272" ca="1" si="1418">AL272</f>
        <v/>
      </c>
      <c r="AN272" s="41" t="str">
        <f t="shared" ref="AN272" ca="1" si="1419">AM272</f>
        <v/>
      </c>
      <c r="AO272" s="41" t="str">
        <f t="shared" ref="AO272" ca="1" si="1420">AN272</f>
        <v/>
      </c>
      <c r="AP272" s="41" t="str">
        <f t="shared" ref="AP272" ca="1" si="1421">AO272</f>
        <v/>
      </c>
      <c r="AQ272" s="41" t="str">
        <f t="shared" ref="AQ272" ca="1" si="1422">AP272</f>
        <v/>
      </c>
      <c r="AR272" s="44"/>
      <c r="AS272" s="41"/>
      <c r="AT272" s="41"/>
      <c r="AU272" s="41"/>
      <c r="AV272" s="41"/>
      <c r="AW272" s="41"/>
    </row>
    <row r="273" spans="1:49" ht="15" customHeight="1" x14ac:dyDescent="0.2">
      <c r="A273" s="41" t="str">
        <f t="shared" si="1122"/>
        <v/>
      </c>
      <c r="B273" s="45" t="str" cm="1">
        <f t="array" aca="1" ref="B273" ca="1">IF(ISBLANK(INDIRECT(_xlfn.CONCAT($AW390,B$389))),"",INDIRECT(_xlfn.CONCAT($AW390,B$389)))</f>
        <v/>
      </c>
      <c r="C273" s="45"/>
      <c r="D273" s="45"/>
      <c r="E273" s="45"/>
      <c r="F273" s="45"/>
      <c r="G273" s="45"/>
      <c r="H273" s="45"/>
      <c r="I273" s="45" t="str" cm="1">
        <f t="array" aca="1" ref="I273" ca="1">IF(ISBLANK(INDIRECT(_xlfn.CONCAT($AW390,C$389))),"",INDIRECT(_xlfn.CONCAT($AW390,C$389)))</f>
        <v/>
      </c>
      <c r="J273" s="45"/>
      <c r="K273" s="45"/>
      <c r="L273" s="45"/>
      <c r="M273" s="45"/>
      <c r="N273" s="45"/>
      <c r="O273" s="45"/>
      <c r="P273" s="45" t="str" cm="1">
        <f t="array" aca="1" ref="P273" ca="1">IF(ISBLANK(INDIRECT(_xlfn.CONCAT($AW390,D$389))),"",INDIRECT(_xlfn.CONCAT($AW390,D$389)))</f>
        <v/>
      </c>
      <c r="Q273" s="45"/>
      <c r="R273" s="45"/>
      <c r="S273" s="45"/>
      <c r="T273" s="45"/>
      <c r="U273" s="45"/>
      <c r="V273" s="45"/>
      <c r="W273" s="45" t="str" cm="1">
        <f t="array" aca="1" ref="W273" ca="1">IF(ISBLANK(INDIRECT(_xlfn.CONCAT($AW390,E$389))),"",INDIRECT(_xlfn.CONCAT($AW390,E$389)))</f>
        <v/>
      </c>
      <c r="X273" s="45"/>
      <c r="Y273" s="45"/>
      <c r="Z273" s="45"/>
      <c r="AA273" s="45"/>
      <c r="AB273" s="45"/>
      <c r="AC273" s="45"/>
      <c r="AD273" s="45" t="str" cm="1">
        <f t="array" aca="1" ref="AD273" ca="1">IF(ISBLANK(INDIRECT(_xlfn.CONCAT($AW390,F$389))),"",INDIRECT(_xlfn.CONCAT($AW390,F$389)))</f>
        <v/>
      </c>
      <c r="AE273" s="45"/>
      <c r="AF273" s="45"/>
      <c r="AG273" s="45"/>
      <c r="AH273" s="45"/>
      <c r="AI273" s="45"/>
      <c r="AJ273" s="45"/>
      <c r="AK273" s="45" t="str" cm="1">
        <f t="array" aca="1" ref="AK273" ca="1">IF(ISBLANK(INDIRECT(_xlfn.CONCAT($AW390,G$389))),"",INDIRECT(_xlfn.CONCAT($AW390,G$389)))</f>
        <v/>
      </c>
      <c r="AL273" s="45"/>
      <c r="AM273" s="45"/>
      <c r="AN273" s="45"/>
      <c r="AO273" s="45"/>
      <c r="AP273" s="45"/>
      <c r="AQ273" s="45"/>
      <c r="AR273" s="45"/>
      <c r="AS273" s="46"/>
      <c r="AT273" s="46"/>
      <c r="AU273" s="46"/>
      <c r="AV273" s="46"/>
      <c r="AW273" s="46"/>
    </row>
    <row r="274" spans="1:49" ht="15" customHeight="1" x14ac:dyDescent="0.2">
      <c r="A274" s="41" t="str">
        <f t="shared" si="1122"/>
        <v/>
      </c>
      <c r="B274" s="213" t="str" cm="1">
        <f t="array" ref="B274">IF(INDEX($U$427:$CB$432,B$436,$AW437)="-","",INDEX($U$427:$CB$432,B$436,$AW437))</f>
        <v/>
      </c>
      <c r="C274" s="213"/>
      <c r="D274" s="213"/>
      <c r="E274" s="213"/>
      <c r="F274" s="213"/>
      <c r="G274" s="213"/>
      <c r="H274" s="213"/>
      <c r="I274" s="213" t="str" cm="1">
        <f t="array" ref="I274">IF(INDEX($U$427:$CB$432,C$436,$AW437)="-","",INDEX($U$427:$CB$432,C$436,$AW437))</f>
        <v/>
      </c>
      <c r="J274" s="213"/>
      <c r="K274" s="213"/>
      <c r="L274" s="213"/>
      <c r="M274" s="213"/>
      <c r="N274" s="213"/>
      <c r="O274" s="213"/>
      <c r="P274" s="213" t="str" cm="1">
        <f t="array" ref="P274">IF(INDEX($U$427:$CB$432,D$436,$AW437)="-","",INDEX($U$427:$CB$432,D$436,$AW437))</f>
        <v/>
      </c>
      <c r="Q274" s="213"/>
      <c r="R274" s="213"/>
      <c r="S274" s="213"/>
      <c r="T274" s="213"/>
      <c r="U274" s="213"/>
      <c r="V274" s="213"/>
      <c r="W274" s="213" t="str" cm="1">
        <f t="array" ref="W274">IF(INDEX($U$427:$CB$432,E$436,$AW437)="-","",INDEX($U$427:$CB$432,E$436,$AW437))</f>
        <v/>
      </c>
      <c r="X274" s="213"/>
      <c r="Y274" s="213"/>
      <c r="Z274" s="213"/>
      <c r="AA274" s="213"/>
      <c r="AB274" s="213"/>
      <c r="AC274" s="213"/>
      <c r="AD274" s="213" t="str" cm="1">
        <f t="array" ref="AD274">IF(INDEX($U$427:$CB$432,F$436,$AW437)="-","",INDEX($U$427:$CB$432,F$436,$AW437))</f>
        <v/>
      </c>
      <c r="AE274" s="213"/>
      <c r="AF274" s="213"/>
      <c r="AG274" s="213"/>
      <c r="AH274" s="213"/>
      <c r="AI274" s="213"/>
      <c r="AJ274" s="213"/>
      <c r="AK274" s="213" t="str" cm="1">
        <f t="array" ref="AK274">IF(INDEX($U$427:$CB$432,G$436,$AW437)="-","",INDEX($U$427:$CB$432,G$436,$AW437))</f>
        <v/>
      </c>
      <c r="AL274" s="213"/>
      <c r="AM274" s="213"/>
      <c r="AN274" s="213"/>
      <c r="AO274" s="213"/>
      <c r="AP274" s="213"/>
      <c r="AQ274" s="213"/>
      <c r="AR274" s="211"/>
      <c r="AS274" s="211"/>
      <c r="AT274" s="211"/>
      <c r="AU274" s="211"/>
      <c r="AV274" s="211"/>
      <c r="AW274" s="211"/>
    </row>
    <row r="275" spans="1:49" ht="15" customHeight="1" x14ac:dyDescent="0.2">
      <c r="A275" s="41" t="str">
        <f t="shared" si="1122"/>
        <v/>
      </c>
      <c r="B275" s="213"/>
      <c r="C275" s="213"/>
      <c r="D275" s="213"/>
      <c r="E275" s="213"/>
      <c r="F275" s="213"/>
      <c r="G275" s="213"/>
      <c r="H275" s="213"/>
      <c r="I275" s="213"/>
      <c r="J275" s="213"/>
      <c r="K275" s="213"/>
      <c r="L275" s="213"/>
      <c r="M275" s="213"/>
      <c r="N275" s="213"/>
      <c r="O275" s="213"/>
      <c r="P275" s="213"/>
      <c r="Q275" s="213"/>
      <c r="R275" s="213"/>
      <c r="S275" s="213"/>
      <c r="T275" s="213"/>
      <c r="U275" s="213"/>
      <c r="V275" s="213"/>
      <c r="W275" s="213"/>
      <c r="X275" s="213"/>
      <c r="Y275" s="213"/>
      <c r="Z275" s="213"/>
      <c r="AA275" s="213"/>
      <c r="AB275" s="213"/>
      <c r="AC275" s="213"/>
      <c r="AD275" s="213"/>
      <c r="AE275" s="213"/>
      <c r="AF275" s="213"/>
      <c r="AG275" s="213"/>
      <c r="AH275" s="213"/>
      <c r="AI275" s="213"/>
      <c r="AJ275" s="213"/>
      <c r="AK275" s="213"/>
      <c r="AL275" s="213"/>
      <c r="AM275" s="213"/>
      <c r="AN275" s="213"/>
      <c r="AO275" s="213"/>
      <c r="AP275" s="213"/>
      <c r="AQ275" s="213"/>
      <c r="AR275" s="211"/>
      <c r="AS275" s="211"/>
      <c r="AT275" s="211"/>
      <c r="AU275" s="211"/>
      <c r="AV275" s="211"/>
      <c r="AW275" s="211"/>
    </row>
    <row r="276" spans="1:49" ht="15" customHeight="1" x14ac:dyDescent="0.2">
      <c r="A276" s="41" t="str">
        <f t="shared" si="1122"/>
        <v/>
      </c>
      <c r="B276" s="213"/>
      <c r="C276" s="213"/>
      <c r="D276" s="213"/>
      <c r="E276" s="213"/>
      <c r="F276" s="213"/>
      <c r="G276" s="213"/>
      <c r="H276" s="213"/>
      <c r="I276" s="213"/>
      <c r="J276" s="213"/>
      <c r="K276" s="213"/>
      <c r="L276" s="213"/>
      <c r="M276" s="213"/>
      <c r="N276" s="213"/>
      <c r="O276" s="213"/>
      <c r="P276" s="213"/>
      <c r="Q276" s="213"/>
      <c r="R276" s="213"/>
      <c r="S276" s="213"/>
      <c r="T276" s="213"/>
      <c r="U276" s="213"/>
      <c r="V276" s="213"/>
      <c r="W276" s="213"/>
      <c r="X276" s="213"/>
      <c r="Y276" s="213"/>
      <c r="Z276" s="213"/>
      <c r="AA276" s="213"/>
      <c r="AB276" s="213"/>
      <c r="AC276" s="213"/>
      <c r="AD276" s="213"/>
      <c r="AE276" s="213"/>
      <c r="AF276" s="213"/>
      <c r="AG276" s="213"/>
      <c r="AH276" s="213"/>
      <c r="AI276" s="213"/>
      <c r="AJ276" s="213"/>
      <c r="AK276" s="213"/>
      <c r="AL276" s="213"/>
      <c r="AM276" s="213"/>
      <c r="AN276" s="213"/>
      <c r="AO276" s="213"/>
      <c r="AP276" s="213"/>
      <c r="AQ276" s="213"/>
      <c r="AR276" s="211"/>
      <c r="AS276" s="211"/>
      <c r="AT276" s="211"/>
      <c r="AU276" s="211"/>
      <c r="AV276" s="211"/>
      <c r="AW276" s="211"/>
    </row>
    <row r="277" spans="1:49" ht="15" customHeight="1" x14ac:dyDescent="0.2">
      <c r="A277" s="41" t="str">
        <f t="shared" si="1122"/>
        <v/>
      </c>
      <c r="B277" s="44" t="str" cm="1">
        <f t="array" aca="1" ref="B277" ca="1">IF(INDIRECT(_xlfn.CONCAT($AX365,B$364))="+","+",IF(ISNUMBER(INDIRECT(_xlfn.CONCAT($AX365,B$363))),"-",""))</f>
        <v/>
      </c>
      <c r="C277" s="41" t="str">
        <f ca="1">B277</f>
        <v/>
      </c>
      <c r="D277" s="41" t="str">
        <f t="shared" ref="D277" ca="1" si="1423">C277</f>
        <v/>
      </c>
      <c r="E277" s="41" t="str">
        <f t="shared" ref="E277" ca="1" si="1424">D277</f>
        <v/>
      </c>
      <c r="F277" s="41" t="str">
        <f t="shared" ref="F277" ca="1" si="1425">E277</f>
        <v/>
      </c>
      <c r="G277" s="41" t="str">
        <f t="shared" ref="G277" ca="1" si="1426">F277</f>
        <v/>
      </c>
      <c r="H277" s="41" t="str">
        <f t="shared" ref="H277" ca="1" si="1427">G277</f>
        <v/>
      </c>
      <c r="I277" s="44" t="str" cm="1">
        <f t="array" aca="1" ref="I277" ca="1">IF(INDIRECT(_xlfn.CONCAT($AX365,C$364))="+","+",IF(ISNUMBER(INDIRECT(_xlfn.CONCAT($AX365,C$363))),"-",""))</f>
        <v/>
      </c>
      <c r="J277" s="41" t="str">
        <f ca="1">I277</f>
        <v/>
      </c>
      <c r="K277" s="41" t="str">
        <f t="shared" ref="K277" ca="1" si="1428">J277</f>
        <v/>
      </c>
      <c r="L277" s="41" t="str">
        <f t="shared" ref="L277" ca="1" si="1429">K277</f>
        <v/>
      </c>
      <c r="M277" s="41" t="str">
        <f t="shared" ref="M277" ca="1" si="1430">L277</f>
        <v/>
      </c>
      <c r="N277" s="41" t="str">
        <f t="shared" ref="N277" ca="1" si="1431">M277</f>
        <v/>
      </c>
      <c r="O277" s="41" t="str">
        <f t="shared" ref="O277" ca="1" si="1432">N277</f>
        <v/>
      </c>
      <c r="P277" s="44" t="str" cm="1">
        <f t="array" aca="1" ref="P277" ca="1">IF(INDIRECT(_xlfn.CONCAT($AX365,D$364))="+","+",IF(ISNUMBER(INDIRECT(_xlfn.CONCAT($AX365,D$363))),"-",""))</f>
        <v/>
      </c>
      <c r="Q277" s="41" t="str">
        <f ca="1">P277</f>
        <v/>
      </c>
      <c r="R277" s="41" t="str">
        <f t="shared" ref="R277" ca="1" si="1433">Q277</f>
        <v/>
      </c>
      <c r="S277" s="41" t="str">
        <f t="shared" ref="S277" ca="1" si="1434">R277</f>
        <v/>
      </c>
      <c r="T277" s="41" t="str">
        <f t="shared" ref="T277" ca="1" si="1435">S277</f>
        <v/>
      </c>
      <c r="U277" s="41" t="str">
        <f t="shared" ref="U277" ca="1" si="1436">T277</f>
        <v/>
      </c>
      <c r="V277" s="41" t="str">
        <f t="shared" ref="V277" ca="1" si="1437">U277</f>
        <v/>
      </c>
      <c r="W277" s="44" t="str" cm="1">
        <f t="array" aca="1" ref="W277" ca="1">IF(INDIRECT(_xlfn.CONCAT($AX365,E$364))="+","+",IF(ISNUMBER(INDIRECT(_xlfn.CONCAT($AX365,E$363))),"-",""))</f>
        <v/>
      </c>
      <c r="X277" s="41" t="str">
        <f ca="1">W277</f>
        <v/>
      </c>
      <c r="Y277" s="41" t="str">
        <f t="shared" ref="Y277" ca="1" si="1438">X277</f>
        <v/>
      </c>
      <c r="Z277" s="41" t="str">
        <f t="shared" ref="Z277" ca="1" si="1439">Y277</f>
        <v/>
      </c>
      <c r="AA277" s="41" t="str">
        <f t="shared" ref="AA277" ca="1" si="1440">Z277</f>
        <v/>
      </c>
      <c r="AB277" s="41" t="str">
        <f t="shared" ref="AB277" ca="1" si="1441">AA277</f>
        <v/>
      </c>
      <c r="AC277" s="41" t="str">
        <f t="shared" ref="AC277" ca="1" si="1442">AB277</f>
        <v/>
      </c>
      <c r="AD277" s="44" t="str" cm="1">
        <f t="array" aca="1" ref="AD277" ca="1">IF(INDIRECT(_xlfn.CONCAT($AX365,F$364))="+","+",IF(ISNUMBER(INDIRECT(_xlfn.CONCAT($AX365,F$363))),"-",""))</f>
        <v/>
      </c>
      <c r="AE277" s="41" t="str">
        <f ca="1">AD277</f>
        <v/>
      </c>
      <c r="AF277" s="41" t="str">
        <f t="shared" ref="AF277" ca="1" si="1443">AE277</f>
        <v/>
      </c>
      <c r="AG277" s="41" t="str">
        <f t="shared" ref="AG277" ca="1" si="1444">AF277</f>
        <v/>
      </c>
      <c r="AH277" s="41" t="str">
        <f t="shared" ref="AH277" ca="1" si="1445">AG277</f>
        <v/>
      </c>
      <c r="AI277" s="41" t="str">
        <f t="shared" ref="AI277" ca="1" si="1446">AH277</f>
        <v/>
      </c>
      <c r="AJ277" s="41" t="str">
        <f t="shared" ref="AJ277" ca="1" si="1447">AI277</f>
        <v/>
      </c>
      <c r="AK277" s="44" t="str" cm="1">
        <f t="array" aca="1" ref="AK277" ca="1">IF(INDIRECT(_xlfn.CONCAT($AX365,G$364))="+","+",IF(ISNUMBER(INDIRECT(_xlfn.CONCAT($AX365,G$363))),"-",""))</f>
        <v/>
      </c>
      <c r="AL277" s="41" t="str">
        <f ca="1">AK277</f>
        <v/>
      </c>
      <c r="AM277" s="41" t="str">
        <f t="shared" ref="AM277" ca="1" si="1448">AL277</f>
        <v/>
      </c>
      <c r="AN277" s="41" t="str">
        <f t="shared" ref="AN277" ca="1" si="1449">AM277</f>
        <v/>
      </c>
      <c r="AO277" s="41" t="str">
        <f t="shared" ref="AO277" ca="1" si="1450">AN277</f>
        <v/>
      </c>
      <c r="AP277" s="41" t="str">
        <f t="shared" ref="AP277" ca="1" si="1451">AO277</f>
        <v/>
      </c>
      <c r="AQ277" s="41" t="str">
        <f t="shared" ref="AQ277" ca="1" si="1452">AP277</f>
        <v/>
      </c>
      <c r="AR277" s="44"/>
      <c r="AS277" s="41"/>
      <c r="AT277" s="41"/>
      <c r="AU277" s="41"/>
      <c r="AV277" s="41"/>
      <c r="AW277" s="41"/>
    </row>
    <row r="278" spans="1:49" ht="15" customHeight="1" x14ac:dyDescent="0.2">
      <c r="A278" s="41" t="str">
        <f t="shared" si="1122"/>
        <v/>
      </c>
      <c r="B278" s="45" t="str" cm="1">
        <f t="array" aca="1" ref="B278" ca="1">IF(ISBLANK(INDIRECT(_xlfn.CONCAT($AX390,B$389))),"",INDIRECT(_xlfn.CONCAT($AX390,B$389)))</f>
        <v/>
      </c>
      <c r="C278" s="45"/>
      <c r="D278" s="45"/>
      <c r="E278" s="45"/>
      <c r="F278" s="45"/>
      <c r="G278" s="45"/>
      <c r="H278" s="45"/>
      <c r="I278" s="45" t="str" cm="1">
        <f t="array" aca="1" ref="I278" ca="1">IF(ISBLANK(INDIRECT(_xlfn.CONCAT($AX390,C$389))),"",INDIRECT(_xlfn.CONCAT($AX390,C$389)))</f>
        <v/>
      </c>
      <c r="J278" s="45"/>
      <c r="K278" s="45"/>
      <c r="L278" s="45"/>
      <c r="M278" s="45"/>
      <c r="N278" s="45"/>
      <c r="O278" s="45"/>
      <c r="P278" s="45" t="str" cm="1">
        <f t="array" aca="1" ref="P278" ca="1">IF(ISBLANK(INDIRECT(_xlfn.CONCAT($AX390,D$389))),"",INDIRECT(_xlfn.CONCAT($AX390,D$389)))</f>
        <v/>
      </c>
      <c r="Q278" s="45"/>
      <c r="R278" s="45"/>
      <c r="S278" s="45"/>
      <c r="T278" s="45"/>
      <c r="U278" s="45"/>
      <c r="V278" s="45"/>
      <c r="W278" s="45" t="str" cm="1">
        <f t="array" aca="1" ref="W278" ca="1">IF(ISBLANK(INDIRECT(_xlfn.CONCAT($AX390,E$389))),"",INDIRECT(_xlfn.CONCAT($AX390,E$389)))</f>
        <v/>
      </c>
      <c r="X278" s="45"/>
      <c r="Y278" s="45"/>
      <c r="Z278" s="45"/>
      <c r="AA278" s="45"/>
      <c r="AB278" s="45"/>
      <c r="AC278" s="45"/>
      <c r="AD278" s="45" t="str" cm="1">
        <f t="array" aca="1" ref="AD278" ca="1">IF(ISBLANK(INDIRECT(_xlfn.CONCAT($AX390,F$389))),"",INDIRECT(_xlfn.CONCAT($AX390,F$389)))</f>
        <v/>
      </c>
      <c r="AE278" s="45"/>
      <c r="AF278" s="45"/>
      <c r="AG278" s="45"/>
      <c r="AH278" s="45"/>
      <c r="AI278" s="45"/>
      <c r="AJ278" s="45"/>
      <c r="AK278" s="45" t="str" cm="1">
        <f t="array" aca="1" ref="AK278" ca="1">IF(ISBLANK(INDIRECT(_xlfn.CONCAT($AX390,G$389))),"",INDIRECT(_xlfn.CONCAT($AX390,G$389)))</f>
        <v/>
      </c>
      <c r="AL278" s="45"/>
      <c r="AM278" s="45"/>
      <c r="AN278" s="45"/>
      <c r="AO278" s="45"/>
      <c r="AP278" s="45"/>
      <c r="AQ278" s="45"/>
      <c r="AR278" s="45"/>
      <c r="AS278" s="46"/>
      <c r="AT278" s="46"/>
      <c r="AU278" s="46"/>
      <c r="AV278" s="46"/>
      <c r="AW278" s="46"/>
    </row>
    <row r="279" spans="1:49" ht="15" customHeight="1" x14ac:dyDescent="0.2">
      <c r="A279" s="41" t="str">
        <f t="shared" si="1122"/>
        <v/>
      </c>
      <c r="B279" s="213" t="str" cm="1">
        <f t="array" ref="B279">IF(INDEX($U$427:$CB$432,B$436,$AX437)="-","",INDEX($U$427:$CB$432,B$436,$AX437))</f>
        <v/>
      </c>
      <c r="C279" s="213"/>
      <c r="D279" s="213"/>
      <c r="E279" s="213"/>
      <c r="F279" s="213"/>
      <c r="G279" s="213"/>
      <c r="H279" s="213"/>
      <c r="I279" s="213" t="str" cm="1">
        <f t="array" ref="I279">IF(INDEX($U$427:$CB$432,C$436,$AX437)="-","",INDEX($U$427:$CB$432,C$436,$AX437))</f>
        <v/>
      </c>
      <c r="J279" s="213"/>
      <c r="K279" s="213"/>
      <c r="L279" s="213"/>
      <c r="M279" s="213"/>
      <c r="N279" s="213"/>
      <c r="O279" s="213"/>
      <c r="P279" s="213" t="str" cm="1">
        <f t="array" ref="P279">IF(INDEX($U$427:$CB$432,D$436,$AX437)="-","",INDEX($U$427:$CB$432,D$436,$AX437))</f>
        <v/>
      </c>
      <c r="Q279" s="213"/>
      <c r="R279" s="213"/>
      <c r="S279" s="213"/>
      <c r="T279" s="213"/>
      <c r="U279" s="213"/>
      <c r="V279" s="213"/>
      <c r="W279" s="213" t="str" cm="1">
        <f t="array" ref="W279">IF(INDEX($U$427:$CB$432,E$436,$AX437)="-","",INDEX($U$427:$CB$432,E$436,$AX437))</f>
        <v/>
      </c>
      <c r="X279" s="213"/>
      <c r="Y279" s="213"/>
      <c r="Z279" s="213"/>
      <c r="AA279" s="213"/>
      <c r="AB279" s="213"/>
      <c r="AC279" s="213"/>
      <c r="AD279" s="213" t="str" cm="1">
        <f t="array" ref="AD279">IF(INDEX($U$427:$CB$432,F$436,$AX437)="-","",INDEX($U$427:$CB$432,F$436,$AX437))</f>
        <v/>
      </c>
      <c r="AE279" s="213"/>
      <c r="AF279" s="213"/>
      <c r="AG279" s="213"/>
      <c r="AH279" s="213"/>
      <c r="AI279" s="213"/>
      <c r="AJ279" s="213"/>
      <c r="AK279" s="213" t="str" cm="1">
        <f t="array" ref="AK279">IF(INDEX($U$427:$CB$432,G$436,$AX437)="-","",INDEX($U$427:$CB$432,G$436,$AX437))</f>
        <v/>
      </c>
      <c r="AL279" s="213"/>
      <c r="AM279" s="213"/>
      <c r="AN279" s="213"/>
      <c r="AO279" s="213"/>
      <c r="AP279" s="213"/>
      <c r="AQ279" s="213"/>
      <c r="AR279" s="211"/>
      <c r="AS279" s="211"/>
      <c r="AT279" s="211"/>
      <c r="AU279" s="211"/>
      <c r="AV279" s="211"/>
      <c r="AW279" s="211"/>
    </row>
    <row r="280" spans="1:49" ht="15" customHeight="1" x14ac:dyDescent="0.2">
      <c r="A280" s="41" t="str">
        <f t="shared" si="1122"/>
        <v/>
      </c>
      <c r="B280" s="213"/>
      <c r="C280" s="213"/>
      <c r="D280" s="213"/>
      <c r="E280" s="213"/>
      <c r="F280" s="213"/>
      <c r="G280" s="213"/>
      <c r="H280" s="213"/>
      <c r="I280" s="213"/>
      <c r="J280" s="213"/>
      <c r="K280" s="213"/>
      <c r="L280" s="213"/>
      <c r="M280" s="213"/>
      <c r="N280" s="213"/>
      <c r="O280" s="213"/>
      <c r="P280" s="213"/>
      <c r="Q280" s="213"/>
      <c r="R280" s="213"/>
      <c r="S280" s="213"/>
      <c r="T280" s="213"/>
      <c r="U280" s="213"/>
      <c r="V280" s="213"/>
      <c r="W280" s="213"/>
      <c r="X280" s="213"/>
      <c r="Y280" s="213"/>
      <c r="Z280" s="213"/>
      <c r="AA280" s="213"/>
      <c r="AB280" s="213"/>
      <c r="AC280" s="213"/>
      <c r="AD280" s="213"/>
      <c r="AE280" s="213"/>
      <c r="AF280" s="213"/>
      <c r="AG280" s="213"/>
      <c r="AH280" s="213"/>
      <c r="AI280" s="213"/>
      <c r="AJ280" s="213"/>
      <c r="AK280" s="213"/>
      <c r="AL280" s="213"/>
      <c r="AM280" s="213"/>
      <c r="AN280" s="213"/>
      <c r="AO280" s="213"/>
      <c r="AP280" s="213"/>
      <c r="AQ280" s="213"/>
      <c r="AR280" s="211"/>
      <c r="AS280" s="211"/>
      <c r="AT280" s="211"/>
      <c r="AU280" s="211"/>
      <c r="AV280" s="211"/>
      <c r="AW280" s="211"/>
    </row>
    <row r="281" spans="1:49" ht="15" customHeight="1" x14ac:dyDescent="0.2">
      <c r="A281" s="41" t="str">
        <f t="shared" si="1122"/>
        <v/>
      </c>
      <c r="B281" s="213"/>
      <c r="C281" s="213"/>
      <c r="D281" s="213"/>
      <c r="E281" s="213"/>
      <c r="F281" s="213"/>
      <c r="G281" s="213"/>
      <c r="H281" s="213"/>
      <c r="I281" s="213"/>
      <c r="J281" s="213"/>
      <c r="K281" s="213"/>
      <c r="L281" s="213"/>
      <c r="M281" s="213"/>
      <c r="N281" s="213"/>
      <c r="O281" s="213"/>
      <c r="P281" s="213"/>
      <c r="Q281" s="213"/>
      <c r="R281" s="213"/>
      <c r="S281" s="213"/>
      <c r="T281" s="213"/>
      <c r="U281" s="213"/>
      <c r="V281" s="213"/>
      <c r="W281" s="213"/>
      <c r="X281" s="213"/>
      <c r="Y281" s="213"/>
      <c r="Z281" s="213"/>
      <c r="AA281" s="213"/>
      <c r="AB281" s="213"/>
      <c r="AC281" s="213"/>
      <c r="AD281" s="213"/>
      <c r="AE281" s="213"/>
      <c r="AF281" s="213"/>
      <c r="AG281" s="213"/>
      <c r="AH281" s="213"/>
      <c r="AI281" s="213"/>
      <c r="AJ281" s="213"/>
      <c r="AK281" s="213"/>
      <c r="AL281" s="213"/>
      <c r="AM281" s="213"/>
      <c r="AN281" s="213"/>
      <c r="AO281" s="213"/>
      <c r="AP281" s="213"/>
      <c r="AQ281" s="213"/>
      <c r="AR281" s="211"/>
      <c r="AS281" s="211"/>
      <c r="AT281" s="211"/>
      <c r="AU281" s="211"/>
      <c r="AV281" s="211"/>
      <c r="AW281" s="211"/>
    </row>
    <row r="282" spans="1:49" ht="15" customHeight="1" x14ac:dyDescent="0.2">
      <c r="A282" s="41" t="str">
        <f t="shared" si="1122"/>
        <v/>
      </c>
      <c r="B282" s="44" t="str" cm="1">
        <f t="array" aca="1" ref="B282" ca="1">IF(INDIRECT(_xlfn.CONCAT($AY365,B$364))="+","+",IF(ISNUMBER(INDIRECT(_xlfn.CONCAT($AY365,B$363))),"-",""))</f>
        <v/>
      </c>
      <c r="C282" s="41" t="str">
        <f ca="1">B282</f>
        <v/>
      </c>
      <c r="D282" s="41" t="str">
        <f t="shared" ref="D282" ca="1" si="1453">C282</f>
        <v/>
      </c>
      <c r="E282" s="41" t="str">
        <f t="shared" ref="E282" ca="1" si="1454">D282</f>
        <v/>
      </c>
      <c r="F282" s="41" t="str">
        <f t="shared" ref="F282" ca="1" si="1455">E282</f>
        <v/>
      </c>
      <c r="G282" s="41" t="str">
        <f t="shared" ref="G282" ca="1" si="1456">F282</f>
        <v/>
      </c>
      <c r="H282" s="41" t="str">
        <f t="shared" ref="H282" ca="1" si="1457">G282</f>
        <v/>
      </c>
      <c r="I282" s="44" t="str" cm="1">
        <f t="array" aca="1" ref="I282" ca="1">IF(INDIRECT(_xlfn.CONCAT($AY365,C$364))="+","+",IF(ISNUMBER(INDIRECT(_xlfn.CONCAT($AY365,C$363))),"-",""))</f>
        <v/>
      </c>
      <c r="J282" s="41" t="str">
        <f ca="1">I282</f>
        <v/>
      </c>
      <c r="K282" s="41" t="str">
        <f t="shared" ref="K282" ca="1" si="1458">J282</f>
        <v/>
      </c>
      <c r="L282" s="41" t="str">
        <f t="shared" ref="L282" ca="1" si="1459">K282</f>
        <v/>
      </c>
      <c r="M282" s="41" t="str">
        <f t="shared" ref="M282" ca="1" si="1460">L282</f>
        <v/>
      </c>
      <c r="N282" s="41" t="str">
        <f t="shared" ref="N282" ca="1" si="1461">M282</f>
        <v/>
      </c>
      <c r="O282" s="41" t="str">
        <f t="shared" ref="O282" ca="1" si="1462">N282</f>
        <v/>
      </c>
      <c r="P282" s="44" t="str" cm="1">
        <f t="array" aca="1" ref="P282" ca="1">IF(INDIRECT(_xlfn.CONCAT($AY365,D$364))="+","+",IF(ISNUMBER(INDIRECT(_xlfn.CONCAT($AY365,D$363))),"-",""))</f>
        <v/>
      </c>
      <c r="Q282" s="41" t="str">
        <f ca="1">P282</f>
        <v/>
      </c>
      <c r="R282" s="41" t="str">
        <f t="shared" ref="R282" ca="1" si="1463">Q282</f>
        <v/>
      </c>
      <c r="S282" s="41" t="str">
        <f t="shared" ref="S282" ca="1" si="1464">R282</f>
        <v/>
      </c>
      <c r="T282" s="41" t="str">
        <f t="shared" ref="T282" ca="1" si="1465">S282</f>
        <v/>
      </c>
      <c r="U282" s="41" t="str">
        <f t="shared" ref="U282" ca="1" si="1466">T282</f>
        <v/>
      </c>
      <c r="V282" s="41" t="str">
        <f t="shared" ref="V282" ca="1" si="1467">U282</f>
        <v/>
      </c>
      <c r="W282" s="44" t="str" cm="1">
        <f t="array" aca="1" ref="W282" ca="1">IF(INDIRECT(_xlfn.CONCAT($AY365,E$364))="+","+",IF(ISNUMBER(INDIRECT(_xlfn.CONCAT($AY365,E$363))),"-",""))</f>
        <v/>
      </c>
      <c r="X282" s="41" t="str">
        <f ca="1">W282</f>
        <v/>
      </c>
      <c r="Y282" s="41" t="str">
        <f t="shared" ref="Y282" ca="1" si="1468">X282</f>
        <v/>
      </c>
      <c r="Z282" s="41" t="str">
        <f t="shared" ref="Z282" ca="1" si="1469">Y282</f>
        <v/>
      </c>
      <c r="AA282" s="41" t="str">
        <f t="shared" ref="AA282" ca="1" si="1470">Z282</f>
        <v/>
      </c>
      <c r="AB282" s="41" t="str">
        <f t="shared" ref="AB282" ca="1" si="1471">AA282</f>
        <v/>
      </c>
      <c r="AC282" s="41" t="str">
        <f t="shared" ref="AC282" ca="1" si="1472">AB282</f>
        <v/>
      </c>
      <c r="AD282" s="44" t="str" cm="1">
        <f t="array" aca="1" ref="AD282" ca="1">IF(INDIRECT(_xlfn.CONCAT($AY365,F$364))="+","+",IF(ISNUMBER(INDIRECT(_xlfn.CONCAT($AY365,F$363))),"-",""))</f>
        <v/>
      </c>
      <c r="AE282" s="41" t="str">
        <f ca="1">AD282</f>
        <v/>
      </c>
      <c r="AF282" s="41" t="str">
        <f t="shared" ref="AF282" ca="1" si="1473">AE282</f>
        <v/>
      </c>
      <c r="AG282" s="41" t="str">
        <f t="shared" ref="AG282" ca="1" si="1474">AF282</f>
        <v/>
      </c>
      <c r="AH282" s="41" t="str">
        <f t="shared" ref="AH282" ca="1" si="1475">AG282</f>
        <v/>
      </c>
      <c r="AI282" s="41" t="str">
        <f t="shared" ref="AI282" ca="1" si="1476">AH282</f>
        <v/>
      </c>
      <c r="AJ282" s="41" t="str">
        <f t="shared" ref="AJ282" ca="1" si="1477">AI282</f>
        <v/>
      </c>
      <c r="AK282" s="44" t="str" cm="1">
        <f t="array" aca="1" ref="AK282" ca="1">IF(INDIRECT(_xlfn.CONCAT($AY365,G$364))="+","+",IF(ISNUMBER(INDIRECT(_xlfn.CONCAT($AY365,G$363))),"-",""))</f>
        <v/>
      </c>
      <c r="AL282" s="41" t="str">
        <f ca="1">AK282</f>
        <v/>
      </c>
      <c r="AM282" s="41" t="str">
        <f t="shared" ref="AM282" ca="1" si="1478">AL282</f>
        <v/>
      </c>
      <c r="AN282" s="41" t="str">
        <f t="shared" ref="AN282" ca="1" si="1479">AM282</f>
        <v/>
      </c>
      <c r="AO282" s="41" t="str">
        <f t="shared" ref="AO282" ca="1" si="1480">AN282</f>
        <v/>
      </c>
      <c r="AP282" s="41" t="str">
        <f t="shared" ref="AP282" ca="1" si="1481">AO282</f>
        <v/>
      </c>
      <c r="AQ282" s="41" t="str">
        <f t="shared" ref="AQ282" ca="1" si="1482">AP282</f>
        <v/>
      </c>
      <c r="AR282" s="44"/>
      <c r="AS282" s="41"/>
      <c r="AT282" s="41"/>
      <c r="AU282" s="41"/>
      <c r="AV282" s="41"/>
      <c r="AW282" s="41"/>
    </row>
    <row r="283" spans="1:49" ht="15" customHeight="1" x14ac:dyDescent="0.2">
      <c r="A283" s="41" t="str">
        <f t="shared" si="1122"/>
        <v/>
      </c>
      <c r="B283" s="45" t="str" cm="1">
        <f t="array" aca="1" ref="B283" ca="1">IF(ISBLANK(INDIRECT(_xlfn.CONCAT($AY390,B$389))),"",INDIRECT(_xlfn.CONCAT($AY390,B$389)))</f>
        <v/>
      </c>
      <c r="C283" s="45"/>
      <c r="D283" s="45"/>
      <c r="E283" s="45"/>
      <c r="F283" s="45"/>
      <c r="G283" s="45"/>
      <c r="H283" s="45"/>
      <c r="I283" s="45" t="str" cm="1">
        <f t="array" aca="1" ref="I283" ca="1">IF(ISBLANK(INDIRECT(_xlfn.CONCAT($AY390,C$389))),"",INDIRECT(_xlfn.CONCAT($AY390,C$389)))</f>
        <v/>
      </c>
      <c r="J283" s="45"/>
      <c r="K283" s="45"/>
      <c r="L283" s="45"/>
      <c r="M283" s="45"/>
      <c r="N283" s="45"/>
      <c r="O283" s="45"/>
      <c r="P283" s="45" t="str" cm="1">
        <f t="array" aca="1" ref="P283" ca="1">IF(ISBLANK(INDIRECT(_xlfn.CONCAT($AY390,D$389))),"",INDIRECT(_xlfn.CONCAT($AY390,D$389)))</f>
        <v/>
      </c>
      <c r="Q283" s="45"/>
      <c r="R283" s="45"/>
      <c r="S283" s="45"/>
      <c r="T283" s="45"/>
      <c r="U283" s="45"/>
      <c r="V283" s="45"/>
      <c r="W283" s="45" t="str" cm="1">
        <f t="array" aca="1" ref="W283" ca="1">IF(ISBLANK(INDIRECT(_xlfn.CONCAT($AY390,E$389))),"",INDIRECT(_xlfn.CONCAT($AY390,E$389)))</f>
        <v/>
      </c>
      <c r="X283" s="45"/>
      <c r="Y283" s="45"/>
      <c r="Z283" s="45"/>
      <c r="AA283" s="45"/>
      <c r="AB283" s="45"/>
      <c r="AC283" s="45"/>
      <c r="AD283" s="45" t="str" cm="1">
        <f t="array" aca="1" ref="AD283" ca="1">IF(ISBLANK(INDIRECT(_xlfn.CONCAT($AY390,F$389))),"",INDIRECT(_xlfn.CONCAT($AY390,F$389)))</f>
        <v/>
      </c>
      <c r="AE283" s="45"/>
      <c r="AF283" s="45"/>
      <c r="AG283" s="45"/>
      <c r="AH283" s="45"/>
      <c r="AI283" s="45"/>
      <c r="AJ283" s="45"/>
      <c r="AK283" s="45" t="str" cm="1">
        <f t="array" aca="1" ref="AK283" ca="1">IF(ISBLANK(INDIRECT(_xlfn.CONCAT($AY390,G$389))),"",INDIRECT(_xlfn.CONCAT($AY390,G$389)))</f>
        <v/>
      </c>
      <c r="AL283" s="45"/>
      <c r="AM283" s="45"/>
      <c r="AN283" s="45"/>
      <c r="AO283" s="45"/>
      <c r="AP283" s="45"/>
      <c r="AQ283" s="45"/>
      <c r="AR283" s="45"/>
      <c r="AS283" s="46"/>
      <c r="AT283" s="46"/>
      <c r="AU283" s="46"/>
      <c r="AV283" s="46"/>
      <c r="AW283" s="46"/>
    </row>
    <row r="284" spans="1:49" ht="15" customHeight="1" x14ac:dyDescent="0.2">
      <c r="A284" s="41" t="str">
        <f t="shared" si="1122"/>
        <v/>
      </c>
      <c r="B284" s="213" t="str" cm="1">
        <f t="array" ref="B284">IF(INDEX($U$427:$CB$432,B$436,$AY437)="-","",INDEX($U$427:$CB$432,B$436,$AY437))</f>
        <v/>
      </c>
      <c r="C284" s="213"/>
      <c r="D284" s="213"/>
      <c r="E284" s="213"/>
      <c r="F284" s="213"/>
      <c r="G284" s="213"/>
      <c r="H284" s="213"/>
      <c r="I284" s="213" t="str" cm="1">
        <f t="array" ref="I284">IF(INDEX($U$427:$CB$432,C$436,$AY437)="-","",INDEX($U$427:$CB$432,C$436,$AY437))</f>
        <v/>
      </c>
      <c r="J284" s="213"/>
      <c r="K284" s="213"/>
      <c r="L284" s="213"/>
      <c r="M284" s="213"/>
      <c r="N284" s="213"/>
      <c r="O284" s="213"/>
      <c r="P284" s="213" t="str" cm="1">
        <f t="array" ref="P284">IF(INDEX($U$427:$CB$432,D$436,$AY437)="-","",INDEX($U$427:$CB$432,D$436,$AY437))</f>
        <v/>
      </c>
      <c r="Q284" s="213"/>
      <c r="R284" s="213"/>
      <c r="S284" s="213"/>
      <c r="T284" s="213"/>
      <c r="U284" s="213"/>
      <c r="V284" s="213"/>
      <c r="W284" s="213" t="str" cm="1">
        <f t="array" ref="W284">IF(INDEX($U$427:$CB$432,E$436,$AY437)="-","",INDEX($U$427:$CB$432,E$436,$AY437))</f>
        <v/>
      </c>
      <c r="X284" s="213"/>
      <c r="Y284" s="213"/>
      <c r="Z284" s="213"/>
      <c r="AA284" s="213"/>
      <c r="AB284" s="213"/>
      <c r="AC284" s="213"/>
      <c r="AD284" s="213" t="str" cm="1">
        <f t="array" ref="AD284">IF(INDEX($U$427:$CB$432,F$436,$AY437)="-","",INDEX($U$427:$CB$432,F$436,$AY437))</f>
        <v/>
      </c>
      <c r="AE284" s="213"/>
      <c r="AF284" s="213"/>
      <c r="AG284" s="213"/>
      <c r="AH284" s="213"/>
      <c r="AI284" s="213"/>
      <c r="AJ284" s="213"/>
      <c r="AK284" s="213" t="str" cm="1">
        <f t="array" ref="AK284">IF(INDEX($U$427:$CB$432,G$436,$AY437)="-","",INDEX($U$427:$CB$432,G$436,$AY437))</f>
        <v/>
      </c>
      <c r="AL284" s="213"/>
      <c r="AM284" s="213"/>
      <c r="AN284" s="213"/>
      <c r="AO284" s="213"/>
      <c r="AP284" s="213"/>
      <c r="AQ284" s="213"/>
      <c r="AR284" s="211"/>
      <c r="AS284" s="211"/>
      <c r="AT284" s="211"/>
      <c r="AU284" s="211"/>
      <c r="AV284" s="211"/>
      <c r="AW284" s="211"/>
    </row>
    <row r="285" spans="1:49" ht="15" customHeight="1" x14ac:dyDescent="0.2">
      <c r="A285" s="41" t="str">
        <f t="shared" si="1122"/>
        <v/>
      </c>
      <c r="B285" s="213"/>
      <c r="C285" s="213"/>
      <c r="D285" s="213"/>
      <c r="E285" s="213"/>
      <c r="F285" s="213"/>
      <c r="G285" s="213"/>
      <c r="H285" s="213"/>
      <c r="I285" s="213"/>
      <c r="J285" s="213"/>
      <c r="K285" s="213"/>
      <c r="L285" s="213"/>
      <c r="M285" s="213"/>
      <c r="N285" s="213"/>
      <c r="O285" s="213"/>
      <c r="P285" s="213"/>
      <c r="Q285" s="213"/>
      <c r="R285" s="213"/>
      <c r="S285" s="213"/>
      <c r="T285" s="213"/>
      <c r="U285" s="213"/>
      <c r="V285" s="213"/>
      <c r="W285" s="213"/>
      <c r="X285" s="213"/>
      <c r="Y285" s="213"/>
      <c r="Z285" s="213"/>
      <c r="AA285" s="213"/>
      <c r="AB285" s="213"/>
      <c r="AC285" s="213"/>
      <c r="AD285" s="213"/>
      <c r="AE285" s="213"/>
      <c r="AF285" s="213"/>
      <c r="AG285" s="213"/>
      <c r="AH285" s="213"/>
      <c r="AI285" s="213"/>
      <c r="AJ285" s="213"/>
      <c r="AK285" s="213"/>
      <c r="AL285" s="213"/>
      <c r="AM285" s="213"/>
      <c r="AN285" s="213"/>
      <c r="AO285" s="213"/>
      <c r="AP285" s="213"/>
      <c r="AQ285" s="213"/>
      <c r="AR285" s="211"/>
      <c r="AS285" s="211"/>
      <c r="AT285" s="211"/>
      <c r="AU285" s="211"/>
      <c r="AV285" s="211"/>
      <c r="AW285" s="211"/>
    </row>
    <row r="286" spans="1:49" ht="15" customHeight="1" x14ac:dyDescent="0.2">
      <c r="A286" s="41" t="str">
        <f t="shared" si="1122"/>
        <v/>
      </c>
      <c r="B286" s="213"/>
      <c r="C286" s="213"/>
      <c r="D286" s="213"/>
      <c r="E286" s="213"/>
      <c r="F286" s="213"/>
      <c r="G286" s="213"/>
      <c r="H286" s="213"/>
      <c r="I286" s="213"/>
      <c r="J286" s="213"/>
      <c r="K286" s="213"/>
      <c r="L286" s="213"/>
      <c r="M286" s="213"/>
      <c r="N286" s="213"/>
      <c r="O286" s="213"/>
      <c r="P286" s="213"/>
      <c r="Q286" s="213"/>
      <c r="R286" s="213"/>
      <c r="S286" s="213"/>
      <c r="T286" s="213"/>
      <c r="U286" s="213"/>
      <c r="V286" s="213"/>
      <c r="W286" s="213"/>
      <c r="X286" s="213"/>
      <c r="Y286" s="213"/>
      <c r="Z286" s="213"/>
      <c r="AA286" s="213"/>
      <c r="AB286" s="213"/>
      <c r="AC286" s="213"/>
      <c r="AD286" s="213"/>
      <c r="AE286" s="213"/>
      <c r="AF286" s="213"/>
      <c r="AG286" s="213"/>
      <c r="AH286" s="213"/>
      <c r="AI286" s="213"/>
      <c r="AJ286" s="213"/>
      <c r="AK286" s="213"/>
      <c r="AL286" s="213"/>
      <c r="AM286" s="213"/>
      <c r="AN286" s="213"/>
      <c r="AO286" s="213"/>
      <c r="AP286" s="213"/>
      <c r="AQ286" s="213"/>
      <c r="AR286" s="211"/>
      <c r="AS286" s="211"/>
      <c r="AT286" s="211"/>
      <c r="AU286" s="211"/>
      <c r="AV286" s="211"/>
      <c r="AW286" s="211"/>
    </row>
    <row r="287" spans="1:49" ht="15" customHeight="1" x14ac:dyDescent="0.2">
      <c r="A287" s="41" t="str">
        <f t="shared" si="1122"/>
        <v/>
      </c>
      <c r="B287" s="44" t="str" cm="1">
        <f t="array" aca="1" ref="B287" ca="1">IF(INDIRECT(_xlfn.CONCAT($AZ365,B$364))="+","+",IF(ISNUMBER(INDIRECT(_xlfn.CONCAT($AZ365,B$363))),"-",""))</f>
        <v/>
      </c>
      <c r="C287" s="41" t="str">
        <f ca="1">B287</f>
        <v/>
      </c>
      <c r="D287" s="41" t="str">
        <f t="shared" ref="D287" ca="1" si="1483">C287</f>
        <v/>
      </c>
      <c r="E287" s="41" t="str">
        <f t="shared" ref="E287" ca="1" si="1484">D287</f>
        <v/>
      </c>
      <c r="F287" s="41" t="str">
        <f t="shared" ref="F287" ca="1" si="1485">E287</f>
        <v/>
      </c>
      <c r="G287" s="41" t="str">
        <f t="shared" ref="G287" ca="1" si="1486">F287</f>
        <v/>
      </c>
      <c r="H287" s="41" t="str">
        <f t="shared" ref="H287" ca="1" si="1487">G287</f>
        <v/>
      </c>
      <c r="I287" s="44" t="str" cm="1">
        <f t="array" aca="1" ref="I287" ca="1">IF(INDIRECT(_xlfn.CONCAT($AZ365,C$364))="+","+",IF(ISNUMBER(INDIRECT(_xlfn.CONCAT($AZ365,C$363))),"-",""))</f>
        <v/>
      </c>
      <c r="J287" s="41" t="str">
        <f ca="1">I287</f>
        <v/>
      </c>
      <c r="K287" s="41" t="str">
        <f t="shared" ref="K287" ca="1" si="1488">J287</f>
        <v/>
      </c>
      <c r="L287" s="41" t="str">
        <f t="shared" ref="L287" ca="1" si="1489">K287</f>
        <v/>
      </c>
      <c r="M287" s="41" t="str">
        <f t="shared" ref="M287" ca="1" si="1490">L287</f>
        <v/>
      </c>
      <c r="N287" s="41" t="str">
        <f t="shared" ref="N287" ca="1" si="1491">M287</f>
        <v/>
      </c>
      <c r="O287" s="41" t="str">
        <f t="shared" ref="O287" ca="1" si="1492">N287</f>
        <v/>
      </c>
      <c r="P287" s="44" t="str" cm="1">
        <f t="array" aca="1" ref="P287" ca="1">IF(INDIRECT(_xlfn.CONCAT($AZ365,D$364))="+","+",IF(ISNUMBER(INDIRECT(_xlfn.CONCAT($AZ365,D$363))),"-",""))</f>
        <v/>
      </c>
      <c r="Q287" s="41" t="str">
        <f ca="1">P287</f>
        <v/>
      </c>
      <c r="R287" s="41" t="str">
        <f t="shared" ref="R287" ca="1" si="1493">Q287</f>
        <v/>
      </c>
      <c r="S287" s="41" t="str">
        <f t="shared" ref="S287" ca="1" si="1494">R287</f>
        <v/>
      </c>
      <c r="T287" s="41" t="str">
        <f t="shared" ref="T287" ca="1" si="1495">S287</f>
        <v/>
      </c>
      <c r="U287" s="41" t="str">
        <f t="shared" ref="U287" ca="1" si="1496">T287</f>
        <v/>
      </c>
      <c r="V287" s="41" t="str">
        <f t="shared" ref="V287" ca="1" si="1497">U287</f>
        <v/>
      </c>
      <c r="W287" s="44" t="str" cm="1">
        <f t="array" aca="1" ref="W287" ca="1">IF(INDIRECT(_xlfn.CONCAT($AZ365,E$364))="+","+",IF(ISNUMBER(INDIRECT(_xlfn.CONCAT($AZ365,E$363))),"-",""))</f>
        <v/>
      </c>
      <c r="X287" s="41" t="str">
        <f ca="1">W287</f>
        <v/>
      </c>
      <c r="Y287" s="41" t="str">
        <f t="shared" ref="Y287" ca="1" si="1498">X287</f>
        <v/>
      </c>
      <c r="Z287" s="41" t="str">
        <f t="shared" ref="Z287" ca="1" si="1499">Y287</f>
        <v/>
      </c>
      <c r="AA287" s="41" t="str">
        <f t="shared" ref="AA287" ca="1" si="1500">Z287</f>
        <v/>
      </c>
      <c r="AB287" s="41" t="str">
        <f t="shared" ref="AB287" ca="1" si="1501">AA287</f>
        <v/>
      </c>
      <c r="AC287" s="41" t="str">
        <f t="shared" ref="AC287" ca="1" si="1502">AB287</f>
        <v/>
      </c>
      <c r="AD287" s="44" t="str" cm="1">
        <f t="array" aca="1" ref="AD287" ca="1">IF(INDIRECT(_xlfn.CONCAT($AZ365,F$364))="+","+",IF(ISNUMBER(INDIRECT(_xlfn.CONCAT($AZ365,F$363))),"-",""))</f>
        <v/>
      </c>
      <c r="AE287" s="41" t="str">
        <f ca="1">AD287</f>
        <v/>
      </c>
      <c r="AF287" s="41" t="str">
        <f t="shared" ref="AF287" ca="1" si="1503">AE287</f>
        <v/>
      </c>
      <c r="AG287" s="41" t="str">
        <f t="shared" ref="AG287" ca="1" si="1504">AF287</f>
        <v/>
      </c>
      <c r="AH287" s="41" t="str">
        <f t="shared" ref="AH287" ca="1" si="1505">AG287</f>
        <v/>
      </c>
      <c r="AI287" s="41" t="str">
        <f t="shared" ref="AI287" ca="1" si="1506">AH287</f>
        <v/>
      </c>
      <c r="AJ287" s="41" t="str">
        <f t="shared" ref="AJ287" ca="1" si="1507">AI287</f>
        <v/>
      </c>
      <c r="AK287" s="44" t="str" cm="1">
        <f t="array" aca="1" ref="AK287" ca="1">IF(INDIRECT(_xlfn.CONCAT($AZ365,G$364))="+","+",IF(ISNUMBER(INDIRECT(_xlfn.CONCAT($AZ365,G$363))),"-",""))</f>
        <v/>
      </c>
      <c r="AL287" s="41" t="str">
        <f ca="1">AK287</f>
        <v/>
      </c>
      <c r="AM287" s="41" t="str">
        <f t="shared" ref="AM287" ca="1" si="1508">AL287</f>
        <v/>
      </c>
      <c r="AN287" s="41" t="str">
        <f t="shared" ref="AN287" ca="1" si="1509">AM287</f>
        <v/>
      </c>
      <c r="AO287" s="41" t="str">
        <f t="shared" ref="AO287" ca="1" si="1510">AN287</f>
        <v/>
      </c>
      <c r="AP287" s="41" t="str">
        <f t="shared" ref="AP287" ca="1" si="1511">AO287</f>
        <v/>
      </c>
      <c r="AQ287" s="41" t="str">
        <f t="shared" ref="AQ287" ca="1" si="1512">AP287</f>
        <v/>
      </c>
      <c r="AR287" s="44"/>
      <c r="AS287" s="41"/>
      <c r="AT287" s="41"/>
      <c r="AU287" s="41"/>
      <c r="AV287" s="41"/>
      <c r="AW287" s="41"/>
    </row>
    <row r="288" spans="1:49" ht="15" customHeight="1" x14ac:dyDescent="0.2">
      <c r="A288" s="41" t="str">
        <f t="shared" si="1122"/>
        <v/>
      </c>
      <c r="B288" s="45" t="str" cm="1">
        <f t="array" aca="1" ref="B288" ca="1">IF(ISBLANK(INDIRECT(_xlfn.CONCAT($AZ390,B$389))),"",INDIRECT(_xlfn.CONCAT($AZ390,B$389)))</f>
        <v/>
      </c>
      <c r="C288" s="45"/>
      <c r="D288" s="45"/>
      <c r="E288" s="45"/>
      <c r="F288" s="45"/>
      <c r="G288" s="45"/>
      <c r="H288" s="45"/>
      <c r="I288" s="45" t="str" cm="1">
        <f t="array" aca="1" ref="I288" ca="1">IF(ISBLANK(INDIRECT(_xlfn.CONCAT($AZ390,C$389))),"",INDIRECT(_xlfn.CONCAT($AZ390,C$389)))</f>
        <v/>
      </c>
      <c r="J288" s="45"/>
      <c r="K288" s="45"/>
      <c r="L288" s="45"/>
      <c r="M288" s="45"/>
      <c r="N288" s="45"/>
      <c r="O288" s="45"/>
      <c r="P288" s="45" t="str" cm="1">
        <f t="array" aca="1" ref="P288" ca="1">IF(ISBLANK(INDIRECT(_xlfn.CONCAT($AZ390,D$389))),"",INDIRECT(_xlfn.CONCAT($AZ390,D$389)))</f>
        <v/>
      </c>
      <c r="Q288" s="45"/>
      <c r="R288" s="45"/>
      <c r="S288" s="45"/>
      <c r="T288" s="45"/>
      <c r="U288" s="45"/>
      <c r="V288" s="45"/>
      <c r="W288" s="45" t="str" cm="1">
        <f t="array" aca="1" ref="W288" ca="1">IF(ISBLANK(INDIRECT(_xlfn.CONCAT($AZ390,E$389))),"",INDIRECT(_xlfn.CONCAT($AZ390,E$389)))</f>
        <v/>
      </c>
      <c r="X288" s="45"/>
      <c r="Y288" s="45"/>
      <c r="Z288" s="45"/>
      <c r="AA288" s="45"/>
      <c r="AB288" s="45"/>
      <c r="AC288" s="45"/>
      <c r="AD288" s="45" t="str" cm="1">
        <f t="array" aca="1" ref="AD288" ca="1">IF(ISBLANK(INDIRECT(_xlfn.CONCAT($AZ390,F$389))),"",INDIRECT(_xlfn.CONCAT($AZ390,F$389)))</f>
        <v/>
      </c>
      <c r="AE288" s="45"/>
      <c r="AF288" s="45"/>
      <c r="AG288" s="45"/>
      <c r="AH288" s="45"/>
      <c r="AI288" s="45"/>
      <c r="AJ288" s="45"/>
      <c r="AK288" s="45" t="str" cm="1">
        <f t="array" aca="1" ref="AK288" ca="1">IF(ISBLANK(INDIRECT(_xlfn.CONCAT($AZ390,G$389))),"",INDIRECT(_xlfn.CONCAT($AZ390,G$389)))</f>
        <v/>
      </c>
      <c r="AL288" s="45"/>
      <c r="AM288" s="45"/>
      <c r="AN288" s="45"/>
      <c r="AO288" s="45"/>
      <c r="AP288" s="45"/>
      <c r="AQ288" s="45"/>
      <c r="AR288" s="45"/>
      <c r="AS288" s="46"/>
      <c r="AT288" s="46"/>
      <c r="AU288" s="46"/>
      <c r="AV288" s="46"/>
      <c r="AW288" s="46"/>
    </row>
    <row r="289" spans="1:49" ht="15" customHeight="1" x14ac:dyDescent="0.2">
      <c r="A289" s="41" t="str">
        <f t="shared" si="1122"/>
        <v/>
      </c>
      <c r="B289" s="213" t="str" cm="1">
        <f t="array" ref="B289">IF(INDEX($U$427:$CB$432,B$436,$AZ437)="-","",INDEX($U$427:$CB$432,B$436,$AZ437))</f>
        <v/>
      </c>
      <c r="C289" s="213"/>
      <c r="D289" s="213"/>
      <c r="E289" s="213"/>
      <c r="F289" s="213"/>
      <c r="G289" s="213"/>
      <c r="H289" s="213"/>
      <c r="I289" s="213" t="str" cm="1">
        <f t="array" ref="I289">IF(INDEX($U$427:$CB$432,C$436,$AZ437)="-","",INDEX($U$427:$CB$432,C$436,$AZ437))</f>
        <v/>
      </c>
      <c r="J289" s="213"/>
      <c r="K289" s="213"/>
      <c r="L289" s="213"/>
      <c r="M289" s="213"/>
      <c r="N289" s="213"/>
      <c r="O289" s="213"/>
      <c r="P289" s="213" t="str" cm="1">
        <f t="array" ref="P289">IF(INDEX($U$427:$CB$432,D$436,$AZ437)="-","",INDEX($U$427:$CB$432,D$436,$AZ437))</f>
        <v/>
      </c>
      <c r="Q289" s="213"/>
      <c r="R289" s="213"/>
      <c r="S289" s="213"/>
      <c r="T289" s="213"/>
      <c r="U289" s="213"/>
      <c r="V289" s="213"/>
      <c r="W289" s="213" t="str" cm="1">
        <f t="array" ref="W289">IF(INDEX($U$427:$CB$432,E$436,$AZ437)="-","",INDEX($U$427:$CB$432,E$436,$AZ437))</f>
        <v/>
      </c>
      <c r="X289" s="213"/>
      <c r="Y289" s="213"/>
      <c r="Z289" s="213"/>
      <c r="AA289" s="213"/>
      <c r="AB289" s="213"/>
      <c r="AC289" s="213"/>
      <c r="AD289" s="213" t="str" cm="1">
        <f t="array" ref="AD289">IF(INDEX($U$427:$CB$432,F$436,$AZ437)="-","",INDEX($U$427:$CB$432,F$436,$AZ437))</f>
        <v/>
      </c>
      <c r="AE289" s="213"/>
      <c r="AF289" s="213"/>
      <c r="AG289" s="213"/>
      <c r="AH289" s="213"/>
      <c r="AI289" s="213"/>
      <c r="AJ289" s="213"/>
      <c r="AK289" s="213" t="str" cm="1">
        <f t="array" ref="AK289">IF(INDEX($U$427:$CB$432,G$436,$AZ437)="-","",INDEX($U$427:$CB$432,G$436,$AZ437))</f>
        <v/>
      </c>
      <c r="AL289" s="213"/>
      <c r="AM289" s="213"/>
      <c r="AN289" s="213"/>
      <c r="AO289" s="213"/>
      <c r="AP289" s="213"/>
      <c r="AQ289" s="213"/>
      <c r="AR289" s="211"/>
      <c r="AS289" s="211"/>
      <c r="AT289" s="211"/>
      <c r="AU289" s="211"/>
      <c r="AV289" s="211"/>
      <c r="AW289" s="211"/>
    </row>
    <row r="290" spans="1:49" ht="15" customHeight="1" x14ac:dyDescent="0.2">
      <c r="A290" s="41" t="str">
        <f t="shared" si="1122"/>
        <v/>
      </c>
      <c r="B290" s="213"/>
      <c r="C290" s="213"/>
      <c r="D290" s="213"/>
      <c r="E290" s="213"/>
      <c r="F290" s="213"/>
      <c r="G290" s="213"/>
      <c r="H290" s="213"/>
      <c r="I290" s="213"/>
      <c r="J290" s="213"/>
      <c r="K290" s="213"/>
      <c r="L290" s="213"/>
      <c r="M290" s="213"/>
      <c r="N290" s="213"/>
      <c r="O290" s="213"/>
      <c r="P290" s="213"/>
      <c r="Q290" s="213"/>
      <c r="R290" s="213"/>
      <c r="S290" s="213"/>
      <c r="T290" s="213"/>
      <c r="U290" s="213"/>
      <c r="V290" s="213"/>
      <c r="W290" s="213"/>
      <c r="X290" s="213"/>
      <c r="Y290" s="213"/>
      <c r="Z290" s="213"/>
      <c r="AA290" s="213"/>
      <c r="AB290" s="213"/>
      <c r="AC290" s="213"/>
      <c r="AD290" s="213"/>
      <c r="AE290" s="213"/>
      <c r="AF290" s="213"/>
      <c r="AG290" s="213"/>
      <c r="AH290" s="213"/>
      <c r="AI290" s="213"/>
      <c r="AJ290" s="213"/>
      <c r="AK290" s="213"/>
      <c r="AL290" s="213"/>
      <c r="AM290" s="213"/>
      <c r="AN290" s="213"/>
      <c r="AO290" s="213"/>
      <c r="AP290" s="213"/>
      <c r="AQ290" s="213"/>
      <c r="AR290" s="211"/>
      <c r="AS290" s="211"/>
      <c r="AT290" s="211"/>
      <c r="AU290" s="211"/>
      <c r="AV290" s="211"/>
      <c r="AW290" s="211"/>
    </row>
    <row r="291" spans="1:49" ht="15" customHeight="1" x14ac:dyDescent="0.2">
      <c r="A291" s="41" t="str">
        <f t="shared" ref="A291:A318" si="1513">IF(COUNTIFS($I$358:$BK$358,"&lt;="&amp;ROW(A291),$I$359:$BK$359,"&gt;="&amp;ROW(A291))&gt;0,"x","")</f>
        <v/>
      </c>
      <c r="B291" s="213"/>
      <c r="C291" s="213"/>
      <c r="D291" s="213"/>
      <c r="E291" s="213"/>
      <c r="F291" s="213"/>
      <c r="G291" s="213"/>
      <c r="H291" s="213"/>
      <c r="I291" s="213"/>
      <c r="J291" s="213"/>
      <c r="K291" s="213"/>
      <c r="L291" s="213"/>
      <c r="M291" s="213"/>
      <c r="N291" s="213"/>
      <c r="O291" s="213"/>
      <c r="P291" s="213"/>
      <c r="Q291" s="213"/>
      <c r="R291" s="213"/>
      <c r="S291" s="213"/>
      <c r="T291" s="213"/>
      <c r="U291" s="213"/>
      <c r="V291" s="213"/>
      <c r="W291" s="213"/>
      <c r="X291" s="213"/>
      <c r="Y291" s="213"/>
      <c r="Z291" s="213"/>
      <c r="AA291" s="213"/>
      <c r="AB291" s="213"/>
      <c r="AC291" s="213"/>
      <c r="AD291" s="213"/>
      <c r="AE291" s="213"/>
      <c r="AF291" s="213"/>
      <c r="AG291" s="213"/>
      <c r="AH291" s="213"/>
      <c r="AI291" s="213"/>
      <c r="AJ291" s="213"/>
      <c r="AK291" s="213"/>
      <c r="AL291" s="213"/>
      <c r="AM291" s="213"/>
      <c r="AN291" s="213"/>
      <c r="AO291" s="213"/>
      <c r="AP291" s="213"/>
      <c r="AQ291" s="213"/>
      <c r="AR291" s="211"/>
      <c r="AS291" s="211"/>
      <c r="AT291" s="211"/>
      <c r="AU291" s="211"/>
      <c r="AV291" s="211"/>
      <c r="AW291" s="211"/>
    </row>
    <row r="292" spans="1:49" ht="15" customHeight="1" x14ac:dyDescent="0.2">
      <c r="A292" s="41" t="str">
        <f t="shared" si="1513"/>
        <v/>
      </c>
      <c r="B292" s="44" t="str" cm="1">
        <f t="array" aca="1" ref="B292" ca="1">IF(INDIRECT(_xlfn.CONCAT($BA365,B$364))="+","+",IF(ISNUMBER(INDIRECT(_xlfn.CONCAT($BA365,B$363))),"-",""))</f>
        <v/>
      </c>
      <c r="C292" s="41" t="str">
        <f ca="1">B292</f>
        <v/>
      </c>
      <c r="D292" s="41" t="str">
        <f t="shared" ref="D292" ca="1" si="1514">C292</f>
        <v/>
      </c>
      <c r="E292" s="41" t="str">
        <f t="shared" ref="E292" ca="1" si="1515">D292</f>
        <v/>
      </c>
      <c r="F292" s="41" t="str">
        <f t="shared" ref="F292" ca="1" si="1516">E292</f>
        <v/>
      </c>
      <c r="G292" s="41" t="str">
        <f t="shared" ref="G292" ca="1" si="1517">F292</f>
        <v/>
      </c>
      <c r="H292" s="41" t="str">
        <f t="shared" ref="H292" ca="1" si="1518">G292</f>
        <v/>
      </c>
      <c r="I292" s="44" t="str" cm="1">
        <f t="array" aca="1" ref="I292" ca="1">IF(INDIRECT(_xlfn.CONCAT($BA365,C$364))="+","+",IF(ISNUMBER(INDIRECT(_xlfn.CONCAT($BA365,C$363))),"-",""))</f>
        <v/>
      </c>
      <c r="J292" s="41" t="str">
        <f ca="1">I292</f>
        <v/>
      </c>
      <c r="K292" s="41" t="str">
        <f t="shared" ref="K292" ca="1" si="1519">J292</f>
        <v/>
      </c>
      <c r="L292" s="41" t="str">
        <f t="shared" ref="L292" ca="1" si="1520">K292</f>
        <v/>
      </c>
      <c r="M292" s="41" t="str">
        <f t="shared" ref="M292" ca="1" si="1521">L292</f>
        <v/>
      </c>
      <c r="N292" s="41" t="str">
        <f t="shared" ref="N292" ca="1" si="1522">M292</f>
        <v/>
      </c>
      <c r="O292" s="41" t="str">
        <f t="shared" ref="O292" ca="1" si="1523">N292</f>
        <v/>
      </c>
      <c r="P292" s="44" t="str" cm="1">
        <f t="array" aca="1" ref="P292" ca="1">IF(INDIRECT(_xlfn.CONCAT($BA365,D$364))="+","+",IF(ISNUMBER(INDIRECT(_xlfn.CONCAT($BA365,D$363))),"-",""))</f>
        <v/>
      </c>
      <c r="Q292" s="41" t="str">
        <f ca="1">P292</f>
        <v/>
      </c>
      <c r="R292" s="41" t="str">
        <f t="shared" ref="R292" ca="1" si="1524">Q292</f>
        <v/>
      </c>
      <c r="S292" s="41" t="str">
        <f t="shared" ref="S292" ca="1" si="1525">R292</f>
        <v/>
      </c>
      <c r="T292" s="41" t="str">
        <f t="shared" ref="T292" ca="1" si="1526">S292</f>
        <v/>
      </c>
      <c r="U292" s="41" t="str">
        <f t="shared" ref="U292" ca="1" si="1527">T292</f>
        <v/>
      </c>
      <c r="V292" s="41" t="str">
        <f t="shared" ref="V292" ca="1" si="1528">U292</f>
        <v/>
      </c>
      <c r="W292" s="44" t="str" cm="1">
        <f t="array" aca="1" ref="W292" ca="1">IF(INDIRECT(_xlfn.CONCAT($BA365,E$364))="+","+",IF(ISNUMBER(INDIRECT(_xlfn.CONCAT($BA365,E$363))),"-",""))</f>
        <v/>
      </c>
      <c r="X292" s="41" t="str">
        <f ca="1">W292</f>
        <v/>
      </c>
      <c r="Y292" s="41" t="str">
        <f t="shared" ref="Y292" ca="1" si="1529">X292</f>
        <v/>
      </c>
      <c r="Z292" s="41" t="str">
        <f t="shared" ref="Z292" ca="1" si="1530">Y292</f>
        <v/>
      </c>
      <c r="AA292" s="41" t="str">
        <f t="shared" ref="AA292" ca="1" si="1531">Z292</f>
        <v/>
      </c>
      <c r="AB292" s="41" t="str">
        <f t="shared" ref="AB292" ca="1" si="1532">AA292</f>
        <v/>
      </c>
      <c r="AC292" s="41" t="str">
        <f t="shared" ref="AC292" ca="1" si="1533">AB292</f>
        <v/>
      </c>
      <c r="AD292" s="44" t="str" cm="1">
        <f t="array" aca="1" ref="AD292" ca="1">IF(INDIRECT(_xlfn.CONCAT($BA365,F$364))="+","+",IF(ISNUMBER(INDIRECT(_xlfn.CONCAT($BA365,F$363))),"-",""))</f>
        <v/>
      </c>
      <c r="AE292" s="41" t="str">
        <f ca="1">AD292</f>
        <v/>
      </c>
      <c r="AF292" s="41" t="str">
        <f t="shared" ref="AF292" ca="1" si="1534">AE292</f>
        <v/>
      </c>
      <c r="AG292" s="41" t="str">
        <f t="shared" ref="AG292" ca="1" si="1535">AF292</f>
        <v/>
      </c>
      <c r="AH292" s="41" t="str">
        <f t="shared" ref="AH292" ca="1" si="1536">AG292</f>
        <v/>
      </c>
      <c r="AI292" s="41" t="str">
        <f t="shared" ref="AI292" ca="1" si="1537">AH292</f>
        <v/>
      </c>
      <c r="AJ292" s="41" t="str">
        <f t="shared" ref="AJ292" ca="1" si="1538">AI292</f>
        <v/>
      </c>
      <c r="AK292" s="44" t="str" cm="1">
        <f t="array" aca="1" ref="AK292" ca="1">IF(INDIRECT(_xlfn.CONCAT($BA365,G$364))="+","+",IF(ISNUMBER(INDIRECT(_xlfn.CONCAT($BA365,G$363))),"-",""))</f>
        <v/>
      </c>
      <c r="AL292" s="41" t="str">
        <f ca="1">AK292</f>
        <v/>
      </c>
      <c r="AM292" s="41" t="str">
        <f t="shared" ref="AM292" ca="1" si="1539">AL292</f>
        <v/>
      </c>
      <c r="AN292" s="41" t="str">
        <f t="shared" ref="AN292" ca="1" si="1540">AM292</f>
        <v/>
      </c>
      <c r="AO292" s="41" t="str">
        <f t="shared" ref="AO292" ca="1" si="1541">AN292</f>
        <v/>
      </c>
      <c r="AP292" s="41" t="str">
        <f t="shared" ref="AP292" ca="1" si="1542">AO292</f>
        <v/>
      </c>
      <c r="AQ292" s="41" t="str">
        <f t="shared" ref="AQ292" ca="1" si="1543">AP292</f>
        <v/>
      </c>
      <c r="AR292" s="44"/>
      <c r="AS292" s="41"/>
      <c r="AT292" s="41"/>
      <c r="AU292" s="41"/>
      <c r="AV292" s="41"/>
      <c r="AW292" s="41"/>
    </row>
    <row r="293" spans="1:49" ht="15" customHeight="1" x14ac:dyDescent="0.2">
      <c r="A293" s="41" t="str">
        <f t="shared" si="1513"/>
        <v/>
      </c>
      <c r="B293" s="45" t="str" cm="1">
        <f t="array" aca="1" ref="B293" ca="1">IF(ISBLANK(INDIRECT(_xlfn.CONCAT($BA390,B$389))),"",INDIRECT(_xlfn.CONCAT($BA390,B$389)))</f>
        <v/>
      </c>
      <c r="C293" s="45"/>
      <c r="D293" s="45"/>
      <c r="E293" s="45"/>
      <c r="F293" s="45"/>
      <c r="G293" s="45"/>
      <c r="H293" s="45"/>
      <c r="I293" s="45" t="str" cm="1">
        <f t="array" aca="1" ref="I293" ca="1">IF(ISBLANK(INDIRECT(_xlfn.CONCAT($BA390,C$389))),"",INDIRECT(_xlfn.CONCAT($BA390,C$389)))</f>
        <v/>
      </c>
      <c r="J293" s="45"/>
      <c r="K293" s="45"/>
      <c r="L293" s="45"/>
      <c r="M293" s="45"/>
      <c r="N293" s="45"/>
      <c r="O293" s="45"/>
      <c r="P293" s="45" t="str" cm="1">
        <f t="array" aca="1" ref="P293" ca="1">IF(ISBLANK(INDIRECT(_xlfn.CONCAT($BA390,D$389))),"",INDIRECT(_xlfn.CONCAT($BA390,D$389)))</f>
        <v/>
      </c>
      <c r="Q293" s="45"/>
      <c r="R293" s="45"/>
      <c r="S293" s="45"/>
      <c r="T293" s="45"/>
      <c r="U293" s="45"/>
      <c r="V293" s="45"/>
      <c r="W293" s="45" t="str" cm="1">
        <f t="array" aca="1" ref="W293" ca="1">IF(ISBLANK(INDIRECT(_xlfn.CONCAT($BA390,E$389))),"",INDIRECT(_xlfn.CONCAT($BA390,E$389)))</f>
        <v/>
      </c>
      <c r="X293" s="45"/>
      <c r="Y293" s="45"/>
      <c r="Z293" s="45"/>
      <c r="AA293" s="45"/>
      <c r="AB293" s="45"/>
      <c r="AC293" s="45"/>
      <c r="AD293" s="45" t="str" cm="1">
        <f t="array" aca="1" ref="AD293" ca="1">IF(ISBLANK(INDIRECT(_xlfn.CONCAT($BA390,F$389))),"",INDIRECT(_xlfn.CONCAT($BA390,F$389)))</f>
        <v/>
      </c>
      <c r="AE293" s="45"/>
      <c r="AF293" s="45"/>
      <c r="AG293" s="45"/>
      <c r="AH293" s="45"/>
      <c r="AI293" s="45"/>
      <c r="AJ293" s="45"/>
      <c r="AK293" s="45" t="str" cm="1">
        <f t="array" aca="1" ref="AK293" ca="1">IF(ISBLANK(INDIRECT(_xlfn.CONCAT($BA390,G$389))),"",INDIRECT(_xlfn.CONCAT($BA390,G$389)))</f>
        <v/>
      </c>
      <c r="AL293" s="45"/>
      <c r="AM293" s="45"/>
      <c r="AN293" s="45"/>
      <c r="AO293" s="45"/>
      <c r="AP293" s="45"/>
      <c r="AQ293" s="45"/>
      <c r="AR293" s="45"/>
      <c r="AS293" s="46"/>
      <c r="AT293" s="46"/>
      <c r="AU293" s="46"/>
      <c r="AV293" s="46"/>
      <c r="AW293" s="46"/>
    </row>
    <row r="294" spans="1:49" ht="15" customHeight="1" x14ac:dyDescent="0.2">
      <c r="A294" s="41" t="str">
        <f t="shared" si="1513"/>
        <v/>
      </c>
      <c r="B294" s="213" t="str" cm="1">
        <f t="array" ref="B294">IF(INDEX($U$427:$CB$432,B$436,$BA437)="-","",INDEX($U$427:$CB$432,B$436,$BA437))</f>
        <v/>
      </c>
      <c r="C294" s="213"/>
      <c r="D294" s="213"/>
      <c r="E294" s="213"/>
      <c r="F294" s="213"/>
      <c r="G294" s="213"/>
      <c r="H294" s="213"/>
      <c r="I294" s="213" t="str" cm="1">
        <f t="array" ref="I294">IF(INDEX($U$427:$CB$432,C$436,$BA437)="-","",INDEX($U$427:$CB$432,C$436,$BA437))</f>
        <v/>
      </c>
      <c r="J294" s="213"/>
      <c r="K294" s="213"/>
      <c r="L294" s="213"/>
      <c r="M294" s="213"/>
      <c r="N294" s="213"/>
      <c r="O294" s="213"/>
      <c r="P294" s="213" t="str" cm="1">
        <f t="array" ref="P294">IF(INDEX($U$427:$CB$432,D$436,$BA437)="-","",INDEX($U$427:$CB$432,D$436,$BA437))</f>
        <v/>
      </c>
      <c r="Q294" s="213"/>
      <c r="R294" s="213"/>
      <c r="S294" s="213"/>
      <c r="T294" s="213"/>
      <c r="U294" s="213"/>
      <c r="V294" s="213"/>
      <c r="W294" s="213" t="str" cm="1">
        <f t="array" ref="W294">IF(INDEX($U$427:$CB$432,E$436,$BA437)="-","",INDEX($U$427:$CB$432,E$436,$BA437))</f>
        <v/>
      </c>
      <c r="X294" s="213"/>
      <c r="Y294" s="213"/>
      <c r="Z294" s="213"/>
      <c r="AA294" s="213"/>
      <c r="AB294" s="213"/>
      <c r="AC294" s="213"/>
      <c r="AD294" s="213" t="str" cm="1">
        <f t="array" ref="AD294">IF(INDEX($U$427:$CB$432,F$436,$BA437)="-","",INDEX($U$427:$CB$432,F$436,$BA437))</f>
        <v/>
      </c>
      <c r="AE294" s="213"/>
      <c r="AF294" s="213"/>
      <c r="AG294" s="213"/>
      <c r="AH294" s="213"/>
      <c r="AI294" s="213"/>
      <c r="AJ294" s="213"/>
      <c r="AK294" s="213" t="str" cm="1">
        <f t="array" ref="AK294">IF(INDEX($U$427:$CB$432,G$436,$BA437)="-","",INDEX($U$427:$CB$432,G$436,$BA437))</f>
        <v/>
      </c>
      <c r="AL294" s="213"/>
      <c r="AM294" s="213"/>
      <c r="AN294" s="213"/>
      <c r="AO294" s="213"/>
      <c r="AP294" s="213"/>
      <c r="AQ294" s="213"/>
      <c r="AR294" s="211"/>
      <c r="AS294" s="211"/>
      <c r="AT294" s="211"/>
      <c r="AU294" s="211"/>
      <c r="AV294" s="211"/>
      <c r="AW294" s="211"/>
    </row>
    <row r="295" spans="1:49" ht="15" customHeight="1" x14ac:dyDescent="0.2">
      <c r="A295" s="41" t="str">
        <f t="shared" si="1513"/>
        <v/>
      </c>
      <c r="B295" s="213"/>
      <c r="C295" s="213"/>
      <c r="D295" s="213"/>
      <c r="E295" s="213"/>
      <c r="F295" s="213"/>
      <c r="G295" s="213"/>
      <c r="H295" s="213"/>
      <c r="I295" s="213"/>
      <c r="J295" s="213"/>
      <c r="K295" s="213"/>
      <c r="L295" s="213"/>
      <c r="M295" s="213"/>
      <c r="N295" s="213"/>
      <c r="O295" s="213"/>
      <c r="P295" s="213"/>
      <c r="Q295" s="213"/>
      <c r="R295" s="213"/>
      <c r="S295" s="213"/>
      <c r="T295" s="213"/>
      <c r="U295" s="213"/>
      <c r="V295" s="213"/>
      <c r="W295" s="213"/>
      <c r="X295" s="213"/>
      <c r="Y295" s="213"/>
      <c r="Z295" s="213"/>
      <c r="AA295" s="213"/>
      <c r="AB295" s="213"/>
      <c r="AC295" s="213"/>
      <c r="AD295" s="213"/>
      <c r="AE295" s="213"/>
      <c r="AF295" s="213"/>
      <c r="AG295" s="213"/>
      <c r="AH295" s="213"/>
      <c r="AI295" s="213"/>
      <c r="AJ295" s="213"/>
      <c r="AK295" s="213"/>
      <c r="AL295" s="213"/>
      <c r="AM295" s="213"/>
      <c r="AN295" s="213"/>
      <c r="AO295" s="213"/>
      <c r="AP295" s="213"/>
      <c r="AQ295" s="213"/>
      <c r="AR295" s="211"/>
      <c r="AS295" s="211"/>
      <c r="AT295" s="211"/>
      <c r="AU295" s="211"/>
      <c r="AV295" s="211"/>
      <c r="AW295" s="211"/>
    </row>
    <row r="296" spans="1:49" ht="15" customHeight="1" x14ac:dyDescent="0.2">
      <c r="A296" s="41" t="str">
        <f t="shared" si="1513"/>
        <v/>
      </c>
      <c r="B296" s="213"/>
      <c r="C296" s="213"/>
      <c r="D296" s="213"/>
      <c r="E296" s="213"/>
      <c r="F296" s="213"/>
      <c r="G296" s="213"/>
      <c r="H296" s="213"/>
      <c r="I296" s="213"/>
      <c r="J296" s="213"/>
      <c r="K296" s="213"/>
      <c r="L296" s="213"/>
      <c r="M296" s="213"/>
      <c r="N296" s="213"/>
      <c r="O296" s="213"/>
      <c r="P296" s="213"/>
      <c r="Q296" s="213"/>
      <c r="R296" s="213"/>
      <c r="S296" s="213"/>
      <c r="T296" s="213"/>
      <c r="U296" s="213"/>
      <c r="V296" s="213"/>
      <c r="W296" s="213"/>
      <c r="X296" s="213"/>
      <c r="Y296" s="213"/>
      <c r="Z296" s="213"/>
      <c r="AA296" s="213"/>
      <c r="AB296" s="213"/>
      <c r="AC296" s="213"/>
      <c r="AD296" s="213"/>
      <c r="AE296" s="213"/>
      <c r="AF296" s="213"/>
      <c r="AG296" s="213"/>
      <c r="AH296" s="213"/>
      <c r="AI296" s="213"/>
      <c r="AJ296" s="213"/>
      <c r="AK296" s="213"/>
      <c r="AL296" s="213"/>
      <c r="AM296" s="213"/>
      <c r="AN296" s="213"/>
      <c r="AO296" s="213"/>
      <c r="AP296" s="213"/>
      <c r="AQ296" s="213"/>
      <c r="AR296" s="211"/>
      <c r="AS296" s="211"/>
      <c r="AT296" s="211"/>
      <c r="AU296" s="211"/>
      <c r="AV296" s="211"/>
      <c r="AW296" s="211"/>
    </row>
    <row r="297" spans="1:49" ht="15" customHeight="1" x14ac:dyDescent="0.2">
      <c r="A297" s="41" t="str">
        <f t="shared" si="1513"/>
        <v/>
      </c>
      <c r="B297" s="44" t="str" cm="1">
        <f t="array" aca="1" ref="B297" ca="1">IF(INDIRECT(_xlfn.CONCAT($BB365,B$364))="+","+",IF(ISNUMBER(INDIRECT(_xlfn.CONCAT($BB365,B$363))),"-",""))</f>
        <v/>
      </c>
      <c r="C297" s="41" t="str">
        <f ca="1">B297</f>
        <v/>
      </c>
      <c r="D297" s="41" t="str">
        <f t="shared" ref="D297" ca="1" si="1544">C297</f>
        <v/>
      </c>
      <c r="E297" s="41" t="str">
        <f t="shared" ref="E297" ca="1" si="1545">D297</f>
        <v/>
      </c>
      <c r="F297" s="41" t="str">
        <f t="shared" ref="F297" ca="1" si="1546">E297</f>
        <v/>
      </c>
      <c r="G297" s="41" t="str">
        <f t="shared" ref="G297" ca="1" si="1547">F297</f>
        <v/>
      </c>
      <c r="H297" s="41" t="str">
        <f t="shared" ref="H297" ca="1" si="1548">G297</f>
        <v/>
      </c>
      <c r="I297" s="44" t="str" cm="1">
        <f t="array" aca="1" ref="I297" ca="1">IF(INDIRECT(_xlfn.CONCAT($BB365,C$364))="+","+",IF(ISNUMBER(INDIRECT(_xlfn.CONCAT($BB365,C$363))),"-",""))</f>
        <v/>
      </c>
      <c r="J297" s="41" t="str">
        <f ca="1">I297</f>
        <v/>
      </c>
      <c r="K297" s="41" t="str">
        <f t="shared" ref="K297" ca="1" si="1549">J297</f>
        <v/>
      </c>
      <c r="L297" s="41" t="str">
        <f t="shared" ref="L297" ca="1" si="1550">K297</f>
        <v/>
      </c>
      <c r="M297" s="41" t="str">
        <f t="shared" ref="M297" ca="1" si="1551">L297</f>
        <v/>
      </c>
      <c r="N297" s="41" t="str">
        <f t="shared" ref="N297" ca="1" si="1552">M297</f>
        <v/>
      </c>
      <c r="O297" s="41" t="str">
        <f t="shared" ref="O297" ca="1" si="1553">N297</f>
        <v/>
      </c>
      <c r="P297" s="44" t="str" cm="1">
        <f t="array" aca="1" ref="P297" ca="1">IF(INDIRECT(_xlfn.CONCAT($BB365,D$364))="+","+",IF(ISNUMBER(INDIRECT(_xlfn.CONCAT($BB365,D$363))),"-",""))</f>
        <v/>
      </c>
      <c r="Q297" s="41" t="str">
        <f ca="1">P297</f>
        <v/>
      </c>
      <c r="R297" s="41" t="str">
        <f t="shared" ref="R297" ca="1" si="1554">Q297</f>
        <v/>
      </c>
      <c r="S297" s="41" t="str">
        <f t="shared" ref="S297" ca="1" si="1555">R297</f>
        <v/>
      </c>
      <c r="T297" s="41" t="str">
        <f t="shared" ref="T297" ca="1" si="1556">S297</f>
        <v/>
      </c>
      <c r="U297" s="41" t="str">
        <f t="shared" ref="U297" ca="1" si="1557">T297</f>
        <v/>
      </c>
      <c r="V297" s="41" t="str">
        <f t="shared" ref="V297" ca="1" si="1558">U297</f>
        <v/>
      </c>
      <c r="W297" s="44" t="str" cm="1">
        <f t="array" aca="1" ref="W297" ca="1">IF(INDIRECT(_xlfn.CONCAT($BB365,E$364))="+","+",IF(ISNUMBER(INDIRECT(_xlfn.CONCAT($BB365,E$363))),"-",""))</f>
        <v/>
      </c>
      <c r="X297" s="41" t="str">
        <f ca="1">W297</f>
        <v/>
      </c>
      <c r="Y297" s="41" t="str">
        <f t="shared" ref="Y297" ca="1" si="1559">X297</f>
        <v/>
      </c>
      <c r="Z297" s="41" t="str">
        <f t="shared" ref="Z297" ca="1" si="1560">Y297</f>
        <v/>
      </c>
      <c r="AA297" s="41" t="str">
        <f t="shared" ref="AA297" ca="1" si="1561">Z297</f>
        <v/>
      </c>
      <c r="AB297" s="41" t="str">
        <f t="shared" ref="AB297" ca="1" si="1562">AA297</f>
        <v/>
      </c>
      <c r="AC297" s="41" t="str">
        <f t="shared" ref="AC297" ca="1" si="1563">AB297</f>
        <v/>
      </c>
      <c r="AD297" s="44" t="str" cm="1">
        <f t="array" aca="1" ref="AD297" ca="1">IF(INDIRECT(_xlfn.CONCAT($BB365,F$364))="+","+",IF(ISNUMBER(INDIRECT(_xlfn.CONCAT($BB365,F$363))),"-",""))</f>
        <v/>
      </c>
      <c r="AE297" s="41" t="str">
        <f ca="1">AD297</f>
        <v/>
      </c>
      <c r="AF297" s="41" t="str">
        <f t="shared" ref="AF297" ca="1" si="1564">AE297</f>
        <v/>
      </c>
      <c r="AG297" s="41" t="str">
        <f t="shared" ref="AG297" ca="1" si="1565">AF297</f>
        <v/>
      </c>
      <c r="AH297" s="41" t="str">
        <f t="shared" ref="AH297" ca="1" si="1566">AG297</f>
        <v/>
      </c>
      <c r="AI297" s="41" t="str">
        <f t="shared" ref="AI297" ca="1" si="1567">AH297</f>
        <v/>
      </c>
      <c r="AJ297" s="41" t="str">
        <f t="shared" ref="AJ297" ca="1" si="1568">AI297</f>
        <v/>
      </c>
      <c r="AK297" s="44" t="str" cm="1">
        <f t="array" aca="1" ref="AK297" ca="1">IF(INDIRECT(_xlfn.CONCAT($BB365,G$364))="+","+",IF(ISNUMBER(INDIRECT(_xlfn.CONCAT($BB365,G$363))),"-",""))</f>
        <v/>
      </c>
      <c r="AL297" s="41" t="str">
        <f ca="1">AK297</f>
        <v/>
      </c>
      <c r="AM297" s="41" t="str">
        <f t="shared" ref="AM297" ca="1" si="1569">AL297</f>
        <v/>
      </c>
      <c r="AN297" s="41" t="str">
        <f t="shared" ref="AN297" ca="1" si="1570">AM297</f>
        <v/>
      </c>
      <c r="AO297" s="41" t="str">
        <f t="shared" ref="AO297" ca="1" si="1571">AN297</f>
        <v/>
      </c>
      <c r="AP297" s="41" t="str">
        <f t="shared" ref="AP297" ca="1" si="1572">AO297</f>
        <v/>
      </c>
      <c r="AQ297" s="41" t="str">
        <f t="shared" ref="AQ297" ca="1" si="1573">AP297</f>
        <v/>
      </c>
      <c r="AR297" s="44"/>
      <c r="AS297" s="41"/>
      <c r="AT297" s="41"/>
      <c r="AU297" s="41"/>
      <c r="AV297" s="41"/>
      <c r="AW297" s="41"/>
    </row>
    <row r="298" spans="1:49" ht="15" customHeight="1" x14ac:dyDescent="0.2">
      <c r="A298" s="41" t="str">
        <f t="shared" si="1513"/>
        <v/>
      </c>
      <c r="B298" s="45" t="str" cm="1">
        <f t="array" aca="1" ref="B298" ca="1">IF(ISBLANK(INDIRECT(_xlfn.CONCAT($BB390,B$389))),"",INDIRECT(_xlfn.CONCAT($BB390,B$389)))</f>
        <v/>
      </c>
      <c r="C298" s="45"/>
      <c r="D298" s="45"/>
      <c r="E298" s="45"/>
      <c r="F298" s="45"/>
      <c r="G298" s="45"/>
      <c r="H298" s="45"/>
      <c r="I298" s="45" t="str" cm="1">
        <f t="array" aca="1" ref="I298" ca="1">IF(ISBLANK(INDIRECT(_xlfn.CONCAT($BB390,C$389))),"",INDIRECT(_xlfn.CONCAT($BB390,C$389)))</f>
        <v/>
      </c>
      <c r="J298" s="45"/>
      <c r="K298" s="45"/>
      <c r="L298" s="45"/>
      <c r="M298" s="45"/>
      <c r="N298" s="45"/>
      <c r="O298" s="45"/>
      <c r="P298" s="45" t="str" cm="1">
        <f t="array" aca="1" ref="P298" ca="1">IF(ISBLANK(INDIRECT(_xlfn.CONCAT($BB390,D$389))),"",INDIRECT(_xlfn.CONCAT($BB390,D$389)))</f>
        <v/>
      </c>
      <c r="Q298" s="45"/>
      <c r="R298" s="45"/>
      <c r="S298" s="45"/>
      <c r="T298" s="45"/>
      <c r="U298" s="45"/>
      <c r="V298" s="45"/>
      <c r="W298" s="45" t="str" cm="1">
        <f t="array" aca="1" ref="W298" ca="1">IF(ISBLANK(INDIRECT(_xlfn.CONCAT($BB390,E$389))),"",INDIRECT(_xlfn.CONCAT($BB390,E$389)))</f>
        <v/>
      </c>
      <c r="X298" s="45"/>
      <c r="Y298" s="45"/>
      <c r="Z298" s="45"/>
      <c r="AA298" s="45"/>
      <c r="AB298" s="45"/>
      <c r="AC298" s="45"/>
      <c r="AD298" s="45" t="str" cm="1">
        <f t="array" aca="1" ref="AD298" ca="1">IF(ISBLANK(INDIRECT(_xlfn.CONCAT($BB390,F$389))),"",INDIRECT(_xlfn.CONCAT($BB390,F$389)))</f>
        <v/>
      </c>
      <c r="AE298" s="45"/>
      <c r="AF298" s="45"/>
      <c r="AG298" s="45"/>
      <c r="AH298" s="45"/>
      <c r="AI298" s="45"/>
      <c r="AJ298" s="45"/>
      <c r="AK298" s="45" t="str" cm="1">
        <f t="array" aca="1" ref="AK298" ca="1">IF(ISBLANK(INDIRECT(_xlfn.CONCAT($BB390,G$389))),"",INDIRECT(_xlfn.CONCAT($BB390,G$389)))</f>
        <v/>
      </c>
      <c r="AL298" s="45"/>
      <c r="AM298" s="45"/>
      <c r="AN298" s="45"/>
      <c r="AO298" s="45"/>
      <c r="AP298" s="45"/>
      <c r="AQ298" s="45"/>
      <c r="AR298" s="45"/>
      <c r="AS298" s="46"/>
      <c r="AT298" s="46"/>
      <c r="AU298" s="46"/>
      <c r="AV298" s="46"/>
      <c r="AW298" s="46"/>
    </row>
    <row r="299" spans="1:49" ht="15" customHeight="1" x14ac:dyDescent="0.2">
      <c r="A299" s="41" t="str">
        <f t="shared" si="1513"/>
        <v/>
      </c>
      <c r="B299" s="213" t="str" cm="1">
        <f t="array" ref="B299">IF(INDEX($U$427:$CB$432,B$436,$BB437)="-","",INDEX($U$427:$CB$432,B$436,$BB437))</f>
        <v/>
      </c>
      <c r="C299" s="213"/>
      <c r="D299" s="213"/>
      <c r="E299" s="213"/>
      <c r="F299" s="213"/>
      <c r="G299" s="213"/>
      <c r="H299" s="213"/>
      <c r="I299" s="213" t="str" cm="1">
        <f t="array" ref="I299">IF(INDEX($U$427:$CB$432,C$436,$BB437)="-","",INDEX($U$427:$CB$432,C$436,$BB437))</f>
        <v/>
      </c>
      <c r="J299" s="213"/>
      <c r="K299" s="213"/>
      <c r="L299" s="213"/>
      <c r="M299" s="213"/>
      <c r="N299" s="213"/>
      <c r="O299" s="213"/>
      <c r="P299" s="213" t="str" cm="1">
        <f t="array" ref="P299">IF(INDEX($U$427:$CB$432,D$436,$BB437)="-","",INDEX($U$427:$CB$432,D$436,$BB437))</f>
        <v/>
      </c>
      <c r="Q299" s="213"/>
      <c r="R299" s="213"/>
      <c r="S299" s="213"/>
      <c r="T299" s="213"/>
      <c r="U299" s="213"/>
      <c r="V299" s="213"/>
      <c r="W299" s="213" t="str" cm="1">
        <f t="array" ref="W299">IF(INDEX($U$427:$CB$432,E$436,$BB437)="-","",INDEX($U$427:$CB$432,E$436,$BB437))</f>
        <v/>
      </c>
      <c r="X299" s="213"/>
      <c r="Y299" s="213"/>
      <c r="Z299" s="213"/>
      <c r="AA299" s="213"/>
      <c r="AB299" s="213"/>
      <c r="AC299" s="213"/>
      <c r="AD299" s="213" t="str" cm="1">
        <f t="array" ref="AD299">IF(INDEX($U$427:$CB$432,F$436,$BB437)="-","",INDEX($U$427:$CB$432,F$436,$BB437))</f>
        <v/>
      </c>
      <c r="AE299" s="213"/>
      <c r="AF299" s="213"/>
      <c r="AG299" s="213"/>
      <c r="AH299" s="213"/>
      <c r="AI299" s="213"/>
      <c r="AJ299" s="213"/>
      <c r="AK299" s="213" t="str" cm="1">
        <f t="array" ref="AK299">IF(INDEX($U$427:$CB$432,G$436,$BB437)="-","",INDEX($U$427:$CB$432,G$436,$BB437))</f>
        <v/>
      </c>
      <c r="AL299" s="213"/>
      <c r="AM299" s="213"/>
      <c r="AN299" s="213"/>
      <c r="AO299" s="213"/>
      <c r="AP299" s="213"/>
      <c r="AQ299" s="213"/>
      <c r="AR299" s="211"/>
      <c r="AS299" s="211"/>
      <c r="AT299" s="211"/>
      <c r="AU299" s="211"/>
      <c r="AV299" s="211"/>
      <c r="AW299" s="211"/>
    </row>
    <row r="300" spans="1:49" ht="15" customHeight="1" x14ac:dyDescent="0.2">
      <c r="A300" s="41" t="str">
        <f t="shared" si="1513"/>
        <v/>
      </c>
      <c r="B300" s="213"/>
      <c r="C300" s="213"/>
      <c r="D300" s="213"/>
      <c r="E300" s="213"/>
      <c r="F300" s="213"/>
      <c r="G300" s="213"/>
      <c r="H300" s="213"/>
      <c r="I300" s="213"/>
      <c r="J300" s="213"/>
      <c r="K300" s="213"/>
      <c r="L300" s="213"/>
      <c r="M300" s="213"/>
      <c r="N300" s="213"/>
      <c r="O300" s="213"/>
      <c r="P300" s="213"/>
      <c r="Q300" s="213"/>
      <c r="R300" s="213"/>
      <c r="S300" s="213"/>
      <c r="T300" s="213"/>
      <c r="U300" s="213"/>
      <c r="V300" s="213"/>
      <c r="W300" s="213"/>
      <c r="X300" s="213"/>
      <c r="Y300" s="213"/>
      <c r="Z300" s="213"/>
      <c r="AA300" s="213"/>
      <c r="AB300" s="213"/>
      <c r="AC300" s="213"/>
      <c r="AD300" s="213"/>
      <c r="AE300" s="213"/>
      <c r="AF300" s="213"/>
      <c r="AG300" s="213"/>
      <c r="AH300" s="213"/>
      <c r="AI300" s="213"/>
      <c r="AJ300" s="213"/>
      <c r="AK300" s="213"/>
      <c r="AL300" s="213"/>
      <c r="AM300" s="213"/>
      <c r="AN300" s="213"/>
      <c r="AO300" s="213"/>
      <c r="AP300" s="213"/>
      <c r="AQ300" s="213"/>
      <c r="AR300" s="211"/>
      <c r="AS300" s="211"/>
      <c r="AT300" s="211"/>
      <c r="AU300" s="211"/>
      <c r="AV300" s="211"/>
      <c r="AW300" s="211"/>
    </row>
    <row r="301" spans="1:49" ht="15" customHeight="1" x14ac:dyDescent="0.2">
      <c r="A301" s="41" t="str">
        <f t="shared" si="1513"/>
        <v/>
      </c>
      <c r="B301" s="213"/>
      <c r="C301" s="213"/>
      <c r="D301" s="213"/>
      <c r="E301" s="213"/>
      <c r="F301" s="213"/>
      <c r="G301" s="213"/>
      <c r="H301" s="213"/>
      <c r="I301" s="213"/>
      <c r="J301" s="213"/>
      <c r="K301" s="213"/>
      <c r="L301" s="213"/>
      <c r="M301" s="213"/>
      <c r="N301" s="213"/>
      <c r="O301" s="213"/>
      <c r="P301" s="213"/>
      <c r="Q301" s="213"/>
      <c r="R301" s="213"/>
      <c r="S301" s="213"/>
      <c r="T301" s="213"/>
      <c r="U301" s="213"/>
      <c r="V301" s="213"/>
      <c r="W301" s="213"/>
      <c r="X301" s="213"/>
      <c r="Y301" s="213"/>
      <c r="Z301" s="213"/>
      <c r="AA301" s="213"/>
      <c r="AB301" s="213"/>
      <c r="AC301" s="213"/>
      <c r="AD301" s="213"/>
      <c r="AE301" s="213"/>
      <c r="AF301" s="213"/>
      <c r="AG301" s="213"/>
      <c r="AH301" s="213"/>
      <c r="AI301" s="213"/>
      <c r="AJ301" s="213"/>
      <c r="AK301" s="213"/>
      <c r="AL301" s="213"/>
      <c r="AM301" s="213"/>
      <c r="AN301" s="213"/>
      <c r="AO301" s="213"/>
      <c r="AP301" s="213"/>
      <c r="AQ301" s="213"/>
      <c r="AR301" s="211"/>
      <c r="AS301" s="211"/>
      <c r="AT301" s="211"/>
      <c r="AU301" s="211"/>
      <c r="AV301" s="211"/>
      <c r="AW301" s="211"/>
    </row>
    <row r="302" spans="1:49" ht="15" customHeight="1" x14ac:dyDescent="0.2">
      <c r="A302" s="41" t="str">
        <f t="shared" si="1513"/>
        <v/>
      </c>
      <c r="B302" s="44" t="str" cm="1">
        <f t="array" aca="1" ref="B302" ca="1">IF(INDIRECT(_xlfn.CONCAT($BC365,B$364))="+","+",IF(ISNUMBER(INDIRECT(_xlfn.CONCAT($BC365,B$363))),"-",""))</f>
        <v/>
      </c>
      <c r="C302" s="41" t="str">
        <f ca="1">B302</f>
        <v/>
      </c>
      <c r="D302" s="41" t="str">
        <f t="shared" ref="D302" ca="1" si="1574">C302</f>
        <v/>
      </c>
      <c r="E302" s="41" t="str">
        <f t="shared" ref="E302" ca="1" si="1575">D302</f>
        <v/>
      </c>
      <c r="F302" s="41" t="str">
        <f t="shared" ref="F302" ca="1" si="1576">E302</f>
        <v/>
      </c>
      <c r="G302" s="41" t="str">
        <f t="shared" ref="G302" ca="1" si="1577">F302</f>
        <v/>
      </c>
      <c r="H302" s="41" t="str">
        <f t="shared" ref="H302" ca="1" si="1578">G302</f>
        <v/>
      </c>
      <c r="I302" s="44" t="str" cm="1">
        <f t="array" aca="1" ref="I302" ca="1">IF(INDIRECT(_xlfn.CONCAT($BC365,C$364))="+","+",IF(ISNUMBER(INDIRECT(_xlfn.CONCAT($BC365,C$363))),"-",""))</f>
        <v/>
      </c>
      <c r="J302" s="41" t="str">
        <f ca="1">I302</f>
        <v/>
      </c>
      <c r="K302" s="41" t="str">
        <f t="shared" ref="K302" ca="1" si="1579">J302</f>
        <v/>
      </c>
      <c r="L302" s="41" t="str">
        <f t="shared" ref="L302" ca="1" si="1580">K302</f>
        <v/>
      </c>
      <c r="M302" s="41" t="str">
        <f t="shared" ref="M302" ca="1" si="1581">L302</f>
        <v/>
      </c>
      <c r="N302" s="41" t="str">
        <f t="shared" ref="N302" ca="1" si="1582">M302</f>
        <v/>
      </c>
      <c r="O302" s="41" t="str">
        <f t="shared" ref="O302" ca="1" si="1583">N302</f>
        <v/>
      </c>
      <c r="P302" s="44" t="str" cm="1">
        <f t="array" aca="1" ref="P302" ca="1">IF(INDIRECT(_xlfn.CONCAT($BC365,D$364))="+","+",IF(ISNUMBER(INDIRECT(_xlfn.CONCAT($BC365,D$363))),"-",""))</f>
        <v/>
      </c>
      <c r="Q302" s="41" t="str">
        <f ca="1">P302</f>
        <v/>
      </c>
      <c r="R302" s="41" t="str">
        <f t="shared" ref="R302" ca="1" si="1584">Q302</f>
        <v/>
      </c>
      <c r="S302" s="41" t="str">
        <f t="shared" ref="S302" ca="1" si="1585">R302</f>
        <v/>
      </c>
      <c r="T302" s="41" t="str">
        <f t="shared" ref="T302" ca="1" si="1586">S302</f>
        <v/>
      </c>
      <c r="U302" s="41" t="str">
        <f t="shared" ref="U302" ca="1" si="1587">T302</f>
        <v/>
      </c>
      <c r="V302" s="41" t="str">
        <f t="shared" ref="V302" ca="1" si="1588">U302</f>
        <v/>
      </c>
      <c r="W302" s="44" t="str" cm="1">
        <f t="array" aca="1" ref="W302" ca="1">IF(INDIRECT(_xlfn.CONCAT($BC365,E$364))="+","+",IF(ISNUMBER(INDIRECT(_xlfn.CONCAT($BC365,E$363))),"-",""))</f>
        <v/>
      </c>
      <c r="X302" s="41" t="str">
        <f ca="1">W302</f>
        <v/>
      </c>
      <c r="Y302" s="41" t="str">
        <f t="shared" ref="Y302" ca="1" si="1589">X302</f>
        <v/>
      </c>
      <c r="Z302" s="41" t="str">
        <f t="shared" ref="Z302" ca="1" si="1590">Y302</f>
        <v/>
      </c>
      <c r="AA302" s="41" t="str">
        <f t="shared" ref="AA302" ca="1" si="1591">Z302</f>
        <v/>
      </c>
      <c r="AB302" s="41" t="str">
        <f t="shared" ref="AB302" ca="1" si="1592">AA302</f>
        <v/>
      </c>
      <c r="AC302" s="41" t="str">
        <f t="shared" ref="AC302" ca="1" si="1593">AB302</f>
        <v/>
      </c>
      <c r="AD302" s="44" t="str" cm="1">
        <f t="array" aca="1" ref="AD302" ca="1">IF(INDIRECT(_xlfn.CONCAT($BC365,F$364))="+","+",IF(ISNUMBER(INDIRECT(_xlfn.CONCAT($BC365,F$363))),"-",""))</f>
        <v/>
      </c>
      <c r="AE302" s="41" t="str">
        <f ca="1">AD302</f>
        <v/>
      </c>
      <c r="AF302" s="41" t="str">
        <f t="shared" ref="AF302" ca="1" si="1594">AE302</f>
        <v/>
      </c>
      <c r="AG302" s="41" t="str">
        <f t="shared" ref="AG302" ca="1" si="1595">AF302</f>
        <v/>
      </c>
      <c r="AH302" s="41" t="str">
        <f t="shared" ref="AH302" ca="1" si="1596">AG302</f>
        <v/>
      </c>
      <c r="AI302" s="41" t="str">
        <f t="shared" ref="AI302" ca="1" si="1597">AH302</f>
        <v/>
      </c>
      <c r="AJ302" s="41" t="str">
        <f t="shared" ref="AJ302" ca="1" si="1598">AI302</f>
        <v/>
      </c>
      <c r="AK302" s="44" t="str" cm="1">
        <f t="array" aca="1" ref="AK302" ca="1">IF(INDIRECT(_xlfn.CONCAT($BC365,G$364))="+","+",IF(ISNUMBER(INDIRECT(_xlfn.CONCAT($BC365,G$363))),"-",""))</f>
        <v/>
      </c>
      <c r="AL302" s="41" t="str">
        <f ca="1">AK302</f>
        <v/>
      </c>
      <c r="AM302" s="41" t="str">
        <f t="shared" ref="AM302" ca="1" si="1599">AL302</f>
        <v/>
      </c>
      <c r="AN302" s="41" t="str">
        <f t="shared" ref="AN302" ca="1" si="1600">AM302</f>
        <v/>
      </c>
      <c r="AO302" s="41" t="str">
        <f t="shared" ref="AO302" ca="1" si="1601">AN302</f>
        <v/>
      </c>
      <c r="AP302" s="41" t="str">
        <f t="shared" ref="AP302" ca="1" si="1602">AO302</f>
        <v/>
      </c>
      <c r="AQ302" s="41" t="str">
        <f t="shared" ref="AQ302" ca="1" si="1603">AP302</f>
        <v/>
      </c>
      <c r="AR302" s="44"/>
      <c r="AS302" s="41"/>
      <c r="AT302" s="41"/>
      <c r="AU302" s="41"/>
      <c r="AV302" s="41"/>
      <c r="AW302" s="41"/>
    </row>
    <row r="303" spans="1:49" ht="15" customHeight="1" x14ac:dyDescent="0.2">
      <c r="A303" s="41" t="str">
        <f t="shared" si="1513"/>
        <v/>
      </c>
      <c r="B303" s="45" t="str" cm="1">
        <f t="array" aca="1" ref="B303" ca="1">IF(ISBLANK(INDIRECT(_xlfn.CONCAT($BC390,B$389))),"",INDIRECT(_xlfn.CONCAT($BC390,B$389)))</f>
        <v/>
      </c>
      <c r="C303" s="45"/>
      <c r="D303" s="45"/>
      <c r="E303" s="45"/>
      <c r="F303" s="45"/>
      <c r="G303" s="45"/>
      <c r="H303" s="45"/>
      <c r="I303" s="45" t="str" cm="1">
        <f t="array" aca="1" ref="I303" ca="1">IF(ISBLANK(INDIRECT(_xlfn.CONCAT($BC390,C$389))),"",INDIRECT(_xlfn.CONCAT($BC390,C$389)))</f>
        <v/>
      </c>
      <c r="J303" s="45"/>
      <c r="K303" s="45"/>
      <c r="L303" s="45"/>
      <c r="M303" s="45"/>
      <c r="N303" s="45"/>
      <c r="O303" s="45"/>
      <c r="P303" s="45" t="str" cm="1">
        <f t="array" aca="1" ref="P303" ca="1">IF(ISBLANK(INDIRECT(_xlfn.CONCAT($BC390,D$389))),"",INDIRECT(_xlfn.CONCAT($BC390,D$389)))</f>
        <v/>
      </c>
      <c r="Q303" s="45"/>
      <c r="R303" s="45"/>
      <c r="S303" s="45"/>
      <c r="T303" s="45"/>
      <c r="U303" s="45"/>
      <c r="V303" s="45"/>
      <c r="W303" s="45" t="str" cm="1">
        <f t="array" aca="1" ref="W303" ca="1">IF(ISBLANK(INDIRECT(_xlfn.CONCAT($BC390,E$389))),"",INDIRECT(_xlfn.CONCAT($BC390,E$389)))</f>
        <v/>
      </c>
      <c r="X303" s="45"/>
      <c r="Y303" s="45"/>
      <c r="Z303" s="45"/>
      <c r="AA303" s="45"/>
      <c r="AB303" s="45"/>
      <c r="AC303" s="45"/>
      <c r="AD303" s="45" t="str" cm="1">
        <f t="array" aca="1" ref="AD303" ca="1">IF(ISBLANK(INDIRECT(_xlfn.CONCAT($BC390,F$389))),"",INDIRECT(_xlfn.CONCAT($BC390,F$389)))</f>
        <v/>
      </c>
      <c r="AE303" s="45"/>
      <c r="AF303" s="45"/>
      <c r="AG303" s="45"/>
      <c r="AH303" s="45"/>
      <c r="AI303" s="45"/>
      <c r="AJ303" s="45"/>
      <c r="AK303" s="45" t="str" cm="1">
        <f t="array" aca="1" ref="AK303" ca="1">IF(ISBLANK(INDIRECT(_xlfn.CONCAT($BC390,G$389))),"",INDIRECT(_xlfn.CONCAT($BC390,G$389)))</f>
        <v/>
      </c>
      <c r="AL303" s="45"/>
      <c r="AM303" s="45"/>
      <c r="AN303" s="45"/>
      <c r="AO303" s="45"/>
      <c r="AP303" s="45"/>
      <c r="AQ303" s="45"/>
      <c r="AR303" s="45"/>
      <c r="AS303" s="46"/>
      <c r="AT303" s="46"/>
      <c r="AU303" s="46"/>
      <c r="AV303" s="46"/>
      <c r="AW303" s="46"/>
    </row>
    <row r="304" spans="1:49" ht="15" customHeight="1" x14ac:dyDescent="0.2">
      <c r="A304" s="41" t="str">
        <f t="shared" si="1513"/>
        <v/>
      </c>
      <c r="B304" s="213" t="str" cm="1">
        <f t="array" ref="B304">IF(INDEX($U$427:$CB$432,B$436,$BC437)="-","",INDEX($U$427:$CB$432,B$436,$BC437))</f>
        <v/>
      </c>
      <c r="C304" s="213"/>
      <c r="D304" s="213"/>
      <c r="E304" s="213"/>
      <c r="F304" s="213"/>
      <c r="G304" s="213"/>
      <c r="H304" s="213"/>
      <c r="I304" s="213" t="str" cm="1">
        <f t="array" ref="I304">IF(INDEX($U$427:$CB$432,C$436,$BC437)="-","",INDEX($U$427:$CB$432,C$436,$BC437))</f>
        <v/>
      </c>
      <c r="J304" s="213"/>
      <c r="K304" s="213"/>
      <c r="L304" s="213"/>
      <c r="M304" s="213"/>
      <c r="N304" s="213"/>
      <c r="O304" s="213"/>
      <c r="P304" s="213" t="str" cm="1">
        <f t="array" ref="P304">IF(INDEX($U$427:$CB$432,D$436,$BC437)="-","",INDEX($U$427:$CB$432,D$436,$BC437))</f>
        <v/>
      </c>
      <c r="Q304" s="213"/>
      <c r="R304" s="213"/>
      <c r="S304" s="213"/>
      <c r="T304" s="213"/>
      <c r="U304" s="213"/>
      <c r="V304" s="213"/>
      <c r="W304" s="213" t="str" cm="1">
        <f t="array" ref="W304">IF(INDEX($U$427:$CB$432,E$436,$BC437)="-","",INDEX($U$427:$CB$432,E$436,$BC437))</f>
        <v/>
      </c>
      <c r="X304" s="213"/>
      <c r="Y304" s="213"/>
      <c r="Z304" s="213"/>
      <c r="AA304" s="213"/>
      <c r="AB304" s="213"/>
      <c r="AC304" s="213"/>
      <c r="AD304" s="213" t="str" cm="1">
        <f t="array" ref="AD304">IF(INDEX($U$427:$CB$432,F$436,$BC437)="-","",INDEX($U$427:$CB$432,F$436,$BC437))</f>
        <v/>
      </c>
      <c r="AE304" s="213"/>
      <c r="AF304" s="213"/>
      <c r="AG304" s="213"/>
      <c r="AH304" s="213"/>
      <c r="AI304" s="213"/>
      <c r="AJ304" s="213"/>
      <c r="AK304" s="213" t="str" cm="1">
        <f t="array" ref="AK304">IF(INDEX($U$427:$CB$432,G$436,$BC437)="-","",INDEX($U$427:$CB$432,G$436,$BC437))</f>
        <v/>
      </c>
      <c r="AL304" s="213"/>
      <c r="AM304" s="213"/>
      <c r="AN304" s="213"/>
      <c r="AO304" s="213"/>
      <c r="AP304" s="213"/>
      <c r="AQ304" s="213"/>
      <c r="AR304" s="211"/>
      <c r="AS304" s="211"/>
      <c r="AT304" s="211"/>
      <c r="AU304" s="211"/>
      <c r="AV304" s="211"/>
      <c r="AW304" s="211"/>
    </row>
    <row r="305" spans="1:84" ht="15" customHeight="1" x14ac:dyDescent="0.2">
      <c r="A305" s="41" t="str">
        <f t="shared" si="1513"/>
        <v/>
      </c>
      <c r="B305" s="213"/>
      <c r="C305" s="213"/>
      <c r="D305" s="213"/>
      <c r="E305" s="213"/>
      <c r="F305" s="213"/>
      <c r="G305" s="213"/>
      <c r="H305" s="213"/>
      <c r="I305" s="213"/>
      <c r="J305" s="213"/>
      <c r="K305" s="213"/>
      <c r="L305" s="213"/>
      <c r="M305" s="213"/>
      <c r="N305" s="213"/>
      <c r="O305" s="213"/>
      <c r="P305" s="213"/>
      <c r="Q305" s="213"/>
      <c r="R305" s="213"/>
      <c r="S305" s="213"/>
      <c r="T305" s="213"/>
      <c r="U305" s="213"/>
      <c r="V305" s="213"/>
      <c r="W305" s="213"/>
      <c r="X305" s="213"/>
      <c r="Y305" s="213"/>
      <c r="Z305" s="213"/>
      <c r="AA305" s="213"/>
      <c r="AB305" s="213"/>
      <c r="AC305" s="213"/>
      <c r="AD305" s="213"/>
      <c r="AE305" s="213"/>
      <c r="AF305" s="213"/>
      <c r="AG305" s="213"/>
      <c r="AH305" s="213"/>
      <c r="AI305" s="213"/>
      <c r="AJ305" s="213"/>
      <c r="AK305" s="213"/>
      <c r="AL305" s="213"/>
      <c r="AM305" s="213"/>
      <c r="AN305" s="213"/>
      <c r="AO305" s="213"/>
      <c r="AP305" s="213"/>
      <c r="AQ305" s="213"/>
      <c r="AR305" s="211"/>
      <c r="AS305" s="211"/>
      <c r="AT305" s="211"/>
      <c r="AU305" s="211"/>
      <c r="AV305" s="211"/>
      <c r="AW305" s="211"/>
    </row>
    <row r="306" spans="1:84" ht="15" customHeight="1" x14ac:dyDescent="0.2">
      <c r="A306" s="41" t="str">
        <f t="shared" si="1513"/>
        <v/>
      </c>
      <c r="B306" s="213"/>
      <c r="C306" s="213"/>
      <c r="D306" s="213"/>
      <c r="E306" s="213"/>
      <c r="F306" s="213"/>
      <c r="G306" s="213"/>
      <c r="H306" s="213"/>
      <c r="I306" s="213"/>
      <c r="J306" s="213"/>
      <c r="K306" s="213"/>
      <c r="L306" s="213"/>
      <c r="M306" s="213"/>
      <c r="N306" s="213"/>
      <c r="O306" s="213"/>
      <c r="P306" s="213"/>
      <c r="Q306" s="213"/>
      <c r="R306" s="213"/>
      <c r="S306" s="213"/>
      <c r="T306" s="213"/>
      <c r="U306" s="213"/>
      <c r="V306" s="213"/>
      <c r="W306" s="213"/>
      <c r="X306" s="213"/>
      <c r="Y306" s="213"/>
      <c r="Z306" s="213"/>
      <c r="AA306" s="213"/>
      <c r="AB306" s="213"/>
      <c r="AC306" s="213"/>
      <c r="AD306" s="213"/>
      <c r="AE306" s="213"/>
      <c r="AF306" s="213"/>
      <c r="AG306" s="213"/>
      <c r="AH306" s="213"/>
      <c r="AI306" s="213"/>
      <c r="AJ306" s="213"/>
      <c r="AK306" s="213"/>
      <c r="AL306" s="213"/>
      <c r="AM306" s="213"/>
      <c r="AN306" s="213"/>
      <c r="AO306" s="213"/>
      <c r="AP306" s="213"/>
      <c r="AQ306" s="213"/>
      <c r="AR306" s="211"/>
      <c r="AS306" s="211"/>
      <c r="AT306" s="211"/>
      <c r="AU306" s="211"/>
      <c r="AV306" s="211"/>
      <c r="AW306" s="211"/>
    </row>
    <row r="307" spans="1:84" ht="15" customHeight="1" x14ac:dyDescent="0.2">
      <c r="A307" s="41" t="str">
        <f t="shared" si="1513"/>
        <v/>
      </c>
      <c r="B307" s="44" t="str" cm="1">
        <f t="array" aca="1" ref="B307" ca="1">IF(INDIRECT(_xlfn.CONCAT($BD365,B$364))="+","+",IF(ISNUMBER(INDIRECT(_xlfn.CONCAT($BD365,B$363))),"-",""))</f>
        <v/>
      </c>
      <c r="C307" s="41" t="str">
        <f ca="1">B307</f>
        <v/>
      </c>
      <c r="D307" s="41" t="str">
        <f t="shared" ref="D307" ca="1" si="1604">C307</f>
        <v/>
      </c>
      <c r="E307" s="41" t="str">
        <f t="shared" ref="E307" ca="1" si="1605">D307</f>
        <v/>
      </c>
      <c r="F307" s="41" t="str">
        <f t="shared" ref="F307" ca="1" si="1606">E307</f>
        <v/>
      </c>
      <c r="G307" s="41" t="str">
        <f t="shared" ref="G307" ca="1" si="1607">F307</f>
        <v/>
      </c>
      <c r="H307" s="41" t="str">
        <f t="shared" ref="H307" ca="1" si="1608">G307</f>
        <v/>
      </c>
      <c r="I307" s="44" t="str" cm="1">
        <f t="array" aca="1" ref="I307" ca="1">IF(INDIRECT(_xlfn.CONCAT($BD365,C$364))="+","+",IF(ISNUMBER(INDIRECT(_xlfn.CONCAT($BD365,C$363))),"-",""))</f>
        <v/>
      </c>
      <c r="J307" s="41" t="str">
        <f ca="1">I307</f>
        <v/>
      </c>
      <c r="K307" s="41" t="str">
        <f t="shared" ref="K307" ca="1" si="1609">J307</f>
        <v/>
      </c>
      <c r="L307" s="41" t="str">
        <f t="shared" ref="L307" ca="1" si="1610">K307</f>
        <v/>
      </c>
      <c r="M307" s="41" t="str">
        <f t="shared" ref="M307" ca="1" si="1611">L307</f>
        <v/>
      </c>
      <c r="N307" s="41" t="str">
        <f t="shared" ref="N307" ca="1" si="1612">M307</f>
        <v/>
      </c>
      <c r="O307" s="41" t="str">
        <f t="shared" ref="O307" ca="1" si="1613">N307</f>
        <v/>
      </c>
      <c r="P307" s="44" t="str" cm="1">
        <f t="array" aca="1" ref="P307" ca="1">IF(INDIRECT(_xlfn.CONCAT($BD365,D$364))="+","+",IF(ISNUMBER(INDIRECT(_xlfn.CONCAT($BD365,D$363))),"-",""))</f>
        <v/>
      </c>
      <c r="Q307" s="41" t="str">
        <f ca="1">P307</f>
        <v/>
      </c>
      <c r="R307" s="41" t="str">
        <f t="shared" ref="R307" ca="1" si="1614">Q307</f>
        <v/>
      </c>
      <c r="S307" s="41" t="str">
        <f t="shared" ref="S307" ca="1" si="1615">R307</f>
        <v/>
      </c>
      <c r="T307" s="41" t="str">
        <f t="shared" ref="T307" ca="1" si="1616">S307</f>
        <v/>
      </c>
      <c r="U307" s="41" t="str">
        <f t="shared" ref="U307" ca="1" si="1617">T307</f>
        <v/>
      </c>
      <c r="V307" s="41" t="str">
        <f t="shared" ref="V307" ca="1" si="1618">U307</f>
        <v/>
      </c>
      <c r="W307" s="44" t="str" cm="1">
        <f t="array" aca="1" ref="W307" ca="1">IF(INDIRECT(_xlfn.CONCAT($BD365,E$364))="+","+",IF(ISNUMBER(INDIRECT(_xlfn.CONCAT($BD365,E$363))),"-",""))</f>
        <v/>
      </c>
      <c r="X307" s="41" t="str">
        <f ca="1">W307</f>
        <v/>
      </c>
      <c r="Y307" s="41" t="str">
        <f t="shared" ref="Y307" ca="1" si="1619">X307</f>
        <v/>
      </c>
      <c r="Z307" s="41" t="str">
        <f t="shared" ref="Z307" ca="1" si="1620">Y307</f>
        <v/>
      </c>
      <c r="AA307" s="41" t="str">
        <f t="shared" ref="AA307" ca="1" si="1621">Z307</f>
        <v/>
      </c>
      <c r="AB307" s="41" t="str">
        <f t="shared" ref="AB307" ca="1" si="1622">AA307</f>
        <v/>
      </c>
      <c r="AC307" s="41" t="str">
        <f t="shared" ref="AC307" ca="1" si="1623">AB307</f>
        <v/>
      </c>
      <c r="AD307" s="44" t="str" cm="1">
        <f t="array" aca="1" ref="AD307" ca="1">IF(INDIRECT(_xlfn.CONCAT($BD365,F$364))="+","+",IF(ISNUMBER(INDIRECT(_xlfn.CONCAT($BD365,F$363))),"-",""))</f>
        <v/>
      </c>
      <c r="AE307" s="41" t="str">
        <f ca="1">AD307</f>
        <v/>
      </c>
      <c r="AF307" s="41" t="str">
        <f t="shared" ref="AF307" ca="1" si="1624">AE307</f>
        <v/>
      </c>
      <c r="AG307" s="41" t="str">
        <f t="shared" ref="AG307" ca="1" si="1625">AF307</f>
        <v/>
      </c>
      <c r="AH307" s="41" t="str">
        <f t="shared" ref="AH307" ca="1" si="1626">AG307</f>
        <v/>
      </c>
      <c r="AI307" s="41" t="str">
        <f t="shared" ref="AI307" ca="1" si="1627">AH307</f>
        <v/>
      </c>
      <c r="AJ307" s="41" t="str">
        <f t="shared" ref="AJ307" ca="1" si="1628">AI307</f>
        <v/>
      </c>
      <c r="AK307" s="44" t="str" cm="1">
        <f t="array" aca="1" ref="AK307" ca="1">IF(INDIRECT(_xlfn.CONCAT($BD365,G$364))="+","+",IF(ISNUMBER(INDIRECT(_xlfn.CONCAT($BD365,G$363))),"-",""))</f>
        <v/>
      </c>
      <c r="AL307" s="41" t="str">
        <f ca="1">AK307</f>
        <v/>
      </c>
      <c r="AM307" s="41" t="str">
        <f t="shared" ref="AM307" ca="1" si="1629">AL307</f>
        <v/>
      </c>
      <c r="AN307" s="41" t="str">
        <f t="shared" ref="AN307" ca="1" si="1630">AM307</f>
        <v/>
      </c>
      <c r="AO307" s="41" t="str">
        <f t="shared" ref="AO307" ca="1" si="1631">AN307</f>
        <v/>
      </c>
      <c r="AP307" s="41" t="str">
        <f t="shared" ref="AP307" ca="1" si="1632">AO307</f>
        <v/>
      </c>
      <c r="AQ307" s="41" t="str">
        <f t="shared" ref="AQ307" ca="1" si="1633">AP307</f>
        <v/>
      </c>
      <c r="AR307" s="44"/>
      <c r="AS307" s="41"/>
      <c r="AT307" s="41"/>
      <c r="AU307" s="41"/>
      <c r="AV307" s="41"/>
      <c r="AW307" s="41"/>
    </row>
    <row r="308" spans="1:84" ht="15" customHeight="1" x14ac:dyDescent="0.2">
      <c r="A308" s="41" t="str">
        <f t="shared" si="1513"/>
        <v/>
      </c>
      <c r="B308" s="45" t="str" cm="1">
        <f t="array" aca="1" ref="B308" ca="1">IF(ISBLANK(INDIRECT(_xlfn.CONCAT($BD390,B$389))),"",INDIRECT(_xlfn.CONCAT($BD390,B$389)))</f>
        <v/>
      </c>
      <c r="C308" s="45"/>
      <c r="D308" s="45"/>
      <c r="E308" s="45"/>
      <c r="F308" s="45"/>
      <c r="G308" s="45"/>
      <c r="H308" s="45"/>
      <c r="I308" s="45" t="str" cm="1">
        <f t="array" aca="1" ref="I308" ca="1">IF(ISBLANK(INDIRECT(_xlfn.CONCAT($BD390,C$389))),"",INDIRECT(_xlfn.CONCAT($BD390,C$389)))</f>
        <v/>
      </c>
      <c r="J308" s="45"/>
      <c r="K308" s="45"/>
      <c r="L308" s="45"/>
      <c r="M308" s="45"/>
      <c r="N308" s="45"/>
      <c r="O308" s="45"/>
      <c r="P308" s="45" t="str" cm="1">
        <f t="array" aca="1" ref="P308" ca="1">IF(ISBLANK(INDIRECT(_xlfn.CONCAT($BD390,D$389))),"",INDIRECT(_xlfn.CONCAT($BD390,D$389)))</f>
        <v/>
      </c>
      <c r="Q308" s="45"/>
      <c r="R308" s="45"/>
      <c r="S308" s="45"/>
      <c r="T308" s="45"/>
      <c r="U308" s="45"/>
      <c r="V308" s="45"/>
      <c r="W308" s="45" t="str" cm="1">
        <f t="array" aca="1" ref="W308" ca="1">IF(ISBLANK(INDIRECT(_xlfn.CONCAT($BD390,E$389))),"",INDIRECT(_xlfn.CONCAT($BD390,E$389)))</f>
        <v/>
      </c>
      <c r="X308" s="45"/>
      <c r="Y308" s="45"/>
      <c r="Z308" s="45"/>
      <c r="AA308" s="45"/>
      <c r="AB308" s="45"/>
      <c r="AC308" s="45"/>
      <c r="AD308" s="45" t="str" cm="1">
        <f t="array" aca="1" ref="AD308" ca="1">IF(ISBLANK(INDIRECT(_xlfn.CONCAT($BD390,F$389))),"",INDIRECT(_xlfn.CONCAT($BD390,F$389)))</f>
        <v/>
      </c>
      <c r="AE308" s="45"/>
      <c r="AF308" s="45"/>
      <c r="AG308" s="45"/>
      <c r="AH308" s="45"/>
      <c r="AI308" s="45"/>
      <c r="AJ308" s="45"/>
      <c r="AK308" s="45" t="str" cm="1">
        <f t="array" aca="1" ref="AK308" ca="1">IF(ISBLANK(INDIRECT(_xlfn.CONCAT($BD390,G$389))),"",INDIRECT(_xlfn.CONCAT($BD390,G$389)))</f>
        <v/>
      </c>
      <c r="AL308" s="45"/>
      <c r="AM308" s="45"/>
      <c r="AN308" s="45"/>
      <c r="AO308" s="45"/>
      <c r="AP308" s="45"/>
      <c r="AQ308" s="45"/>
      <c r="AR308" s="45"/>
      <c r="AS308" s="46"/>
      <c r="AT308" s="46"/>
      <c r="AU308" s="46"/>
      <c r="AV308" s="46"/>
      <c r="AW308" s="46"/>
    </row>
    <row r="309" spans="1:84" ht="15" customHeight="1" x14ac:dyDescent="0.2">
      <c r="A309" s="41" t="str">
        <f t="shared" si="1513"/>
        <v/>
      </c>
      <c r="B309" s="213" t="str" cm="1">
        <f t="array" ref="B309">IF(INDEX($U$427:$CB$432,B$436,$BD437)="-","",INDEX($U$427:$CB$432,B$436,$BD437))</f>
        <v/>
      </c>
      <c r="C309" s="213"/>
      <c r="D309" s="213"/>
      <c r="E309" s="213"/>
      <c r="F309" s="213"/>
      <c r="G309" s="213"/>
      <c r="H309" s="213"/>
      <c r="I309" s="213" t="str" cm="1">
        <f t="array" ref="I309">IF(INDEX($U$427:$CB$432,C$436,$BD437)="-","",INDEX($U$427:$CB$432,C$436,$BD437))</f>
        <v/>
      </c>
      <c r="J309" s="213"/>
      <c r="K309" s="213"/>
      <c r="L309" s="213"/>
      <c r="M309" s="213"/>
      <c r="N309" s="213"/>
      <c r="O309" s="213"/>
      <c r="P309" s="213" t="str" cm="1">
        <f t="array" ref="P309">IF(INDEX($U$427:$CB$432,D$436,$BD437)="-","",INDEX($U$427:$CB$432,D$436,$BD437))</f>
        <v/>
      </c>
      <c r="Q309" s="213"/>
      <c r="R309" s="213"/>
      <c r="S309" s="213"/>
      <c r="T309" s="213"/>
      <c r="U309" s="213"/>
      <c r="V309" s="213"/>
      <c r="W309" s="213" t="str" cm="1">
        <f t="array" ref="W309">IF(INDEX($U$427:$CB$432,E$436,$BD437)="-","",INDEX($U$427:$CB$432,E$436,$BD437))</f>
        <v/>
      </c>
      <c r="X309" s="213"/>
      <c r="Y309" s="213"/>
      <c r="Z309" s="213"/>
      <c r="AA309" s="213"/>
      <c r="AB309" s="213"/>
      <c r="AC309" s="213"/>
      <c r="AD309" s="213" t="str" cm="1">
        <f t="array" ref="AD309">IF(INDEX($U$427:$CB$432,F$436,$BD437)="-","",INDEX($U$427:$CB$432,F$436,$BD437))</f>
        <v/>
      </c>
      <c r="AE309" s="213"/>
      <c r="AF309" s="213"/>
      <c r="AG309" s="213"/>
      <c r="AH309" s="213"/>
      <c r="AI309" s="213"/>
      <c r="AJ309" s="213"/>
      <c r="AK309" s="213" t="str" cm="1">
        <f t="array" ref="AK309">IF(INDEX($U$427:$CB$432,G$436,$BD437)="-","",INDEX($U$427:$CB$432,G$436,$BD437))</f>
        <v/>
      </c>
      <c r="AL309" s="213"/>
      <c r="AM309" s="213"/>
      <c r="AN309" s="213"/>
      <c r="AO309" s="213"/>
      <c r="AP309" s="213"/>
      <c r="AQ309" s="213"/>
      <c r="AR309" s="211"/>
      <c r="AS309" s="211"/>
      <c r="AT309" s="211"/>
      <c r="AU309" s="211"/>
      <c r="AV309" s="211"/>
      <c r="AW309" s="211"/>
    </row>
    <row r="310" spans="1:84" ht="15" customHeight="1" x14ac:dyDescent="0.2">
      <c r="A310" s="41" t="str">
        <f t="shared" si="1513"/>
        <v/>
      </c>
      <c r="B310" s="213"/>
      <c r="C310" s="213"/>
      <c r="D310" s="213"/>
      <c r="E310" s="213"/>
      <c r="F310" s="213"/>
      <c r="G310" s="213"/>
      <c r="H310" s="213"/>
      <c r="I310" s="213"/>
      <c r="J310" s="213"/>
      <c r="K310" s="213"/>
      <c r="L310" s="213"/>
      <c r="M310" s="213"/>
      <c r="N310" s="213"/>
      <c r="O310" s="213"/>
      <c r="P310" s="213"/>
      <c r="Q310" s="213"/>
      <c r="R310" s="213"/>
      <c r="S310" s="213"/>
      <c r="T310" s="213"/>
      <c r="U310" s="213"/>
      <c r="V310" s="213"/>
      <c r="W310" s="213"/>
      <c r="X310" s="213"/>
      <c r="Y310" s="213"/>
      <c r="Z310" s="213"/>
      <c r="AA310" s="213"/>
      <c r="AB310" s="213"/>
      <c r="AC310" s="213"/>
      <c r="AD310" s="213"/>
      <c r="AE310" s="213"/>
      <c r="AF310" s="213"/>
      <c r="AG310" s="213"/>
      <c r="AH310" s="213"/>
      <c r="AI310" s="213"/>
      <c r="AJ310" s="213"/>
      <c r="AK310" s="213"/>
      <c r="AL310" s="213"/>
      <c r="AM310" s="213"/>
      <c r="AN310" s="213"/>
      <c r="AO310" s="213"/>
      <c r="AP310" s="213"/>
      <c r="AQ310" s="213"/>
      <c r="AR310" s="211"/>
      <c r="AS310" s="211"/>
      <c r="AT310" s="211"/>
      <c r="AU310" s="211"/>
      <c r="AV310" s="211"/>
      <c r="AW310" s="211"/>
    </row>
    <row r="311" spans="1:84" ht="15" customHeight="1" x14ac:dyDescent="0.2">
      <c r="A311" s="41" t="str">
        <f t="shared" si="1513"/>
        <v/>
      </c>
      <c r="B311" s="213"/>
      <c r="C311" s="213"/>
      <c r="D311" s="213"/>
      <c r="E311" s="213"/>
      <c r="F311" s="213"/>
      <c r="G311" s="213"/>
      <c r="H311" s="213"/>
      <c r="I311" s="213"/>
      <c r="J311" s="213"/>
      <c r="K311" s="213"/>
      <c r="L311" s="213"/>
      <c r="M311" s="213"/>
      <c r="N311" s="213"/>
      <c r="O311" s="213"/>
      <c r="P311" s="213"/>
      <c r="Q311" s="213"/>
      <c r="R311" s="213"/>
      <c r="S311" s="213"/>
      <c r="T311" s="213"/>
      <c r="U311" s="213"/>
      <c r="V311" s="213"/>
      <c r="W311" s="213"/>
      <c r="X311" s="213"/>
      <c r="Y311" s="213"/>
      <c r="Z311" s="213"/>
      <c r="AA311" s="213"/>
      <c r="AB311" s="213"/>
      <c r="AC311" s="213"/>
      <c r="AD311" s="213"/>
      <c r="AE311" s="213"/>
      <c r="AF311" s="213"/>
      <c r="AG311" s="213"/>
      <c r="AH311" s="213"/>
      <c r="AI311" s="213"/>
      <c r="AJ311" s="213"/>
      <c r="AK311" s="213"/>
      <c r="AL311" s="213"/>
      <c r="AM311" s="213"/>
      <c r="AN311" s="213"/>
      <c r="AO311" s="213"/>
      <c r="AP311" s="213"/>
      <c r="AQ311" s="213"/>
      <c r="AR311" s="211"/>
      <c r="AS311" s="211"/>
      <c r="AT311" s="211"/>
      <c r="AU311" s="211"/>
      <c r="AV311" s="211"/>
      <c r="AW311" s="211"/>
    </row>
    <row r="312" spans="1:84" ht="15" customHeight="1" x14ac:dyDescent="0.2">
      <c r="A312" s="41" t="str">
        <f t="shared" si="1513"/>
        <v/>
      </c>
      <c r="B312" s="113"/>
      <c r="C312" s="42"/>
      <c r="D312" s="42"/>
      <c r="E312" s="42"/>
      <c r="F312" s="42"/>
      <c r="G312" s="42"/>
      <c r="H312" s="42"/>
      <c r="I312" s="113"/>
      <c r="J312" s="42"/>
      <c r="K312" s="42"/>
      <c r="L312" s="42"/>
      <c r="M312" s="42"/>
      <c r="N312" s="42"/>
      <c r="O312" s="42"/>
      <c r="P312" s="113"/>
      <c r="Q312" s="42"/>
      <c r="R312" s="42"/>
      <c r="S312" s="42"/>
      <c r="T312" s="42"/>
      <c r="U312" s="42"/>
      <c r="V312" s="42"/>
      <c r="W312" s="113"/>
      <c r="X312" s="42"/>
      <c r="Y312" s="42"/>
      <c r="Z312" s="42"/>
      <c r="AA312" s="42"/>
      <c r="AB312" s="42"/>
      <c r="AC312" s="42"/>
      <c r="AD312" s="113"/>
      <c r="AE312" s="42"/>
      <c r="AF312" s="42"/>
      <c r="AG312" s="42"/>
      <c r="AH312" s="42"/>
      <c r="AI312" s="42"/>
      <c r="AJ312" s="42"/>
      <c r="AK312" s="113"/>
      <c r="AL312" s="42"/>
      <c r="AM312" s="42"/>
      <c r="AN312" s="42"/>
      <c r="AO312" s="42"/>
      <c r="AP312" s="42"/>
      <c r="AQ312" s="42"/>
      <c r="AR312" s="113"/>
      <c r="AS312" s="42"/>
      <c r="AT312" s="42"/>
      <c r="AU312" s="42"/>
      <c r="AV312" s="42"/>
      <c r="AW312" s="42"/>
    </row>
    <row r="313" spans="1:84" ht="15" customHeight="1" x14ac:dyDescent="0.2">
      <c r="A313" s="41" t="str">
        <f t="shared" si="1513"/>
        <v/>
      </c>
      <c r="B313" s="114"/>
      <c r="C313" s="114"/>
      <c r="D313" s="114"/>
      <c r="E313" s="114"/>
      <c r="F313" s="114"/>
      <c r="G313" s="114"/>
      <c r="H313" s="114"/>
      <c r="I313" s="114"/>
      <c r="J313" s="114"/>
      <c r="K313" s="114"/>
      <c r="L313" s="114"/>
      <c r="M313" s="114"/>
      <c r="N313" s="114"/>
      <c r="O313" s="114"/>
      <c r="P313" s="114"/>
      <c r="Q313" s="114"/>
      <c r="R313" s="114"/>
      <c r="S313" s="114"/>
      <c r="T313" s="114"/>
      <c r="U313" s="114"/>
      <c r="V313" s="114"/>
      <c r="W313" s="114"/>
      <c r="X313" s="114"/>
      <c r="Y313" s="114"/>
      <c r="Z313" s="114"/>
      <c r="AA313" s="114"/>
      <c r="AB313" s="114"/>
      <c r="AC313" s="114"/>
      <c r="AD313" s="114"/>
      <c r="AE313" s="114"/>
      <c r="AF313" s="114"/>
      <c r="AG313" s="114"/>
      <c r="AH313" s="114"/>
      <c r="AI313" s="114"/>
      <c r="AJ313" s="114"/>
      <c r="AK313" s="114"/>
      <c r="AL313" s="114"/>
      <c r="AM313" s="114"/>
      <c r="AN313" s="114"/>
      <c r="AO313" s="114"/>
      <c r="AP313" s="114"/>
      <c r="AQ313" s="114"/>
      <c r="AR313" s="114"/>
      <c r="AS313" s="115"/>
      <c r="AT313" s="115"/>
      <c r="AU313" s="115"/>
      <c r="AV313" s="115"/>
      <c r="AW313" s="115"/>
    </row>
    <row r="314" spans="1:84" ht="15" customHeight="1" x14ac:dyDescent="0.2">
      <c r="A314" s="41" t="str">
        <f t="shared" si="1513"/>
        <v/>
      </c>
      <c r="B314" s="116"/>
      <c r="C314" s="116"/>
      <c r="D314" s="116"/>
      <c r="E314" s="116"/>
      <c r="F314" s="116"/>
      <c r="G314" s="116"/>
      <c r="H314" s="116"/>
      <c r="I314" s="116"/>
      <c r="J314" s="116"/>
      <c r="K314" s="116"/>
      <c r="L314" s="116"/>
      <c r="M314" s="116"/>
      <c r="N314" s="116"/>
      <c r="O314" s="116"/>
      <c r="P314" s="116"/>
      <c r="Q314" s="116"/>
      <c r="R314" s="116"/>
      <c r="S314" s="116"/>
      <c r="T314" s="116"/>
      <c r="U314" s="116"/>
      <c r="V314" s="116"/>
      <c r="W314" s="116"/>
      <c r="X314" s="116"/>
      <c r="Y314" s="116"/>
      <c r="Z314" s="116"/>
      <c r="AA314" s="116"/>
      <c r="AB314" s="116"/>
      <c r="AC314" s="116"/>
      <c r="AD314" s="116"/>
      <c r="AE314" s="116"/>
      <c r="AF314" s="116"/>
      <c r="AG314" s="116"/>
      <c r="AH314" s="116"/>
      <c r="AI314" s="116"/>
      <c r="AJ314" s="116"/>
      <c r="AK314" s="116"/>
      <c r="AL314" s="116"/>
      <c r="AM314" s="116"/>
      <c r="AN314" s="116"/>
      <c r="AO314" s="116"/>
      <c r="AP314" s="116"/>
      <c r="AQ314" s="116"/>
      <c r="AR314" s="43"/>
      <c r="AS314" s="43"/>
      <c r="AT314" s="43"/>
      <c r="AU314" s="43"/>
      <c r="AV314" s="43"/>
      <c r="AW314" s="43"/>
    </row>
    <row r="315" spans="1:84" ht="15" customHeight="1" x14ac:dyDescent="0.2">
      <c r="A315" s="41" t="str">
        <f t="shared" si="1513"/>
        <v/>
      </c>
      <c r="B315" s="116"/>
      <c r="C315" s="116"/>
      <c r="D315" s="116"/>
      <c r="E315" s="116"/>
      <c r="F315" s="116"/>
      <c r="G315" s="116"/>
      <c r="H315" s="116"/>
      <c r="I315" s="116"/>
      <c r="J315" s="116"/>
      <c r="K315" s="116"/>
      <c r="L315" s="116"/>
      <c r="M315" s="116"/>
      <c r="N315" s="116"/>
      <c r="O315" s="116"/>
      <c r="P315" s="116"/>
      <c r="Q315" s="116"/>
      <c r="R315" s="116"/>
      <c r="S315" s="116"/>
      <c r="T315" s="116"/>
      <c r="U315" s="116"/>
      <c r="V315" s="116"/>
      <c r="W315" s="116"/>
      <c r="X315" s="116"/>
      <c r="Y315" s="116"/>
      <c r="Z315" s="116"/>
      <c r="AA315" s="116"/>
      <c r="AB315" s="116"/>
      <c r="AC315" s="116"/>
      <c r="AD315" s="116"/>
      <c r="AE315" s="116"/>
      <c r="AF315" s="116"/>
      <c r="AG315" s="116"/>
      <c r="AH315" s="116"/>
      <c r="AI315" s="116"/>
      <c r="AJ315" s="116"/>
      <c r="AK315" s="116"/>
      <c r="AL315" s="116"/>
      <c r="AM315" s="116"/>
      <c r="AN315" s="116"/>
      <c r="AO315" s="116"/>
      <c r="AP315" s="116"/>
      <c r="AQ315" s="116"/>
      <c r="AR315" s="43"/>
      <c r="AS315" s="43"/>
      <c r="AT315" s="43"/>
      <c r="AU315" s="43"/>
      <c r="AV315" s="43"/>
      <c r="AW315" s="43"/>
    </row>
    <row r="316" spans="1:84" ht="15" customHeight="1" x14ac:dyDescent="0.2">
      <c r="A316" s="41" t="str">
        <f t="shared" si="1513"/>
        <v/>
      </c>
      <c r="B316" s="116"/>
      <c r="C316" s="116"/>
      <c r="D316" s="116"/>
      <c r="E316" s="116"/>
      <c r="F316" s="116"/>
      <c r="G316" s="116"/>
      <c r="H316" s="116"/>
      <c r="I316" s="116"/>
      <c r="J316" s="116"/>
      <c r="K316" s="116"/>
      <c r="L316" s="116"/>
      <c r="M316" s="116"/>
      <c r="N316" s="116"/>
      <c r="O316" s="116"/>
      <c r="P316" s="116"/>
      <c r="Q316" s="116"/>
      <c r="R316" s="116"/>
      <c r="S316" s="116"/>
      <c r="T316" s="116"/>
      <c r="U316" s="116"/>
      <c r="V316" s="116"/>
      <c r="W316" s="116"/>
      <c r="X316" s="116"/>
      <c r="Y316" s="116"/>
      <c r="Z316" s="116"/>
      <c r="AA316" s="116"/>
      <c r="AB316" s="116"/>
      <c r="AC316" s="116"/>
      <c r="AD316" s="116"/>
      <c r="AE316" s="116"/>
      <c r="AF316" s="116"/>
      <c r="AG316" s="116"/>
      <c r="AH316" s="116"/>
      <c r="AI316" s="116"/>
      <c r="AJ316" s="116"/>
      <c r="AK316" s="116"/>
      <c r="AL316" s="116"/>
      <c r="AM316" s="116"/>
      <c r="AN316" s="116"/>
      <c r="AO316" s="116"/>
      <c r="AP316" s="116"/>
      <c r="AQ316" s="116"/>
      <c r="AR316" s="43"/>
      <c r="AS316" s="43"/>
      <c r="AT316" s="43"/>
      <c r="AU316" s="43"/>
      <c r="AV316" s="43"/>
      <c r="AW316" s="43"/>
    </row>
    <row r="317" spans="1:84" ht="15" customHeight="1" x14ac:dyDescent="0.2">
      <c r="A317" s="41" t="str">
        <f t="shared" si="1513"/>
        <v/>
      </c>
      <c r="B317" s="113"/>
      <c r="C317" s="42"/>
      <c r="D317" s="42"/>
      <c r="E317" s="42"/>
      <c r="F317" s="42"/>
      <c r="G317" s="42"/>
      <c r="H317" s="42"/>
      <c r="I317" s="113"/>
      <c r="J317" s="42"/>
      <c r="K317" s="42"/>
      <c r="L317" s="42"/>
      <c r="M317" s="42"/>
      <c r="N317" s="42"/>
      <c r="O317" s="42"/>
      <c r="P317" s="113"/>
      <c r="Q317" s="42"/>
      <c r="R317" s="42"/>
      <c r="S317" s="42"/>
      <c r="T317" s="42"/>
      <c r="U317" s="42"/>
      <c r="V317" s="42"/>
      <c r="W317" s="113"/>
      <c r="X317" s="42"/>
      <c r="Y317" s="42"/>
      <c r="Z317" s="42"/>
      <c r="AA317" s="42"/>
      <c r="AB317" s="42"/>
      <c r="AC317" s="42"/>
      <c r="AD317" s="113"/>
      <c r="AE317" s="42"/>
      <c r="AF317" s="42"/>
      <c r="AG317" s="42"/>
      <c r="AH317" s="42"/>
      <c r="AI317" s="42"/>
      <c r="AJ317" s="42"/>
      <c r="AK317" s="113"/>
      <c r="AL317" s="42"/>
      <c r="AM317" s="42"/>
      <c r="AN317" s="42"/>
      <c r="AO317" s="42"/>
      <c r="AP317" s="42"/>
      <c r="AQ317" s="42"/>
      <c r="AR317" s="113"/>
      <c r="AS317" s="42"/>
      <c r="AT317" s="42"/>
      <c r="AU317" s="42"/>
      <c r="AV317" s="42"/>
      <c r="AW317" s="42"/>
    </row>
    <row r="318" spans="1:84" ht="15" customHeight="1" x14ac:dyDescent="0.2">
      <c r="A318" s="41" t="str">
        <f t="shared" si="1513"/>
        <v/>
      </c>
      <c r="B318" s="114"/>
      <c r="C318" s="114"/>
      <c r="D318" s="114"/>
      <c r="E318" s="114"/>
      <c r="F318" s="114"/>
      <c r="G318" s="114"/>
      <c r="H318" s="114"/>
      <c r="I318" s="114"/>
      <c r="J318" s="114"/>
      <c r="K318" s="114"/>
      <c r="L318" s="114"/>
      <c r="M318" s="114"/>
      <c r="N318" s="114"/>
      <c r="O318" s="114"/>
      <c r="P318" s="114"/>
      <c r="Q318" s="114"/>
      <c r="R318" s="114"/>
      <c r="S318" s="114"/>
      <c r="T318" s="114"/>
      <c r="U318" s="114"/>
      <c r="V318" s="114"/>
      <c r="W318" s="114"/>
      <c r="X318" s="114"/>
      <c r="Y318" s="114"/>
      <c r="Z318" s="114"/>
      <c r="AA318" s="114"/>
      <c r="AB318" s="114"/>
      <c r="AC318" s="114"/>
      <c r="AD318" s="114"/>
      <c r="AE318" s="114"/>
      <c r="AF318" s="114"/>
      <c r="AG318" s="114"/>
      <c r="AH318" s="114"/>
      <c r="AI318" s="114"/>
      <c r="AJ318" s="114"/>
      <c r="AK318" s="114"/>
      <c r="AL318" s="114"/>
      <c r="AM318" s="114"/>
      <c r="AN318" s="114"/>
      <c r="AO318" s="114"/>
      <c r="AP318" s="114"/>
      <c r="AQ318" s="114"/>
      <c r="AR318" s="114"/>
      <c r="AS318" s="43"/>
      <c r="AT318" s="43"/>
      <c r="AU318" s="43"/>
      <c r="AV318" s="43"/>
      <c r="AW318" s="43"/>
    </row>
    <row r="319" spans="1:84" ht="15" customHeight="1" x14ac:dyDescent="0.2">
      <c r="A319" s="47" t="s">
        <v>50</v>
      </c>
      <c r="B319" s="47"/>
      <c r="C319" s="47"/>
      <c r="D319" s="47"/>
      <c r="E319" s="47"/>
      <c r="F319" s="47"/>
      <c r="G319" s="47"/>
      <c r="H319" s="47"/>
      <c r="I319" s="47"/>
      <c r="J319" s="47"/>
      <c r="K319" s="47"/>
      <c r="L319" s="47"/>
      <c r="M319" s="47"/>
      <c r="N319" s="47"/>
      <c r="O319" s="47"/>
      <c r="P319" s="47"/>
      <c r="Q319" s="47"/>
      <c r="R319" s="47"/>
      <c r="S319" s="47"/>
      <c r="T319" s="47"/>
      <c r="U319" s="47"/>
      <c r="V319" s="47"/>
      <c r="W319" s="47"/>
      <c r="X319" s="47"/>
      <c r="Y319" s="47"/>
      <c r="Z319" s="47"/>
      <c r="AA319" s="47"/>
      <c r="AB319" s="47"/>
      <c r="AC319" s="47"/>
      <c r="AD319" s="47"/>
      <c r="AE319" s="47"/>
      <c r="AF319" s="47"/>
      <c r="AG319" s="47"/>
      <c r="AH319" s="47"/>
      <c r="AI319" s="47"/>
      <c r="AJ319" s="47"/>
      <c r="AK319" s="47"/>
      <c r="AL319" s="47"/>
      <c r="AM319" s="47"/>
      <c r="AN319" s="47"/>
      <c r="AO319" s="47"/>
      <c r="AP319" s="47"/>
      <c r="AQ319" s="47"/>
      <c r="AR319" s="47"/>
      <c r="AS319" s="47"/>
      <c r="AT319" s="47"/>
      <c r="AU319" s="47"/>
      <c r="AV319" s="47"/>
      <c r="AW319" s="47"/>
      <c r="BH319" s="48"/>
      <c r="BI319" s="48"/>
    </row>
    <row r="320" spans="1:84" s="49" customFormat="1" ht="15" customHeight="1" x14ac:dyDescent="0.2">
      <c r="BH320" s="48"/>
      <c r="BI320" s="48"/>
      <c r="CE320" s="33"/>
      <c r="CF320" s="33"/>
    </row>
    <row r="321" spans="2:84" s="49" customFormat="1" ht="15" customHeight="1" x14ac:dyDescent="0.2">
      <c r="B321" s="50" t="s">
        <v>116</v>
      </c>
      <c r="BH321" s="48"/>
      <c r="BI321" s="48"/>
      <c r="CE321" s="33"/>
      <c r="CF321" s="33"/>
    </row>
    <row r="322" spans="2:84" s="49" customFormat="1" ht="15" customHeight="1" x14ac:dyDescent="0.2">
      <c r="BH322" s="48"/>
      <c r="BI322" s="48"/>
      <c r="CE322" s="33"/>
      <c r="CF322" s="33"/>
    </row>
    <row r="323" spans="2:84" s="49" customFormat="1" ht="15" customHeight="1" x14ac:dyDescent="0.2">
      <c r="U323" s="51">
        <v>10</v>
      </c>
      <c r="V323" s="51">
        <f>U323+5</f>
        <v>15</v>
      </c>
      <c r="W323" s="51">
        <f t="shared" ref="W323:AE323" si="1634">V323+5</f>
        <v>20</v>
      </c>
      <c r="X323" s="51">
        <f t="shared" si="1634"/>
        <v>25</v>
      </c>
      <c r="Y323" s="51">
        <f t="shared" si="1634"/>
        <v>30</v>
      </c>
      <c r="Z323" s="51">
        <f t="shared" si="1634"/>
        <v>35</v>
      </c>
      <c r="AA323" s="51">
        <f t="shared" si="1634"/>
        <v>40</v>
      </c>
      <c r="AB323" s="51">
        <f t="shared" si="1634"/>
        <v>45</v>
      </c>
      <c r="AC323" s="51">
        <f t="shared" si="1634"/>
        <v>50</v>
      </c>
      <c r="AD323" s="51">
        <f t="shared" si="1634"/>
        <v>55</v>
      </c>
      <c r="AE323" s="51">
        <f t="shared" si="1634"/>
        <v>60</v>
      </c>
      <c r="AF323" s="51">
        <f t="shared" ref="AF323" si="1635">AE323+5</f>
        <v>65</v>
      </c>
      <c r="AG323" s="51">
        <f t="shared" ref="AG323" si="1636">AF323+5</f>
        <v>70</v>
      </c>
      <c r="AH323" s="51">
        <f t="shared" ref="AH323" si="1637">AG323+5</f>
        <v>75</v>
      </c>
      <c r="AI323" s="51">
        <f t="shared" ref="AI323" si="1638">AH323+5</f>
        <v>80</v>
      </c>
      <c r="AJ323" s="51">
        <f t="shared" ref="AJ323" si="1639">AI323+5</f>
        <v>85</v>
      </c>
      <c r="AK323" s="51">
        <f t="shared" ref="AK323" si="1640">AJ323+5</f>
        <v>90</v>
      </c>
      <c r="AL323" s="51">
        <f t="shared" ref="AL323" si="1641">AK323+5</f>
        <v>95</v>
      </c>
      <c r="AM323" s="51">
        <f t="shared" ref="AM323" si="1642">AL323+5</f>
        <v>100</v>
      </c>
      <c r="AN323" s="51">
        <f t="shared" ref="AN323" si="1643">AM323+5</f>
        <v>105</v>
      </c>
      <c r="AO323" s="51">
        <f t="shared" ref="AO323" si="1644">AN323+5</f>
        <v>110</v>
      </c>
      <c r="AP323" s="51">
        <f t="shared" ref="AP323" si="1645">AO323+5</f>
        <v>115</v>
      </c>
      <c r="AQ323" s="51">
        <f t="shared" ref="AQ323" si="1646">AP323+5</f>
        <v>120</v>
      </c>
      <c r="AR323" s="51">
        <f t="shared" ref="AR323" si="1647">AQ323+5</f>
        <v>125</v>
      </c>
      <c r="AS323" s="51">
        <f t="shared" ref="AS323" si="1648">AR323+5</f>
        <v>130</v>
      </c>
      <c r="AT323" s="51">
        <f t="shared" ref="AT323" si="1649">AS323+5</f>
        <v>135</v>
      </c>
      <c r="AU323" s="51">
        <f t="shared" ref="AU323" si="1650">AT323+5</f>
        <v>140</v>
      </c>
      <c r="AV323" s="51">
        <f t="shared" ref="AV323" si="1651">AU323+5</f>
        <v>145</v>
      </c>
      <c r="AW323" s="51">
        <f t="shared" ref="AW323" si="1652">AV323+5</f>
        <v>150</v>
      </c>
      <c r="AX323" s="51">
        <f t="shared" ref="AX323" si="1653">AW323+5</f>
        <v>155</v>
      </c>
      <c r="AY323" s="51">
        <f t="shared" ref="AY323" si="1654">AX323+5</f>
        <v>160</v>
      </c>
      <c r="AZ323" s="51">
        <f t="shared" ref="AZ323" si="1655">AY323+5</f>
        <v>165</v>
      </c>
      <c r="BA323" s="51">
        <f t="shared" ref="BA323" si="1656">AZ323+5</f>
        <v>170</v>
      </c>
      <c r="BB323" s="51">
        <f t="shared" ref="BB323" si="1657">BA323+5</f>
        <v>175</v>
      </c>
      <c r="BC323" s="51">
        <f t="shared" ref="BC323" si="1658">BB323+5</f>
        <v>180</v>
      </c>
      <c r="BD323" s="51">
        <f t="shared" ref="BD323" si="1659">BC323+5</f>
        <v>185</v>
      </c>
      <c r="BE323" s="51">
        <f t="shared" ref="BE323" si="1660">BD323+5</f>
        <v>190</v>
      </c>
      <c r="BF323" s="51">
        <f t="shared" ref="BF323" si="1661">BE323+5</f>
        <v>195</v>
      </c>
      <c r="BG323" s="51">
        <f t="shared" ref="BG323" si="1662">BF323+5</f>
        <v>200</v>
      </c>
      <c r="BH323" s="51">
        <f t="shared" ref="BH323" si="1663">BG323+5</f>
        <v>205</v>
      </c>
      <c r="BI323" s="51">
        <f t="shared" ref="BI323" si="1664">BH323+5</f>
        <v>210</v>
      </c>
      <c r="BJ323" s="51">
        <f t="shared" ref="BJ323" si="1665">BI323+5</f>
        <v>215</v>
      </c>
      <c r="BK323" s="51">
        <f t="shared" ref="BK323" si="1666">BJ323+5</f>
        <v>220</v>
      </c>
      <c r="BL323" s="51">
        <f t="shared" ref="BL323" si="1667">BK323+5</f>
        <v>225</v>
      </c>
      <c r="BM323" s="51">
        <f t="shared" ref="BM323" si="1668">BL323+5</f>
        <v>230</v>
      </c>
      <c r="BN323" s="51">
        <f t="shared" ref="BN323" si="1669">BM323+5</f>
        <v>235</v>
      </c>
      <c r="BO323" s="51">
        <f t="shared" ref="BO323" si="1670">BN323+5</f>
        <v>240</v>
      </c>
      <c r="BP323" s="51">
        <f t="shared" ref="BP323" si="1671">BO323+5</f>
        <v>245</v>
      </c>
      <c r="BQ323" s="51">
        <f t="shared" ref="BQ323" si="1672">BP323+5</f>
        <v>250</v>
      </c>
      <c r="BR323" s="51">
        <f t="shared" ref="BR323" si="1673">BQ323+5</f>
        <v>255</v>
      </c>
      <c r="BS323" s="51">
        <f t="shared" ref="BS323" si="1674">BR323+5</f>
        <v>260</v>
      </c>
      <c r="BT323" s="51">
        <f t="shared" ref="BT323" si="1675">BS323+5</f>
        <v>265</v>
      </c>
      <c r="BU323" s="51">
        <f t="shared" ref="BU323" si="1676">BT323+5</f>
        <v>270</v>
      </c>
      <c r="BV323" s="51">
        <f t="shared" ref="BV323" si="1677">BU323+5</f>
        <v>275</v>
      </c>
      <c r="BW323" s="51">
        <f t="shared" ref="BW323" si="1678">BV323+5</f>
        <v>280</v>
      </c>
      <c r="CE323" s="33"/>
      <c r="CF323" s="33"/>
    </row>
    <row r="324" spans="2:84" s="49" customFormat="1" ht="15" customHeight="1" x14ac:dyDescent="0.2">
      <c r="B324" s="214" t="s">
        <v>98</v>
      </c>
      <c r="C324" s="214"/>
      <c r="D324" s="214"/>
      <c r="E324" s="218" t="s">
        <v>147</v>
      </c>
      <c r="F324" s="218"/>
      <c r="G324" s="218"/>
      <c r="H324" s="218"/>
      <c r="I324" s="218"/>
      <c r="J324" s="218"/>
      <c r="K324" s="218"/>
      <c r="L324" s="218"/>
      <c r="M324" s="218" t="s">
        <v>97</v>
      </c>
      <c r="N324" s="218"/>
      <c r="O324" s="218"/>
      <c r="P324" s="218"/>
      <c r="Q324" s="218" t="s">
        <v>118</v>
      </c>
      <c r="R324" s="218"/>
      <c r="S324" s="218"/>
      <c r="T324" s="218"/>
      <c r="U324" s="52">
        <v>1</v>
      </c>
      <c r="V324" s="52">
        <v>2</v>
      </c>
      <c r="W324" s="52">
        <v>3</v>
      </c>
      <c r="X324" s="52">
        <v>4</v>
      </c>
      <c r="Y324" s="52">
        <v>5</v>
      </c>
      <c r="Z324" s="52">
        <v>6</v>
      </c>
      <c r="AA324" s="52">
        <v>7</v>
      </c>
      <c r="AB324" s="52">
        <v>8</v>
      </c>
      <c r="AC324" s="52">
        <v>9</v>
      </c>
      <c r="AD324" s="52">
        <v>10</v>
      </c>
      <c r="AE324" s="52">
        <v>11</v>
      </c>
      <c r="AF324" s="52">
        <v>12</v>
      </c>
      <c r="AG324" s="52">
        <v>13</v>
      </c>
      <c r="AH324" s="52">
        <v>14</v>
      </c>
      <c r="AI324" s="52">
        <v>15</v>
      </c>
      <c r="AJ324" s="52">
        <v>16</v>
      </c>
      <c r="AK324" s="52">
        <v>17</v>
      </c>
      <c r="AL324" s="52">
        <v>18</v>
      </c>
      <c r="AM324" s="52">
        <v>19</v>
      </c>
      <c r="AN324" s="52">
        <v>20</v>
      </c>
      <c r="AO324" s="52">
        <v>21</v>
      </c>
      <c r="AP324" s="52">
        <v>22</v>
      </c>
      <c r="AQ324" s="52">
        <v>23</v>
      </c>
      <c r="AR324" s="52">
        <v>24</v>
      </c>
      <c r="AS324" s="52">
        <v>25</v>
      </c>
      <c r="AT324" s="52">
        <v>26</v>
      </c>
      <c r="AU324" s="52">
        <v>27</v>
      </c>
      <c r="AV324" s="52">
        <v>28</v>
      </c>
      <c r="AW324" s="52">
        <v>29</v>
      </c>
      <c r="AX324" s="52">
        <v>30</v>
      </c>
      <c r="AY324" s="52">
        <v>31</v>
      </c>
      <c r="AZ324" s="52">
        <v>32</v>
      </c>
      <c r="BA324" s="52">
        <v>33</v>
      </c>
      <c r="BB324" s="52">
        <v>34</v>
      </c>
      <c r="BC324" s="52">
        <v>35</v>
      </c>
      <c r="BD324" s="52">
        <v>36</v>
      </c>
      <c r="BE324" s="52">
        <v>37</v>
      </c>
      <c r="BF324" s="52">
        <v>38</v>
      </c>
      <c r="BG324" s="52">
        <v>39</v>
      </c>
      <c r="BH324" s="52">
        <v>40</v>
      </c>
      <c r="BI324" s="52">
        <v>41</v>
      </c>
      <c r="BJ324" s="52">
        <v>42</v>
      </c>
      <c r="BK324" s="52">
        <v>43</v>
      </c>
      <c r="BL324" s="52">
        <v>44</v>
      </c>
      <c r="BM324" s="52">
        <v>45</v>
      </c>
      <c r="BN324" s="52">
        <v>46</v>
      </c>
      <c r="BO324" s="52">
        <v>47</v>
      </c>
      <c r="BP324" s="52">
        <v>48</v>
      </c>
      <c r="BQ324" s="52">
        <v>49</v>
      </c>
      <c r="BR324" s="52">
        <v>50</v>
      </c>
      <c r="BS324" s="52">
        <v>51</v>
      </c>
      <c r="BT324" s="52">
        <v>52</v>
      </c>
      <c r="BU324" s="52">
        <v>53</v>
      </c>
      <c r="BV324" s="52">
        <v>54</v>
      </c>
      <c r="BW324" s="52">
        <v>55</v>
      </c>
      <c r="BX324" s="53"/>
      <c r="BY324" s="53"/>
      <c r="BZ324" s="53"/>
      <c r="CA324" s="53"/>
      <c r="CB324" s="53"/>
      <c r="CE324" s="33"/>
      <c r="CF324" s="33"/>
    </row>
    <row r="325" spans="2:84" s="49" customFormat="1" ht="15" customHeight="1" x14ac:dyDescent="0.2">
      <c r="B325" s="214">
        <v>1</v>
      </c>
      <c r="C325" s="214"/>
      <c r="D325" s="214"/>
      <c r="E325" s="215" t="str">
        <f>IF('Project Event Tree Input'!D9="Hydrologic Hazard","Hazard","Primary Hazard")</f>
        <v>Hazard</v>
      </c>
      <c r="F325" s="216"/>
      <c r="G325" s="216"/>
      <c r="H325" s="216"/>
      <c r="I325" s="216"/>
      <c r="J325" s="216"/>
      <c r="K325" s="216"/>
      <c r="L325" s="217"/>
      <c r="M325" s="151">
        <f>IF(E325="-","-",IF(E325="Operational Performance",IF(ISBLANK('Project Event Tree Input'!$D$25),"-",'Project Event Tree Input'!$D$25),IF(E325="Transform",IF(ISBLANK('Project Event Tree Input'!$D$48),"-",'Project Event Tree Input'!$D$48+1),1)))</f>
        <v>1</v>
      </c>
      <c r="N325" s="151"/>
      <c r="O325" s="151"/>
      <c r="P325" s="151"/>
      <c r="Q325" s="218">
        <f>IF(M325="-","-",PRODUCT($M325:M$325))</f>
        <v>1</v>
      </c>
      <c r="R325" s="218"/>
      <c r="S325" s="218"/>
      <c r="T325" s="218"/>
      <c r="U325" s="51">
        <f t="shared" ref="U325:AE325" si="1679">IF(ISNUMBER($Q325),IF(U$324&gt;MAX($Q$325:$T$330),"-",IF(MOD(U$324-$U$324,(MAX($Q$325:$T$330)/$Q325))=0,U$323,"-")),"-")</f>
        <v>10</v>
      </c>
      <c r="V325" s="51" t="str">
        <f t="shared" si="1679"/>
        <v>-</v>
      </c>
      <c r="W325" s="51" t="str">
        <f t="shared" si="1679"/>
        <v>-</v>
      </c>
      <c r="X325" s="51" t="str">
        <f t="shared" si="1679"/>
        <v>-</v>
      </c>
      <c r="Y325" s="51" t="str">
        <f t="shared" si="1679"/>
        <v>-</v>
      </c>
      <c r="Z325" s="51" t="str">
        <f t="shared" si="1679"/>
        <v>-</v>
      </c>
      <c r="AA325" s="51" t="str">
        <f t="shared" si="1679"/>
        <v>-</v>
      </c>
      <c r="AB325" s="51" t="str">
        <f t="shared" si="1679"/>
        <v>-</v>
      </c>
      <c r="AC325" s="51" t="str">
        <f t="shared" si="1679"/>
        <v>-</v>
      </c>
      <c r="AD325" s="51" t="str">
        <f t="shared" si="1679"/>
        <v>-</v>
      </c>
      <c r="AE325" s="51" t="str">
        <f t="shared" si="1679"/>
        <v>-</v>
      </c>
      <c r="AF325" s="51" t="str">
        <f t="shared" ref="AF325:BW325" si="1680">IF(ISNUMBER($Q325),IF(AF$324&gt;MAX($Q$325:$T$330),"-",IF(MOD(AF$324-$U$324,(MAX($Q$325:$T$330)/$Q325))=0,AF$323,"-")),"-")</f>
        <v>-</v>
      </c>
      <c r="AG325" s="51" t="str">
        <f t="shared" si="1680"/>
        <v>-</v>
      </c>
      <c r="AH325" s="51" t="str">
        <f t="shared" si="1680"/>
        <v>-</v>
      </c>
      <c r="AI325" s="51" t="str">
        <f t="shared" si="1680"/>
        <v>-</v>
      </c>
      <c r="AJ325" s="51" t="str">
        <f t="shared" si="1680"/>
        <v>-</v>
      </c>
      <c r="AK325" s="51" t="str">
        <f t="shared" si="1680"/>
        <v>-</v>
      </c>
      <c r="AL325" s="51" t="str">
        <f t="shared" si="1680"/>
        <v>-</v>
      </c>
      <c r="AM325" s="51" t="str">
        <f t="shared" si="1680"/>
        <v>-</v>
      </c>
      <c r="AN325" s="51" t="str">
        <f t="shared" si="1680"/>
        <v>-</v>
      </c>
      <c r="AO325" s="51" t="str">
        <f t="shared" si="1680"/>
        <v>-</v>
      </c>
      <c r="AP325" s="51" t="str">
        <f t="shared" si="1680"/>
        <v>-</v>
      </c>
      <c r="AQ325" s="51" t="str">
        <f t="shared" si="1680"/>
        <v>-</v>
      </c>
      <c r="AR325" s="51" t="str">
        <f t="shared" si="1680"/>
        <v>-</v>
      </c>
      <c r="AS325" s="51" t="str">
        <f t="shared" si="1680"/>
        <v>-</v>
      </c>
      <c r="AT325" s="51" t="str">
        <f t="shared" si="1680"/>
        <v>-</v>
      </c>
      <c r="AU325" s="51" t="str">
        <f t="shared" si="1680"/>
        <v>-</v>
      </c>
      <c r="AV325" s="51" t="str">
        <f t="shared" si="1680"/>
        <v>-</v>
      </c>
      <c r="AW325" s="51" t="str">
        <f t="shared" si="1680"/>
        <v>-</v>
      </c>
      <c r="AX325" s="51" t="str">
        <f t="shared" si="1680"/>
        <v>-</v>
      </c>
      <c r="AY325" s="51" t="str">
        <f t="shared" si="1680"/>
        <v>-</v>
      </c>
      <c r="AZ325" s="51" t="str">
        <f t="shared" si="1680"/>
        <v>-</v>
      </c>
      <c r="BA325" s="51" t="str">
        <f t="shared" si="1680"/>
        <v>-</v>
      </c>
      <c r="BB325" s="51" t="str">
        <f t="shared" si="1680"/>
        <v>-</v>
      </c>
      <c r="BC325" s="51" t="str">
        <f t="shared" si="1680"/>
        <v>-</v>
      </c>
      <c r="BD325" s="51" t="str">
        <f t="shared" si="1680"/>
        <v>-</v>
      </c>
      <c r="BE325" s="51" t="str">
        <f t="shared" si="1680"/>
        <v>-</v>
      </c>
      <c r="BF325" s="51" t="str">
        <f t="shared" si="1680"/>
        <v>-</v>
      </c>
      <c r="BG325" s="51" t="str">
        <f t="shared" si="1680"/>
        <v>-</v>
      </c>
      <c r="BH325" s="51" t="str">
        <f t="shared" si="1680"/>
        <v>-</v>
      </c>
      <c r="BI325" s="51" t="str">
        <f t="shared" si="1680"/>
        <v>-</v>
      </c>
      <c r="BJ325" s="51" t="str">
        <f t="shared" si="1680"/>
        <v>-</v>
      </c>
      <c r="BK325" s="51" t="str">
        <f t="shared" si="1680"/>
        <v>-</v>
      </c>
      <c r="BL325" s="51" t="str">
        <f t="shared" si="1680"/>
        <v>-</v>
      </c>
      <c r="BM325" s="51" t="str">
        <f t="shared" si="1680"/>
        <v>-</v>
      </c>
      <c r="BN325" s="51" t="str">
        <f t="shared" si="1680"/>
        <v>-</v>
      </c>
      <c r="BO325" s="51" t="str">
        <f t="shared" si="1680"/>
        <v>-</v>
      </c>
      <c r="BP325" s="51" t="str">
        <f t="shared" si="1680"/>
        <v>-</v>
      </c>
      <c r="BQ325" s="51" t="str">
        <f t="shared" si="1680"/>
        <v>-</v>
      </c>
      <c r="BR325" s="51" t="str">
        <f t="shared" si="1680"/>
        <v>-</v>
      </c>
      <c r="BS325" s="51" t="str">
        <f t="shared" si="1680"/>
        <v>-</v>
      </c>
      <c r="BT325" s="51" t="str">
        <f t="shared" si="1680"/>
        <v>-</v>
      </c>
      <c r="BU325" s="51" t="str">
        <f t="shared" si="1680"/>
        <v>-</v>
      </c>
      <c r="BV325" s="51" t="str">
        <f t="shared" si="1680"/>
        <v>-</v>
      </c>
      <c r="BW325" s="51" t="str">
        <f t="shared" si="1680"/>
        <v>-</v>
      </c>
      <c r="CE325" s="33"/>
      <c r="CF325" s="33"/>
    </row>
    <row r="326" spans="2:84" s="49" customFormat="1" ht="15" customHeight="1" x14ac:dyDescent="0.2">
      <c r="B326" s="214">
        <v>2</v>
      </c>
      <c r="C326" s="214"/>
      <c r="D326" s="214"/>
      <c r="E326" s="215" t="str">
        <f>IF(E325="-","-",IF(E325="Primary Hazard","Secondary Hazard",IF('Project Event Tree Input'!$D$24&lt;&gt;"None","Operational Performance","Transform")))</f>
        <v>Operational Performance</v>
      </c>
      <c r="F326" s="216"/>
      <c r="G326" s="216"/>
      <c r="H326" s="216"/>
      <c r="I326" s="216"/>
      <c r="J326" s="216"/>
      <c r="K326" s="216"/>
      <c r="L326" s="217"/>
      <c r="M326" s="151">
        <f>IF(E326="-","-",IF(E326="Operational Performance",IF(ISBLANK('Project Event Tree Input'!$D$25),"-",'Project Event Tree Input'!$D$25),IF(E326="Transform",IF(ISBLANK('Project Event Tree Input'!$D$48),"-",'Project Event Tree Input'!$D$48+1),1)))</f>
        <v>3</v>
      </c>
      <c r="N326" s="151"/>
      <c r="O326" s="151"/>
      <c r="P326" s="151"/>
      <c r="Q326" s="218">
        <f>IF(M326="-","-",PRODUCT($M$325:M326))</f>
        <v>3</v>
      </c>
      <c r="R326" s="218"/>
      <c r="S326" s="218"/>
      <c r="T326" s="218"/>
      <c r="U326" s="51">
        <f t="shared" ref="U326:AE330" si="1681">IF(AND(ISNUMBER($Q326),$Q325="-"),"-",IF(ISNUMBER($Q326),IF(U$324&gt;MAX($Q$325:$T$330),"-",IF(MOD(U$324-$U$324,(MAX($Q$325:$T$330)/$Q326))=0,U$323,"-")),"-"))</f>
        <v>10</v>
      </c>
      <c r="V326" s="51" t="str">
        <f t="shared" si="1681"/>
        <v>-</v>
      </c>
      <c r="W326" s="51" t="str">
        <f t="shared" si="1681"/>
        <v>-</v>
      </c>
      <c r="X326" s="51">
        <f t="shared" si="1681"/>
        <v>25</v>
      </c>
      <c r="Y326" s="51" t="str">
        <f t="shared" si="1681"/>
        <v>-</v>
      </c>
      <c r="Z326" s="51" t="str">
        <f t="shared" si="1681"/>
        <v>-</v>
      </c>
      <c r="AA326" s="51">
        <f t="shared" si="1681"/>
        <v>40</v>
      </c>
      <c r="AB326" s="51" t="str">
        <f t="shared" si="1681"/>
        <v>-</v>
      </c>
      <c r="AC326" s="51" t="str">
        <f t="shared" si="1681"/>
        <v>-</v>
      </c>
      <c r="AD326" s="51" t="str">
        <f t="shared" si="1681"/>
        <v>-</v>
      </c>
      <c r="AE326" s="51" t="str">
        <f t="shared" si="1681"/>
        <v>-</v>
      </c>
      <c r="AF326" s="51" t="str">
        <f t="shared" ref="AF326:BW330" si="1682">IF(AND(ISNUMBER($Q326),$Q325="-"),"-",IF(ISNUMBER($Q326),IF(AF$324&gt;MAX($Q$325:$T$330),"-",IF(MOD(AF$324-$U$324,(MAX($Q$325:$T$330)/$Q326))=0,AF$323,"-")),"-"))</f>
        <v>-</v>
      </c>
      <c r="AG326" s="51" t="str">
        <f t="shared" si="1682"/>
        <v>-</v>
      </c>
      <c r="AH326" s="51" t="str">
        <f t="shared" si="1682"/>
        <v>-</v>
      </c>
      <c r="AI326" s="51" t="str">
        <f t="shared" si="1682"/>
        <v>-</v>
      </c>
      <c r="AJ326" s="51" t="str">
        <f t="shared" si="1682"/>
        <v>-</v>
      </c>
      <c r="AK326" s="51" t="str">
        <f t="shared" si="1682"/>
        <v>-</v>
      </c>
      <c r="AL326" s="51" t="str">
        <f t="shared" si="1682"/>
        <v>-</v>
      </c>
      <c r="AM326" s="51" t="str">
        <f t="shared" si="1682"/>
        <v>-</v>
      </c>
      <c r="AN326" s="51" t="str">
        <f t="shared" si="1682"/>
        <v>-</v>
      </c>
      <c r="AO326" s="51" t="str">
        <f t="shared" si="1682"/>
        <v>-</v>
      </c>
      <c r="AP326" s="51" t="str">
        <f t="shared" si="1682"/>
        <v>-</v>
      </c>
      <c r="AQ326" s="51" t="str">
        <f t="shared" si="1682"/>
        <v>-</v>
      </c>
      <c r="AR326" s="51" t="str">
        <f t="shared" si="1682"/>
        <v>-</v>
      </c>
      <c r="AS326" s="51" t="str">
        <f t="shared" si="1682"/>
        <v>-</v>
      </c>
      <c r="AT326" s="51" t="str">
        <f t="shared" si="1682"/>
        <v>-</v>
      </c>
      <c r="AU326" s="51" t="str">
        <f t="shared" si="1682"/>
        <v>-</v>
      </c>
      <c r="AV326" s="51" t="str">
        <f t="shared" si="1682"/>
        <v>-</v>
      </c>
      <c r="AW326" s="51" t="str">
        <f t="shared" si="1682"/>
        <v>-</v>
      </c>
      <c r="AX326" s="51" t="str">
        <f t="shared" si="1682"/>
        <v>-</v>
      </c>
      <c r="AY326" s="51" t="str">
        <f t="shared" si="1682"/>
        <v>-</v>
      </c>
      <c r="AZ326" s="51" t="str">
        <f t="shared" si="1682"/>
        <v>-</v>
      </c>
      <c r="BA326" s="51" t="str">
        <f t="shared" si="1682"/>
        <v>-</v>
      </c>
      <c r="BB326" s="51" t="str">
        <f t="shared" si="1682"/>
        <v>-</v>
      </c>
      <c r="BC326" s="51" t="str">
        <f t="shared" si="1682"/>
        <v>-</v>
      </c>
      <c r="BD326" s="51" t="str">
        <f t="shared" si="1682"/>
        <v>-</v>
      </c>
      <c r="BE326" s="51" t="str">
        <f t="shared" si="1682"/>
        <v>-</v>
      </c>
      <c r="BF326" s="51" t="str">
        <f t="shared" si="1682"/>
        <v>-</v>
      </c>
      <c r="BG326" s="51" t="str">
        <f t="shared" si="1682"/>
        <v>-</v>
      </c>
      <c r="BH326" s="51" t="str">
        <f t="shared" si="1682"/>
        <v>-</v>
      </c>
      <c r="BI326" s="51" t="str">
        <f t="shared" si="1682"/>
        <v>-</v>
      </c>
      <c r="BJ326" s="51" t="str">
        <f t="shared" si="1682"/>
        <v>-</v>
      </c>
      <c r="BK326" s="51" t="str">
        <f t="shared" si="1682"/>
        <v>-</v>
      </c>
      <c r="BL326" s="51" t="str">
        <f t="shared" si="1682"/>
        <v>-</v>
      </c>
      <c r="BM326" s="51" t="str">
        <f t="shared" si="1682"/>
        <v>-</v>
      </c>
      <c r="BN326" s="51" t="str">
        <f t="shared" si="1682"/>
        <v>-</v>
      </c>
      <c r="BO326" s="51" t="str">
        <f t="shared" si="1682"/>
        <v>-</v>
      </c>
      <c r="BP326" s="51" t="str">
        <f t="shared" si="1682"/>
        <v>-</v>
      </c>
      <c r="BQ326" s="51" t="str">
        <f t="shared" si="1682"/>
        <v>-</v>
      </c>
      <c r="BR326" s="51" t="str">
        <f t="shared" si="1682"/>
        <v>-</v>
      </c>
      <c r="BS326" s="51" t="str">
        <f t="shared" si="1682"/>
        <v>-</v>
      </c>
      <c r="BT326" s="51" t="str">
        <f t="shared" si="1682"/>
        <v>-</v>
      </c>
      <c r="BU326" s="51" t="str">
        <f t="shared" si="1682"/>
        <v>-</v>
      </c>
      <c r="BV326" s="51" t="str">
        <f t="shared" si="1682"/>
        <v>-</v>
      </c>
      <c r="BW326" s="51" t="str">
        <f t="shared" si="1682"/>
        <v>-</v>
      </c>
      <c r="CE326" s="33"/>
      <c r="CF326" s="33"/>
    </row>
    <row r="327" spans="2:84" s="49" customFormat="1" ht="15" customHeight="1" x14ac:dyDescent="0.2">
      <c r="B327" s="214">
        <v>3</v>
      </c>
      <c r="C327" s="214"/>
      <c r="D327" s="214"/>
      <c r="E327" s="215" t="str">
        <f>IF(OR(E325="-",E326="-"),"-",IF(E326="Secondary Hazard",IF(ISBLANK('Project Event Tree Input'!D48),"-","Transform"),IF('Project Event Tree Input'!$D$24&lt;&gt;"None","Transform","System Response")))</f>
        <v>Transform</v>
      </c>
      <c r="F327" s="216"/>
      <c r="G327" s="216"/>
      <c r="H327" s="216"/>
      <c r="I327" s="216"/>
      <c r="J327" s="216"/>
      <c r="K327" s="216"/>
      <c r="L327" s="217"/>
      <c r="M327" s="151">
        <f>IF(E327="-","-",IF(E327="Operational Performance",IF(ISBLANK('Project Event Tree Input'!$D$25),"-",'Project Event Tree Input'!$D$25),IF(E327="Transform",IF(ISBLANK('Project Event Tree Input'!$D$48),"-",'Project Event Tree Input'!$D$48+1),1)))</f>
        <v>3</v>
      </c>
      <c r="N327" s="151"/>
      <c r="O327" s="151"/>
      <c r="P327" s="151"/>
      <c r="Q327" s="218">
        <f>IF(M327="-","-",PRODUCT($M$325:M327))</f>
        <v>9</v>
      </c>
      <c r="R327" s="218"/>
      <c r="S327" s="218"/>
      <c r="T327" s="218"/>
      <c r="U327" s="51">
        <f t="shared" si="1681"/>
        <v>10</v>
      </c>
      <c r="V327" s="51">
        <f t="shared" si="1681"/>
        <v>15</v>
      </c>
      <c r="W327" s="51">
        <f t="shared" si="1681"/>
        <v>20</v>
      </c>
      <c r="X327" s="51">
        <f t="shared" si="1681"/>
        <v>25</v>
      </c>
      <c r="Y327" s="51">
        <f t="shared" si="1681"/>
        <v>30</v>
      </c>
      <c r="Z327" s="51">
        <f t="shared" si="1681"/>
        <v>35</v>
      </c>
      <c r="AA327" s="51">
        <f t="shared" si="1681"/>
        <v>40</v>
      </c>
      <c r="AB327" s="51">
        <f t="shared" si="1681"/>
        <v>45</v>
      </c>
      <c r="AC327" s="51">
        <f t="shared" si="1681"/>
        <v>50</v>
      </c>
      <c r="AD327" s="51" t="str">
        <f t="shared" si="1681"/>
        <v>-</v>
      </c>
      <c r="AE327" s="51" t="str">
        <f t="shared" si="1681"/>
        <v>-</v>
      </c>
      <c r="AF327" s="51" t="str">
        <f t="shared" si="1682"/>
        <v>-</v>
      </c>
      <c r="AG327" s="51" t="str">
        <f t="shared" si="1682"/>
        <v>-</v>
      </c>
      <c r="AH327" s="51" t="str">
        <f t="shared" si="1682"/>
        <v>-</v>
      </c>
      <c r="AI327" s="51" t="str">
        <f t="shared" si="1682"/>
        <v>-</v>
      </c>
      <c r="AJ327" s="51" t="str">
        <f t="shared" si="1682"/>
        <v>-</v>
      </c>
      <c r="AK327" s="51" t="str">
        <f t="shared" si="1682"/>
        <v>-</v>
      </c>
      <c r="AL327" s="51" t="str">
        <f t="shared" si="1682"/>
        <v>-</v>
      </c>
      <c r="AM327" s="51" t="str">
        <f t="shared" si="1682"/>
        <v>-</v>
      </c>
      <c r="AN327" s="51" t="str">
        <f t="shared" si="1682"/>
        <v>-</v>
      </c>
      <c r="AO327" s="51" t="str">
        <f t="shared" si="1682"/>
        <v>-</v>
      </c>
      <c r="AP327" s="51" t="str">
        <f t="shared" si="1682"/>
        <v>-</v>
      </c>
      <c r="AQ327" s="51" t="str">
        <f t="shared" si="1682"/>
        <v>-</v>
      </c>
      <c r="AR327" s="51" t="str">
        <f t="shared" si="1682"/>
        <v>-</v>
      </c>
      <c r="AS327" s="51" t="str">
        <f t="shared" si="1682"/>
        <v>-</v>
      </c>
      <c r="AT327" s="51" t="str">
        <f t="shared" si="1682"/>
        <v>-</v>
      </c>
      <c r="AU327" s="51" t="str">
        <f t="shared" si="1682"/>
        <v>-</v>
      </c>
      <c r="AV327" s="51" t="str">
        <f t="shared" si="1682"/>
        <v>-</v>
      </c>
      <c r="AW327" s="51" t="str">
        <f t="shared" si="1682"/>
        <v>-</v>
      </c>
      <c r="AX327" s="51" t="str">
        <f t="shared" si="1682"/>
        <v>-</v>
      </c>
      <c r="AY327" s="51" t="str">
        <f t="shared" si="1682"/>
        <v>-</v>
      </c>
      <c r="AZ327" s="51" t="str">
        <f t="shared" si="1682"/>
        <v>-</v>
      </c>
      <c r="BA327" s="51" t="str">
        <f t="shared" si="1682"/>
        <v>-</v>
      </c>
      <c r="BB327" s="51" t="str">
        <f t="shared" si="1682"/>
        <v>-</v>
      </c>
      <c r="BC327" s="51" t="str">
        <f t="shared" si="1682"/>
        <v>-</v>
      </c>
      <c r="BD327" s="51" t="str">
        <f t="shared" si="1682"/>
        <v>-</v>
      </c>
      <c r="BE327" s="51" t="str">
        <f t="shared" si="1682"/>
        <v>-</v>
      </c>
      <c r="BF327" s="51" t="str">
        <f t="shared" si="1682"/>
        <v>-</v>
      </c>
      <c r="BG327" s="51" t="str">
        <f t="shared" si="1682"/>
        <v>-</v>
      </c>
      <c r="BH327" s="51" t="str">
        <f t="shared" si="1682"/>
        <v>-</v>
      </c>
      <c r="BI327" s="51" t="str">
        <f t="shared" si="1682"/>
        <v>-</v>
      </c>
      <c r="BJ327" s="51" t="str">
        <f t="shared" si="1682"/>
        <v>-</v>
      </c>
      <c r="BK327" s="51" t="str">
        <f t="shared" si="1682"/>
        <v>-</v>
      </c>
      <c r="BL327" s="51" t="str">
        <f t="shared" si="1682"/>
        <v>-</v>
      </c>
      <c r="BM327" s="51" t="str">
        <f t="shared" si="1682"/>
        <v>-</v>
      </c>
      <c r="BN327" s="51" t="str">
        <f t="shared" si="1682"/>
        <v>-</v>
      </c>
      <c r="BO327" s="51" t="str">
        <f t="shared" si="1682"/>
        <v>-</v>
      </c>
      <c r="BP327" s="51" t="str">
        <f t="shared" si="1682"/>
        <v>-</v>
      </c>
      <c r="BQ327" s="51" t="str">
        <f t="shared" si="1682"/>
        <v>-</v>
      </c>
      <c r="BR327" s="51" t="str">
        <f t="shared" si="1682"/>
        <v>-</v>
      </c>
      <c r="BS327" s="51" t="str">
        <f t="shared" si="1682"/>
        <v>-</v>
      </c>
      <c r="BT327" s="51" t="str">
        <f t="shared" si="1682"/>
        <v>-</v>
      </c>
      <c r="BU327" s="51" t="str">
        <f t="shared" si="1682"/>
        <v>-</v>
      </c>
      <c r="BV327" s="51" t="str">
        <f t="shared" si="1682"/>
        <v>-</v>
      </c>
      <c r="BW327" s="51" t="str">
        <f t="shared" si="1682"/>
        <v>-</v>
      </c>
      <c r="CE327" s="33"/>
      <c r="CF327" s="33"/>
    </row>
    <row r="328" spans="2:84" s="49" customFormat="1" ht="15" customHeight="1" x14ac:dyDescent="0.2">
      <c r="B328" s="214">
        <v>4</v>
      </c>
      <c r="C328" s="214"/>
      <c r="D328" s="214"/>
      <c r="E328" s="215" t="str">
        <f>IF(OR(E325="-",E326="-",E327="-"),"-",IF(E327="Transform","System Response","Life Loss"))</f>
        <v>System Response</v>
      </c>
      <c r="F328" s="216"/>
      <c r="G328" s="216"/>
      <c r="H328" s="216"/>
      <c r="I328" s="216"/>
      <c r="J328" s="216"/>
      <c r="K328" s="216"/>
      <c r="L328" s="217"/>
      <c r="M328" s="151">
        <f>IF(E328="-","-",IF(E328="Operational Performance",IF(ISBLANK('Project Event Tree Input'!$D$25),"-",'Project Event Tree Input'!$D$25),IF(E328="Transform",IF(ISBLANK('Project Event Tree Input'!$D$48),"-",'Project Event Tree Input'!$D$48+1),1)))</f>
        <v>1</v>
      </c>
      <c r="N328" s="151"/>
      <c r="O328" s="151"/>
      <c r="P328" s="151"/>
      <c r="Q328" s="218">
        <f>IF(M328="-","-",PRODUCT($M$325:M328))</f>
        <v>9</v>
      </c>
      <c r="R328" s="218"/>
      <c r="S328" s="218"/>
      <c r="T328" s="218"/>
      <c r="U328" s="51">
        <f t="shared" si="1681"/>
        <v>10</v>
      </c>
      <c r="V328" s="51">
        <f t="shared" si="1681"/>
        <v>15</v>
      </c>
      <c r="W328" s="51">
        <f t="shared" si="1681"/>
        <v>20</v>
      </c>
      <c r="X328" s="51">
        <f t="shared" si="1681"/>
        <v>25</v>
      </c>
      <c r="Y328" s="51">
        <f t="shared" si="1681"/>
        <v>30</v>
      </c>
      <c r="Z328" s="51">
        <f t="shared" si="1681"/>
        <v>35</v>
      </c>
      <c r="AA328" s="51">
        <f t="shared" si="1681"/>
        <v>40</v>
      </c>
      <c r="AB328" s="51">
        <f t="shared" si="1681"/>
        <v>45</v>
      </c>
      <c r="AC328" s="51">
        <f t="shared" si="1681"/>
        <v>50</v>
      </c>
      <c r="AD328" s="51" t="str">
        <f t="shared" si="1681"/>
        <v>-</v>
      </c>
      <c r="AE328" s="51" t="str">
        <f t="shared" si="1681"/>
        <v>-</v>
      </c>
      <c r="AF328" s="51" t="str">
        <f t="shared" si="1682"/>
        <v>-</v>
      </c>
      <c r="AG328" s="51" t="str">
        <f t="shared" si="1682"/>
        <v>-</v>
      </c>
      <c r="AH328" s="51" t="str">
        <f t="shared" si="1682"/>
        <v>-</v>
      </c>
      <c r="AI328" s="51" t="str">
        <f t="shared" si="1682"/>
        <v>-</v>
      </c>
      <c r="AJ328" s="51" t="str">
        <f t="shared" si="1682"/>
        <v>-</v>
      </c>
      <c r="AK328" s="51" t="str">
        <f t="shared" si="1682"/>
        <v>-</v>
      </c>
      <c r="AL328" s="51" t="str">
        <f t="shared" si="1682"/>
        <v>-</v>
      </c>
      <c r="AM328" s="51" t="str">
        <f t="shared" si="1682"/>
        <v>-</v>
      </c>
      <c r="AN328" s="51" t="str">
        <f t="shared" si="1682"/>
        <v>-</v>
      </c>
      <c r="AO328" s="51" t="str">
        <f t="shared" si="1682"/>
        <v>-</v>
      </c>
      <c r="AP328" s="51" t="str">
        <f t="shared" si="1682"/>
        <v>-</v>
      </c>
      <c r="AQ328" s="51" t="str">
        <f t="shared" si="1682"/>
        <v>-</v>
      </c>
      <c r="AR328" s="51" t="str">
        <f t="shared" si="1682"/>
        <v>-</v>
      </c>
      <c r="AS328" s="51" t="str">
        <f t="shared" si="1682"/>
        <v>-</v>
      </c>
      <c r="AT328" s="51" t="str">
        <f t="shared" si="1682"/>
        <v>-</v>
      </c>
      <c r="AU328" s="51" t="str">
        <f t="shared" si="1682"/>
        <v>-</v>
      </c>
      <c r="AV328" s="51" t="str">
        <f t="shared" si="1682"/>
        <v>-</v>
      </c>
      <c r="AW328" s="51" t="str">
        <f t="shared" si="1682"/>
        <v>-</v>
      </c>
      <c r="AX328" s="51" t="str">
        <f t="shared" si="1682"/>
        <v>-</v>
      </c>
      <c r="AY328" s="51" t="str">
        <f t="shared" si="1682"/>
        <v>-</v>
      </c>
      <c r="AZ328" s="51" t="str">
        <f t="shared" si="1682"/>
        <v>-</v>
      </c>
      <c r="BA328" s="51" t="str">
        <f t="shared" si="1682"/>
        <v>-</v>
      </c>
      <c r="BB328" s="51" t="str">
        <f t="shared" si="1682"/>
        <v>-</v>
      </c>
      <c r="BC328" s="51" t="str">
        <f t="shared" si="1682"/>
        <v>-</v>
      </c>
      <c r="BD328" s="51" t="str">
        <f t="shared" si="1682"/>
        <v>-</v>
      </c>
      <c r="BE328" s="51" t="str">
        <f t="shared" si="1682"/>
        <v>-</v>
      </c>
      <c r="BF328" s="51" t="str">
        <f t="shared" si="1682"/>
        <v>-</v>
      </c>
      <c r="BG328" s="51" t="str">
        <f t="shared" si="1682"/>
        <v>-</v>
      </c>
      <c r="BH328" s="51" t="str">
        <f t="shared" si="1682"/>
        <v>-</v>
      </c>
      <c r="BI328" s="51" t="str">
        <f t="shared" si="1682"/>
        <v>-</v>
      </c>
      <c r="BJ328" s="51" t="str">
        <f t="shared" si="1682"/>
        <v>-</v>
      </c>
      <c r="BK328" s="51" t="str">
        <f t="shared" si="1682"/>
        <v>-</v>
      </c>
      <c r="BL328" s="51" t="str">
        <f t="shared" si="1682"/>
        <v>-</v>
      </c>
      <c r="BM328" s="51" t="str">
        <f t="shared" si="1682"/>
        <v>-</v>
      </c>
      <c r="BN328" s="51" t="str">
        <f t="shared" si="1682"/>
        <v>-</v>
      </c>
      <c r="BO328" s="51" t="str">
        <f t="shared" si="1682"/>
        <v>-</v>
      </c>
      <c r="BP328" s="51" t="str">
        <f t="shared" si="1682"/>
        <v>-</v>
      </c>
      <c r="BQ328" s="51" t="str">
        <f t="shared" si="1682"/>
        <v>-</v>
      </c>
      <c r="BR328" s="51" t="str">
        <f t="shared" si="1682"/>
        <v>-</v>
      </c>
      <c r="BS328" s="51" t="str">
        <f t="shared" si="1682"/>
        <v>-</v>
      </c>
      <c r="BT328" s="51" t="str">
        <f t="shared" si="1682"/>
        <v>-</v>
      </c>
      <c r="BU328" s="51" t="str">
        <f t="shared" si="1682"/>
        <v>-</v>
      </c>
      <c r="BV328" s="51" t="str">
        <f t="shared" si="1682"/>
        <v>-</v>
      </c>
      <c r="BW328" s="51" t="str">
        <f t="shared" si="1682"/>
        <v>-</v>
      </c>
      <c r="CE328" s="33"/>
      <c r="CF328" s="33"/>
    </row>
    <row r="329" spans="2:84" s="49" customFormat="1" ht="15" customHeight="1" x14ac:dyDescent="0.2">
      <c r="B329" s="214">
        <v>5</v>
      </c>
      <c r="C329" s="214"/>
      <c r="D329" s="214"/>
      <c r="E329" s="215" t="str">
        <f>IF(OR(E325="-",E326="-",E327="-",E328="-"),"-",IF(E328="System Response","Life Loss","Economic Cost"))</f>
        <v>Life Loss</v>
      </c>
      <c r="F329" s="216"/>
      <c r="G329" s="216"/>
      <c r="H329" s="216"/>
      <c r="I329" s="216"/>
      <c r="J329" s="216"/>
      <c r="K329" s="216"/>
      <c r="L329" s="217"/>
      <c r="M329" s="151">
        <f>IF(E329="-","-",IF(E329="Operational Performance",IF(ISBLANK('Project Event Tree Input'!$D$25),"-",'Project Event Tree Input'!$D$25),IF(E329="Transform",IF(ISBLANK('Project Event Tree Input'!$D$48),"-",'Project Event Tree Input'!$D$48+1),1)))</f>
        <v>1</v>
      </c>
      <c r="N329" s="151"/>
      <c r="O329" s="151"/>
      <c r="P329" s="151"/>
      <c r="Q329" s="218">
        <f>IF(M329="-","-",PRODUCT($M$325:M329))</f>
        <v>9</v>
      </c>
      <c r="R329" s="218"/>
      <c r="S329" s="218"/>
      <c r="T329" s="218"/>
      <c r="U329" s="51">
        <f t="shared" si="1681"/>
        <v>10</v>
      </c>
      <c r="V329" s="51">
        <f t="shared" si="1681"/>
        <v>15</v>
      </c>
      <c r="W329" s="51">
        <f t="shared" si="1681"/>
        <v>20</v>
      </c>
      <c r="X329" s="51">
        <f t="shared" si="1681"/>
        <v>25</v>
      </c>
      <c r="Y329" s="51">
        <f t="shared" si="1681"/>
        <v>30</v>
      </c>
      <c r="Z329" s="51">
        <f t="shared" si="1681"/>
        <v>35</v>
      </c>
      <c r="AA329" s="51">
        <f t="shared" si="1681"/>
        <v>40</v>
      </c>
      <c r="AB329" s="51">
        <f t="shared" si="1681"/>
        <v>45</v>
      </c>
      <c r="AC329" s="51">
        <f t="shared" si="1681"/>
        <v>50</v>
      </c>
      <c r="AD329" s="51" t="str">
        <f t="shared" si="1681"/>
        <v>-</v>
      </c>
      <c r="AE329" s="51" t="str">
        <f t="shared" si="1681"/>
        <v>-</v>
      </c>
      <c r="AF329" s="51" t="str">
        <f t="shared" si="1682"/>
        <v>-</v>
      </c>
      <c r="AG329" s="51" t="str">
        <f t="shared" si="1682"/>
        <v>-</v>
      </c>
      <c r="AH329" s="51" t="str">
        <f t="shared" si="1682"/>
        <v>-</v>
      </c>
      <c r="AI329" s="51" t="str">
        <f t="shared" si="1682"/>
        <v>-</v>
      </c>
      <c r="AJ329" s="51" t="str">
        <f t="shared" si="1682"/>
        <v>-</v>
      </c>
      <c r="AK329" s="51" t="str">
        <f t="shared" si="1682"/>
        <v>-</v>
      </c>
      <c r="AL329" s="51" t="str">
        <f t="shared" si="1682"/>
        <v>-</v>
      </c>
      <c r="AM329" s="51" t="str">
        <f t="shared" si="1682"/>
        <v>-</v>
      </c>
      <c r="AN329" s="51" t="str">
        <f t="shared" si="1682"/>
        <v>-</v>
      </c>
      <c r="AO329" s="51" t="str">
        <f t="shared" si="1682"/>
        <v>-</v>
      </c>
      <c r="AP329" s="51" t="str">
        <f t="shared" si="1682"/>
        <v>-</v>
      </c>
      <c r="AQ329" s="51" t="str">
        <f t="shared" si="1682"/>
        <v>-</v>
      </c>
      <c r="AR329" s="51" t="str">
        <f t="shared" si="1682"/>
        <v>-</v>
      </c>
      <c r="AS329" s="51" t="str">
        <f t="shared" si="1682"/>
        <v>-</v>
      </c>
      <c r="AT329" s="51" t="str">
        <f t="shared" si="1682"/>
        <v>-</v>
      </c>
      <c r="AU329" s="51" t="str">
        <f t="shared" si="1682"/>
        <v>-</v>
      </c>
      <c r="AV329" s="51" t="str">
        <f t="shared" si="1682"/>
        <v>-</v>
      </c>
      <c r="AW329" s="51" t="str">
        <f t="shared" si="1682"/>
        <v>-</v>
      </c>
      <c r="AX329" s="51" t="str">
        <f t="shared" si="1682"/>
        <v>-</v>
      </c>
      <c r="AY329" s="51" t="str">
        <f t="shared" si="1682"/>
        <v>-</v>
      </c>
      <c r="AZ329" s="51" t="str">
        <f t="shared" si="1682"/>
        <v>-</v>
      </c>
      <c r="BA329" s="51" t="str">
        <f t="shared" si="1682"/>
        <v>-</v>
      </c>
      <c r="BB329" s="51" t="str">
        <f t="shared" si="1682"/>
        <v>-</v>
      </c>
      <c r="BC329" s="51" t="str">
        <f t="shared" si="1682"/>
        <v>-</v>
      </c>
      <c r="BD329" s="51" t="str">
        <f t="shared" si="1682"/>
        <v>-</v>
      </c>
      <c r="BE329" s="51" t="str">
        <f t="shared" si="1682"/>
        <v>-</v>
      </c>
      <c r="BF329" s="51" t="str">
        <f t="shared" si="1682"/>
        <v>-</v>
      </c>
      <c r="BG329" s="51" t="str">
        <f t="shared" si="1682"/>
        <v>-</v>
      </c>
      <c r="BH329" s="51" t="str">
        <f t="shared" si="1682"/>
        <v>-</v>
      </c>
      <c r="BI329" s="51" t="str">
        <f t="shared" si="1682"/>
        <v>-</v>
      </c>
      <c r="BJ329" s="51" t="str">
        <f t="shared" si="1682"/>
        <v>-</v>
      </c>
      <c r="BK329" s="51" t="str">
        <f t="shared" si="1682"/>
        <v>-</v>
      </c>
      <c r="BL329" s="51" t="str">
        <f t="shared" si="1682"/>
        <v>-</v>
      </c>
      <c r="BM329" s="51" t="str">
        <f t="shared" si="1682"/>
        <v>-</v>
      </c>
      <c r="BN329" s="51" t="str">
        <f t="shared" si="1682"/>
        <v>-</v>
      </c>
      <c r="BO329" s="51" t="str">
        <f t="shared" si="1682"/>
        <v>-</v>
      </c>
      <c r="BP329" s="51" t="str">
        <f t="shared" si="1682"/>
        <v>-</v>
      </c>
      <c r="BQ329" s="51" t="str">
        <f t="shared" si="1682"/>
        <v>-</v>
      </c>
      <c r="BR329" s="51" t="str">
        <f t="shared" si="1682"/>
        <v>-</v>
      </c>
      <c r="BS329" s="51" t="str">
        <f t="shared" si="1682"/>
        <v>-</v>
      </c>
      <c r="BT329" s="51" t="str">
        <f t="shared" si="1682"/>
        <v>-</v>
      </c>
      <c r="BU329" s="51" t="str">
        <f t="shared" si="1682"/>
        <v>-</v>
      </c>
      <c r="BV329" s="51" t="str">
        <f t="shared" si="1682"/>
        <v>-</v>
      </c>
      <c r="BW329" s="51" t="str">
        <f t="shared" si="1682"/>
        <v>-</v>
      </c>
      <c r="CE329" s="33"/>
      <c r="CF329" s="33"/>
    </row>
    <row r="330" spans="2:84" s="49" customFormat="1" ht="15" customHeight="1" x14ac:dyDescent="0.2">
      <c r="B330" s="214">
        <v>6</v>
      </c>
      <c r="C330" s="214"/>
      <c r="D330" s="214"/>
      <c r="E330" s="151" t="str">
        <f>IF(OR(E325="-",E326="-",E327="-",E328="-",E329="-"),"-",IF(AND(E328="System Response",E329="Life Loss"),"Economic Cost","-"))</f>
        <v>Economic Cost</v>
      </c>
      <c r="F330" s="151"/>
      <c r="G330" s="151"/>
      <c r="H330" s="151"/>
      <c r="I330" s="151"/>
      <c r="J330" s="151"/>
      <c r="K330" s="151"/>
      <c r="L330" s="151"/>
      <c r="M330" s="151">
        <f>IF(E330="-","-",IF(E330="Operational Performance",IF(ISBLANK('Project Event Tree Input'!$D$25),"-",'Project Event Tree Input'!$D$25),IF(E330="Transform",IF(ISBLANK('Project Event Tree Input'!$D$48),"-",'Project Event Tree Input'!$D$48+1),1)))</f>
        <v>1</v>
      </c>
      <c r="N330" s="151"/>
      <c r="O330" s="151"/>
      <c r="P330" s="151"/>
      <c r="Q330" s="218">
        <f>IF(M330="-","-",PRODUCT($M$325:M330))</f>
        <v>9</v>
      </c>
      <c r="R330" s="218"/>
      <c r="S330" s="218"/>
      <c r="T330" s="218"/>
      <c r="U330" s="51">
        <f t="shared" si="1681"/>
        <v>10</v>
      </c>
      <c r="V330" s="51">
        <f t="shared" si="1681"/>
        <v>15</v>
      </c>
      <c r="W330" s="51">
        <f t="shared" si="1681"/>
        <v>20</v>
      </c>
      <c r="X330" s="51">
        <f t="shared" si="1681"/>
        <v>25</v>
      </c>
      <c r="Y330" s="51">
        <f t="shared" si="1681"/>
        <v>30</v>
      </c>
      <c r="Z330" s="51">
        <f t="shared" si="1681"/>
        <v>35</v>
      </c>
      <c r="AA330" s="51">
        <f t="shared" si="1681"/>
        <v>40</v>
      </c>
      <c r="AB330" s="51">
        <f t="shared" si="1681"/>
        <v>45</v>
      </c>
      <c r="AC330" s="51">
        <f t="shared" si="1681"/>
        <v>50</v>
      </c>
      <c r="AD330" s="51" t="str">
        <f t="shared" si="1681"/>
        <v>-</v>
      </c>
      <c r="AE330" s="51" t="str">
        <f t="shared" si="1681"/>
        <v>-</v>
      </c>
      <c r="AF330" s="51" t="str">
        <f t="shared" si="1682"/>
        <v>-</v>
      </c>
      <c r="AG330" s="51" t="str">
        <f t="shared" si="1682"/>
        <v>-</v>
      </c>
      <c r="AH330" s="51" t="str">
        <f t="shared" si="1682"/>
        <v>-</v>
      </c>
      <c r="AI330" s="51" t="str">
        <f t="shared" si="1682"/>
        <v>-</v>
      </c>
      <c r="AJ330" s="51" t="str">
        <f t="shared" si="1682"/>
        <v>-</v>
      </c>
      <c r="AK330" s="51" t="str">
        <f t="shared" si="1682"/>
        <v>-</v>
      </c>
      <c r="AL330" s="51" t="str">
        <f t="shared" si="1682"/>
        <v>-</v>
      </c>
      <c r="AM330" s="51" t="str">
        <f t="shared" si="1682"/>
        <v>-</v>
      </c>
      <c r="AN330" s="51" t="str">
        <f t="shared" si="1682"/>
        <v>-</v>
      </c>
      <c r="AO330" s="51" t="str">
        <f t="shared" si="1682"/>
        <v>-</v>
      </c>
      <c r="AP330" s="51" t="str">
        <f t="shared" si="1682"/>
        <v>-</v>
      </c>
      <c r="AQ330" s="51" t="str">
        <f t="shared" si="1682"/>
        <v>-</v>
      </c>
      <c r="AR330" s="51" t="str">
        <f t="shared" si="1682"/>
        <v>-</v>
      </c>
      <c r="AS330" s="51" t="str">
        <f t="shared" si="1682"/>
        <v>-</v>
      </c>
      <c r="AT330" s="51" t="str">
        <f t="shared" si="1682"/>
        <v>-</v>
      </c>
      <c r="AU330" s="51" t="str">
        <f t="shared" si="1682"/>
        <v>-</v>
      </c>
      <c r="AV330" s="51" t="str">
        <f t="shared" si="1682"/>
        <v>-</v>
      </c>
      <c r="AW330" s="51" t="str">
        <f t="shared" si="1682"/>
        <v>-</v>
      </c>
      <c r="AX330" s="51" t="str">
        <f t="shared" si="1682"/>
        <v>-</v>
      </c>
      <c r="AY330" s="51" t="str">
        <f t="shared" si="1682"/>
        <v>-</v>
      </c>
      <c r="AZ330" s="51" t="str">
        <f t="shared" si="1682"/>
        <v>-</v>
      </c>
      <c r="BA330" s="51" t="str">
        <f t="shared" si="1682"/>
        <v>-</v>
      </c>
      <c r="BB330" s="51" t="str">
        <f t="shared" si="1682"/>
        <v>-</v>
      </c>
      <c r="BC330" s="51" t="str">
        <f t="shared" si="1682"/>
        <v>-</v>
      </c>
      <c r="BD330" s="51" t="str">
        <f t="shared" si="1682"/>
        <v>-</v>
      </c>
      <c r="BE330" s="51" t="str">
        <f t="shared" si="1682"/>
        <v>-</v>
      </c>
      <c r="BF330" s="51" t="str">
        <f t="shared" si="1682"/>
        <v>-</v>
      </c>
      <c r="BG330" s="51" t="str">
        <f t="shared" si="1682"/>
        <v>-</v>
      </c>
      <c r="BH330" s="51" t="str">
        <f t="shared" si="1682"/>
        <v>-</v>
      </c>
      <c r="BI330" s="51" t="str">
        <f t="shared" si="1682"/>
        <v>-</v>
      </c>
      <c r="BJ330" s="51" t="str">
        <f t="shared" si="1682"/>
        <v>-</v>
      </c>
      <c r="BK330" s="51" t="str">
        <f t="shared" si="1682"/>
        <v>-</v>
      </c>
      <c r="BL330" s="51" t="str">
        <f t="shared" si="1682"/>
        <v>-</v>
      </c>
      <c r="BM330" s="51" t="str">
        <f t="shared" si="1682"/>
        <v>-</v>
      </c>
      <c r="BN330" s="51" t="str">
        <f t="shared" si="1682"/>
        <v>-</v>
      </c>
      <c r="BO330" s="51" t="str">
        <f t="shared" si="1682"/>
        <v>-</v>
      </c>
      <c r="BP330" s="51" t="str">
        <f t="shared" si="1682"/>
        <v>-</v>
      </c>
      <c r="BQ330" s="51" t="str">
        <f t="shared" si="1682"/>
        <v>-</v>
      </c>
      <c r="BR330" s="51" t="str">
        <f t="shared" si="1682"/>
        <v>-</v>
      </c>
      <c r="BS330" s="51" t="str">
        <f t="shared" si="1682"/>
        <v>-</v>
      </c>
      <c r="BT330" s="51" t="str">
        <f t="shared" si="1682"/>
        <v>-</v>
      </c>
      <c r="BU330" s="51" t="str">
        <f t="shared" si="1682"/>
        <v>-</v>
      </c>
      <c r="BV330" s="51" t="str">
        <f t="shared" si="1682"/>
        <v>-</v>
      </c>
      <c r="BW330" s="51" t="str">
        <f t="shared" si="1682"/>
        <v>-</v>
      </c>
      <c r="CE330" s="33"/>
      <c r="CF330" s="33"/>
    </row>
    <row r="331" spans="2:84" s="49" customFormat="1" ht="15" customHeight="1" x14ac:dyDescent="0.2">
      <c r="BH331" s="48"/>
      <c r="BI331" s="48"/>
      <c r="CE331" s="33"/>
      <c r="CF331" s="33"/>
    </row>
    <row r="332" spans="2:84" s="49" customFormat="1" ht="15" customHeight="1" x14ac:dyDescent="0.2">
      <c r="B332" s="50" t="s">
        <v>284</v>
      </c>
      <c r="BH332" s="48"/>
      <c r="BI332" s="48"/>
      <c r="CE332" s="33"/>
      <c r="CF332" s="33"/>
    </row>
    <row r="333" spans="2:84" s="49" customFormat="1" ht="15" customHeight="1" x14ac:dyDescent="0.2">
      <c r="BH333" s="48"/>
      <c r="BI333" s="48"/>
      <c r="CE333" s="33"/>
      <c r="CF333" s="33"/>
    </row>
    <row r="334" spans="2:84" s="49" customFormat="1" ht="15" customHeight="1" x14ac:dyDescent="0.2">
      <c r="U334" s="51">
        <v>10</v>
      </c>
      <c r="V334" s="51">
        <f>U334+5</f>
        <v>15</v>
      </c>
      <c r="W334" s="51">
        <f t="shared" ref="W334" si="1683">V334+5</f>
        <v>20</v>
      </c>
      <c r="X334" s="51">
        <f t="shared" ref="X334" si="1684">W334+5</f>
        <v>25</v>
      </c>
      <c r="Y334" s="51">
        <f t="shared" ref="Y334" si="1685">X334+5</f>
        <v>30</v>
      </c>
      <c r="Z334" s="51">
        <f t="shared" ref="Z334" si="1686">Y334+5</f>
        <v>35</v>
      </c>
      <c r="AA334" s="51">
        <f t="shared" ref="AA334" si="1687">Z334+5</f>
        <v>40</v>
      </c>
      <c r="AB334" s="51">
        <f t="shared" ref="AB334" si="1688">AA334+5</f>
        <v>45</v>
      </c>
      <c r="AC334" s="51">
        <f t="shared" ref="AC334" si="1689">AB334+5</f>
        <v>50</v>
      </c>
      <c r="AD334" s="51">
        <f t="shared" ref="AD334" si="1690">AC334+5</f>
        <v>55</v>
      </c>
      <c r="AE334" s="51">
        <f t="shared" ref="AE334" si="1691">AD334+5</f>
        <v>60</v>
      </c>
      <c r="AF334" s="51">
        <f t="shared" ref="AF334" si="1692">AE334+5</f>
        <v>65</v>
      </c>
      <c r="AG334" s="51">
        <f t="shared" ref="AG334" si="1693">AF334+5</f>
        <v>70</v>
      </c>
      <c r="AH334" s="51">
        <f t="shared" ref="AH334" si="1694">AG334+5</f>
        <v>75</v>
      </c>
      <c r="AI334" s="51">
        <f t="shared" ref="AI334" si="1695">AH334+5</f>
        <v>80</v>
      </c>
      <c r="AJ334" s="51">
        <f t="shared" ref="AJ334" si="1696">AI334+5</f>
        <v>85</v>
      </c>
      <c r="AK334" s="51">
        <f t="shared" ref="AK334" si="1697">AJ334+5</f>
        <v>90</v>
      </c>
      <c r="AL334" s="51">
        <f t="shared" ref="AL334" si="1698">AK334+5</f>
        <v>95</v>
      </c>
      <c r="AM334" s="51">
        <f t="shared" ref="AM334" si="1699">AL334+5</f>
        <v>100</v>
      </c>
      <c r="AN334" s="51">
        <f t="shared" ref="AN334" si="1700">AM334+5</f>
        <v>105</v>
      </c>
      <c r="AO334" s="51">
        <f t="shared" ref="AO334" si="1701">AN334+5</f>
        <v>110</v>
      </c>
      <c r="AP334" s="51">
        <f t="shared" ref="AP334" si="1702">AO334+5</f>
        <v>115</v>
      </c>
      <c r="AQ334" s="51">
        <f t="shared" ref="AQ334" si="1703">AP334+5</f>
        <v>120</v>
      </c>
      <c r="AR334" s="51">
        <f t="shared" ref="AR334" si="1704">AQ334+5</f>
        <v>125</v>
      </c>
      <c r="AS334" s="51">
        <f t="shared" ref="AS334" si="1705">AR334+5</f>
        <v>130</v>
      </c>
      <c r="AT334" s="51">
        <f t="shared" ref="AT334" si="1706">AS334+5</f>
        <v>135</v>
      </c>
      <c r="AU334" s="51">
        <f t="shared" ref="AU334" si="1707">AT334+5</f>
        <v>140</v>
      </c>
      <c r="AV334" s="51">
        <f t="shared" ref="AV334" si="1708">AU334+5</f>
        <v>145</v>
      </c>
      <c r="AW334" s="51">
        <f t="shared" ref="AW334" si="1709">AV334+5</f>
        <v>150</v>
      </c>
      <c r="AX334" s="51">
        <f t="shared" ref="AX334" si="1710">AW334+5</f>
        <v>155</v>
      </c>
      <c r="AY334" s="51">
        <f t="shared" ref="AY334" si="1711">AX334+5</f>
        <v>160</v>
      </c>
      <c r="AZ334" s="51">
        <f t="shared" ref="AZ334" si="1712">AY334+5</f>
        <v>165</v>
      </c>
      <c r="BA334" s="51">
        <f t="shared" ref="BA334" si="1713">AZ334+5</f>
        <v>170</v>
      </c>
      <c r="BB334" s="51">
        <f t="shared" ref="BB334" si="1714">BA334+5</f>
        <v>175</v>
      </c>
      <c r="BC334" s="51">
        <f t="shared" ref="BC334" si="1715">BB334+5</f>
        <v>180</v>
      </c>
      <c r="BD334" s="51">
        <f t="shared" ref="BD334" si="1716">BC334+5</f>
        <v>185</v>
      </c>
      <c r="BE334" s="51">
        <f t="shared" ref="BE334" si="1717">BD334+5</f>
        <v>190</v>
      </c>
      <c r="BF334" s="51">
        <f t="shared" ref="BF334" si="1718">BE334+5</f>
        <v>195</v>
      </c>
      <c r="BG334" s="51">
        <f t="shared" ref="BG334" si="1719">BF334+5</f>
        <v>200</v>
      </c>
      <c r="BH334" s="51">
        <f t="shared" ref="BH334" si="1720">BG334+5</f>
        <v>205</v>
      </c>
      <c r="BI334" s="51">
        <f t="shared" ref="BI334" si="1721">BH334+5</f>
        <v>210</v>
      </c>
      <c r="BJ334" s="51">
        <f t="shared" ref="BJ334" si="1722">BI334+5</f>
        <v>215</v>
      </c>
      <c r="BK334" s="51">
        <f t="shared" ref="BK334" si="1723">BJ334+5</f>
        <v>220</v>
      </c>
      <c r="BL334" s="51">
        <f t="shared" ref="BL334" si="1724">BK334+5</f>
        <v>225</v>
      </c>
      <c r="BM334" s="51">
        <f t="shared" ref="BM334" si="1725">BL334+5</f>
        <v>230</v>
      </c>
      <c r="BN334" s="51">
        <f t="shared" ref="BN334" si="1726">BM334+5</f>
        <v>235</v>
      </c>
      <c r="BO334" s="51">
        <f t="shared" ref="BO334" si="1727">BN334+5</f>
        <v>240</v>
      </c>
      <c r="BP334" s="51">
        <f t="shared" ref="BP334" si="1728">BO334+5</f>
        <v>245</v>
      </c>
      <c r="BQ334" s="51">
        <f t="shared" ref="BQ334" si="1729">BP334+5</f>
        <v>250</v>
      </c>
      <c r="BR334" s="51">
        <f t="shared" ref="BR334" si="1730">BQ334+5</f>
        <v>255</v>
      </c>
      <c r="BS334" s="51">
        <f t="shared" ref="BS334" si="1731">BR334+5</f>
        <v>260</v>
      </c>
      <c r="BT334" s="51">
        <f t="shared" ref="BT334" si="1732">BS334+5</f>
        <v>265</v>
      </c>
      <c r="BU334" s="51">
        <f t="shared" ref="BU334" si="1733">BT334+5</f>
        <v>270</v>
      </c>
      <c r="BV334" s="51">
        <f t="shared" ref="BV334" si="1734">BU334+5</f>
        <v>275</v>
      </c>
      <c r="BW334" s="51">
        <f t="shared" ref="BW334" si="1735">BV334+5</f>
        <v>280</v>
      </c>
      <c r="CE334" s="33"/>
      <c r="CF334" s="33"/>
    </row>
    <row r="335" spans="2:84" s="49" customFormat="1" ht="15" customHeight="1" x14ac:dyDescent="0.2">
      <c r="B335" s="214" t="s">
        <v>98</v>
      </c>
      <c r="C335" s="214"/>
      <c r="D335" s="214"/>
      <c r="E335" s="218" t="s">
        <v>147</v>
      </c>
      <c r="F335" s="218"/>
      <c r="G335" s="218"/>
      <c r="H335" s="218"/>
      <c r="I335" s="218"/>
      <c r="J335" s="218"/>
      <c r="K335" s="218"/>
      <c r="L335" s="218"/>
      <c r="M335" s="218" t="s">
        <v>97</v>
      </c>
      <c r="N335" s="218"/>
      <c r="O335" s="218"/>
      <c r="P335" s="218"/>
      <c r="Q335" s="218" t="s">
        <v>118</v>
      </c>
      <c r="R335" s="218"/>
      <c r="S335" s="218"/>
      <c r="T335" s="218"/>
      <c r="U335" s="52">
        <v>1</v>
      </c>
      <c r="V335" s="52">
        <v>2</v>
      </c>
      <c r="W335" s="52">
        <v>3</v>
      </c>
      <c r="X335" s="52">
        <v>4</v>
      </c>
      <c r="Y335" s="52">
        <v>5</v>
      </c>
      <c r="Z335" s="52">
        <v>6</v>
      </c>
      <c r="AA335" s="52">
        <v>7</v>
      </c>
      <c r="AB335" s="52">
        <v>8</v>
      </c>
      <c r="AC335" s="52">
        <v>9</v>
      </c>
      <c r="AD335" s="52">
        <v>10</v>
      </c>
      <c r="AE335" s="52">
        <v>11</v>
      </c>
      <c r="AF335" s="52">
        <v>12</v>
      </c>
      <c r="AG335" s="52">
        <v>13</v>
      </c>
      <c r="AH335" s="52">
        <v>14</v>
      </c>
      <c r="AI335" s="52">
        <v>15</v>
      </c>
      <c r="AJ335" s="52">
        <v>16</v>
      </c>
      <c r="AK335" s="52">
        <v>17</v>
      </c>
      <c r="AL335" s="52">
        <v>18</v>
      </c>
      <c r="AM335" s="52">
        <v>19</v>
      </c>
      <c r="AN335" s="52">
        <v>20</v>
      </c>
      <c r="AO335" s="52">
        <v>21</v>
      </c>
      <c r="AP335" s="52">
        <v>22</v>
      </c>
      <c r="AQ335" s="52">
        <v>23</v>
      </c>
      <c r="AR335" s="52">
        <v>24</v>
      </c>
      <c r="AS335" s="52">
        <v>25</v>
      </c>
      <c r="AT335" s="52">
        <v>26</v>
      </c>
      <c r="AU335" s="52">
        <v>27</v>
      </c>
      <c r="AV335" s="52">
        <v>28</v>
      </c>
      <c r="AW335" s="52">
        <v>29</v>
      </c>
      <c r="AX335" s="52">
        <v>30</v>
      </c>
      <c r="AY335" s="52">
        <v>31</v>
      </c>
      <c r="AZ335" s="52">
        <v>32</v>
      </c>
      <c r="BA335" s="52">
        <v>33</v>
      </c>
      <c r="BB335" s="52">
        <v>34</v>
      </c>
      <c r="BC335" s="52">
        <v>35</v>
      </c>
      <c r="BD335" s="52">
        <v>36</v>
      </c>
      <c r="BE335" s="52">
        <v>37</v>
      </c>
      <c r="BF335" s="52">
        <v>38</v>
      </c>
      <c r="BG335" s="52">
        <v>39</v>
      </c>
      <c r="BH335" s="52">
        <v>40</v>
      </c>
      <c r="BI335" s="52">
        <v>41</v>
      </c>
      <c r="BJ335" s="52">
        <v>42</v>
      </c>
      <c r="BK335" s="52">
        <v>43</v>
      </c>
      <c r="BL335" s="52">
        <v>44</v>
      </c>
      <c r="BM335" s="52">
        <v>45</v>
      </c>
      <c r="BN335" s="52">
        <v>46</v>
      </c>
      <c r="BO335" s="52">
        <v>47</v>
      </c>
      <c r="BP335" s="52">
        <v>48</v>
      </c>
      <c r="BQ335" s="52">
        <v>49</v>
      </c>
      <c r="BR335" s="52">
        <v>50</v>
      </c>
      <c r="BS335" s="52">
        <v>51</v>
      </c>
      <c r="BT335" s="52">
        <v>52</v>
      </c>
      <c r="BU335" s="52">
        <v>53</v>
      </c>
      <c r="BV335" s="52">
        <v>54</v>
      </c>
      <c r="BW335" s="52">
        <v>55</v>
      </c>
      <c r="BX335" s="53"/>
      <c r="BY335" s="53"/>
      <c r="BZ335" s="53"/>
      <c r="CA335" s="53"/>
      <c r="CB335" s="53"/>
      <c r="CE335" s="33"/>
      <c r="CF335" s="33"/>
    </row>
    <row r="336" spans="2:84" s="49" customFormat="1" ht="15" customHeight="1" x14ac:dyDescent="0.2">
      <c r="B336" s="214">
        <v>1</v>
      </c>
      <c r="C336" s="214"/>
      <c r="D336" s="214"/>
      <c r="E336" s="218" t="str">
        <f>$E$325</f>
        <v>Hazard</v>
      </c>
      <c r="F336" s="218"/>
      <c r="G336" s="218"/>
      <c r="H336" s="218"/>
      <c r="I336" s="218"/>
      <c r="J336" s="218"/>
      <c r="K336" s="218"/>
      <c r="L336" s="218"/>
      <c r="M336" s="220">
        <f>$M$325</f>
        <v>1</v>
      </c>
      <c r="N336" s="220"/>
      <c r="O336" s="220"/>
      <c r="P336" s="220"/>
      <c r="Q336" s="220">
        <f>$Q$325</f>
        <v>1</v>
      </c>
      <c r="R336" s="220"/>
      <c r="S336" s="220"/>
      <c r="T336" s="220"/>
      <c r="U336" s="51" cm="1">
        <f t="array" ref="U336">IF(AND($E335="Operational Performance",'Project Event Tree Input'!$D$42="Yes"),IF(LOOKUP(2,1/($U324:U324&lt;&gt;"-"),$U324:U324)&gt;10,"+",U325),IF(LOOKUP(2,1/($U335:U335&lt;&gt;"-"),$U335:U335)="+","+",U325))</f>
        <v>10</v>
      </c>
      <c r="V336" s="51"/>
      <c r="W336" s="51"/>
      <c r="X336" s="51"/>
      <c r="Y336" s="51"/>
      <c r="Z336" s="51"/>
      <c r="AA336" s="51"/>
      <c r="AB336" s="51"/>
      <c r="AC336" s="51"/>
      <c r="AD336" s="51"/>
      <c r="AE336" s="51"/>
      <c r="AF336" s="51"/>
      <c r="AG336" s="51"/>
      <c r="AH336" s="51"/>
      <c r="AI336" s="51"/>
      <c r="AJ336" s="51"/>
      <c r="AK336" s="51"/>
      <c r="AL336" s="51"/>
      <c r="AM336" s="51"/>
      <c r="AN336" s="51"/>
      <c r="AO336" s="51"/>
      <c r="AP336" s="51"/>
      <c r="AQ336" s="51"/>
      <c r="AR336" s="51"/>
      <c r="AS336" s="51"/>
      <c r="AT336" s="51"/>
      <c r="AU336" s="51"/>
      <c r="AV336" s="51"/>
      <c r="AW336" s="51"/>
      <c r="AX336" s="51"/>
      <c r="AY336" s="51"/>
      <c r="AZ336" s="51"/>
      <c r="BA336" s="51"/>
      <c r="BB336" s="51"/>
      <c r="BC336" s="51"/>
      <c r="BD336" s="51"/>
      <c r="BE336" s="51"/>
      <c r="BF336" s="51"/>
      <c r="BG336" s="51"/>
      <c r="BH336" s="51"/>
      <c r="BI336" s="51"/>
      <c r="BJ336" s="51"/>
      <c r="BK336" s="51"/>
      <c r="BL336" s="51"/>
      <c r="BM336" s="51"/>
      <c r="BN336" s="51"/>
      <c r="BO336" s="51"/>
      <c r="BP336" s="51"/>
      <c r="BQ336" s="51"/>
      <c r="BR336" s="51"/>
      <c r="BS336" s="51"/>
      <c r="BT336" s="51"/>
      <c r="BU336" s="51"/>
      <c r="BV336" s="51"/>
      <c r="BW336" s="51"/>
      <c r="CE336" s="33"/>
      <c r="CF336" s="33"/>
    </row>
    <row r="337" spans="2:84" s="49" customFormat="1" ht="15" customHeight="1" x14ac:dyDescent="0.2">
      <c r="B337" s="214">
        <v>2</v>
      </c>
      <c r="C337" s="214"/>
      <c r="D337" s="214"/>
      <c r="E337" s="218" t="str">
        <f>$E$326</f>
        <v>Operational Performance</v>
      </c>
      <c r="F337" s="218"/>
      <c r="G337" s="218"/>
      <c r="H337" s="218"/>
      <c r="I337" s="218"/>
      <c r="J337" s="218"/>
      <c r="K337" s="218"/>
      <c r="L337" s="218"/>
      <c r="M337" s="220">
        <f>$M$326</f>
        <v>3</v>
      </c>
      <c r="N337" s="220"/>
      <c r="O337" s="220"/>
      <c r="P337" s="220"/>
      <c r="Q337" s="220">
        <f>$Q$326</f>
        <v>3</v>
      </c>
      <c r="R337" s="220"/>
      <c r="S337" s="220"/>
      <c r="T337" s="220"/>
      <c r="U337" s="51" cm="1">
        <f t="array" ref="U337">IF(AND($E336="Operational Performance",'Project Event Tree Input'!$D$42="Yes"),IF(LOOKUP(2,1/($U325:U325&lt;&gt;"-"),$U325:U325)&gt;10,"+",U326),IF(LOOKUP(2,1/($U336:U336&lt;&gt;"-"),$U336:U336)="+","+",U326))</f>
        <v>10</v>
      </c>
      <c r="V337" s="51" t="str" cm="1">
        <f t="array" ref="V337">IF(AND($E336="Operational Performance",'Project Event Tree Input'!$D$42="Yes"),IF(LOOKUP(2,1/($U325:V325&lt;&gt;"-"),$U325:V325)&gt;10,"+",V326),IF(LOOKUP(2,1/($U336:V336&lt;&gt;"-"),$U336:V336)="+","+",V326))</f>
        <v>-</v>
      </c>
      <c r="W337" s="51" t="str" cm="1">
        <f t="array" ref="W337">IF(AND($E336="Operational Performance",'Project Event Tree Input'!$D$42="Yes"),IF(LOOKUP(2,1/($U325:W325&lt;&gt;"-"),$U325:W325)&gt;10,"+",W326),IF(LOOKUP(2,1/($U336:W336&lt;&gt;"-"),$U336:W336)="+","+",W326))</f>
        <v>-</v>
      </c>
      <c r="X337" s="51" cm="1">
        <f t="array" ref="X337">IF(AND($E336="Operational Performance",'Project Event Tree Input'!$D$42="Yes"),IF(LOOKUP(2,1/($U325:X325&lt;&gt;"-"),$U325:X325)&gt;10,"+",X326),IF(LOOKUP(2,1/($U336:X336&lt;&gt;"-"),$U336:X336)="+","+",X326))</f>
        <v>25</v>
      </c>
      <c r="Y337" s="51" t="str" cm="1">
        <f t="array" ref="Y337">IF(AND($E336="Operational Performance",'Project Event Tree Input'!$D$42="Yes"),IF(LOOKUP(2,1/($U325:Y325&lt;&gt;"-"),$U325:Y325)&gt;10,"+",Y326),IF(LOOKUP(2,1/($U336:Y336&lt;&gt;"-"),$U336:Y336)="+","+",Y326))</f>
        <v>-</v>
      </c>
      <c r="Z337" s="51" t="str" cm="1">
        <f t="array" ref="Z337">IF(AND($E336="Operational Performance",'Project Event Tree Input'!$D$42="Yes"),IF(LOOKUP(2,1/($U325:Z325&lt;&gt;"-"),$U325:Z325)&gt;10,"+",Z326),IF(LOOKUP(2,1/($U336:Z336&lt;&gt;"-"),$U336:Z336)="+","+",Z326))</f>
        <v>-</v>
      </c>
      <c r="AA337" s="51" cm="1">
        <f t="array" ref="AA337">IF(AND($E336="Operational Performance",'Project Event Tree Input'!$D$42="Yes"),IF(LOOKUP(2,1/($U325:AA325&lt;&gt;"-"),$U325:AA325)&gt;10,"+",AA326),IF(LOOKUP(2,1/($U336:AA336&lt;&gt;"-"),$U336:AA336)="+","+",AA326))</f>
        <v>40</v>
      </c>
      <c r="AB337" s="51" t="str" cm="1">
        <f t="array" ref="AB337">IF(AND($E336="Operational Performance",'Project Event Tree Input'!$D$42="Yes"),IF(LOOKUP(2,1/($U325:AB325&lt;&gt;"-"),$U325:AB325)&gt;10,"+",AB326),IF(LOOKUP(2,1/($U336:AB336&lt;&gt;"-"),$U336:AB336)="+","+",AB326))</f>
        <v>-</v>
      </c>
      <c r="AC337" s="51" t="str" cm="1">
        <f t="array" ref="AC337">IF(AND($E336="Operational Performance",'Project Event Tree Input'!$D$42="Yes"),IF(LOOKUP(2,1/($U325:AC325&lt;&gt;"-"),$U325:AC325)&gt;10,"+",AC326),IF(LOOKUP(2,1/($U336:AC336&lt;&gt;"-"),$U336:AC336)="+","+",AC326))</f>
        <v>-</v>
      </c>
      <c r="AD337" s="51" t="str" cm="1">
        <f t="array" ref="AD337">IF(AND($E336="Operational Performance",'Project Event Tree Input'!$D$42="Yes"),IF(LOOKUP(2,1/($U325:AD325&lt;&gt;"-"),$U325:AD325)&gt;10,"+",AD326),IF(LOOKUP(2,1/($U336:AD336&lt;&gt;"-"),$U336:AD336)="+","+",AD326))</f>
        <v>-</v>
      </c>
      <c r="AE337" s="51" t="str" cm="1">
        <f t="array" ref="AE337">IF(AND($E336="Operational Performance",'Project Event Tree Input'!$D$42="Yes"),IF(LOOKUP(2,1/($U325:AE325&lt;&gt;"-"),$U325:AE325)&gt;10,"+",AE326),IF(LOOKUP(2,1/($U336:AE336&lt;&gt;"-"),$U336:AE336)="+","+",AE326))</f>
        <v>-</v>
      </c>
      <c r="AF337" s="51" t="str" cm="1">
        <f t="array" ref="AF337">IF(AND($E336="Operational Performance",'Project Event Tree Input'!$D$42="Yes"),IF(LOOKUP(2,1/($U325:AF325&lt;&gt;"-"),$U325:AF325)&gt;10,"+",AF326),IF(LOOKUP(2,1/($U336:AF336&lt;&gt;"-"),$U336:AF336)="+","+",AF326))</f>
        <v>-</v>
      </c>
      <c r="AG337" s="51" t="str" cm="1">
        <f t="array" ref="AG337">IF(AND($E336="Operational Performance",'Project Event Tree Input'!$D$42="Yes"),IF(LOOKUP(2,1/($U325:AG325&lt;&gt;"-"),$U325:AG325)&gt;10,"+",AG326),IF(LOOKUP(2,1/($U336:AG336&lt;&gt;"-"),$U336:AG336)="+","+",AG326))</f>
        <v>-</v>
      </c>
      <c r="AH337" s="51" t="str" cm="1">
        <f t="array" ref="AH337">IF(AND($E336="Operational Performance",'Project Event Tree Input'!$D$42="Yes"),IF(LOOKUP(2,1/($U325:AH325&lt;&gt;"-"),$U325:AH325)&gt;10,"+",AH326),IF(LOOKUP(2,1/($U336:AH336&lt;&gt;"-"),$U336:AH336)="+","+",AH326))</f>
        <v>-</v>
      </c>
      <c r="AI337" s="51" t="str" cm="1">
        <f t="array" ref="AI337">IF(AND($E336="Operational Performance",'Project Event Tree Input'!$D$42="Yes"),IF(LOOKUP(2,1/($U325:AI325&lt;&gt;"-"),$U325:AI325)&gt;10,"+",AI326),IF(LOOKUP(2,1/($U336:AI336&lt;&gt;"-"),$U336:AI336)="+","+",AI326))</f>
        <v>-</v>
      </c>
      <c r="AJ337" s="51" t="str" cm="1">
        <f t="array" ref="AJ337">IF(AND($E336="Operational Performance",'Project Event Tree Input'!$D$42="Yes"),IF(LOOKUP(2,1/($U325:AJ325&lt;&gt;"-"),$U325:AJ325)&gt;10,"+",AJ326),IF(LOOKUP(2,1/($U336:AJ336&lt;&gt;"-"),$U336:AJ336)="+","+",AJ326))</f>
        <v>-</v>
      </c>
      <c r="AK337" s="51" t="str" cm="1">
        <f t="array" ref="AK337">IF(AND($E336="Operational Performance",'Project Event Tree Input'!$D$42="Yes"),IF(LOOKUP(2,1/($U325:AK325&lt;&gt;"-"),$U325:AK325)&gt;10,"+",AK326),IF(LOOKUP(2,1/($U336:AK336&lt;&gt;"-"),$U336:AK336)="+","+",AK326))</f>
        <v>-</v>
      </c>
      <c r="AL337" s="51" t="str" cm="1">
        <f t="array" ref="AL337">IF(AND($E336="Operational Performance",'Project Event Tree Input'!$D$42="Yes"),IF(LOOKUP(2,1/($U325:AL325&lt;&gt;"-"),$U325:AL325)&gt;10,"+",AL326),IF(LOOKUP(2,1/($U336:AL336&lt;&gt;"-"),$U336:AL336)="+","+",AL326))</f>
        <v>-</v>
      </c>
      <c r="AM337" s="51" t="str" cm="1">
        <f t="array" ref="AM337">IF(AND($E336="Operational Performance",'Project Event Tree Input'!$D$42="Yes"),IF(LOOKUP(2,1/($U325:AM325&lt;&gt;"-"),$U325:AM325)&gt;10,"+",AM326),IF(LOOKUP(2,1/($U336:AM336&lt;&gt;"-"),$U336:AM336)="+","+",AM326))</f>
        <v>-</v>
      </c>
      <c r="AN337" s="51" t="str" cm="1">
        <f t="array" ref="AN337">IF(AND($E336="Operational Performance",'Project Event Tree Input'!$D$42="Yes"),IF(LOOKUP(2,1/($U325:AN325&lt;&gt;"-"),$U325:AN325)&gt;10,"+",AN326),IF(LOOKUP(2,1/($U336:AN336&lt;&gt;"-"),$U336:AN336)="+","+",AN326))</f>
        <v>-</v>
      </c>
      <c r="AO337" s="51" t="str" cm="1">
        <f t="array" ref="AO337">IF(AND($E336="Operational Performance",'Project Event Tree Input'!$D$42="Yes"),IF(LOOKUP(2,1/($U325:AO325&lt;&gt;"-"),$U325:AO325)&gt;10,"+",AO326),IF(LOOKUP(2,1/($U336:AO336&lt;&gt;"-"),$U336:AO336)="+","+",AO326))</f>
        <v>-</v>
      </c>
      <c r="AP337" s="51" t="str" cm="1">
        <f t="array" ref="AP337">IF(AND($E336="Operational Performance",'Project Event Tree Input'!$D$42="Yes"),IF(LOOKUP(2,1/($U325:AP325&lt;&gt;"-"),$U325:AP325)&gt;10,"+",AP326),IF(LOOKUP(2,1/($U336:AP336&lt;&gt;"-"),$U336:AP336)="+","+",AP326))</f>
        <v>-</v>
      </c>
      <c r="AQ337" s="51" t="str" cm="1">
        <f t="array" ref="AQ337">IF(AND($E336="Operational Performance",'Project Event Tree Input'!$D$42="Yes"),IF(LOOKUP(2,1/($U325:AQ325&lt;&gt;"-"),$U325:AQ325)&gt;10,"+",AQ326),IF(LOOKUP(2,1/($U336:AQ336&lt;&gt;"-"),$U336:AQ336)="+","+",AQ326))</f>
        <v>-</v>
      </c>
      <c r="AR337" s="51" t="str" cm="1">
        <f t="array" ref="AR337">IF(AND($E336="Operational Performance",'Project Event Tree Input'!$D$42="Yes"),IF(LOOKUP(2,1/($U325:AR325&lt;&gt;"-"),$U325:AR325)&gt;10,"+",AR326),IF(LOOKUP(2,1/($U336:AR336&lt;&gt;"-"),$U336:AR336)="+","+",AR326))</f>
        <v>-</v>
      </c>
      <c r="AS337" s="51" t="str" cm="1">
        <f t="array" ref="AS337">IF(AND($E336="Operational Performance",'Project Event Tree Input'!$D$42="Yes"),IF(LOOKUP(2,1/($U325:AS325&lt;&gt;"-"),$U325:AS325)&gt;10,"+",AS326),IF(LOOKUP(2,1/($U336:AS336&lt;&gt;"-"),$U336:AS336)="+","+",AS326))</f>
        <v>-</v>
      </c>
      <c r="AT337" s="51" t="str" cm="1">
        <f t="array" ref="AT337">IF(AND($E336="Operational Performance",'Project Event Tree Input'!$D$42="Yes"),IF(LOOKUP(2,1/($U325:AT325&lt;&gt;"-"),$U325:AT325)&gt;10,"+",AT326),IF(LOOKUP(2,1/($U336:AT336&lt;&gt;"-"),$U336:AT336)="+","+",AT326))</f>
        <v>-</v>
      </c>
      <c r="AU337" s="51" t="str" cm="1">
        <f t="array" ref="AU337">IF(AND($E336="Operational Performance",'Project Event Tree Input'!$D$42="Yes"),IF(LOOKUP(2,1/($U325:AU325&lt;&gt;"-"),$U325:AU325)&gt;10,"+",AU326),IF(LOOKUP(2,1/($U336:AU336&lt;&gt;"-"),$U336:AU336)="+","+",AU326))</f>
        <v>-</v>
      </c>
      <c r="AV337" s="51" t="str" cm="1">
        <f t="array" ref="AV337">IF(AND($E336="Operational Performance",'Project Event Tree Input'!$D$42="Yes"),IF(LOOKUP(2,1/($U325:AV325&lt;&gt;"-"),$U325:AV325)&gt;10,"+",AV326),IF(LOOKUP(2,1/($U336:AV336&lt;&gt;"-"),$U336:AV336)="+","+",AV326))</f>
        <v>-</v>
      </c>
      <c r="AW337" s="51" t="str" cm="1">
        <f t="array" ref="AW337">IF(AND($E336="Operational Performance",'Project Event Tree Input'!$D$42="Yes"),IF(LOOKUP(2,1/($U325:AW325&lt;&gt;"-"),$U325:AW325)&gt;10,"+",AW326),IF(LOOKUP(2,1/($U336:AW336&lt;&gt;"-"),$U336:AW336)="+","+",AW326))</f>
        <v>-</v>
      </c>
      <c r="AX337" s="51" t="str" cm="1">
        <f t="array" ref="AX337">IF(AND($E336="Operational Performance",'Project Event Tree Input'!$D$42="Yes"),IF(LOOKUP(2,1/($U325:AX325&lt;&gt;"-"),$U325:AX325)&gt;10,"+",AX326),IF(LOOKUP(2,1/($U336:AX336&lt;&gt;"-"),$U336:AX336)="+","+",AX326))</f>
        <v>-</v>
      </c>
      <c r="AY337" s="51" t="str" cm="1">
        <f t="array" ref="AY337">IF(AND($E336="Operational Performance",'Project Event Tree Input'!$D$42="Yes"),IF(LOOKUP(2,1/($U325:AY325&lt;&gt;"-"),$U325:AY325)&gt;10,"+",AY326),IF(LOOKUP(2,1/($U336:AY336&lt;&gt;"-"),$U336:AY336)="+","+",AY326))</f>
        <v>-</v>
      </c>
      <c r="AZ337" s="51" t="str" cm="1">
        <f t="array" ref="AZ337">IF(AND($E336="Operational Performance",'Project Event Tree Input'!$D$42="Yes"),IF(LOOKUP(2,1/($U325:AZ325&lt;&gt;"-"),$U325:AZ325)&gt;10,"+",AZ326),IF(LOOKUP(2,1/($U336:AZ336&lt;&gt;"-"),$U336:AZ336)="+","+",AZ326))</f>
        <v>-</v>
      </c>
      <c r="BA337" s="51" t="str" cm="1">
        <f t="array" ref="BA337">IF(AND($E336="Operational Performance",'Project Event Tree Input'!$D$42="Yes"),IF(LOOKUP(2,1/($U325:BA325&lt;&gt;"-"),$U325:BA325)&gt;10,"+",BA326),IF(LOOKUP(2,1/($U336:BA336&lt;&gt;"-"),$U336:BA336)="+","+",BA326))</f>
        <v>-</v>
      </c>
      <c r="BB337" s="51" t="str" cm="1">
        <f t="array" ref="BB337">IF(AND($E336="Operational Performance",'Project Event Tree Input'!$D$42="Yes"),IF(LOOKUP(2,1/($U325:BB325&lt;&gt;"-"),$U325:BB325)&gt;10,"+",BB326),IF(LOOKUP(2,1/($U336:BB336&lt;&gt;"-"),$U336:BB336)="+","+",BB326))</f>
        <v>-</v>
      </c>
      <c r="BC337" s="51" t="str" cm="1">
        <f t="array" ref="BC337">IF(AND($E336="Operational Performance",'Project Event Tree Input'!$D$42="Yes"),IF(LOOKUP(2,1/($U325:BC325&lt;&gt;"-"),$U325:BC325)&gt;10,"+",BC326),IF(LOOKUP(2,1/($U336:BC336&lt;&gt;"-"),$U336:BC336)="+","+",BC326))</f>
        <v>-</v>
      </c>
      <c r="BD337" s="51" t="str" cm="1">
        <f t="array" ref="BD337">IF(AND($E336="Operational Performance",'Project Event Tree Input'!$D$42="Yes"),IF(LOOKUP(2,1/($U325:BD325&lt;&gt;"-"),$U325:BD325)&gt;10,"+",BD326),IF(LOOKUP(2,1/($U336:BD336&lt;&gt;"-"),$U336:BD336)="+","+",BD326))</f>
        <v>-</v>
      </c>
      <c r="BE337" s="51" t="str" cm="1">
        <f t="array" ref="BE337">IF(AND($E336="Operational Performance",'Project Event Tree Input'!$D$42="Yes"),IF(LOOKUP(2,1/($U325:BE325&lt;&gt;"-"),$U325:BE325)&gt;10,"+",BE326),IF(LOOKUP(2,1/($U336:BE336&lt;&gt;"-"),$U336:BE336)="+","+",BE326))</f>
        <v>-</v>
      </c>
      <c r="BF337" s="51" t="str" cm="1">
        <f t="array" ref="BF337">IF(AND($E336="Operational Performance",'Project Event Tree Input'!$D$42="Yes"),IF(LOOKUP(2,1/($U325:BF325&lt;&gt;"-"),$U325:BF325)&gt;10,"+",BF326),IF(LOOKUP(2,1/($U336:BF336&lt;&gt;"-"),$U336:BF336)="+","+",BF326))</f>
        <v>-</v>
      </c>
      <c r="BG337" s="51" t="str" cm="1">
        <f t="array" ref="BG337">IF(AND($E336="Operational Performance",'Project Event Tree Input'!$D$42="Yes"),IF(LOOKUP(2,1/($U325:BG325&lt;&gt;"-"),$U325:BG325)&gt;10,"+",BG326),IF(LOOKUP(2,1/($U336:BG336&lt;&gt;"-"),$U336:BG336)="+","+",BG326))</f>
        <v>-</v>
      </c>
      <c r="BH337" s="51" t="str" cm="1">
        <f t="array" ref="BH337">IF(AND($E336="Operational Performance",'Project Event Tree Input'!$D$42="Yes"),IF(LOOKUP(2,1/($U325:BH325&lt;&gt;"-"),$U325:BH325)&gt;10,"+",BH326),IF(LOOKUP(2,1/($U336:BH336&lt;&gt;"-"),$U336:BH336)="+","+",BH326))</f>
        <v>-</v>
      </c>
      <c r="BI337" s="51" t="str" cm="1">
        <f t="array" ref="BI337">IF(AND($E336="Operational Performance",'Project Event Tree Input'!$D$42="Yes"),IF(LOOKUP(2,1/($U325:BI325&lt;&gt;"-"),$U325:BI325)&gt;10,"+",BI326),IF(LOOKUP(2,1/($U336:BI336&lt;&gt;"-"),$U336:BI336)="+","+",BI326))</f>
        <v>-</v>
      </c>
      <c r="BJ337" s="51" t="str" cm="1">
        <f t="array" ref="BJ337">IF(AND($E336="Operational Performance",'Project Event Tree Input'!$D$42="Yes"),IF(LOOKUP(2,1/($U325:BJ325&lt;&gt;"-"),$U325:BJ325)&gt;10,"+",BJ326),IF(LOOKUP(2,1/($U336:BJ336&lt;&gt;"-"),$U336:BJ336)="+","+",BJ326))</f>
        <v>-</v>
      </c>
      <c r="BK337" s="51" t="str" cm="1">
        <f t="array" ref="BK337">IF(AND($E336="Operational Performance",'Project Event Tree Input'!$D$42="Yes"),IF(LOOKUP(2,1/($U325:BK325&lt;&gt;"-"),$U325:BK325)&gt;10,"+",BK326),IF(LOOKUP(2,1/($U336:BK336&lt;&gt;"-"),$U336:BK336)="+","+",BK326))</f>
        <v>-</v>
      </c>
      <c r="BL337" s="51" t="str" cm="1">
        <f t="array" ref="BL337">IF(AND($E336="Operational Performance",'Project Event Tree Input'!$D$42="Yes"),IF(LOOKUP(2,1/($U325:BL325&lt;&gt;"-"),$U325:BL325)&gt;10,"+",BL326),IF(LOOKUP(2,1/($U336:BL336&lt;&gt;"-"),$U336:BL336)="+","+",BL326))</f>
        <v>-</v>
      </c>
      <c r="BM337" s="51" t="str" cm="1">
        <f t="array" ref="BM337">IF(AND($E336="Operational Performance",'Project Event Tree Input'!$D$42="Yes"),IF(LOOKUP(2,1/($U325:BM325&lt;&gt;"-"),$U325:BM325)&gt;10,"+",BM326),IF(LOOKUP(2,1/($U336:BM336&lt;&gt;"-"),$U336:BM336)="+","+",BM326))</f>
        <v>-</v>
      </c>
      <c r="BN337" s="51" t="str" cm="1">
        <f t="array" ref="BN337">IF(AND($E336="Operational Performance",'Project Event Tree Input'!$D$42="Yes"),IF(LOOKUP(2,1/($U325:BN325&lt;&gt;"-"),$U325:BN325)&gt;10,"+",BN326),IF(LOOKUP(2,1/($U336:BN336&lt;&gt;"-"),$U336:BN336)="+","+",BN326))</f>
        <v>-</v>
      </c>
      <c r="BO337" s="51" t="str" cm="1">
        <f t="array" ref="BO337">IF(AND($E336="Operational Performance",'Project Event Tree Input'!$D$42="Yes"),IF(LOOKUP(2,1/($U325:BO325&lt;&gt;"-"),$U325:BO325)&gt;10,"+",BO326),IF(LOOKUP(2,1/($U336:BO336&lt;&gt;"-"),$U336:BO336)="+","+",BO326))</f>
        <v>-</v>
      </c>
      <c r="BP337" s="51" t="str" cm="1">
        <f t="array" ref="BP337">IF(AND($E336="Operational Performance",'Project Event Tree Input'!$D$42="Yes"),IF(LOOKUP(2,1/($U325:BP325&lt;&gt;"-"),$U325:BP325)&gt;10,"+",BP326),IF(LOOKUP(2,1/($U336:BP336&lt;&gt;"-"),$U336:BP336)="+","+",BP326))</f>
        <v>-</v>
      </c>
      <c r="BQ337" s="51" t="str" cm="1">
        <f t="array" ref="BQ337">IF(AND($E336="Operational Performance",'Project Event Tree Input'!$D$42="Yes"),IF(LOOKUP(2,1/($U325:BQ325&lt;&gt;"-"),$U325:BQ325)&gt;10,"+",BQ326),IF(LOOKUP(2,1/($U336:BQ336&lt;&gt;"-"),$U336:BQ336)="+","+",BQ326))</f>
        <v>-</v>
      </c>
      <c r="BR337" s="51" t="str" cm="1">
        <f t="array" ref="BR337">IF(AND($E336="Operational Performance",'Project Event Tree Input'!$D$42="Yes"),IF(LOOKUP(2,1/($U325:BR325&lt;&gt;"-"),$U325:BR325)&gt;10,"+",BR326),IF(LOOKUP(2,1/($U336:BR336&lt;&gt;"-"),$U336:BR336)="+","+",BR326))</f>
        <v>-</v>
      </c>
      <c r="BS337" s="51" t="str" cm="1">
        <f t="array" ref="BS337">IF(AND($E336="Operational Performance",'Project Event Tree Input'!$D$42="Yes"),IF(LOOKUP(2,1/($U325:BS325&lt;&gt;"-"),$U325:BS325)&gt;10,"+",BS326),IF(LOOKUP(2,1/($U336:BS336&lt;&gt;"-"),$U336:BS336)="+","+",BS326))</f>
        <v>-</v>
      </c>
      <c r="BT337" s="51" t="str" cm="1">
        <f t="array" ref="BT337">IF(AND($E336="Operational Performance",'Project Event Tree Input'!$D$42="Yes"),IF(LOOKUP(2,1/($U325:BT325&lt;&gt;"-"),$U325:BT325)&gt;10,"+",BT326),IF(LOOKUP(2,1/($U336:BT336&lt;&gt;"-"),$U336:BT336)="+","+",BT326))</f>
        <v>-</v>
      </c>
      <c r="BU337" s="51" t="str" cm="1">
        <f t="array" ref="BU337">IF(AND($E336="Operational Performance",'Project Event Tree Input'!$D$42="Yes"),IF(LOOKUP(2,1/($U325:BU325&lt;&gt;"-"),$U325:BU325)&gt;10,"+",BU326),IF(LOOKUP(2,1/($U336:BU336&lt;&gt;"-"),$U336:BU336)="+","+",BU326))</f>
        <v>-</v>
      </c>
      <c r="BV337" s="51" t="str" cm="1">
        <f t="array" ref="BV337">IF(AND($E336="Operational Performance",'Project Event Tree Input'!$D$42="Yes"),IF(LOOKUP(2,1/($U325:BV325&lt;&gt;"-"),$U325:BV325)&gt;10,"+",BV326),IF(LOOKUP(2,1/($U336:BV336&lt;&gt;"-"),$U336:BV336)="+","+",BV326))</f>
        <v>-</v>
      </c>
      <c r="BW337" s="51" t="str" cm="1">
        <f t="array" ref="BW337">IF(AND($E336="Operational Performance",'Project Event Tree Input'!$D$42="Yes"),IF(LOOKUP(2,1/($U325:BW325&lt;&gt;"-"),$U325:BW325)&gt;10,"+",BW326),IF(LOOKUP(2,1/($U336:BW336&lt;&gt;"-"),$U336:BW336)="+","+",BW326))</f>
        <v>-</v>
      </c>
      <c r="CE337" s="33"/>
      <c r="CF337" s="33"/>
    </row>
    <row r="338" spans="2:84" s="49" customFormat="1" ht="15" customHeight="1" x14ac:dyDescent="0.2">
      <c r="B338" s="214">
        <v>3</v>
      </c>
      <c r="C338" s="214"/>
      <c r="D338" s="214"/>
      <c r="E338" s="218" t="str">
        <f>$E$327</f>
        <v>Transform</v>
      </c>
      <c r="F338" s="218"/>
      <c r="G338" s="218"/>
      <c r="H338" s="218"/>
      <c r="I338" s="218"/>
      <c r="J338" s="218"/>
      <c r="K338" s="218"/>
      <c r="L338" s="218"/>
      <c r="M338" s="220">
        <f>$M$327</f>
        <v>3</v>
      </c>
      <c r="N338" s="220"/>
      <c r="O338" s="220"/>
      <c r="P338" s="220"/>
      <c r="Q338" s="220">
        <f>$Q$327</f>
        <v>9</v>
      </c>
      <c r="R338" s="220"/>
      <c r="S338" s="220"/>
      <c r="T338" s="220"/>
      <c r="U338" s="51" cm="1">
        <f t="array" ref="U338">IF(AND($E337="Operational Performance",'Project Event Tree Input'!$D$42="Yes"),IF(LOOKUP(2,1/($U326:U326&lt;&gt;"-"),$U326:U326)&gt;10,"+",U327),IF(LOOKUP(2,1/($U337:U337&lt;&gt;"-"),$U337:U337)="+","+",U327))</f>
        <v>10</v>
      </c>
      <c r="V338" s="51" cm="1">
        <f t="array" ref="V338">IF(AND($E337="Operational Performance",'Project Event Tree Input'!$D$42="Yes"),IF(LOOKUP(2,1/($U326:V326&lt;&gt;"-"),$U326:V326)&gt;10,"+",V327),IF(LOOKUP(2,1/($U337:V337&lt;&gt;"-"),$U337:V337)="+","+",V327))</f>
        <v>15</v>
      </c>
      <c r="W338" s="51" cm="1">
        <f t="array" ref="W338">IF(AND($E337="Operational Performance",'Project Event Tree Input'!$D$42="Yes"),IF(LOOKUP(2,1/($U326:W326&lt;&gt;"-"),$U326:W326)&gt;10,"+",W327),IF(LOOKUP(2,1/($U337:W337&lt;&gt;"-"),$U337:W337)="+","+",W327))</f>
        <v>20</v>
      </c>
      <c r="X338" s="51" t="str" cm="1">
        <f t="array" ref="X338">IF(AND($E337="Operational Performance",'Project Event Tree Input'!$D$42="Yes"),IF(LOOKUP(2,1/($U326:X326&lt;&gt;"-"),$U326:X326)&gt;10,"+",X327),IF(LOOKUP(2,1/($U337:X337&lt;&gt;"-"),$U337:X337)="+","+",X327))</f>
        <v>+</v>
      </c>
      <c r="Y338" s="51" t="str" cm="1">
        <f t="array" ref="Y338">IF(AND($E337="Operational Performance",'Project Event Tree Input'!$D$42="Yes"),IF(LOOKUP(2,1/($U326:Y326&lt;&gt;"-"),$U326:Y326)&gt;10,"+",Y327),IF(LOOKUP(2,1/($U337:Y337&lt;&gt;"-"),$U337:Y337)="+","+",Y327))</f>
        <v>+</v>
      </c>
      <c r="Z338" s="51" t="str" cm="1">
        <f t="array" ref="Z338">IF(AND($E337="Operational Performance",'Project Event Tree Input'!$D$42="Yes"),IF(LOOKUP(2,1/($U326:Z326&lt;&gt;"-"),$U326:Z326)&gt;10,"+",Z327),IF(LOOKUP(2,1/($U337:Z337&lt;&gt;"-"),$U337:Z337)="+","+",Z327))</f>
        <v>+</v>
      </c>
      <c r="AA338" s="51" t="str" cm="1">
        <f t="array" ref="AA338">IF(AND($E337="Operational Performance",'Project Event Tree Input'!$D$42="Yes"),IF(LOOKUP(2,1/($U326:AA326&lt;&gt;"-"),$U326:AA326)&gt;10,"+",AA327),IF(LOOKUP(2,1/($U337:AA337&lt;&gt;"-"),$U337:AA337)="+","+",AA327))</f>
        <v>+</v>
      </c>
      <c r="AB338" s="51" t="str" cm="1">
        <f t="array" ref="AB338">IF(AND($E337="Operational Performance",'Project Event Tree Input'!$D$42="Yes"),IF(LOOKUP(2,1/($U326:AB326&lt;&gt;"-"),$U326:AB326)&gt;10,"+",AB327),IF(LOOKUP(2,1/($U337:AB337&lt;&gt;"-"),$U337:AB337)="+","+",AB327))</f>
        <v>+</v>
      </c>
      <c r="AC338" s="51" t="str" cm="1">
        <f t="array" ref="AC338">IF(AND($E337="Operational Performance",'Project Event Tree Input'!$D$42="Yes"),IF(LOOKUP(2,1/($U326:AC326&lt;&gt;"-"),$U326:AC326)&gt;10,"+",AC327),IF(LOOKUP(2,1/($U337:AC337&lt;&gt;"-"),$U337:AC337)="+","+",AC327))</f>
        <v>+</v>
      </c>
      <c r="AD338" s="51" t="str" cm="1">
        <f t="array" ref="AD338">IF(AND($E337="Operational Performance",'Project Event Tree Input'!$D$42="Yes"),IF(LOOKUP(2,1/($U326:AD326&lt;&gt;"-"),$U326:AD326)&gt;10,"+",AD327),IF(LOOKUP(2,1/($U337:AD337&lt;&gt;"-"),$U337:AD337)="+","+",AD327))</f>
        <v>+</v>
      </c>
      <c r="AE338" s="51" t="str" cm="1">
        <f t="array" ref="AE338">IF(AND($E337="Operational Performance",'Project Event Tree Input'!$D$42="Yes"),IF(LOOKUP(2,1/($U326:AE326&lt;&gt;"-"),$U326:AE326)&gt;10,"+",AE327),IF(LOOKUP(2,1/($U337:AE337&lt;&gt;"-"),$U337:AE337)="+","+",AE327))</f>
        <v>+</v>
      </c>
      <c r="AF338" s="51" t="str" cm="1">
        <f t="array" ref="AF338">IF(AND($E337="Operational Performance",'Project Event Tree Input'!$D$42="Yes"),IF(LOOKUP(2,1/($U326:AF326&lt;&gt;"-"),$U326:AF326)&gt;10,"+",AF327),IF(LOOKUP(2,1/($U337:AF337&lt;&gt;"-"),$U337:AF337)="+","+",AF327))</f>
        <v>+</v>
      </c>
      <c r="AG338" s="51" t="str" cm="1">
        <f t="array" ref="AG338">IF(AND($E337="Operational Performance",'Project Event Tree Input'!$D$42="Yes"),IF(LOOKUP(2,1/($U326:AG326&lt;&gt;"-"),$U326:AG326)&gt;10,"+",AG327),IF(LOOKUP(2,1/($U337:AG337&lt;&gt;"-"),$U337:AG337)="+","+",AG327))</f>
        <v>+</v>
      </c>
      <c r="AH338" s="51" t="str" cm="1">
        <f t="array" ref="AH338">IF(AND($E337="Operational Performance",'Project Event Tree Input'!$D$42="Yes"),IF(LOOKUP(2,1/($U326:AH326&lt;&gt;"-"),$U326:AH326)&gt;10,"+",AH327),IF(LOOKUP(2,1/($U337:AH337&lt;&gt;"-"),$U337:AH337)="+","+",AH327))</f>
        <v>+</v>
      </c>
      <c r="AI338" s="51" t="str" cm="1">
        <f t="array" ref="AI338">IF(AND($E337="Operational Performance",'Project Event Tree Input'!$D$42="Yes"),IF(LOOKUP(2,1/($U326:AI326&lt;&gt;"-"),$U326:AI326)&gt;10,"+",AI327),IF(LOOKUP(2,1/($U337:AI337&lt;&gt;"-"),$U337:AI337)="+","+",AI327))</f>
        <v>+</v>
      </c>
      <c r="AJ338" s="51" t="str" cm="1">
        <f t="array" ref="AJ338">IF(AND($E337="Operational Performance",'Project Event Tree Input'!$D$42="Yes"),IF(LOOKUP(2,1/($U326:AJ326&lt;&gt;"-"),$U326:AJ326)&gt;10,"+",AJ327),IF(LOOKUP(2,1/($U337:AJ337&lt;&gt;"-"),$U337:AJ337)="+","+",AJ327))</f>
        <v>+</v>
      </c>
      <c r="AK338" s="51" t="str" cm="1">
        <f t="array" ref="AK338">IF(AND($E337="Operational Performance",'Project Event Tree Input'!$D$42="Yes"),IF(LOOKUP(2,1/($U326:AK326&lt;&gt;"-"),$U326:AK326)&gt;10,"+",AK327),IF(LOOKUP(2,1/($U337:AK337&lt;&gt;"-"),$U337:AK337)="+","+",AK327))</f>
        <v>+</v>
      </c>
      <c r="AL338" s="51" t="str" cm="1">
        <f t="array" ref="AL338">IF(AND($E337="Operational Performance",'Project Event Tree Input'!$D$42="Yes"),IF(LOOKUP(2,1/($U326:AL326&lt;&gt;"-"),$U326:AL326)&gt;10,"+",AL327),IF(LOOKUP(2,1/($U337:AL337&lt;&gt;"-"),$U337:AL337)="+","+",AL327))</f>
        <v>+</v>
      </c>
      <c r="AM338" s="51" t="str" cm="1">
        <f t="array" ref="AM338">IF(AND($E337="Operational Performance",'Project Event Tree Input'!$D$42="Yes"),IF(LOOKUP(2,1/($U326:AM326&lt;&gt;"-"),$U326:AM326)&gt;10,"+",AM327),IF(LOOKUP(2,1/($U337:AM337&lt;&gt;"-"),$U337:AM337)="+","+",AM327))</f>
        <v>+</v>
      </c>
      <c r="AN338" s="51" t="str" cm="1">
        <f t="array" ref="AN338">IF(AND($E337="Operational Performance",'Project Event Tree Input'!$D$42="Yes"),IF(LOOKUP(2,1/($U326:AN326&lt;&gt;"-"),$U326:AN326)&gt;10,"+",AN327),IF(LOOKUP(2,1/($U337:AN337&lt;&gt;"-"),$U337:AN337)="+","+",AN327))</f>
        <v>+</v>
      </c>
      <c r="AO338" s="51" t="str" cm="1">
        <f t="array" ref="AO338">IF(AND($E337="Operational Performance",'Project Event Tree Input'!$D$42="Yes"),IF(LOOKUP(2,1/($U326:AO326&lt;&gt;"-"),$U326:AO326)&gt;10,"+",AO327),IF(LOOKUP(2,1/($U337:AO337&lt;&gt;"-"),$U337:AO337)="+","+",AO327))</f>
        <v>+</v>
      </c>
      <c r="AP338" s="51" t="str" cm="1">
        <f t="array" ref="AP338">IF(AND($E337="Operational Performance",'Project Event Tree Input'!$D$42="Yes"),IF(LOOKUP(2,1/($U326:AP326&lt;&gt;"-"),$U326:AP326)&gt;10,"+",AP327),IF(LOOKUP(2,1/($U337:AP337&lt;&gt;"-"),$U337:AP337)="+","+",AP327))</f>
        <v>+</v>
      </c>
      <c r="AQ338" s="51" t="str" cm="1">
        <f t="array" ref="AQ338">IF(AND($E337="Operational Performance",'Project Event Tree Input'!$D$42="Yes"),IF(LOOKUP(2,1/($U326:AQ326&lt;&gt;"-"),$U326:AQ326)&gt;10,"+",AQ327),IF(LOOKUP(2,1/($U337:AQ337&lt;&gt;"-"),$U337:AQ337)="+","+",AQ327))</f>
        <v>+</v>
      </c>
      <c r="AR338" s="51" t="str" cm="1">
        <f t="array" ref="AR338">IF(AND($E337="Operational Performance",'Project Event Tree Input'!$D$42="Yes"),IF(LOOKUP(2,1/($U326:AR326&lt;&gt;"-"),$U326:AR326)&gt;10,"+",AR327),IF(LOOKUP(2,1/($U337:AR337&lt;&gt;"-"),$U337:AR337)="+","+",AR327))</f>
        <v>+</v>
      </c>
      <c r="AS338" s="51" t="str" cm="1">
        <f t="array" ref="AS338">IF(AND($E337="Operational Performance",'Project Event Tree Input'!$D$42="Yes"),IF(LOOKUP(2,1/($U326:AS326&lt;&gt;"-"),$U326:AS326)&gt;10,"+",AS327),IF(LOOKUP(2,1/($U337:AS337&lt;&gt;"-"),$U337:AS337)="+","+",AS327))</f>
        <v>+</v>
      </c>
      <c r="AT338" s="51" t="str" cm="1">
        <f t="array" ref="AT338">IF(AND($E337="Operational Performance",'Project Event Tree Input'!$D$42="Yes"),IF(LOOKUP(2,1/($U326:AT326&lt;&gt;"-"),$U326:AT326)&gt;10,"+",AT327),IF(LOOKUP(2,1/($U337:AT337&lt;&gt;"-"),$U337:AT337)="+","+",AT327))</f>
        <v>+</v>
      </c>
      <c r="AU338" s="51" t="str" cm="1">
        <f t="array" ref="AU338">IF(AND($E337="Operational Performance",'Project Event Tree Input'!$D$42="Yes"),IF(LOOKUP(2,1/($U326:AU326&lt;&gt;"-"),$U326:AU326)&gt;10,"+",AU327),IF(LOOKUP(2,1/($U337:AU337&lt;&gt;"-"),$U337:AU337)="+","+",AU327))</f>
        <v>+</v>
      </c>
      <c r="AV338" s="51" t="str" cm="1">
        <f t="array" ref="AV338">IF(AND($E337="Operational Performance",'Project Event Tree Input'!$D$42="Yes"),IF(LOOKUP(2,1/($U326:AV326&lt;&gt;"-"),$U326:AV326)&gt;10,"+",AV327),IF(LOOKUP(2,1/($U337:AV337&lt;&gt;"-"),$U337:AV337)="+","+",AV327))</f>
        <v>+</v>
      </c>
      <c r="AW338" s="51" t="str" cm="1">
        <f t="array" ref="AW338">IF(AND($E337="Operational Performance",'Project Event Tree Input'!$D$42="Yes"),IF(LOOKUP(2,1/($U326:AW326&lt;&gt;"-"),$U326:AW326)&gt;10,"+",AW327),IF(LOOKUP(2,1/($U337:AW337&lt;&gt;"-"),$U337:AW337)="+","+",AW327))</f>
        <v>+</v>
      </c>
      <c r="AX338" s="51" t="str" cm="1">
        <f t="array" ref="AX338">IF(AND($E337="Operational Performance",'Project Event Tree Input'!$D$42="Yes"),IF(LOOKUP(2,1/($U326:AX326&lt;&gt;"-"),$U326:AX326)&gt;10,"+",AX327),IF(LOOKUP(2,1/($U337:AX337&lt;&gt;"-"),$U337:AX337)="+","+",AX327))</f>
        <v>+</v>
      </c>
      <c r="AY338" s="51" t="str" cm="1">
        <f t="array" ref="AY338">IF(AND($E337="Operational Performance",'Project Event Tree Input'!$D$42="Yes"),IF(LOOKUP(2,1/($U326:AY326&lt;&gt;"-"),$U326:AY326)&gt;10,"+",AY327),IF(LOOKUP(2,1/($U337:AY337&lt;&gt;"-"),$U337:AY337)="+","+",AY327))</f>
        <v>+</v>
      </c>
      <c r="AZ338" s="51" t="str" cm="1">
        <f t="array" ref="AZ338">IF(AND($E337="Operational Performance",'Project Event Tree Input'!$D$42="Yes"),IF(LOOKUP(2,1/($U326:AZ326&lt;&gt;"-"),$U326:AZ326)&gt;10,"+",AZ327),IF(LOOKUP(2,1/($U337:AZ337&lt;&gt;"-"),$U337:AZ337)="+","+",AZ327))</f>
        <v>+</v>
      </c>
      <c r="BA338" s="51" t="str" cm="1">
        <f t="array" ref="BA338">IF(AND($E337="Operational Performance",'Project Event Tree Input'!$D$42="Yes"),IF(LOOKUP(2,1/($U326:BA326&lt;&gt;"-"),$U326:BA326)&gt;10,"+",BA327),IF(LOOKUP(2,1/($U337:BA337&lt;&gt;"-"),$U337:BA337)="+","+",BA327))</f>
        <v>+</v>
      </c>
      <c r="BB338" s="51" t="str" cm="1">
        <f t="array" ref="BB338">IF(AND($E337="Operational Performance",'Project Event Tree Input'!$D$42="Yes"),IF(LOOKUP(2,1/($U326:BB326&lt;&gt;"-"),$U326:BB326)&gt;10,"+",BB327),IF(LOOKUP(2,1/($U337:BB337&lt;&gt;"-"),$U337:BB337)="+","+",BB327))</f>
        <v>+</v>
      </c>
      <c r="BC338" s="51" t="str" cm="1">
        <f t="array" ref="BC338">IF(AND($E337="Operational Performance",'Project Event Tree Input'!$D$42="Yes"),IF(LOOKUP(2,1/($U326:BC326&lt;&gt;"-"),$U326:BC326)&gt;10,"+",BC327),IF(LOOKUP(2,1/($U337:BC337&lt;&gt;"-"),$U337:BC337)="+","+",BC327))</f>
        <v>+</v>
      </c>
      <c r="BD338" s="51" t="str" cm="1">
        <f t="array" ref="BD338">IF(AND($E337="Operational Performance",'Project Event Tree Input'!$D$42="Yes"),IF(LOOKUP(2,1/($U326:BD326&lt;&gt;"-"),$U326:BD326)&gt;10,"+",BD327),IF(LOOKUP(2,1/($U337:BD337&lt;&gt;"-"),$U337:BD337)="+","+",BD327))</f>
        <v>+</v>
      </c>
      <c r="BE338" s="51" t="str" cm="1">
        <f t="array" ref="BE338">IF(AND($E337="Operational Performance",'Project Event Tree Input'!$D$42="Yes"),IF(LOOKUP(2,1/($U326:BE326&lt;&gt;"-"),$U326:BE326)&gt;10,"+",BE327),IF(LOOKUP(2,1/($U337:BE337&lt;&gt;"-"),$U337:BE337)="+","+",BE327))</f>
        <v>+</v>
      </c>
      <c r="BF338" s="51" t="str" cm="1">
        <f t="array" ref="BF338">IF(AND($E337="Operational Performance",'Project Event Tree Input'!$D$42="Yes"),IF(LOOKUP(2,1/($U326:BF326&lt;&gt;"-"),$U326:BF326)&gt;10,"+",BF327),IF(LOOKUP(2,1/($U337:BF337&lt;&gt;"-"),$U337:BF337)="+","+",BF327))</f>
        <v>+</v>
      </c>
      <c r="BG338" s="51" t="str" cm="1">
        <f t="array" ref="BG338">IF(AND($E337="Operational Performance",'Project Event Tree Input'!$D$42="Yes"),IF(LOOKUP(2,1/($U326:BG326&lt;&gt;"-"),$U326:BG326)&gt;10,"+",BG327),IF(LOOKUP(2,1/($U337:BG337&lt;&gt;"-"),$U337:BG337)="+","+",BG327))</f>
        <v>+</v>
      </c>
      <c r="BH338" s="51" t="str" cm="1">
        <f t="array" ref="BH338">IF(AND($E337="Operational Performance",'Project Event Tree Input'!$D$42="Yes"),IF(LOOKUP(2,1/($U326:BH326&lt;&gt;"-"),$U326:BH326)&gt;10,"+",BH327),IF(LOOKUP(2,1/($U337:BH337&lt;&gt;"-"),$U337:BH337)="+","+",BH327))</f>
        <v>+</v>
      </c>
      <c r="BI338" s="51" t="str" cm="1">
        <f t="array" ref="BI338">IF(AND($E337="Operational Performance",'Project Event Tree Input'!$D$42="Yes"),IF(LOOKUP(2,1/($U326:BI326&lt;&gt;"-"),$U326:BI326)&gt;10,"+",BI327),IF(LOOKUP(2,1/($U337:BI337&lt;&gt;"-"),$U337:BI337)="+","+",BI327))</f>
        <v>+</v>
      </c>
      <c r="BJ338" s="51" t="str" cm="1">
        <f t="array" ref="BJ338">IF(AND($E337="Operational Performance",'Project Event Tree Input'!$D$42="Yes"),IF(LOOKUP(2,1/($U326:BJ326&lt;&gt;"-"),$U326:BJ326)&gt;10,"+",BJ327),IF(LOOKUP(2,1/($U337:BJ337&lt;&gt;"-"),$U337:BJ337)="+","+",BJ327))</f>
        <v>+</v>
      </c>
      <c r="BK338" s="51" t="str" cm="1">
        <f t="array" ref="BK338">IF(AND($E337="Operational Performance",'Project Event Tree Input'!$D$42="Yes"),IF(LOOKUP(2,1/($U326:BK326&lt;&gt;"-"),$U326:BK326)&gt;10,"+",BK327),IF(LOOKUP(2,1/($U337:BK337&lt;&gt;"-"),$U337:BK337)="+","+",BK327))</f>
        <v>+</v>
      </c>
      <c r="BL338" s="51" t="str" cm="1">
        <f t="array" ref="BL338">IF(AND($E337="Operational Performance",'Project Event Tree Input'!$D$42="Yes"),IF(LOOKUP(2,1/($U326:BL326&lt;&gt;"-"),$U326:BL326)&gt;10,"+",BL327),IF(LOOKUP(2,1/($U337:BL337&lt;&gt;"-"),$U337:BL337)="+","+",BL327))</f>
        <v>+</v>
      </c>
      <c r="BM338" s="51" t="str" cm="1">
        <f t="array" ref="BM338">IF(AND($E337="Operational Performance",'Project Event Tree Input'!$D$42="Yes"),IF(LOOKUP(2,1/($U326:BM326&lt;&gt;"-"),$U326:BM326)&gt;10,"+",BM327),IF(LOOKUP(2,1/($U337:BM337&lt;&gt;"-"),$U337:BM337)="+","+",BM327))</f>
        <v>+</v>
      </c>
      <c r="BN338" s="51" t="str" cm="1">
        <f t="array" ref="BN338">IF(AND($E337="Operational Performance",'Project Event Tree Input'!$D$42="Yes"),IF(LOOKUP(2,1/($U326:BN326&lt;&gt;"-"),$U326:BN326)&gt;10,"+",BN327),IF(LOOKUP(2,1/($U337:BN337&lt;&gt;"-"),$U337:BN337)="+","+",BN327))</f>
        <v>+</v>
      </c>
      <c r="BO338" s="51" t="str" cm="1">
        <f t="array" ref="BO338">IF(AND($E337="Operational Performance",'Project Event Tree Input'!$D$42="Yes"),IF(LOOKUP(2,1/($U326:BO326&lt;&gt;"-"),$U326:BO326)&gt;10,"+",BO327),IF(LOOKUP(2,1/($U337:BO337&lt;&gt;"-"),$U337:BO337)="+","+",BO327))</f>
        <v>+</v>
      </c>
      <c r="BP338" s="51" t="str" cm="1">
        <f t="array" ref="BP338">IF(AND($E337="Operational Performance",'Project Event Tree Input'!$D$42="Yes"),IF(LOOKUP(2,1/($U326:BP326&lt;&gt;"-"),$U326:BP326)&gt;10,"+",BP327),IF(LOOKUP(2,1/($U337:BP337&lt;&gt;"-"),$U337:BP337)="+","+",BP327))</f>
        <v>+</v>
      </c>
      <c r="BQ338" s="51" t="str" cm="1">
        <f t="array" ref="BQ338">IF(AND($E337="Operational Performance",'Project Event Tree Input'!$D$42="Yes"),IF(LOOKUP(2,1/($U326:BQ326&lt;&gt;"-"),$U326:BQ326)&gt;10,"+",BQ327),IF(LOOKUP(2,1/($U337:BQ337&lt;&gt;"-"),$U337:BQ337)="+","+",BQ327))</f>
        <v>+</v>
      </c>
      <c r="BR338" s="51" t="str" cm="1">
        <f t="array" ref="BR338">IF(AND($E337="Operational Performance",'Project Event Tree Input'!$D$42="Yes"),IF(LOOKUP(2,1/($U326:BR326&lt;&gt;"-"),$U326:BR326)&gt;10,"+",BR327),IF(LOOKUP(2,1/($U337:BR337&lt;&gt;"-"),$U337:BR337)="+","+",BR327))</f>
        <v>+</v>
      </c>
      <c r="BS338" s="51" t="str" cm="1">
        <f t="array" ref="BS338">IF(AND($E337="Operational Performance",'Project Event Tree Input'!$D$42="Yes"),IF(LOOKUP(2,1/($U326:BS326&lt;&gt;"-"),$U326:BS326)&gt;10,"+",BS327),IF(LOOKUP(2,1/($U337:BS337&lt;&gt;"-"),$U337:BS337)="+","+",BS327))</f>
        <v>+</v>
      </c>
      <c r="BT338" s="51" t="str" cm="1">
        <f t="array" ref="BT338">IF(AND($E337="Operational Performance",'Project Event Tree Input'!$D$42="Yes"),IF(LOOKUP(2,1/($U326:BT326&lt;&gt;"-"),$U326:BT326)&gt;10,"+",BT327),IF(LOOKUP(2,1/($U337:BT337&lt;&gt;"-"),$U337:BT337)="+","+",BT327))</f>
        <v>+</v>
      </c>
      <c r="BU338" s="51" t="str" cm="1">
        <f t="array" ref="BU338">IF(AND($E337="Operational Performance",'Project Event Tree Input'!$D$42="Yes"),IF(LOOKUP(2,1/($U326:BU326&lt;&gt;"-"),$U326:BU326)&gt;10,"+",BU327),IF(LOOKUP(2,1/($U337:BU337&lt;&gt;"-"),$U337:BU337)="+","+",BU327))</f>
        <v>+</v>
      </c>
      <c r="BV338" s="51" t="str" cm="1">
        <f t="array" ref="BV338">IF(AND($E337="Operational Performance",'Project Event Tree Input'!$D$42="Yes"),IF(LOOKUP(2,1/($U326:BV326&lt;&gt;"-"),$U326:BV326)&gt;10,"+",BV327),IF(LOOKUP(2,1/($U337:BV337&lt;&gt;"-"),$U337:BV337)="+","+",BV327))</f>
        <v>+</v>
      </c>
      <c r="BW338" s="51" t="str" cm="1">
        <f t="array" ref="BW338">IF(AND($E337="Operational Performance",'Project Event Tree Input'!$D$42="Yes"),IF(LOOKUP(2,1/($U326:BW326&lt;&gt;"-"),$U326:BW326)&gt;10,"+",BW327),IF(LOOKUP(2,1/($U337:BW337&lt;&gt;"-"),$U337:BW337)="+","+",BW327))</f>
        <v>+</v>
      </c>
      <c r="CE338" s="33"/>
      <c r="CF338" s="33"/>
    </row>
    <row r="339" spans="2:84" s="49" customFormat="1" ht="15" customHeight="1" x14ac:dyDescent="0.2">
      <c r="B339" s="214">
        <v>4</v>
      </c>
      <c r="C339" s="214"/>
      <c r="D339" s="214"/>
      <c r="E339" s="218" t="str">
        <f>$E$328</f>
        <v>System Response</v>
      </c>
      <c r="F339" s="218"/>
      <c r="G339" s="218"/>
      <c r="H339" s="218"/>
      <c r="I339" s="218"/>
      <c r="J339" s="218"/>
      <c r="K339" s="218"/>
      <c r="L339" s="218"/>
      <c r="M339" s="220">
        <f>$M$328</f>
        <v>1</v>
      </c>
      <c r="N339" s="220"/>
      <c r="O339" s="220"/>
      <c r="P339" s="220"/>
      <c r="Q339" s="220">
        <f>$Q$328</f>
        <v>9</v>
      </c>
      <c r="R339" s="220"/>
      <c r="S339" s="220"/>
      <c r="T339" s="220"/>
      <c r="U339" s="51" cm="1">
        <f t="array" ref="U339">IF(AND($E338="Operational Performance",'Project Event Tree Input'!$D$42="Yes"),IF(LOOKUP(2,1/($U327:U327&lt;&gt;"-"),$U327:U327)&gt;10,"+",U328),IF(LOOKUP(2,1/($U338:U338&lt;&gt;"-"),$U338:U338)="+","+",U328))</f>
        <v>10</v>
      </c>
      <c r="V339" s="51" cm="1">
        <f t="array" ref="V339">IF(AND($E338="Operational Performance",'Project Event Tree Input'!$D$42="Yes"),IF(LOOKUP(2,1/($U327:V327&lt;&gt;"-"),$U327:V327)&gt;10,"+",V328),IF(LOOKUP(2,1/($U338:V338&lt;&gt;"-"),$U338:V338)="+","+",V328))</f>
        <v>15</v>
      </c>
      <c r="W339" s="51" cm="1">
        <f t="array" ref="W339">IF(AND($E338="Operational Performance",'Project Event Tree Input'!$D$42="Yes"),IF(LOOKUP(2,1/($U327:W327&lt;&gt;"-"),$U327:W327)&gt;10,"+",W328),IF(LOOKUP(2,1/($U338:W338&lt;&gt;"-"),$U338:W338)="+","+",W328))</f>
        <v>20</v>
      </c>
      <c r="X339" s="51" t="str" cm="1">
        <f t="array" ref="X339">IF(AND($E338="Operational Performance",'Project Event Tree Input'!$D$42="Yes"),IF(LOOKUP(2,1/($U327:X327&lt;&gt;"-"),$U327:X327)&gt;10,"+",X328),IF(LOOKUP(2,1/($U338:X338&lt;&gt;"-"),$U338:X338)="+","+",X328))</f>
        <v>+</v>
      </c>
      <c r="Y339" s="51" t="str" cm="1">
        <f t="array" ref="Y339">IF(AND($E338="Operational Performance",'Project Event Tree Input'!$D$42="Yes"),IF(LOOKUP(2,1/($U327:Y327&lt;&gt;"-"),$U327:Y327)&gt;10,"+",Y328),IF(LOOKUP(2,1/($U338:Y338&lt;&gt;"-"),$U338:Y338)="+","+",Y328))</f>
        <v>+</v>
      </c>
      <c r="Z339" s="51" t="str" cm="1">
        <f t="array" ref="Z339">IF(AND($E338="Operational Performance",'Project Event Tree Input'!$D$42="Yes"),IF(LOOKUP(2,1/($U327:Z327&lt;&gt;"-"),$U327:Z327)&gt;10,"+",Z328),IF(LOOKUP(2,1/($U338:Z338&lt;&gt;"-"),$U338:Z338)="+","+",Z328))</f>
        <v>+</v>
      </c>
      <c r="AA339" s="51" t="str" cm="1">
        <f t="array" ref="AA339">IF(AND($E338="Operational Performance",'Project Event Tree Input'!$D$42="Yes"),IF(LOOKUP(2,1/($U327:AA327&lt;&gt;"-"),$U327:AA327)&gt;10,"+",AA328),IF(LOOKUP(2,1/($U338:AA338&lt;&gt;"-"),$U338:AA338)="+","+",AA328))</f>
        <v>+</v>
      </c>
      <c r="AB339" s="51" t="str" cm="1">
        <f t="array" ref="AB339">IF(AND($E338="Operational Performance",'Project Event Tree Input'!$D$42="Yes"),IF(LOOKUP(2,1/($U327:AB327&lt;&gt;"-"),$U327:AB327)&gt;10,"+",AB328),IF(LOOKUP(2,1/($U338:AB338&lt;&gt;"-"),$U338:AB338)="+","+",AB328))</f>
        <v>+</v>
      </c>
      <c r="AC339" s="51" t="str" cm="1">
        <f t="array" ref="AC339">IF(AND($E338="Operational Performance",'Project Event Tree Input'!$D$42="Yes"),IF(LOOKUP(2,1/($U327:AC327&lt;&gt;"-"),$U327:AC327)&gt;10,"+",AC328),IF(LOOKUP(2,1/($U338:AC338&lt;&gt;"-"),$U338:AC338)="+","+",AC328))</f>
        <v>+</v>
      </c>
      <c r="AD339" s="51" t="str" cm="1">
        <f t="array" ref="AD339">IF(AND($E338="Operational Performance",'Project Event Tree Input'!$D$42="Yes"),IF(LOOKUP(2,1/($U327:AD327&lt;&gt;"-"),$U327:AD327)&gt;10,"+",AD328),IF(LOOKUP(2,1/($U338:AD338&lt;&gt;"-"),$U338:AD338)="+","+",AD328))</f>
        <v>+</v>
      </c>
      <c r="AE339" s="51" t="str" cm="1">
        <f t="array" ref="AE339">IF(AND($E338="Operational Performance",'Project Event Tree Input'!$D$42="Yes"),IF(LOOKUP(2,1/($U327:AE327&lt;&gt;"-"),$U327:AE327)&gt;10,"+",AE328),IF(LOOKUP(2,1/($U338:AE338&lt;&gt;"-"),$U338:AE338)="+","+",AE328))</f>
        <v>+</v>
      </c>
      <c r="AF339" s="51" t="str" cm="1">
        <f t="array" ref="AF339">IF(AND($E338="Operational Performance",'Project Event Tree Input'!$D$42="Yes"),IF(LOOKUP(2,1/($U327:AF327&lt;&gt;"-"),$U327:AF327)&gt;10,"+",AF328),IF(LOOKUP(2,1/($U338:AF338&lt;&gt;"-"),$U338:AF338)="+","+",AF328))</f>
        <v>+</v>
      </c>
      <c r="AG339" s="51" t="str" cm="1">
        <f t="array" ref="AG339">IF(AND($E338="Operational Performance",'Project Event Tree Input'!$D$42="Yes"),IF(LOOKUP(2,1/($U327:AG327&lt;&gt;"-"),$U327:AG327)&gt;10,"+",AG328),IF(LOOKUP(2,1/($U338:AG338&lt;&gt;"-"),$U338:AG338)="+","+",AG328))</f>
        <v>+</v>
      </c>
      <c r="AH339" s="51" t="str" cm="1">
        <f t="array" ref="AH339">IF(AND($E338="Operational Performance",'Project Event Tree Input'!$D$42="Yes"),IF(LOOKUP(2,1/($U327:AH327&lt;&gt;"-"),$U327:AH327)&gt;10,"+",AH328),IF(LOOKUP(2,1/($U338:AH338&lt;&gt;"-"),$U338:AH338)="+","+",AH328))</f>
        <v>+</v>
      </c>
      <c r="AI339" s="51" t="str" cm="1">
        <f t="array" ref="AI339">IF(AND($E338="Operational Performance",'Project Event Tree Input'!$D$42="Yes"),IF(LOOKUP(2,1/($U327:AI327&lt;&gt;"-"),$U327:AI327)&gt;10,"+",AI328),IF(LOOKUP(2,1/($U338:AI338&lt;&gt;"-"),$U338:AI338)="+","+",AI328))</f>
        <v>+</v>
      </c>
      <c r="AJ339" s="51" t="str" cm="1">
        <f t="array" ref="AJ339">IF(AND($E338="Operational Performance",'Project Event Tree Input'!$D$42="Yes"),IF(LOOKUP(2,1/($U327:AJ327&lt;&gt;"-"),$U327:AJ327)&gt;10,"+",AJ328),IF(LOOKUP(2,1/($U338:AJ338&lt;&gt;"-"),$U338:AJ338)="+","+",AJ328))</f>
        <v>+</v>
      </c>
      <c r="AK339" s="51" t="str" cm="1">
        <f t="array" ref="AK339">IF(AND($E338="Operational Performance",'Project Event Tree Input'!$D$42="Yes"),IF(LOOKUP(2,1/($U327:AK327&lt;&gt;"-"),$U327:AK327)&gt;10,"+",AK328),IF(LOOKUP(2,1/($U338:AK338&lt;&gt;"-"),$U338:AK338)="+","+",AK328))</f>
        <v>+</v>
      </c>
      <c r="AL339" s="51" t="str" cm="1">
        <f t="array" ref="AL339">IF(AND($E338="Operational Performance",'Project Event Tree Input'!$D$42="Yes"),IF(LOOKUP(2,1/($U327:AL327&lt;&gt;"-"),$U327:AL327)&gt;10,"+",AL328),IF(LOOKUP(2,1/($U338:AL338&lt;&gt;"-"),$U338:AL338)="+","+",AL328))</f>
        <v>+</v>
      </c>
      <c r="AM339" s="51" t="str" cm="1">
        <f t="array" ref="AM339">IF(AND($E338="Operational Performance",'Project Event Tree Input'!$D$42="Yes"),IF(LOOKUP(2,1/($U327:AM327&lt;&gt;"-"),$U327:AM327)&gt;10,"+",AM328),IF(LOOKUP(2,1/($U338:AM338&lt;&gt;"-"),$U338:AM338)="+","+",AM328))</f>
        <v>+</v>
      </c>
      <c r="AN339" s="51" t="str" cm="1">
        <f t="array" ref="AN339">IF(AND($E338="Operational Performance",'Project Event Tree Input'!$D$42="Yes"),IF(LOOKUP(2,1/($U327:AN327&lt;&gt;"-"),$U327:AN327)&gt;10,"+",AN328),IF(LOOKUP(2,1/($U338:AN338&lt;&gt;"-"),$U338:AN338)="+","+",AN328))</f>
        <v>+</v>
      </c>
      <c r="AO339" s="51" t="str" cm="1">
        <f t="array" ref="AO339">IF(AND($E338="Operational Performance",'Project Event Tree Input'!$D$42="Yes"),IF(LOOKUP(2,1/($U327:AO327&lt;&gt;"-"),$U327:AO327)&gt;10,"+",AO328),IF(LOOKUP(2,1/($U338:AO338&lt;&gt;"-"),$U338:AO338)="+","+",AO328))</f>
        <v>+</v>
      </c>
      <c r="AP339" s="51" t="str" cm="1">
        <f t="array" ref="AP339">IF(AND($E338="Operational Performance",'Project Event Tree Input'!$D$42="Yes"),IF(LOOKUP(2,1/($U327:AP327&lt;&gt;"-"),$U327:AP327)&gt;10,"+",AP328),IF(LOOKUP(2,1/($U338:AP338&lt;&gt;"-"),$U338:AP338)="+","+",AP328))</f>
        <v>+</v>
      </c>
      <c r="AQ339" s="51" t="str" cm="1">
        <f t="array" ref="AQ339">IF(AND($E338="Operational Performance",'Project Event Tree Input'!$D$42="Yes"),IF(LOOKUP(2,1/($U327:AQ327&lt;&gt;"-"),$U327:AQ327)&gt;10,"+",AQ328),IF(LOOKUP(2,1/($U338:AQ338&lt;&gt;"-"),$U338:AQ338)="+","+",AQ328))</f>
        <v>+</v>
      </c>
      <c r="AR339" s="51" t="str" cm="1">
        <f t="array" ref="AR339">IF(AND($E338="Operational Performance",'Project Event Tree Input'!$D$42="Yes"),IF(LOOKUP(2,1/($U327:AR327&lt;&gt;"-"),$U327:AR327)&gt;10,"+",AR328),IF(LOOKUP(2,1/($U338:AR338&lt;&gt;"-"),$U338:AR338)="+","+",AR328))</f>
        <v>+</v>
      </c>
      <c r="AS339" s="51" t="str" cm="1">
        <f t="array" ref="AS339">IF(AND($E338="Operational Performance",'Project Event Tree Input'!$D$42="Yes"),IF(LOOKUP(2,1/($U327:AS327&lt;&gt;"-"),$U327:AS327)&gt;10,"+",AS328),IF(LOOKUP(2,1/($U338:AS338&lt;&gt;"-"),$U338:AS338)="+","+",AS328))</f>
        <v>+</v>
      </c>
      <c r="AT339" s="51" t="str" cm="1">
        <f t="array" ref="AT339">IF(AND($E338="Operational Performance",'Project Event Tree Input'!$D$42="Yes"),IF(LOOKUP(2,1/($U327:AT327&lt;&gt;"-"),$U327:AT327)&gt;10,"+",AT328),IF(LOOKUP(2,1/($U338:AT338&lt;&gt;"-"),$U338:AT338)="+","+",AT328))</f>
        <v>+</v>
      </c>
      <c r="AU339" s="51" t="str" cm="1">
        <f t="array" ref="AU339">IF(AND($E338="Operational Performance",'Project Event Tree Input'!$D$42="Yes"),IF(LOOKUP(2,1/($U327:AU327&lt;&gt;"-"),$U327:AU327)&gt;10,"+",AU328),IF(LOOKUP(2,1/($U338:AU338&lt;&gt;"-"),$U338:AU338)="+","+",AU328))</f>
        <v>+</v>
      </c>
      <c r="AV339" s="51" t="str" cm="1">
        <f t="array" ref="AV339">IF(AND($E338="Operational Performance",'Project Event Tree Input'!$D$42="Yes"),IF(LOOKUP(2,1/($U327:AV327&lt;&gt;"-"),$U327:AV327)&gt;10,"+",AV328),IF(LOOKUP(2,1/($U338:AV338&lt;&gt;"-"),$U338:AV338)="+","+",AV328))</f>
        <v>+</v>
      </c>
      <c r="AW339" s="51" t="str" cm="1">
        <f t="array" ref="AW339">IF(AND($E338="Operational Performance",'Project Event Tree Input'!$D$42="Yes"),IF(LOOKUP(2,1/($U327:AW327&lt;&gt;"-"),$U327:AW327)&gt;10,"+",AW328),IF(LOOKUP(2,1/($U338:AW338&lt;&gt;"-"),$U338:AW338)="+","+",AW328))</f>
        <v>+</v>
      </c>
      <c r="AX339" s="51" t="str" cm="1">
        <f t="array" ref="AX339">IF(AND($E338="Operational Performance",'Project Event Tree Input'!$D$42="Yes"),IF(LOOKUP(2,1/($U327:AX327&lt;&gt;"-"),$U327:AX327)&gt;10,"+",AX328),IF(LOOKUP(2,1/($U338:AX338&lt;&gt;"-"),$U338:AX338)="+","+",AX328))</f>
        <v>+</v>
      </c>
      <c r="AY339" s="51" t="str" cm="1">
        <f t="array" ref="AY339">IF(AND($E338="Operational Performance",'Project Event Tree Input'!$D$42="Yes"),IF(LOOKUP(2,1/($U327:AY327&lt;&gt;"-"),$U327:AY327)&gt;10,"+",AY328),IF(LOOKUP(2,1/($U338:AY338&lt;&gt;"-"),$U338:AY338)="+","+",AY328))</f>
        <v>+</v>
      </c>
      <c r="AZ339" s="51" t="str" cm="1">
        <f t="array" ref="AZ339">IF(AND($E338="Operational Performance",'Project Event Tree Input'!$D$42="Yes"),IF(LOOKUP(2,1/($U327:AZ327&lt;&gt;"-"),$U327:AZ327)&gt;10,"+",AZ328),IF(LOOKUP(2,1/($U338:AZ338&lt;&gt;"-"),$U338:AZ338)="+","+",AZ328))</f>
        <v>+</v>
      </c>
      <c r="BA339" s="51" t="str" cm="1">
        <f t="array" ref="BA339">IF(AND($E338="Operational Performance",'Project Event Tree Input'!$D$42="Yes"),IF(LOOKUP(2,1/($U327:BA327&lt;&gt;"-"),$U327:BA327)&gt;10,"+",BA328),IF(LOOKUP(2,1/($U338:BA338&lt;&gt;"-"),$U338:BA338)="+","+",BA328))</f>
        <v>+</v>
      </c>
      <c r="BB339" s="51" t="str" cm="1">
        <f t="array" ref="BB339">IF(AND($E338="Operational Performance",'Project Event Tree Input'!$D$42="Yes"),IF(LOOKUP(2,1/($U327:BB327&lt;&gt;"-"),$U327:BB327)&gt;10,"+",BB328),IF(LOOKUP(2,1/($U338:BB338&lt;&gt;"-"),$U338:BB338)="+","+",BB328))</f>
        <v>+</v>
      </c>
      <c r="BC339" s="51" t="str" cm="1">
        <f t="array" ref="BC339">IF(AND($E338="Operational Performance",'Project Event Tree Input'!$D$42="Yes"),IF(LOOKUP(2,1/($U327:BC327&lt;&gt;"-"),$U327:BC327)&gt;10,"+",BC328),IF(LOOKUP(2,1/($U338:BC338&lt;&gt;"-"),$U338:BC338)="+","+",BC328))</f>
        <v>+</v>
      </c>
      <c r="BD339" s="51" t="str" cm="1">
        <f t="array" ref="BD339">IF(AND($E338="Operational Performance",'Project Event Tree Input'!$D$42="Yes"),IF(LOOKUP(2,1/($U327:BD327&lt;&gt;"-"),$U327:BD327)&gt;10,"+",BD328),IF(LOOKUP(2,1/($U338:BD338&lt;&gt;"-"),$U338:BD338)="+","+",BD328))</f>
        <v>+</v>
      </c>
      <c r="BE339" s="51" t="str" cm="1">
        <f t="array" ref="BE339">IF(AND($E338="Operational Performance",'Project Event Tree Input'!$D$42="Yes"),IF(LOOKUP(2,1/($U327:BE327&lt;&gt;"-"),$U327:BE327)&gt;10,"+",BE328),IF(LOOKUP(2,1/($U338:BE338&lt;&gt;"-"),$U338:BE338)="+","+",BE328))</f>
        <v>+</v>
      </c>
      <c r="BF339" s="51" t="str" cm="1">
        <f t="array" ref="BF339">IF(AND($E338="Operational Performance",'Project Event Tree Input'!$D$42="Yes"),IF(LOOKUP(2,1/($U327:BF327&lt;&gt;"-"),$U327:BF327)&gt;10,"+",BF328),IF(LOOKUP(2,1/($U338:BF338&lt;&gt;"-"),$U338:BF338)="+","+",BF328))</f>
        <v>+</v>
      </c>
      <c r="BG339" s="51" t="str" cm="1">
        <f t="array" ref="BG339">IF(AND($E338="Operational Performance",'Project Event Tree Input'!$D$42="Yes"),IF(LOOKUP(2,1/($U327:BG327&lt;&gt;"-"),$U327:BG327)&gt;10,"+",BG328),IF(LOOKUP(2,1/($U338:BG338&lt;&gt;"-"),$U338:BG338)="+","+",BG328))</f>
        <v>+</v>
      </c>
      <c r="BH339" s="51" t="str" cm="1">
        <f t="array" ref="BH339">IF(AND($E338="Operational Performance",'Project Event Tree Input'!$D$42="Yes"),IF(LOOKUP(2,1/($U327:BH327&lt;&gt;"-"),$U327:BH327)&gt;10,"+",BH328),IF(LOOKUP(2,1/($U338:BH338&lt;&gt;"-"),$U338:BH338)="+","+",BH328))</f>
        <v>+</v>
      </c>
      <c r="BI339" s="51" t="str" cm="1">
        <f t="array" ref="BI339">IF(AND($E338="Operational Performance",'Project Event Tree Input'!$D$42="Yes"),IF(LOOKUP(2,1/($U327:BI327&lt;&gt;"-"),$U327:BI327)&gt;10,"+",BI328),IF(LOOKUP(2,1/($U338:BI338&lt;&gt;"-"),$U338:BI338)="+","+",BI328))</f>
        <v>+</v>
      </c>
      <c r="BJ339" s="51" t="str" cm="1">
        <f t="array" ref="BJ339">IF(AND($E338="Operational Performance",'Project Event Tree Input'!$D$42="Yes"),IF(LOOKUP(2,1/($U327:BJ327&lt;&gt;"-"),$U327:BJ327)&gt;10,"+",BJ328),IF(LOOKUP(2,1/($U338:BJ338&lt;&gt;"-"),$U338:BJ338)="+","+",BJ328))</f>
        <v>+</v>
      </c>
      <c r="BK339" s="51" t="str" cm="1">
        <f t="array" ref="BK339">IF(AND($E338="Operational Performance",'Project Event Tree Input'!$D$42="Yes"),IF(LOOKUP(2,1/($U327:BK327&lt;&gt;"-"),$U327:BK327)&gt;10,"+",BK328),IF(LOOKUP(2,1/($U338:BK338&lt;&gt;"-"),$U338:BK338)="+","+",BK328))</f>
        <v>+</v>
      </c>
      <c r="BL339" s="51" t="str" cm="1">
        <f t="array" ref="BL339">IF(AND($E338="Operational Performance",'Project Event Tree Input'!$D$42="Yes"),IF(LOOKUP(2,1/($U327:BL327&lt;&gt;"-"),$U327:BL327)&gt;10,"+",BL328),IF(LOOKUP(2,1/($U338:BL338&lt;&gt;"-"),$U338:BL338)="+","+",BL328))</f>
        <v>+</v>
      </c>
      <c r="BM339" s="51" t="str" cm="1">
        <f t="array" ref="BM339">IF(AND($E338="Operational Performance",'Project Event Tree Input'!$D$42="Yes"),IF(LOOKUP(2,1/($U327:BM327&lt;&gt;"-"),$U327:BM327)&gt;10,"+",BM328),IF(LOOKUP(2,1/($U338:BM338&lt;&gt;"-"),$U338:BM338)="+","+",BM328))</f>
        <v>+</v>
      </c>
      <c r="BN339" s="51" t="str" cm="1">
        <f t="array" ref="BN339">IF(AND($E338="Operational Performance",'Project Event Tree Input'!$D$42="Yes"),IF(LOOKUP(2,1/($U327:BN327&lt;&gt;"-"),$U327:BN327)&gt;10,"+",BN328),IF(LOOKUP(2,1/($U338:BN338&lt;&gt;"-"),$U338:BN338)="+","+",BN328))</f>
        <v>+</v>
      </c>
      <c r="BO339" s="51" t="str" cm="1">
        <f t="array" ref="BO339">IF(AND($E338="Operational Performance",'Project Event Tree Input'!$D$42="Yes"),IF(LOOKUP(2,1/($U327:BO327&lt;&gt;"-"),$U327:BO327)&gt;10,"+",BO328),IF(LOOKUP(2,1/($U338:BO338&lt;&gt;"-"),$U338:BO338)="+","+",BO328))</f>
        <v>+</v>
      </c>
      <c r="BP339" s="51" t="str" cm="1">
        <f t="array" ref="BP339">IF(AND($E338="Operational Performance",'Project Event Tree Input'!$D$42="Yes"),IF(LOOKUP(2,1/($U327:BP327&lt;&gt;"-"),$U327:BP327)&gt;10,"+",BP328),IF(LOOKUP(2,1/($U338:BP338&lt;&gt;"-"),$U338:BP338)="+","+",BP328))</f>
        <v>+</v>
      </c>
      <c r="BQ339" s="51" t="str" cm="1">
        <f t="array" ref="BQ339">IF(AND($E338="Operational Performance",'Project Event Tree Input'!$D$42="Yes"),IF(LOOKUP(2,1/($U327:BQ327&lt;&gt;"-"),$U327:BQ327)&gt;10,"+",BQ328),IF(LOOKUP(2,1/($U338:BQ338&lt;&gt;"-"),$U338:BQ338)="+","+",BQ328))</f>
        <v>+</v>
      </c>
      <c r="BR339" s="51" t="str" cm="1">
        <f t="array" ref="BR339">IF(AND($E338="Operational Performance",'Project Event Tree Input'!$D$42="Yes"),IF(LOOKUP(2,1/($U327:BR327&lt;&gt;"-"),$U327:BR327)&gt;10,"+",BR328),IF(LOOKUP(2,1/($U338:BR338&lt;&gt;"-"),$U338:BR338)="+","+",BR328))</f>
        <v>+</v>
      </c>
      <c r="BS339" s="51" t="str" cm="1">
        <f t="array" ref="BS339">IF(AND($E338="Operational Performance",'Project Event Tree Input'!$D$42="Yes"),IF(LOOKUP(2,1/($U327:BS327&lt;&gt;"-"),$U327:BS327)&gt;10,"+",BS328),IF(LOOKUP(2,1/($U338:BS338&lt;&gt;"-"),$U338:BS338)="+","+",BS328))</f>
        <v>+</v>
      </c>
      <c r="BT339" s="51" t="str" cm="1">
        <f t="array" ref="BT339">IF(AND($E338="Operational Performance",'Project Event Tree Input'!$D$42="Yes"),IF(LOOKUP(2,1/($U327:BT327&lt;&gt;"-"),$U327:BT327)&gt;10,"+",BT328),IF(LOOKUP(2,1/($U338:BT338&lt;&gt;"-"),$U338:BT338)="+","+",BT328))</f>
        <v>+</v>
      </c>
      <c r="BU339" s="51" t="str" cm="1">
        <f t="array" ref="BU339">IF(AND($E338="Operational Performance",'Project Event Tree Input'!$D$42="Yes"),IF(LOOKUP(2,1/($U327:BU327&lt;&gt;"-"),$U327:BU327)&gt;10,"+",BU328),IF(LOOKUP(2,1/($U338:BU338&lt;&gt;"-"),$U338:BU338)="+","+",BU328))</f>
        <v>+</v>
      </c>
      <c r="BV339" s="51" t="str" cm="1">
        <f t="array" ref="BV339">IF(AND($E338="Operational Performance",'Project Event Tree Input'!$D$42="Yes"),IF(LOOKUP(2,1/($U327:BV327&lt;&gt;"-"),$U327:BV327)&gt;10,"+",BV328),IF(LOOKUP(2,1/($U338:BV338&lt;&gt;"-"),$U338:BV338)="+","+",BV328))</f>
        <v>+</v>
      </c>
      <c r="BW339" s="51" t="str" cm="1">
        <f t="array" ref="BW339">IF(AND($E338="Operational Performance",'Project Event Tree Input'!$D$42="Yes"),IF(LOOKUP(2,1/($U327:BW327&lt;&gt;"-"),$U327:BW327)&gt;10,"+",BW328),IF(LOOKUP(2,1/($U338:BW338&lt;&gt;"-"),$U338:BW338)="+","+",BW328))</f>
        <v>+</v>
      </c>
      <c r="CE339" s="33"/>
      <c r="CF339" s="33"/>
    </row>
    <row r="340" spans="2:84" s="49" customFormat="1" ht="15" customHeight="1" x14ac:dyDescent="0.2">
      <c r="B340" s="214">
        <v>5</v>
      </c>
      <c r="C340" s="214"/>
      <c r="D340" s="214"/>
      <c r="E340" s="218" t="str">
        <f>$E$329</f>
        <v>Life Loss</v>
      </c>
      <c r="F340" s="218"/>
      <c r="G340" s="218"/>
      <c r="H340" s="218"/>
      <c r="I340" s="218"/>
      <c r="J340" s="218"/>
      <c r="K340" s="218"/>
      <c r="L340" s="218"/>
      <c r="M340" s="220">
        <f>$M$329</f>
        <v>1</v>
      </c>
      <c r="N340" s="220"/>
      <c r="O340" s="220"/>
      <c r="P340" s="220"/>
      <c r="Q340" s="220">
        <f>$Q$329</f>
        <v>9</v>
      </c>
      <c r="R340" s="220"/>
      <c r="S340" s="220"/>
      <c r="T340" s="220"/>
      <c r="U340" s="51" cm="1">
        <f t="array" ref="U340">IF(AND($E339="Operational Performance",'Project Event Tree Input'!$D$42="Yes"),IF(LOOKUP(2,1/($U328:U328&lt;&gt;"-"),$U328:U328)&gt;10,"+",U329),IF(LOOKUP(2,1/($U339:U339&lt;&gt;"-"),$U339:U339)="+","+",U329))</f>
        <v>10</v>
      </c>
      <c r="V340" s="51" cm="1">
        <f t="array" ref="V340">IF(AND($E339="Operational Performance",'Project Event Tree Input'!$D$42="Yes"),IF(LOOKUP(2,1/($U328:V328&lt;&gt;"-"),$U328:V328)&gt;10,"+",V329),IF(LOOKUP(2,1/($U339:V339&lt;&gt;"-"),$U339:V339)="+","+",V329))</f>
        <v>15</v>
      </c>
      <c r="W340" s="51" cm="1">
        <f t="array" ref="W340">IF(AND($E339="Operational Performance",'Project Event Tree Input'!$D$42="Yes"),IF(LOOKUP(2,1/($U328:W328&lt;&gt;"-"),$U328:W328)&gt;10,"+",W329),IF(LOOKUP(2,1/($U339:W339&lt;&gt;"-"),$U339:W339)="+","+",W329))</f>
        <v>20</v>
      </c>
      <c r="X340" s="51" t="str" cm="1">
        <f t="array" ref="X340">IF(AND($E339="Operational Performance",'Project Event Tree Input'!$D$42="Yes"),IF(LOOKUP(2,1/($U328:X328&lt;&gt;"-"),$U328:X328)&gt;10,"+",X329),IF(LOOKUP(2,1/($U339:X339&lt;&gt;"-"),$U339:X339)="+","+",X329))</f>
        <v>+</v>
      </c>
      <c r="Y340" s="51" t="str" cm="1">
        <f t="array" ref="Y340">IF(AND($E339="Operational Performance",'Project Event Tree Input'!$D$42="Yes"),IF(LOOKUP(2,1/($U328:Y328&lt;&gt;"-"),$U328:Y328)&gt;10,"+",Y329),IF(LOOKUP(2,1/($U339:Y339&lt;&gt;"-"),$U339:Y339)="+","+",Y329))</f>
        <v>+</v>
      </c>
      <c r="Z340" s="51" t="str" cm="1">
        <f t="array" ref="Z340">IF(AND($E339="Operational Performance",'Project Event Tree Input'!$D$42="Yes"),IF(LOOKUP(2,1/($U328:Z328&lt;&gt;"-"),$U328:Z328)&gt;10,"+",Z329),IF(LOOKUP(2,1/($U339:Z339&lt;&gt;"-"),$U339:Z339)="+","+",Z329))</f>
        <v>+</v>
      </c>
      <c r="AA340" s="51" t="str" cm="1">
        <f t="array" ref="AA340">IF(AND($E339="Operational Performance",'Project Event Tree Input'!$D$42="Yes"),IF(LOOKUP(2,1/($U328:AA328&lt;&gt;"-"),$U328:AA328)&gt;10,"+",AA329),IF(LOOKUP(2,1/($U339:AA339&lt;&gt;"-"),$U339:AA339)="+","+",AA329))</f>
        <v>+</v>
      </c>
      <c r="AB340" s="51" t="str" cm="1">
        <f t="array" ref="AB340">IF(AND($E339="Operational Performance",'Project Event Tree Input'!$D$42="Yes"),IF(LOOKUP(2,1/($U328:AB328&lt;&gt;"-"),$U328:AB328)&gt;10,"+",AB329),IF(LOOKUP(2,1/($U339:AB339&lt;&gt;"-"),$U339:AB339)="+","+",AB329))</f>
        <v>+</v>
      </c>
      <c r="AC340" s="51" t="str" cm="1">
        <f t="array" ref="AC340">IF(AND($E339="Operational Performance",'Project Event Tree Input'!$D$42="Yes"),IF(LOOKUP(2,1/($U328:AC328&lt;&gt;"-"),$U328:AC328)&gt;10,"+",AC329),IF(LOOKUP(2,1/($U339:AC339&lt;&gt;"-"),$U339:AC339)="+","+",AC329))</f>
        <v>+</v>
      </c>
      <c r="AD340" s="51" t="str" cm="1">
        <f t="array" ref="AD340">IF(AND($E339="Operational Performance",'Project Event Tree Input'!$D$42="Yes"),IF(LOOKUP(2,1/($U328:AD328&lt;&gt;"-"),$U328:AD328)&gt;10,"+",AD329),IF(LOOKUP(2,1/($U339:AD339&lt;&gt;"-"),$U339:AD339)="+","+",AD329))</f>
        <v>+</v>
      </c>
      <c r="AE340" s="51" t="str" cm="1">
        <f t="array" ref="AE340">IF(AND($E339="Operational Performance",'Project Event Tree Input'!$D$42="Yes"),IF(LOOKUP(2,1/($U328:AE328&lt;&gt;"-"),$U328:AE328)&gt;10,"+",AE329),IF(LOOKUP(2,1/($U339:AE339&lt;&gt;"-"),$U339:AE339)="+","+",AE329))</f>
        <v>+</v>
      </c>
      <c r="AF340" s="51" t="str" cm="1">
        <f t="array" ref="AF340">IF(AND($E339="Operational Performance",'Project Event Tree Input'!$D$42="Yes"),IF(LOOKUP(2,1/($U328:AF328&lt;&gt;"-"),$U328:AF328)&gt;10,"+",AF329),IF(LOOKUP(2,1/($U339:AF339&lt;&gt;"-"),$U339:AF339)="+","+",AF329))</f>
        <v>+</v>
      </c>
      <c r="AG340" s="51" t="str" cm="1">
        <f t="array" ref="AG340">IF(AND($E339="Operational Performance",'Project Event Tree Input'!$D$42="Yes"),IF(LOOKUP(2,1/($U328:AG328&lt;&gt;"-"),$U328:AG328)&gt;10,"+",AG329),IF(LOOKUP(2,1/($U339:AG339&lt;&gt;"-"),$U339:AG339)="+","+",AG329))</f>
        <v>+</v>
      </c>
      <c r="AH340" s="51" t="str" cm="1">
        <f t="array" ref="AH340">IF(AND($E339="Operational Performance",'Project Event Tree Input'!$D$42="Yes"),IF(LOOKUP(2,1/($U328:AH328&lt;&gt;"-"),$U328:AH328)&gt;10,"+",AH329),IF(LOOKUP(2,1/($U339:AH339&lt;&gt;"-"),$U339:AH339)="+","+",AH329))</f>
        <v>+</v>
      </c>
      <c r="AI340" s="51" t="str" cm="1">
        <f t="array" ref="AI340">IF(AND($E339="Operational Performance",'Project Event Tree Input'!$D$42="Yes"),IF(LOOKUP(2,1/($U328:AI328&lt;&gt;"-"),$U328:AI328)&gt;10,"+",AI329),IF(LOOKUP(2,1/($U339:AI339&lt;&gt;"-"),$U339:AI339)="+","+",AI329))</f>
        <v>+</v>
      </c>
      <c r="AJ340" s="51" t="str" cm="1">
        <f t="array" ref="AJ340">IF(AND($E339="Operational Performance",'Project Event Tree Input'!$D$42="Yes"),IF(LOOKUP(2,1/($U328:AJ328&lt;&gt;"-"),$U328:AJ328)&gt;10,"+",AJ329),IF(LOOKUP(2,1/($U339:AJ339&lt;&gt;"-"),$U339:AJ339)="+","+",AJ329))</f>
        <v>+</v>
      </c>
      <c r="AK340" s="51" t="str" cm="1">
        <f t="array" ref="AK340">IF(AND($E339="Operational Performance",'Project Event Tree Input'!$D$42="Yes"),IF(LOOKUP(2,1/($U328:AK328&lt;&gt;"-"),$U328:AK328)&gt;10,"+",AK329),IF(LOOKUP(2,1/($U339:AK339&lt;&gt;"-"),$U339:AK339)="+","+",AK329))</f>
        <v>+</v>
      </c>
      <c r="AL340" s="51" t="str" cm="1">
        <f t="array" ref="AL340">IF(AND($E339="Operational Performance",'Project Event Tree Input'!$D$42="Yes"),IF(LOOKUP(2,1/($U328:AL328&lt;&gt;"-"),$U328:AL328)&gt;10,"+",AL329),IF(LOOKUP(2,1/($U339:AL339&lt;&gt;"-"),$U339:AL339)="+","+",AL329))</f>
        <v>+</v>
      </c>
      <c r="AM340" s="51" t="str" cm="1">
        <f t="array" ref="AM340">IF(AND($E339="Operational Performance",'Project Event Tree Input'!$D$42="Yes"),IF(LOOKUP(2,1/($U328:AM328&lt;&gt;"-"),$U328:AM328)&gt;10,"+",AM329),IF(LOOKUP(2,1/($U339:AM339&lt;&gt;"-"),$U339:AM339)="+","+",AM329))</f>
        <v>+</v>
      </c>
      <c r="AN340" s="51" t="str" cm="1">
        <f t="array" ref="AN340">IF(AND($E339="Operational Performance",'Project Event Tree Input'!$D$42="Yes"),IF(LOOKUP(2,1/($U328:AN328&lt;&gt;"-"),$U328:AN328)&gt;10,"+",AN329),IF(LOOKUP(2,1/($U339:AN339&lt;&gt;"-"),$U339:AN339)="+","+",AN329))</f>
        <v>+</v>
      </c>
      <c r="AO340" s="51" t="str" cm="1">
        <f t="array" ref="AO340">IF(AND($E339="Operational Performance",'Project Event Tree Input'!$D$42="Yes"),IF(LOOKUP(2,1/($U328:AO328&lt;&gt;"-"),$U328:AO328)&gt;10,"+",AO329),IF(LOOKUP(2,1/($U339:AO339&lt;&gt;"-"),$U339:AO339)="+","+",AO329))</f>
        <v>+</v>
      </c>
      <c r="AP340" s="51" t="str" cm="1">
        <f t="array" ref="AP340">IF(AND($E339="Operational Performance",'Project Event Tree Input'!$D$42="Yes"),IF(LOOKUP(2,1/($U328:AP328&lt;&gt;"-"),$U328:AP328)&gt;10,"+",AP329),IF(LOOKUP(2,1/($U339:AP339&lt;&gt;"-"),$U339:AP339)="+","+",AP329))</f>
        <v>+</v>
      </c>
      <c r="AQ340" s="51" t="str" cm="1">
        <f t="array" ref="AQ340">IF(AND($E339="Operational Performance",'Project Event Tree Input'!$D$42="Yes"),IF(LOOKUP(2,1/($U328:AQ328&lt;&gt;"-"),$U328:AQ328)&gt;10,"+",AQ329),IF(LOOKUP(2,1/($U339:AQ339&lt;&gt;"-"),$U339:AQ339)="+","+",AQ329))</f>
        <v>+</v>
      </c>
      <c r="AR340" s="51" t="str" cm="1">
        <f t="array" ref="AR340">IF(AND($E339="Operational Performance",'Project Event Tree Input'!$D$42="Yes"),IF(LOOKUP(2,1/($U328:AR328&lt;&gt;"-"),$U328:AR328)&gt;10,"+",AR329),IF(LOOKUP(2,1/($U339:AR339&lt;&gt;"-"),$U339:AR339)="+","+",AR329))</f>
        <v>+</v>
      </c>
      <c r="AS340" s="51" t="str" cm="1">
        <f t="array" ref="AS340">IF(AND($E339="Operational Performance",'Project Event Tree Input'!$D$42="Yes"),IF(LOOKUP(2,1/($U328:AS328&lt;&gt;"-"),$U328:AS328)&gt;10,"+",AS329),IF(LOOKUP(2,1/($U339:AS339&lt;&gt;"-"),$U339:AS339)="+","+",AS329))</f>
        <v>+</v>
      </c>
      <c r="AT340" s="51" t="str" cm="1">
        <f t="array" ref="AT340">IF(AND($E339="Operational Performance",'Project Event Tree Input'!$D$42="Yes"),IF(LOOKUP(2,1/($U328:AT328&lt;&gt;"-"),$U328:AT328)&gt;10,"+",AT329),IF(LOOKUP(2,1/($U339:AT339&lt;&gt;"-"),$U339:AT339)="+","+",AT329))</f>
        <v>+</v>
      </c>
      <c r="AU340" s="51" t="str" cm="1">
        <f t="array" ref="AU340">IF(AND($E339="Operational Performance",'Project Event Tree Input'!$D$42="Yes"),IF(LOOKUP(2,1/($U328:AU328&lt;&gt;"-"),$U328:AU328)&gt;10,"+",AU329),IF(LOOKUP(2,1/($U339:AU339&lt;&gt;"-"),$U339:AU339)="+","+",AU329))</f>
        <v>+</v>
      </c>
      <c r="AV340" s="51" t="str" cm="1">
        <f t="array" ref="AV340">IF(AND($E339="Operational Performance",'Project Event Tree Input'!$D$42="Yes"),IF(LOOKUP(2,1/($U328:AV328&lt;&gt;"-"),$U328:AV328)&gt;10,"+",AV329),IF(LOOKUP(2,1/($U339:AV339&lt;&gt;"-"),$U339:AV339)="+","+",AV329))</f>
        <v>+</v>
      </c>
      <c r="AW340" s="51" t="str" cm="1">
        <f t="array" ref="AW340">IF(AND($E339="Operational Performance",'Project Event Tree Input'!$D$42="Yes"),IF(LOOKUP(2,1/($U328:AW328&lt;&gt;"-"),$U328:AW328)&gt;10,"+",AW329),IF(LOOKUP(2,1/($U339:AW339&lt;&gt;"-"),$U339:AW339)="+","+",AW329))</f>
        <v>+</v>
      </c>
      <c r="AX340" s="51" t="str" cm="1">
        <f t="array" ref="AX340">IF(AND($E339="Operational Performance",'Project Event Tree Input'!$D$42="Yes"),IF(LOOKUP(2,1/($U328:AX328&lt;&gt;"-"),$U328:AX328)&gt;10,"+",AX329),IF(LOOKUP(2,1/($U339:AX339&lt;&gt;"-"),$U339:AX339)="+","+",AX329))</f>
        <v>+</v>
      </c>
      <c r="AY340" s="51" t="str" cm="1">
        <f t="array" ref="AY340">IF(AND($E339="Operational Performance",'Project Event Tree Input'!$D$42="Yes"),IF(LOOKUP(2,1/($U328:AY328&lt;&gt;"-"),$U328:AY328)&gt;10,"+",AY329),IF(LOOKUP(2,1/($U339:AY339&lt;&gt;"-"),$U339:AY339)="+","+",AY329))</f>
        <v>+</v>
      </c>
      <c r="AZ340" s="51" t="str" cm="1">
        <f t="array" ref="AZ340">IF(AND($E339="Operational Performance",'Project Event Tree Input'!$D$42="Yes"),IF(LOOKUP(2,1/($U328:AZ328&lt;&gt;"-"),$U328:AZ328)&gt;10,"+",AZ329),IF(LOOKUP(2,1/($U339:AZ339&lt;&gt;"-"),$U339:AZ339)="+","+",AZ329))</f>
        <v>+</v>
      </c>
      <c r="BA340" s="51" t="str" cm="1">
        <f t="array" ref="BA340">IF(AND($E339="Operational Performance",'Project Event Tree Input'!$D$42="Yes"),IF(LOOKUP(2,1/($U328:BA328&lt;&gt;"-"),$U328:BA328)&gt;10,"+",BA329),IF(LOOKUP(2,1/($U339:BA339&lt;&gt;"-"),$U339:BA339)="+","+",BA329))</f>
        <v>+</v>
      </c>
      <c r="BB340" s="51" t="str" cm="1">
        <f t="array" ref="BB340">IF(AND($E339="Operational Performance",'Project Event Tree Input'!$D$42="Yes"),IF(LOOKUP(2,1/($U328:BB328&lt;&gt;"-"),$U328:BB328)&gt;10,"+",BB329),IF(LOOKUP(2,1/($U339:BB339&lt;&gt;"-"),$U339:BB339)="+","+",BB329))</f>
        <v>+</v>
      </c>
      <c r="BC340" s="51" t="str" cm="1">
        <f t="array" ref="BC340">IF(AND($E339="Operational Performance",'Project Event Tree Input'!$D$42="Yes"),IF(LOOKUP(2,1/($U328:BC328&lt;&gt;"-"),$U328:BC328)&gt;10,"+",BC329),IF(LOOKUP(2,1/($U339:BC339&lt;&gt;"-"),$U339:BC339)="+","+",BC329))</f>
        <v>+</v>
      </c>
      <c r="BD340" s="51" t="str" cm="1">
        <f t="array" ref="BD340">IF(AND($E339="Operational Performance",'Project Event Tree Input'!$D$42="Yes"),IF(LOOKUP(2,1/($U328:BD328&lt;&gt;"-"),$U328:BD328)&gt;10,"+",BD329),IF(LOOKUP(2,1/($U339:BD339&lt;&gt;"-"),$U339:BD339)="+","+",BD329))</f>
        <v>+</v>
      </c>
      <c r="BE340" s="51" t="str" cm="1">
        <f t="array" ref="BE340">IF(AND($E339="Operational Performance",'Project Event Tree Input'!$D$42="Yes"),IF(LOOKUP(2,1/($U328:BE328&lt;&gt;"-"),$U328:BE328)&gt;10,"+",BE329),IF(LOOKUP(2,1/($U339:BE339&lt;&gt;"-"),$U339:BE339)="+","+",BE329))</f>
        <v>+</v>
      </c>
      <c r="BF340" s="51" t="str" cm="1">
        <f t="array" ref="BF340">IF(AND($E339="Operational Performance",'Project Event Tree Input'!$D$42="Yes"),IF(LOOKUP(2,1/($U328:BF328&lt;&gt;"-"),$U328:BF328)&gt;10,"+",BF329),IF(LOOKUP(2,1/($U339:BF339&lt;&gt;"-"),$U339:BF339)="+","+",BF329))</f>
        <v>+</v>
      </c>
      <c r="BG340" s="51" t="str" cm="1">
        <f t="array" ref="BG340">IF(AND($E339="Operational Performance",'Project Event Tree Input'!$D$42="Yes"),IF(LOOKUP(2,1/($U328:BG328&lt;&gt;"-"),$U328:BG328)&gt;10,"+",BG329),IF(LOOKUP(2,1/($U339:BG339&lt;&gt;"-"),$U339:BG339)="+","+",BG329))</f>
        <v>+</v>
      </c>
      <c r="BH340" s="51" t="str" cm="1">
        <f t="array" ref="BH340">IF(AND($E339="Operational Performance",'Project Event Tree Input'!$D$42="Yes"),IF(LOOKUP(2,1/($U328:BH328&lt;&gt;"-"),$U328:BH328)&gt;10,"+",BH329),IF(LOOKUP(2,1/($U339:BH339&lt;&gt;"-"),$U339:BH339)="+","+",BH329))</f>
        <v>+</v>
      </c>
      <c r="BI340" s="51" t="str" cm="1">
        <f t="array" ref="BI340">IF(AND($E339="Operational Performance",'Project Event Tree Input'!$D$42="Yes"),IF(LOOKUP(2,1/($U328:BI328&lt;&gt;"-"),$U328:BI328)&gt;10,"+",BI329),IF(LOOKUP(2,1/($U339:BI339&lt;&gt;"-"),$U339:BI339)="+","+",BI329))</f>
        <v>+</v>
      </c>
      <c r="BJ340" s="51" t="str" cm="1">
        <f t="array" ref="BJ340">IF(AND($E339="Operational Performance",'Project Event Tree Input'!$D$42="Yes"),IF(LOOKUP(2,1/($U328:BJ328&lt;&gt;"-"),$U328:BJ328)&gt;10,"+",BJ329),IF(LOOKUP(2,1/($U339:BJ339&lt;&gt;"-"),$U339:BJ339)="+","+",BJ329))</f>
        <v>+</v>
      </c>
      <c r="BK340" s="51" t="str" cm="1">
        <f t="array" ref="BK340">IF(AND($E339="Operational Performance",'Project Event Tree Input'!$D$42="Yes"),IF(LOOKUP(2,1/($U328:BK328&lt;&gt;"-"),$U328:BK328)&gt;10,"+",BK329),IF(LOOKUP(2,1/($U339:BK339&lt;&gt;"-"),$U339:BK339)="+","+",BK329))</f>
        <v>+</v>
      </c>
      <c r="BL340" s="51" t="str" cm="1">
        <f t="array" ref="BL340">IF(AND($E339="Operational Performance",'Project Event Tree Input'!$D$42="Yes"),IF(LOOKUP(2,1/($U328:BL328&lt;&gt;"-"),$U328:BL328)&gt;10,"+",BL329),IF(LOOKUP(2,1/($U339:BL339&lt;&gt;"-"),$U339:BL339)="+","+",BL329))</f>
        <v>+</v>
      </c>
      <c r="BM340" s="51" t="str" cm="1">
        <f t="array" ref="BM340">IF(AND($E339="Operational Performance",'Project Event Tree Input'!$D$42="Yes"),IF(LOOKUP(2,1/($U328:BM328&lt;&gt;"-"),$U328:BM328)&gt;10,"+",BM329),IF(LOOKUP(2,1/($U339:BM339&lt;&gt;"-"),$U339:BM339)="+","+",BM329))</f>
        <v>+</v>
      </c>
      <c r="BN340" s="51" t="str" cm="1">
        <f t="array" ref="BN340">IF(AND($E339="Operational Performance",'Project Event Tree Input'!$D$42="Yes"),IF(LOOKUP(2,1/($U328:BN328&lt;&gt;"-"),$U328:BN328)&gt;10,"+",BN329),IF(LOOKUP(2,1/($U339:BN339&lt;&gt;"-"),$U339:BN339)="+","+",BN329))</f>
        <v>+</v>
      </c>
      <c r="BO340" s="51" t="str" cm="1">
        <f t="array" ref="BO340">IF(AND($E339="Operational Performance",'Project Event Tree Input'!$D$42="Yes"),IF(LOOKUP(2,1/($U328:BO328&lt;&gt;"-"),$U328:BO328)&gt;10,"+",BO329),IF(LOOKUP(2,1/($U339:BO339&lt;&gt;"-"),$U339:BO339)="+","+",BO329))</f>
        <v>+</v>
      </c>
      <c r="BP340" s="51" t="str" cm="1">
        <f t="array" ref="BP340">IF(AND($E339="Operational Performance",'Project Event Tree Input'!$D$42="Yes"),IF(LOOKUP(2,1/($U328:BP328&lt;&gt;"-"),$U328:BP328)&gt;10,"+",BP329),IF(LOOKUP(2,1/($U339:BP339&lt;&gt;"-"),$U339:BP339)="+","+",BP329))</f>
        <v>+</v>
      </c>
      <c r="BQ340" s="51" t="str" cm="1">
        <f t="array" ref="BQ340">IF(AND($E339="Operational Performance",'Project Event Tree Input'!$D$42="Yes"),IF(LOOKUP(2,1/($U328:BQ328&lt;&gt;"-"),$U328:BQ328)&gt;10,"+",BQ329),IF(LOOKUP(2,1/($U339:BQ339&lt;&gt;"-"),$U339:BQ339)="+","+",BQ329))</f>
        <v>+</v>
      </c>
      <c r="BR340" s="51" t="str" cm="1">
        <f t="array" ref="BR340">IF(AND($E339="Operational Performance",'Project Event Tree Input'!$D$42="Yes"),IF(LOOKUP(2,1/($U328:BR328&lt;&gt;"-"),$U328:BR328)&gt;10,"+",BR329),IF(LOOKUP(2,1/($U339:BR339&lt;&gt;"-"),$U339:BR339)="+","+",BR329))</f>
        <v>+</v>
      </c>
      <c r="BS340" s="51" t="str" cm="1">
        <f t="array" ref="BS340">IF(AND($E339="Operational Performance",'Project Event Tree Input'!$D$42="Yes"),IF(LOOKUP(2,1/($U328:BS328&lt;&gt;"-"),$U328:BS328)&gt;10,"+",BS329),IF(LOOKUP(2,1/($U339:BS339&lt;&gt;"-"),$U339:BS339)="+","+",BS329))</f>
        <v>+</v>
      </c>
      <c r="BT340" s="51" t="str" cm="1">
        <f t="array" ref="BT340">IF(AND($E339="Operational Performance",'Project Event Tree Input'!$D$42="Yes"),IF(LOOKUP(2,1/($U328:BT328&lt;&gt;"-"),$U328:BT328)&gt;10,"+",BT329),IF(LOOKUP(2,1/($U339:BT339&lt;&gt;"-"),$U339:BT339)="+","+",BT329))</f>
        <v>+</v>
      </c>
      <c r="BU340" s="51" t="str" cm="1">
        <f t="array" ref="BU340">IF(AND($E339="Operational Performance",'Project Event Tree Input'!$D$42="Yes"),IF(LOOKUP(2,1/($U328:BU328&lt;&gt;"-"),$U328:BU328)&gt;10,"+",BU329),IF(LOOKUP(2,1/($U339:BU339&lt;&gt;"-"),$U339:BU339)="+","+",BU329))</f>
        <v>+</v>
      </c>
      <c r="BV340" s="51" t="str" cm="1">
        <f t="array" ref="BV340">IF(AND($E339="Operational Performance",'Project Event Tree Input'!$D$42="Yes"),IF(LOOKUP(2,1/($U328:BV328&lt;&gt;"-"),$U328:BV328)&gt;10,"+",BV329),IF(LOOKUP(2,1/($U339:BV339&lt;&gt;"-"),$U339:BV339)="+","+",BV329))</f>
        <v>+</v>
      </c>
      <c r="BW340" s="51" t="str" cm="1">
        <f t="array" ref="BW340">IF(AND($E339="Operational Performance",'Project Event Tree Input'!$D$42="Yes"),IF(LOOKUP(2,1/($U328:BW328&lt;&gt;"-"),$U328:BW328)&gt;10,"+",BW329),IF(LOOKUP(2,1/($U339:BW339&lt;&gt;"-"),$U339:BW339)="+","+",BW329))</f>
        <v>+</v>
      </c>
      <c r="CE340" s="33"/>
      <c r="CF340" s="33"/>
    </row>
    <row r="341" spans="2:84" s="49" customFormat="1" ht="15" customHeight="1" x14ac:dyDescent="0.2">
      <c r="B341" s="214">
        <v>6</v>
      </c>
      <c r="C341" s="214"/>
      <c r="D341" s="214"/>
      <c r="E341" s="218" t="str">
        <f>$E$330</f>
        <v>Economic Cost</v>
      </c>
      <c r="F341" s="218"/>
      <c r="G341" s="218"/>
      <c r="H341" s="218"/>
      <c r="I341" s="218"/>
      <c r="J341" s="218"/>
      <c r="K341" s="218"/>
      <c r="L341" s="218"/>
      <c r="M341" s="220">
        <f>$M$330</f>
        <v>1</v>
      </c>
      <c r="N341" s="220"/>
      <c r="O341" s="220"/>
      <c r="P341" s="220"/>
      <c r="Q341" s="220">
        <f>$Q$330</f>
        <v>9</v>
      </c>
      <c r="R341" s="220"/>
      <c r="S341" s="220"/>
      <c r="T341" s="220"/>
      <c r="U341" s="51" cm="1">
        <f t="array" ref="U341">IF(AND($E340="Operational Performance",'Project Event Tree Input'!$D$42="Yes"),IF(LOOKUP(2,1/($U329:U329&lt;&gt;"-"),$U329:U329)&gt;10,"+",U330),IF(LOOKUP(2,1/($U340:U340&lt;&gt;"-"),$U340:U340)="+","+",U330))</f>
        <v>10</v>
      </c>
      <c r="V341" s="51" cm="1">
        <f t="array" ref="V341">IF(AND($E340="Operational Performance",'Project Event Tree Input'!$D$42="Yes"),IF(LOOKUP(2,1/($U329:V329&lt;&gt;"-"),$U329:V329)&gt;10,"+",V330),IF(LOOKUP(2,1/($U340:V340&lt;&gt;"-"),$U340:V340)="+","+",V330))</f>
        <v>15</v>
      </c>
      <c r="W341" s="51" cm="1">
        <f t="array" ref="W341">IF(AND($E340="Operational Performance",'Project Event Tree Input'!$D$42="Yes"),IF(LOOKUP(2,1/($U329:W329&lt;&gt;"-"),$U329:W329)&gt;10,"+",W330),IF(LOOKUP(2,1/($U340:W340&lt;&gt;"-"),$U340:W340)="+","+",W330))</f>
        <v>20</v>
      </c>
      <c r="X341" s="51" t="str" cm="1">
        <f t="array" ref="X341">IF(AND($E340="Operational Performance",'Project Event Tree Input'!$D$42="Yes"),IF(LOOKUP(2,1/($U329:X329&lt;&gt;"-"),$U329:X329)&gt;10,"+",X330),IF(LOOKUP(2,1/($U340:X340&lt;&gt;"-"),$U340:X340)="+","+",X330))</f>
        <v>+</v>
      </c>
      <c r="Y341" s="51" t="str" cm="1">
        <f t="array" ref="Y341">IF(AND($E340="Operational Performance",'Project Event Tree Input'!$D$42="Yes"),IF(LOOKUP(2,1/($U329:Y329&lt;&gt;"-"),$U329:Y329)&gt;10,"+",Y330),IF(LOOKUP(2,1/($U340:Y340&lt;&gt;"-"),$U340:Y340)="+","+",Y330))</f>
        <v>+</v>
      </c>
      <c r="Z341" s="51" t="str" cm="1">
        <f t="array" ref="Z341">IF(AND($E340="Operational Performance",'Project Event Tree Input'!$D$42="Yes"),IF(LOOKUP(2,1/($U329:Z329&lt;&gt;"-"),$U329:Z329)&gt;10,"+",Z330),IF(LOOKUP(2,1/($U340:Z340&lt;&gt;"-"),$U340:Z340)="+","+",Z330))</f>
        <v>+</v>
      </c>
      <c r="AA341" s="51" t="str" cm="1">
        <f t="array" ref="AA341">IF(AND($E340="Operational Performance",'Project Event Tree Input'!$D$42="Yes"),IF(LOOKUP(2,1/($U329:AA329&lt;&gt;"-"),$U329:AA329)&gt;10,"+",AA330),IF(LOOKUP(2,1/($U340:AA340&lt;&gt;"-"),$U340:AA340)="+","+",AA330))</f>
        <v>+</v>
      </c>
      <c r="AB341" s="51" t="str" cm="1">
        <f t="array" ref="AB341">IF(AND($E340="Operational Performance",'Project Event Tree Input'!$D$42="Yes"),IF(LOOKUP(2,1/($U329:AB329&lt;&gt;"-"),$U329:AB329)&gt;10,"+",AB330),IF(LOOKUP(2,1/($U340:AB340&lt;&gt;"-"),$U340:AB340)="+","+",AB330))</f>
        <v>+</v>
      </c>
      <c r="AC341" s="51" t="str" cm="1">
        <f t="array" ref="AC341">IF(AND($E340="Operational Performance",'Project Event Tree Input'!$D$42="Yes"),IF(LOOKUP(2,1/($U329:AC329&lt;&gt;"-"),$U329:AC329)&gt;10,"+",AC330),IF(LOOKUP(2,1/($U340:AC340&lt;&gt;"-"),$U340:AC340)="+","+",AC330))</f>
        <v>+</v>
      </c>
      <c r="AD341" s="51" t="str" cm="1">
        <f t="array" ref="AD341">IF(AND($E340="Operational Performance",'Project Event Tree Input'!$D$42="Yes"),IF(LOOKUP(2,1/($U329:AD329&lt;&gt;"-"),$U329:AD329)&gt;10,"+",AD330),IF(LOOKUP(2,1/($U340:AD340&lt;&gt;"-"),$U340:AD340)="+","+",AD330))</f>
        <v>+</v>
      </c>
      <c r="AE341" s="51" t="str" cm="1">
        <f t="array" ref="AE341">IF(AND($E340="Operational Performance",'Project Event Tree Input'!$D$42="Yes"),IF(LOOKUP(2,1/($U329:AE329&lt;&gt;"-"),$U329:AE329)&gt;10,"+",AE330),IF(LOOKUP(2,1/($U340:AE340&lt;&gt;"-"),$U340:AE340)="+","+",AE330))</f>
        <v>+</v>
      </c>
      <c r="AF341" s="51" t="str" cm="1">
        <f t="array" ref="AF341">IF(AND($E340="Operational Performance",'Project Event Tree Input'!$D$42="Yes"),IF(LOOKUP(2,1/($U329:AF329&lt;&gt;"-"),$U329:AF329)&gt;10,"+",AF330),IF(LOOKUP(2,1/($U340:AF340&lt;&gt;"-"),$U340:AF340)="+","+",AF330))</f>
        <v>+</v>
      </c>
      <c r="AG341" s="51" t="str" cm="1">
        <f t="array" ref="AG341">IF(AND($E340="Operational Performance",'Project Event Tree Input'!$D$42="Yes"),IF(LOOKUP(2,1/($U329:AG329&lt;&gt;"-"),$U329:AG329)&gt;10,"+",AG330),IF(LOOKUP(2,1/($U340:AG340&lt;&gt;"-"),$U340:AG340)="+","+",AG330))</f>
        <v>+</v>
      </c>
      <c r="AH341" s="51" t="str" cm="1">
        <f t="array" ref="AH341">IF(AND($E340="Operational Performance",'Project Event Tree Input'!$D$42="Yes"),IF(LOOKUP(2,1/($U329:AH329&lt;&gt;"-"),$U329:AH329)&gt;10,"+",AH330),IF(LOOKUP(2,1/($U340:AH340&lt;&gt;"-"),$U340:AH340)="+","+",AH330))</f>
        <v>+</v>
      </c>
      <c r="AI341" s="51" t="str" cm="1">
        <f t="array" ref="AI341">IF(AND($E340="Operational Performance",'Project Event Tree Input'!$D$42="Yes"),IF(LOOKUP(2,1/($U329:AI329&lt;&gt;"-"),$U329:AI329)&gt;10,"+",AI330),IF(LOOKUP(2,1/($U340:AI340&lt;&gt;"-"),$U340:AI340)="+","+",AI330))</f>
        <v>+</v>
      </c>
      <c r="AJ341" s="51" t="str" cm="1">
        <f t="array" ref="AJ341">IF(AND($E340="Operational Performance",'Project Event Tree Input'!$D$42="Yes"),IF(LOOKUP(2,1/($U329:AJ329&lt;&gt;"-"),$U329:AJ329)&gt;10,"+",AJ330),IF(LOOKUP(2,1/($U340:AJ340&lt;&gt;"-"),$U340:AJ340)="+","+",AJ330))</f>
        <v>+</v>
      </c>
      <c r="AK341" s="51" t="str" cm="1">
        <f t="array" ref="AK341">IF(AND($E340="Operational Performance",'Project Event Tree Input'!$D$42="Yes"),IF(LOOKUP(2,1/($U329:AK329&lt;&gt;"-"),$U329:AK329)&gt;10,"+",AK330),IF(LOOKUP(2,1/($U340:AK340&lt;&gt;"-"),$U340:AK340)="+","+",AK330))</f>
        <v>+</v>
      </c>
      <c r="AL341" s="51" t="str" cm="1">
        <f t="array" ref="AL341">IF(AND($E340="Operational Performance",'Project Event Tree Input'!$D$42="Yes"),IF(LOOKUP(2,1/($U329:AL329&lt;&gt;"-"),$U329:AL329)&gt;10,"+",AL330),IF(LOOKUP(2,1/($U340:AL340&lt;&gt;"-"),$U340:AL340)="+","+",AL330))</f>
        <v>+</v>
      </c>
      <c r="AM341" s="51" t="str" cm="1">
        <f t="array" ref="AM341">IF(AND($E340="Operational Performance",'Project Event Tree Input'!$D$42="Yes"),IF(LOOKUP(2,1/($U329:AM329&lt;&gt;"-"),$U329:AM329)&gt;10,"+",AM330),IF(LOOKUP(2,1/($U340:AM340&lt;&gt;"-"),$U340:AM340)="+","+",AM330))</f>
        <v>+</v>
      </c>
      <c r="AN341" s="51" t="str" cm="1">
        <f t="array" ref="AN341">IF(AND($E340="Operational Performance",'Project Event Tree Input'!$D$42="Yes"),IF(LOOKUP(2,1/($U329:AN329&lt;&gt;"-"),$U329:AN329)&gt;10,"+",AN330),IF(LOOKUP(2,1/($U340:AN340&lt;&gt;"-"),$U340:AN340)="+","+",AN330))</f>
        <v>+</v>
      </c>
      <c r="AO341" s="51" t="str" cm="1">
        <f t="array" ref="AO341">IF(AND($E340="Operational Performance",'Project Event Tree Input'!$D$42="Yes"),IF(LOOKUP(2,1/($U329:AO329&lt;&gt;"-"),$U329:AO329)&gt;10,"+",AO330),IF(LOOKUP(2,1/($U340:AO340&lt;&gt;"-"),$U340:AO340)="+","+",AO330))</f>
        <v>+</v>
      </c>
      <c r="AP341" s="51" t="str" cm="1">
        <f t="array" ref="AP341">IF(AND($E340="Operational Performance",'Project Event Tree Input'!$D$42="Yes"),IF(LOOKUP(2,1/($U329:AP329&lt;&gt;"-"),$U329:AP329)&gt;10,"+",AP330),IF(LOOKUP(2,1/($U340:AP340&lt;&gt;"-"),$U340:AP340)="+","+",AP330))</f>
        <v>+</v>
      </c>
      <c r="AQ341" s="51" t="str" cm="1">
        <f t="array" ref="AQ341">IF(AND($E340="Operational Performance",'Project Event Tree Input'!$D$42="Yes"),IF(LOOKUP(2,1/($U329:AQ329&lt;&gt;"-"),$U329:AQ329)&gt;10,"+",AQ330),IF(LOOKUP(2,1/($U340:AQ340&lt;&gt;"-"),$U340:AQ340)="+","+",AQ330))</f>
        <v>+</v>
      </c>
      <c r="AR341" s="51" t="str" cm="1">
        <f t="array" ref="AR341">IF(AND($E340="Operational Performance",'Project Event Tree Input'!$D$42="Yes"),IF(LOOKUP(2,1/($U329:AR329&lt;&gt;"-"),$U329:AR329)&gt;10,"+",AR330),IF(LOOKUP(2,1/($U340:AR340&lt;&gt;"-"),$U340:AR340)="+","+",AR330))</f>
        <v>+</v>
      </c>
      <c r="AS341" s="51" t="str" cm="1">
        <f t="array" ref="AS341">IF(AND($E340="Operational Performance",'Project Event Tree Input'!$D$42="Yes"),IF(LOOKUP(2,1/($U329:AS329&lt;&gt;"-"),$U329:AS329)&gt;10,"+",AS330),IF(LOOKUP(2,1/($U340:AS340&lt;&gt;"-"),$U340:AS340)="+","+",AS330))</f>
        <v>+</v>
      </c>
      <c r="AT341" s="51" t="str" cm="1">
        <f t="array" ref="AT341">IF(AND($E340="Operational Performance",'Project Event Tree Input'!$D$42="Yes"),IF(LOOKUP(2,1/($U329:AT329&lt;&gt;"-"),$U329:AT329)&gt;10,"+",AT330),IF(LOOKUP(2,1/($U340:AT340&lt;&gt;"-"),$U340:AT340)="+","+",AT330))</f>
        <v>+</v>
      </c>
      <c r="AU341" s="51" t="str" cm="1">
        <f t="array" ref="AU341">IF(AND($E340="Operational Performance",'Project Event Tree Input'!$D$42="Yes"),IF(LOOKUP(2,1/($U329:AU329&lt;&gt;"-"),$U329:AU329)&gt;10,"+",AU330),IF(LOOKUP(2,1/($U340:AU340&lt;&gt;"-"),$U340:AU340)="+","+",AU330))</f>
        <v>+</v>
      </c>
      <c r="AV341" s="51" t="str" cm="1">
        <f t="array" ref="AV341">IF(AND($E340="Operational Performance",'Project Event Tree Input'!$D$42="Yes"),IF(LOOKUP(2,1/($U329:AV329&lt;&gt;"-"),$U329:AV329)&gt;10,"+",AV330),IF(LOOKUP(2,1/($U340:AV340&lt;&gt;"-"),$U340:AV340)="+","+",AV330))</f>
        <v>+</v>
      </c>
      <c r="AW341" s="51" t="str" cm="1">
        <f t="array" ref="AW341">IF(AND($E340="Operational Performance",'Project Event Tree Input'!$D$42="Yes"),IF(LOOKUP(2,1/($U329:AW329&lt;&gt;"-"),$U329:AW329)&gt;10,"+",AW330),IF(LOOKUP(2,1/($U340:AW340&lt;&gt;"-"),$U340:AW340)="+","+",AW330))</f>
        <v>+</v>
      </c>
      <c r="AX341" s="51" t="str" cm="1">
        <f t="array" ref="AX341">IF(AND($E340="Operational Performance",'Project Event Tree Input'!$D$42="Yes"),IF(LOOKUP(2,1/($U329:AX329&lt;&gt;"-"),$U329:AX329)&gt;10,"+",AX330),IF(LOOKUP(2,1/($U340:AX340&lt;&gt;"-"),$U340:AX340)="+","+",AX330))</f>
        <v>+</v>
      </c>
      <c r="AY341" s="51" t="str" cm="1">
        <f t="array" ref="AY341">IF(AND($E340="Operational Performance",'Project Event Tree Input'!$D$42="Yes"),IF(LOOKUP(2,1/($U329:AY329&lt;&gt;"-"),$U329:AY329)&gt;10,"+",AY330),IF(LOOKUP(2,1/($U340:AY340&lt;&gt;"-"),$U340:AY340)="+","+",AY330))</f>
        <v>+</v>
      </c>
      <c r="AZ341" s="51" t="str" cm="1">
        <f t="array" ref="AZ341">IF(AND($E340="Operational Performance",'Project Event Tree Input'!$D$42="Yes"),IF(LOOKUP(2,1/($U329:AZ329&lt;&gt;"-"),$U329:AZ329)&gt;10,"+",AZ330),IF(LOOKUP(2,1/($U340:AZ340&lt;&gt;"-"),$U340:AZ340)="+","+",AZ330))</f>
        <v>+</v>
      </c>
      <c r="BA341" s="51" t="str" cm="1">
        <f t="array" ref="BA341">IF(AND($E340="Operational Performance",'Project Event Tree Input'!$D$42="Yes"),IF(LOOKUP(2,1/($U329:BA329&lt;&gt;"-"),$U329:BA329)&gt;10,"+",BA330),IF(LOOKUP(2,1/($U340:BA340&lt;&gt;"-"),$U340:BA340)="+","+",BA330))</f>
        <v>+</v>
      </c>
      <c r="BB341" s="51" t="str" cm="1">
        <f t="array" ref="BB341">IF(AND($E340="Operational Performance",'Project Event Tree Input'!$D$42="Yes"),IF(LOOKUP(2,1/($U329:BB329&lt;&gt;"-"),$U329:BB329)&gt;10,"+",BB330),IF(LOOKUP(2,1/($U340:BB340&lt;&gt;"-"),$U340:BB340)="+","+",BB330))</f>
        <v>+</v>
      </c>
      <c r="BC341" s="51" t="str" cm="1">
        <f t="array" ref="BC341">IF(AND($E340="Operational Performance",'Project Event Tree Input'!$D$42="Yes"),IF(LOOKUP(2,1/($U329:BC329&lt;&gt;"-"),$U329:BC329)&gt;10,"+",BC330),IF(LOOKUP(2,1/($U340:BC340&lt;&gt;"-"),$U340:BC340)="+","+",BC330))</f>
        <v>+</v>
      </c>
      <c r="BD341" s="51" t="str" cm="1">
        <f t="array" ref="BD341">IF(AND($E340="Operational Performance",'Project Event Tree Input'!$D$42="Yes"),IF(LOOKUP(2,1/($U329:BD329&lt;&gt;"-"),$U329:BD329)&gt;10,"+",BD330),IF(LOOKUP(2,1/($U340:BD340&lt;&gt;"-"),$U340:BD340)="+","+",BD330))</f>
        <v>+</v>
      </c>
      <c r="BE341" s="51" t="str" cm="1">
        <f t="array" ref="BE341">IF(AND($E340="Operational Performance",'Project Event Tree Input'!$D$42="Yes"),IF(LOOKUP(2,1/($U329:BE329&lt;&gt;"-"),$U329:BE329)&gt;10,"+",BE330),IF(LOOKUP(2,1/($U340:BE340&lt;&gt;"-"),$U340:BE340)="+","+",BE330))</f>
        <v>+</v>
      </c>
      <c r="BF341" s="51" t="str" cm="1">
        <f t="array" ref="BF341">IF(AND($E340="Operational Performance",'Project Event Tree Input'!$D$42="Yes"),IF(LOOKUP(2,1/($U329:BF329&lt;&gt;"-"),$U329:BF329)&gt;10,"+",BF330),IF(LOOKUP(2,1/($U340:BF340&lt;&gt;"-"),$U340:BF340)="+","+",BF330))</f>
        <v>+</v>
      </c>
      <c r="BG341" s="51" t="str" cm="1">
        <f t="array" ref="BG341">IF(AND($E340="Operational Performance",'Project Event Tree Input'!$D$42="Yes"),IF(LOOKUP(2,1/($U329:BG329&lt;&gt;"-"),$U329:BG329)&gt;10,"+",BG330),IF(LOOKUP(2,1/($U340:BG340&lt;&gt;"-"),$U340:BG340)="+","+",BG330))</f>
        <v>+</v>
      </c>
      <c r="BH341" s="51" t="str" cm="1">
        <f t="array" ref="BH341">IF(AND($E340="Operational Performance",'Project Event Tree Input'!$D$42="Yes"),IF(LOOKUP(2,1/($U329:BH329&lt;&gt;"-"),$U329:BH329)&gt;10,"+",BH330),IF(LOOKUP(2,1/($U340:BH340&lt;&gt;"-"),$U340:BH340)="+","+",BH330))</f>
        <v>+</v>
      </c>
      <c r="BI341" s="51" t="str" cm="1">
        <f t="array" ref="BI341">IF(AND($E340="Operational Performance",'Project Event Tree Input'!$D$42="Yes"),IF(LOOKUP(2,1/($U329:BI329&lt;&gt;"-"),$U329:BI329)&gt;10,"+",BI330),IF(LOOKUP(2,1/($U340:BI340&lt;&gt;"-"),$U340:BI340)="+","+",BI330))</f>
        <v>+</v>
      </c>
      <c r="BJ341" s="51" t="str" cm="1">
        <f t="array" ref="BJ341">IF(AND($E340="Operational Performance",'Project Event Tree Input'!$D$42="Yes"),IF(LOOKUP(2,1/($U329:BJ329&lt;&gt;"-"),$U329:BJ329)&gt;10,"+",BJ330),IF(LOOKUP(2,1/($U340:BJ340&lt;&gt;"-"),$U340:BJ340)="+","+",BJ330))</f>
        <v>+</v>
      </c>
      <c r="BK341" s="51" t="str" cm="1">
        <f t="array" ref="BK341">IF(AND($E340="Operational Performance",'Project Event Tree Input'!$D$42="Yes"),IF(LOOKUP(2,1/($U329:BK329&lt;&gt;"-"),$U329:BK329)&gt;10,"+",BK330),IF(LOOKUP(2,1/($U340:BK340&lt;&gt;"-"),$U340:BK340)="+","+",BK330))</f>
        <v>+</v>
      </c>
      <c r="BL341" s="51" t="str" cm="1">
        <f t="array" ref="BL341">IF(AND($E340="Operational Performance",'Project Event Tree Input'!$D$42="Yes"),IF(LOOKUP(2,1/($U329:BL329&lt;&gt;"-"),$U329:BL329)&gt;10,"+",BL330),IF(LOOKUP(2,1/($U340:BL340&lt;&gt;"-"),$U340:BL340)="+","+",BL330))</f>
        <v>+</v>
      </c>
      <c r="BM341" s="51" t="str" cm="1">
        <f t="array" ref="BM341">IF(AND($E340="Operational Performance",'Project Event Tree Input'!$D$42="Yes"),IF(LOOKUP(2,1/($U329:BM329&lt;&gt;"-"),$U329:BM329)&gt;10,"+",BM330),IF(LOOKUP(2,1/($U340:BM340&lt;&gt;"-"),$U340:BM340)="+","+",BM330))</f>
        <v>+</v>
      </c>
      <c r="BN341" s="51" t="str" cm="1">
        <f t="array" ref="BN341">IF(AND($E340="Operational Performance",'Project Event Tree Input'!$D$42="Yes"),IF(LOOKUP(2,1/($U329:BN329&lt;&gt;"-"),$U329:BN329)&gt;10,"+",BN330),IF(LOOKUP(2,1/($U340:BN340&lt;&gt;"-"),$U340:BN340)="+","+",BN330))</f>
        <v>+</v>
      </c>
      <c r="BO341" s="51" t="str" cm="1">
        <f t="array" ref="BO341">IF(AND($E340="Operational Performance",'Project Event Tree Input'!$D$42="Yes"),IF(LOOKUP(2,1/($U329:BO329&lt;&gt;"-"),$U329:BO329)&gt;10,"+",BO330),IF(LOOKUP(2,1/($U340:BO340&lt;&gt;"-"),$U340:BO340)="+","+",BO330))</f>
        <v>+</v>
      </c>
      <c r="BP341" s="51" t="str" cm="1">
        <f t="array" ref="BP341">IF(AND($E340="Operational Performance",'Project Event Tree Input'!$D$42="Yes"),IF(LOOKUP(2,1/($U329:BP329&lt;&gt;"-"),$U329:BP329)&gt;10,"+",BP330),IF(LOOKUP(2,1/($U340:BP340&lt;&gt;"-"),$U340:BP340)="+","+",BP330))</f>
        <v>+</v>
      </c>
      <c r="BQ341" s="51" t="str" cm="1">
        <f t="array" ref="BQ341">IF(AND($E340="Operational Performance",'Project Event Tree Input'!$D$42="Yes"),IF(LOOKUP(2,1/($U329:BQ329&lt;&gt;"-"),$U329:BQ329)&gt;10,"+",BQ330),IF(LOOKUP(2,1/($U340:BQ340&lt;&gt;"-"),$U340:BQ340)="+","+",BQ330))</f>
        <v>+</v>
      </c>
      <c r="BR341" s="51" t="str" cm="1">
        <f t="array" ref="BR341">IF(AND($E340="Operational Performance",'Project Event Tree Input'!$D$42="Yes"),IF(LOOKUP(2,1/($U329:BR329&lt;&gt;"-"),$U329:BR329)&gt;10,"+",BR330),IF(LOOKUP(2,1/($U340:BR340&lt;&gt;"-"),$U340:BR340)="+","+",BR330))</f>
        <v>+</v>
      </c>
      <c r="BS341" s="51" t="str" cm="1">
        <f t="array" ref="BS341">IF(AND($E340="Operational Performance",'Project Event Tree Input'!$D$42="Yes"),IF(LOOKUP(2,1/($U329:BS329&lt;&gt;"-"),$U329:BS329)&gt;10,"+",BS330),IF(LOOKUP(2,1/($U340:BS340&lt;&gt;"-"),$U340:BS340)="+","+",BS330))</f>
        <v>+</v>
      </c>
      <c r="BT341" s="51" t="str" cm="1">
        <f t="array" ref="BT341">IF(AND($E340="Operational Performance",'Project Event Tree Input'!$D$42="Yes"),IF(LOOKUP(2,1/($U329:BT329&lt;&gt;"-"),$U329:BT329)&gt;10,"+",BT330),IF(LOOKUP(2,1/($U340:BT340&lt;&gt;"-"),$U340:BT340)="+","+",BT330))</f>
        <v>+</v>
      </c>
      <c r="BU341" s="51" t="str" cm="1">
        <f t="array" ref="BU341">IF(AND($E340="Operational Performance",'Project Event Tree Input'!$D$42="Yes"),IF(LOOKUP(2,1/($U329:BU329&lt;&gt;"-"),$U329:BU329)&gt;10,"+",BU330),IF(LOOKUP(2,1/($U340:BU340&lt;&gt;"-"),$U340:BU340)="+","+",BU330))</f>
        <v>+</v>
      </c>
      <c r="BV341" s="51" t="str" cm="1">
        <f t="array" ref="BV341">IF(AND($E340="Operational Performance",'Project Event Tree Input'!$D$42="Yes"),IF(LOOKUP(2,1/($U329:BV329&lt;&gt;"-"),$U329:BV329)&gt;10,"+",BV330),IF(LOOKUP(2,1/($U340:BV340&lt;&gt;"-"),$U340:BV340)="+","+",BV330))</f>
        <v>+</v>
      </c>
      <c r="BW341" s="51" t="str" cm="1">
        <f t="array" ref="BW341">IF(AND($E340="Operational Performance",'Project Event Tree Input'!$D$42="Yes"),IF(LOOKUP(2,1/($U329:BW329&lt;&gt;"-"),$U329:BW329)&gt;10,"+",BW330),IF(LOOKUP(2,1/($U340:BW340&lt;&gt;"-"),$U340:BW340)="+","+",BW330))</f>
        <v>+</v>
      </c>
      <c r="CE341" s="33"/>
      <c r="CF341" s="33"/>
    </row>
    <row r="342" spans="2:84" s="49" customFormat="1" ht="15" customHeight="1" x14ac:dyDescent="0.2">
      <c r="BH342" s="48"/>
      <c r="BI342" s="48"/>
      <c r="CE342" s="33"/>
      <c r="CF342" s="33"/>
    </row>
    <row r="343" spans="2:84" s="49" customFormat="1" ht="15" customHeight="1" x14ac:dyDescent="0.2">
      <c r="B343" s="50" t="s">
        <v>287</v>
      </c>
      <c r="BH343" s="48"/>
      <c r="BI343" s="48"/>
      <c r="CE343" s="33"/>
      <c r="CF343" s="33"/>
    </row>
    <row r="344" spans="2:84" s="49" customFormat="1" ht="15" customHeight="1" x14ac:dyDescent="0.2">
      <c r="BH344" s="48"/>
      <c r="BI344" s="48"/>
      <c r="CE344" s="33"/>
      <c r="CF344" s="33"/>
    </row>
    <row r="345" spans="2:84" s="49" customFormat="1" ht="15" customHeight="1" x14ac:dyDescent="0.2">
      <c r="U345" s="51">
        <v>10</v>
      </c>
      <c r="V345" s="51">
        <f>U345+5</f>
        <v>15</v>
      </c>
      <c r="W345" s="51">
        <f t="shared" ref="W345" si="1736">V345+5</f>
        <v>20</v>
      </c>
      <c r="X345" s="51">
        <f t="shared" ref="X345" si="1737">W345+5</f>
        <v>25</v>
      </c>
      <c r="Y345" s="51">
        <f t="shared" ref="Y345" si="1738">X345+5</f>
        <v>30</v>
      </c>
      <c r="Z345" s="51">
        <f t="shared" ref="Z345" si="1739">Y345+5</f>
        <v>35</v>
      </c>
      <c r="AA345" s="51">
        <f t="shared" ref="AA345" si="1740">Z345+5</f>
        <v>40</v>
      </c>
      <c r="AB345" s="51">
        <f t="shared" ref="AB345" si="1741">AA345+5</f>
        <v>45</v>
      </c>
      <c r="AC345" s="51">
        <f t="shared" ref="AC345" si="1742">AB345+5</f>
        <v>50</v>
      </c>
      <c r="AD345" s="51">
        <f t="shared" ref="AD345" si="1743">AC345+5</f>
        <v>55</v>
      </c>
      <c r="AE345" s="51">
        <f t="shared" ref="AE345" si="1744">AD345+5</f>
        <v>60</v>
      </c>
      <c r="AF345" s="51">
        <f t="shared" ref="AF345" si="1745">AE345+5</f>
        <v>65</v>
      </c>
      <c r="AG345" s="51">
        <f t="shared" ref="AG345" si="1746">AF345+5</f>
        <v>70</v>
      </c>
      <c r="AH345" s="51">
        <f t="shared" ref="AH345" si="1747">AG345+5</f>
        <v>75</v>
      </c>
      <c r="AI345" s="51">
        <f t="shared" ref="AI345" si="1748">AH345+5</f>
        <v>80</v>
      </c>
      <c r="AJ345" s="51">
        <f t="shared" ref="AJ345" si="1749">AI345+5</f>
        <v>85</v>
      </c>
      <c r="AK345" s="51">
        <f t="shared" ref="AK345" si="1750">AJ345+5</f>
        <v>90</v>
      </c>
      <c r="AL345" s="51">
        <f t="shared" ref="AL345" si="1751">AK345+5</f>
        <v>95</v>
      </c>
      <c r="AM345" s="51">
        <f t="shared" ref="AM345" si="1752">AL345+5</f>
        <v>100</v>
      </c>
      <c r="AN345" s="51">
        <f t="shared" ref="AN345" si="1753">AM345+5</f>
        <v>105</v>
      </c>
      <c r="AO345" s="51">
        <f t="shared" ref="AO345" si="1754">AN345+5</f>
        <v>110</v>
      </c>
      <c r="AP345" s="51">
        <f t="shared" ref="AP345" si="1755">AO345+5</f>
        <v>115</v>
      </c>
      <c r="AQ345" s="51">
        <f t="shared" ref="AQ345" si="1756">AP345+5</f>
        <v>120</v>
      </c>
      <c r="AR345" s="51">
        <f t="shared" ref="AR345" si="1757">AQ345+5</f>
        <v>125</v>
      </c>
      <c r="AS345" s="51">
        <f t="shared" ref="AS345" si="1758">AR345+5</f>
        <v>130</v>
      </c>
      <c r="AT345" s="51">
        <f t="shared" ref="AT345" si="1759">AS345+5</f>
        <v>135</v>
      </c>
      <c r="AU345" s="51">
        <f t="shared" ref="AU345" si="1760">AT345+5</f>
        <v>140</v>
      </c>
      <c r="AV345" s="51">
        <f t="shared" ref="AV345" si="1761">AU345+5</f>
        <v>145</v>
      </c>
      <c r="AW345" s="51">
        <f t="shared" ref="AW345" si="1762">AV345+5</f>
        <v>150</v>
      </c>
      <c r="AX345" s="51">
        <f t="shared" ref="AX345" si="1763">AW345+5</f>
        <v>155</v>
      </c>
      <c r="AY345" s="51">
        <f t="shared" ref="AY345" si="1764">AX345+5</f>
        <v>160</v>
      </c>
      <c r="AZ345" s="51">
        <f t="shared" ref="AZ345" si="1765">AY345+5</f>
        <v>165</v>
      </c>
      <c r="BA345" s="51">
        <f t="shared" ref="BA345" si="1766">AZ345+5</f>
        <v>170</v>
      </c>
      <c r="BB345" s="51">
        <f t="shared" ref="BB345" si="1767">BA345+5</f>
        <v>175</v>
      </c>
      <c r="BC345" s="51">
        <f t="shared" ref="BC345" si="1768">BB345+5</f>
        <v>180</v>
      </c>
      <c r="BD345" s="51">
        <f t="shared" ref="BD345" si="1769">BC345+5</f>
        <v>185</v>
      </c>
      <c r="BE345" s="51">
        <f t="shared" ref="BE345" si="1770">BD345+5</f>
        <v>190</v>
      </c>
      <c r="BF345" s="51">
        <f t="shared" ref="BF345" si="1771">BE345+5</f>
        <v>195</v>
      </c>
      <c r="BG345" s="51">
        <f t="shared" ref="BG345" si="1772">BF345+5</f>
        <v>200</v>
      </c>
      <c r="BH345" s="51">
        <f t="shared" ref="BH345" si="1773">BG345+5</f>
        <v>205</v>
      </c>
      <c r="BI345" s="51">
        <f t="shared" ref="BI345" si="1774">BH345+5</f>
        <v>210</v>
      </c>
      <c r="BJ345" s="51">
        <f t="shared" ref="BJ345" si="1775">BI345+5</f>
        <v>215</v>
      </c>
      <c r="BK345" s="51">
        <f t="shared" ref="BK345" si="1776">BJ345+5</f>
        <v>220</v>
      </c>
      <c r="BL345" s="51">
        <f t="shared" ref="BL345" si="1777">BK345+5</f>
        <v>225</v>
      </c>
      <c r="BM345" s="51">
        <f t="shared" ref="BM345" si="1778">BL345+5</f>
        <v>230</v>
      </c>
      <c r="BN345" s="51">
        <f t="shared" ref="BN345" si="1779">BM345+5</f>
        <v>235</v>
      </c>
      <c r="BO345" s="51">
        <f t="shared" ref="BO345" si="1780">BN345+5</f>
        <v>240</v>
      </c>
      <c r="BP345" s="51">
        <f t="shared" ref="BP345" si="1781">BO345+5</f>
        <v>245</v>
      </c>
      <c r="BQ345" s="51">
        <f t="shared" ref="BQ345" si="1782">BP345+5</f>
        <v>250</v>
      </c>
      <c r="BR345" s="51">
        <f t="shared" ref="BR345" si="1783">BQ345+5</f>
        <v>255</v>
      </c>
      <c r="BS345" s="51">
        <f t="shared" ref="BS345" si="1784">BR345+5</f>
        <v>260</v>
      </c>
      <c r="BT345" s="51">
        <f t="shared" ref="BT345" si="1785">BS345+5</f>
        <v>265</v>
      </c>
      <c r="BU345" s="51">
        <f t="shared" ref="BU345" si="1786">BT345+5</f>
        <v>270</v>
      </c>
      <c r="BV345" s="51">
        <f t="shared" ref="BV345" si="1787">BU345+5</f>
        <v>275</v>
      </c>
      <c r="BW345" s="51">
        <f t="shared" ref="BW345" si="1788">BV345+5</f>
        <v>280</v>
      </c>
      <c r="CE345" s="33"/>
      <c r="CF345" s="33"/>
    </row>
    <row r="346" spans="2:84" s="49" customFormat="1" ht="15" customHeight="1" x14ac:dyDescent="0.2">
      <c r="B346" s="214" t="s">
        <v>98</v>
      </c>
      <c r="C346" s="214"/>
      <c r="D346" s="214"/>
      <c r="E346" s="218" t="s">
        <v>147</v>
      </c>
      <c r="F346" s="218"/>
      <c r="G346" s="218"/>
      <c r="H346" s="218"/>
      <c r="I346" s="218"/>
      <c r="J346" s="218"/>
      <c r="K346" s="218"/>
      <c r="L346" s="218"/>
      <c r="M346" s="218" t="s">
        <v>97</v>
      </c>
      <c r="N346" s="218"/>
      <c r="O346" s="218"/>
      <c r="P346" s="218"/>
      <c r="Q346" s="218" t="s">
        <v>118</v>
      </c>
      <c r="R346" s="218"/>
      <c r="S346" s="218"/>
      <c r="T346" s="218"/>
      <c r="U346" s="52">
        <v>1</v>
      </c>
      <c r="V346" s="52">
        <v>2</v>
      </c>
      <c r="W346" s="52">
        <v>3</v>
      </c>
      <c r="X346" s="52">
        <v>4</v>
      </c>
      <c r="Y346" s="52">
        <v>5</v>
      </c>
      <c r="Z346" s="52">
        <v>6</v>
      </c>
      <c r="AA346" s="52">
        <v>7</v>
      </c>
      <c r="AB346" s="52">
        <v>8</v>
      </c>
      <c r="AC346" s="52">
        <v>9</v>
      </c>
      <c r="AD346" s="52">
        <v>10</v>
      </c>
      <c r="AE346" s="52">
        <v>11</v>
      </c>
      <c r="AF346" s="52">
        <v>12</v>
      </c>
      <c r="AG346" s="52">
        <v>13</v>
      </c>
      <c r="AH346" s="52">
        <v>14</v>
      </c>
      <c r="AI346" s="52">
        <v>15</v>
      </c>
      <c r="AJ346" s="52">
        <v>16</v>
      </c>
      <c r="AK346" s="52">
        <v>17</v>
      </c>
      <c r="AL346" s="52">
        <v>18</v>
      </c>
      <c r="AM346" s="52">
        <v>19</v>
      </c>
      <c r="AN346" s="52">
        <v>20</v>
      </c>
      <c r="AO346" s="52">
        <v>21</v>
      </c>
      <c r="AP346" s="52">
        <v>22</v>
      </c>
      <c r="AQ346" s="52">
        <v>23</v>
      </c>
      <c r="AR346" s="52">
        <v>24</v>
      </c>
      <c r="AS346" s="52">
        <v>25</v>
      </c>
      <c r="AT346" s="52">
        <v>26</v>
      </c>
      <c r="AU346" s="52">
        <v>27</v>
      </c>
      <c r="AV346" s="52">
        <v>28</v>
      </c>
      <c r="AW346" s="52">
        <v>29</v>
      </c>
      <c r="AX346" s="52">
        <v>30</v>
      </c>
      <c r="AY346" s="52">
        <v>31</v>
      </c>
      <c r="AZ346" s="52">
        <v>32</v>
      </c>
      <c r="BA346" s="52">
        <v>33</v>
      </c>
      <c r="BB346" s="52">
        <v>34</v>
      </c>
      <c r="BC346" s="52">
        <v>35</v>
      </c>
      <c r="BD346" s="52">
        <v>36</v>
      </c>
      <c r="BE346" s="52">
        <v>37</v>
      </c>
      <c r="BF346" s="52">
        <v>38</v>
      </c>
      <c r="BG346" s="52">
        <v>39</v>
      </c>
      <c r="BH346" s="52">
        <v>40</v>
      </c>
      <c r="BI346" s="52">
        <v>41</v>
      </c>
      <c r="BJ346" s="52">
        <v>42</v>
      </c>
      <c r="BK346" s="52">
        <v>43</v>
      </c>
      <c r="BL346" s="52">
        <v>44</v>
      </c>
      <c r="BM346" s="52">
        <v>45</v>
      </c>
      <c r="BN346" s="52">
        <v>46</v>
      </c>
      <c r="BO346" s="52">
        <v>47</v>
      </c>
      <c r="BP346" s="52">
        <v>48</v>
      </c>
      <c r="BQ346" s="52">
        <v>49</v>
      </c>
      <c r="BR346" s="52">
        <v>50</v>
      </c>
      <c r="BS346" s="52">
        <v>51</v>
      </c>
      <c r="BT346" s="52">
        <v>52</v>
      </c>
      <c r="BU346" s="52">
        <v>53</v>
      </c>
      <c r="BV346" s="52">
        <v>54</v>
      </c>
      <c r="BW346" s="52">
        <v>55</v>
      </c>
      <c r="BX346" s="53"/>
      <c r="BY346" s="53"/>
      <c r="BZ346" s="53"/>
      <c r="CA346" s="53"/>
      <c r="CB346" s="53"/>
      <c r="CE346" s="33"/>
      <c r="CF346" s="33"/>
    </row>
    <row r="347" spans="2:84" s="49" customFormat="1" ht="15" customHeight="1" x14ac:dyDescent="0.2">
      <c r="B347" s="214">
        <v>1</v>
      </c>
      <c r="C347" s="214"/>
      <c r="D347" s="214"/>
      <c r="E347" s="218" t="str">
        <f>$E$325</f>
        <v>Hazard</v>
      </c>
      <c r="F347" s="218"/>
      <c r="G347" s="218"/>
      <c r="H347" s="218"/>
      <c r="I347" s="218"/>
      <c r="J347" s="218"/>
      <c r="K347" s="218"/>
      <c r="L347" s="218"/>
      <c r="M347" s="220">
        <f>$M$325</f>
        <v>1</v>
      </c>
      <c r="N347" s="220"/>
      <c r="O347" s="220"/>
      <c r="P347" s="220"/>
      <c r="Q347" s="220">
        <f>$Q$325</f>
        <v>1</v>
      </c>
      <c r="R347" s="220"/>
      <c r="S347" s="220"/>
      <c r="T347" s="220"/>
      <c r="U347" s="51" t="s">
        <v>123</v>
      </c>
      <c r="V347" s="51" t="s">
        <v>123</v>
      </c>
      <c r="W347" s="51" t="s">
        <v>123</v>
      </c>
      <c r="X347" s="51" t="s">
        <v>123</v>
      </c>
      <c r="Y347" s="51" t="s">
        <v>123</v>
      </c>
      <c r="Z347" s="51" t="s">
        <v>123</v>
      </c>
      <c r="AA347" s="51" t="s">
        <v>123</v>
      </c>
      <c r="AB347" s="51" t="s">
        <v>123</v>
      </c>
      <c r="AC347" s="51" t="s">
        <v>123</v>
      </c>
      <c r="AD347" s="51" t="s">
        <v>123</v>
      </c>
      <c r="AE347" s="51" t="s">
        <v>123</v>
      </c>
      <c r="AF347" s="51" t="s">
        <v>123</v>
      </c>
      <c r="AG347" s="51" t="s">
        <v>123</v>
      </c>
      <c r="AH347" s="51" t="s">
        <v>123</v>
      </c>
      <c r="AI347" s="51" t="s">
        <v>123</v>
      </c>
      <c r="AJ347" s="51" t="s">
        <v>123</v>
      </c>
      <c r="AK347" s="51" t="s">
        <v>123</v>
      </c>
      <c r="AL347" s="51" t="s">
        <v>123</v>
      </c>
      <c r="AM347" s="51" t="s">
        <v>123</v>
      </c>
      <c r="AN347" s="51" t="s">
        <v>123</v>
      </c>
      <c r="AO347" s="51" t="s">
        <v>123</v>
      </c>
      <c r="AP347" s="51" t="s">
        <v>123</v>
      </c>
      <c r="AQ347" s="51" t="s">
        <v>123</v>
      </c>
      <c r="AR347" s="51" t="s">
        <v>123</v>
      </c>
      <c r="AS347" s="51" t="s">
        <v>123</v>
      </c>
      <c r="AT347" s="51" t="s">
        <v>123</v>
      </c>
      <c r="AU347" s="51" t="s">
        <v>123</v>
      </c>
      <c r="AV347" s="51" t="s">
        <v>123</v>
      </c>
      <c r="AW347" s="51" t="s">
        <v>123</v>
      </c>
      <c r="AX347" s="51" t="s">
        <v>123</v>
      </c>
      <c r="AY347" s="51" t="s">
        <v>123</v>
      </c>
      <c r="AZ347" s="51" t="s">
        <v>123</v>
      </c>
      <c r="BA347" s="51" t="s">
        <v>123</v>
      </c>
      <c r="BB347" s="51" t="s">
        <v>123</v>
      </c>
      <c r="BC347" s="51" t="s">
        <v>123</v>
      </c>
      <c r="BD347" s="51" t="s">
        <v>123</v>
      </c>
      <c r="BE347" s="51" t="s">
        <v>123</v>
      </c>
      <c r="BF347" s="51" t="s">
        <v>123</v>
      </c>
      <c r="BG347" s="51" t="s">
        <v>123</v>
      </c>
      <c r="BH347" s="51" t="s">
        <v>123</v>
      </c>
      <c r="BI347" s="51" t="s">
        <v>123</v>
      </c>
      <c r="BJ347" s="51" t="s">
        <v>123</v>
      </c>
      <c r="BK347" s="51" t="s">
        <v>123</v>
      </c>
      <c r="BL347" s="51" t="s">
        <v>123</v>
      </c>
      <c r="BM347" s="51" t="s">
        <v>123</v>
      </c>
      <c r="BN347" s="51" t="s">
        <v>123</v>
      </c>
      <c r="BO347" s="51" t="s">
        <v>123</v>
      </c>
      <c r="BP347" s="51" t="s">
        <v>123</v>
      </c>
      <c r="BQ347" s="51" t="s">
        <v>123</v>
      </c>
      <c r="BR347" s="51" t="s">
        <v>123</v>
      </c>
      <c r="BS347" s="51" t="s">
        <v>123</v>
      </c>
      <c r="BT347" s="51" t="s">
        <v>123</v>
      </c>
      <c r="BU347" s="51" t="s">
        <v>123</v>
      </c>
      <c r="BV347" s="51" t="s">
        <v>123</v>
      </c>
      <c r="BW347" s="51" t="s">
        <v>123</v>
      </c>
      <c r="CE347" s="33"/>
      <c r="CF347" s="33"/>
    </row>
    <row r="348" spans="2:84" s="49" customFormat="1" ht="15" customHeight="1" x14ac:dyDescent="0.2">
      <c r="B348" s="214">
        <v>2</v>
      </c>
      <c r="C348" s="214"/>
      <c r="D348" s="214"/>
      <c r="E348" s="218" t="str">
        <f>$E$326</f>
        <v>Operational Performance</v>
      </c>
      <c r="F348" s="218"/>
      <c r="G348" s="218"/>
      <c r="H348" s="218"/>
      <c r="I348" s="218"/>
      <c r="J348" s="218"/>
      <c r="K348" s="218"/>
      <c r="L348" s="218"/>
      <c r="M348" s="220">
        <f>$M$326</f>
        <v>3</v>
      </c>
      <c r="N348" s="220"/>
      <c r="O348" s="220"/>
      <c r="P348" s="220"/>
      <c r="Q348" s="220">
        <f>$Q$326</f>
        <v>3</v>
      </c>
      <c r="R348" s="220"/>
      <c r="S348" s="220"/>
      <c r="T348" s="220"/>
      <c r="U348" s="51" t="s">
        <v>123</v>
      </c>
      <c r="V348" s="51" t="str">
        <f>IF(AND($E347="Operational Performance",'Project Event Tree Input'!$D$42="Yes"),IF(ISNUMBER(V336),"+","-"),"-")</f>
        <v>-</v>
      </c>
      <c r="W348" s="51" t="str">
        <f>IF(AND($E347="Operational Performance",'Project Event Tree Input'!$D$42="Yes"),IF(ISNUMBER(W336),"+","-"),"-")</f>
        <v>-</v>
      </c>
      <c r="X348" s="51" t="str">
        <f>IF(AND($E347="Operational Performance",'Project Event Tree Input'!$D$42="Yes"),IF(ISNUMBER(X336),"+","-"),"-")</f>
        <v>-</v>
      </c>
      <c r="Y348" s="51" t="str">
        <f>IF(AND($E347="Operational Performance",'Project Event Tree Input'!$D$42="Yes"),IF(ISNUMBER(Y336),"+","-"),"-")</f>
        <v>-</v>
      </c>
      <c r="Z348" s="51" t="str">
        <f>IF(AND($E347="Operational Performance",'Project Event Tree Input'!$D$42="Yes"),IF(ISNUMBER(Z336),"+","-"),"-")</f>
        <v>-</v>
      </c>
      <c r="AA348" s="51" t="str">
        <f>IF(AND($E347="Operational Performance",'Project Event Tree Input'!$D$42="Yes"),IF(ISNUMBER(AA336),"+","-"),"-")</f>
        <v>-</v>
      </c>
      <c r="AB348" s="51" t="str">
        <f>IF(AND($E347="Operational Performance",'Project Event Tree Input'!$D$42="Yes"),IF(ISNUMBER(AB336),"+","-"),"-")</f>
        <v>-</v>
      </c>
      <c r="AC348" s="51" t="str">
        <f>IF(AND($E347="Operational Performance",'Project Event Tree Input'!$D$42="Yes"),IF(ISNUMBER(AC336),"+","-"),"-")</f>
        <v>-</v>
      </c>
      <c r="AD348" s="51" t="str">
        <f>IF(AND($E347="Operational Performance",'Project Event Tree Input'!$D$42="Yes"),IF(ISNUMBER(AD336),"+","-"),"-")</f>
        <v>-</v>
      </c>
      <c r="AE348" s="51" t="str">
        <f>IF(AND($E347="Operational Performance",'Project Event Tree Input'!$D$42="Yes"),IF(ISNUMBER(AE336),"+","-"),"-")</f>
        <v>-</v>
      </c>
      <c r="AF348" s="51" t="str">
        <f>IF(AND($E347="Operational Performance",'Project Event Tree Input'!$D$42="Yes"),IF(ISNUMBER(AF336),"+","-"),"-")</f>
        <v>-</v>
      </c>
      <c r="AG348" s="51" t="str">
        <f>IF(AND($E347="Operational Performance",'Project Event Tree Input'!$D$42="Yes"),IF(ISNUMBER(AG336),"+","-"),"-")</f>
        <v>-</v>
      </c>
      <c r="AH348" s="51" t="str">
        <f>IF(AND($E347="Operational Performance",'Project Event Tree Input'!$D$42="Yes"),IF(ISNUMBER(AH336),"+","-"),"-")</f>
        <v>-</v>
      </c>
      <c r="AI348" s="51" t="str">
        <f>IF(AND($E347="Operational Performance",'Project Event Tree Input'!$D$42="Yes"),IF(ISNUMBER(AI336),"+","-"),"-")</f>
        <v>-</v>
      </c>
      <c r="AJ348" s="51" t="str">
        <f>IF(AND($E347="Operational Performance",'Project Event Tree Input'!$D$42="Yes"),IF(ISNUMBER(AJ336),"+","-"),"-")</f>
        <v>-</v>
      </c>
      <c r="AK348" s="51" t="str">
        <f>IF(AND($E347="Operational Performance",'Project Event Tree Input'!$D$42="Yes"),IF(ISNUMBER(AK336),"+","-"),"-")</f>
        <v>-</v>
      </c>
      <c r="AL348" s="51" t="str">
        <f>IF(AND($E347="Operational Performance",'Project Event Tree Input'!$D$42="Yes"),IF(ISNUMBER(AL336),"+","-"),"-")</f>
        <v>-</v>
      </c>
      <c r="AM348" s="51" t="str">
        <f>IF(AND($E347="Operational Performance",'Project Event Tree Input'!$D$42="Yes"),IF(ISNUMBER(AM336),"+","-"),"-")</f>
        <v>-</v>
      </c>
      <c r="AN348" s="51" t="str">
        <f>IF(AND($E347="Operational Performance",'Project Event Tree Input'!$D$42="Yes"),IF(ISNUMBER(AN336),"+","-"),"-")</f>
        <v>-</v>
      </c>
      <c r="AO348" s="51" t="str">
        <f>IF(AND($E347="Operational Performance",'Project Event Tree Input'!$D$42="Yes"),IF(ISNUMBER(AO336),"+","-"),"-")</f>
        <v>-</v>
      </c>
      <c r="AP348" s="51" t="str">
        <f>IF(AND($E347="Operational Performance",'Project Event Tree Input'!$D$42="Yes"),IF(ISNUMBER(AP336),"+","-"),"-")</f>
        <v>-</v>
      </c>
      <c r="AQ348" s="51" t="str">
        <f>IF(AND($E347="Operational Performance",'Project Event Tree Input'!$D$42="Yes"),IF(ISNUMBER(AQ336),"+","-"),"-")</f>
        <v>-</v>
      </c>
      <c r="AR348" s="51" t="str">
        <f>IF(AND($E347="Operational Performance",'Project Event Tree Input'!$D$42="Yes"),IF(ISNUMBER(AR336),"+","-"),"-")</f>
        <v>-</v>
      </c>
      <c r="AS348" s="51" t="str">
        <f>IF(AND($E347="Operational Performance",'Project Event Tree Input'!$D$42="Yes"),IF(ISNUMBER(AS336),"+","-"),"-")</f>
        <v>-</v>
      </c>
      <c r="AT348" s="51" t="str">
        <f>IF(AND($E347="Operational Performance",'Project Event Tree Input'!$D$42="Yes"),IF(ISNUMBER(AT336),"+","-"),"-")</f>
        <v>-</v>
      </c>
      <c r="AU348" s="51" t="str">
        <f>IF(AND($E347="Operational Performance",'Project Event Tree Input'!$D$42="Yes"),IF(ISNUMBER(AU336),"+","-"),"-")</f>
        <v>-</v>
      </c>
      <c r="AV348" s="51" t="str">
        <f>IF(AND($E347="Operational Performance",'Project Event Tree Input'!$D$42="Yes"),IF(ISNUMBER(AV336),"+","-"),"-")</f>
        <v>-</v>
      </c>
      <c r="AW348" s="51" t="str">
        <f>IF(AND($E347="Operational Performance",'Project Event Tree Input'!$D$42="Yes"),IF(ISNUMBER(AW336),"+","-"),"-")</f>
        <v>-</v>
      </c>
      <c r="AX348" s="51" t="str">
        <f>IF(AND($E347="Operational Performance",'Project Event Tree Input'!$D$42="Yes"),IF(ISNUMBER(AX336),"+","-"),"-")</f>
        <v>-</v>
      </c>
      <c r="AY348" s="51" t="str">
        <f>IF(AND($E347="Operational Performance",'Project Event Tree Input'!$D$42="Yes"),IF(ISNUMBER(AY336),"+","-"),"-")</f>
        <v>-</v>
      </c>
      <c r="AZ348" s="51" t="str">
        <f>IF(AND($E347="Operational Performance",'Project Event Tree Input'!$D$42="Yes"),IF(ISNUMBER(AZ336),"+","-"),"-")</f>
        <v>-</v>
      </c>
      <c r="BA348" s="51" t="str">
        <f>IF(AND($E347="Operational Performance",'Project Event Tree Input'!$D$42="Yes"),IF(ISNUMBER(BA336),"+","-"),"-")</f>
        <v>-</v>
      </c>
      <c r="BB348" s="51" t="str">
        <f>IF(AND($E347="Operational Performance",'Project Event Tree Input'!$D$42="Yes"),IF(ISNUMBER(BB336),"+","-"),"-")</f>
        <v>-</v>
      </c>
      <c r="BC348" s="51" t="str">
        <f>IF(AND($E347="Operational Performance",'Project Event Tree Input'!$D$42="Yes"),IF(ISNUMBER(BC336),"+","-"),"-")</f>
        <v>-</v>
      </c>
      <c r="BD348" s="51" t="str">
        <f>IF(AND($E347="Operational Performance",'Project Event Tree Input'!$D$42="Yes"),IF(ISNUMBER(BD336),"+","-"),"-")</f>
        <v>-</v>
      </c>
      <c r="BE348" s="51" t="str">
        <f>IF(AND($E347="Operational Performance",'Project Event Tree Input'!$D$42="Yes"),IF(ISNUMBER(BE336),"+","-"),"-")</f>
        <v>-</v>
      </c>
      <c r="BF348" s="51" t="str">
        <f>IF(AND($E347="Operational Performance",'Project Event Tree Input'!$D$42="Yes"),IF(ISNUMBER(BF336),"+","-"),"-")</f>
        <v>-</v>
      </c>
      <c r="BG348" s="51" t="str">
        <f>IF(AND($E347="Operational Performance",'Project Event Tree Input'!$D$42="Yes"),IF(ISNUMBER(BG336),"+","-"),"-")</f>
        <v>-</v>
      </c>
      <c r="BH348" s="51" t="str">
        <f>IF(AND($E347="Operational Performance",'Project Event Tree Input'!$D$42="Yes"),IF(ISNUMBER(BH336),"+","-"),"-")</f>
        <v>-</v>
      </c>
      <c r="BI348" s="51" t="str">
        <f>IF(AND($E347="Operational Performance",'Project Event Tree Input'!$D$42="Yes"),IF(ISNUMBER(BI336),"+","-"),"-")</f>
        <v>-</v>
      </c>
      <c r="BJ348" s="51" t="str">
        <f>IF(AND($E347="Operational Performance",'Project Event Tree Input'!$D$42="Yes"),IF(ISNUMBER(BJ336),"+","-"),"-")</f>
        <v>-</v>
      </c>
      <c r="BK348" s="51" t="str">
        <f>IF(AND($E347="Operational Performance",'Project Event Tree Input'!$D$42="Yes"),IF(ISNUMBER(BK336),"+","-"),"-")</f>
        <v>-</v>
      </c>
      <c r="BL348" s="51" t="str">
        <f>IF(AND($E347="Operational Performance",'Project Event Tree Input'!$D$42="Yes"),IF(ISNUMBER(BL336),"+","-"),"-")</f>
        <v>-</v>
      </c>
      <c r="BM348" s="51" t="str">
        <f>IF(AND($E347="Operational Performance",'Project Event Tree Input'!$D$42="Yes"),IF(ISNUMBER(BM336),"+","-"),"-")</f>
        <v>-</v>
      </c>
      <c r="BN348" s="51" t="str">
        <f>IF(AND($E347="Operational Performance",'Project Event Tree Input'!$D$42="Yes"),IF(ISNUMBER(BN336),"+","-"),"-")</f>
        <v>-</v>
      </c>
      <c r="BO348" s="51" t="str">
        <f>IF(AND($E347="Operational Performance",'Project Event Tree Input'!$D$42="Yes"),IF(ISNUMBER(BO336),"+","-"),"-")</f>
        <v>-</v>
      </c>
      <c r="BP348" s="51" t="str">
        <f>IF(AND($E347="Operational Performance",'Project Event Tree Input'!$D$42="Yes"),IF(ISNUMBER(BP336),"+","-"),"-")</f>
        <v>-</v>
      </c>
      <c r="BQ348" s="51" t="str">
        <f>IF(AND($E347="Operational Performance",'Project Event Tree Input'!$D$42="Yes"),IF(ISNUMBER(BQ336),"+","-"),"-")</f>
        <v>-</v>
      </c>
      <c r="BR348" s="51" t="str">
        <f>IF(AND($E347="Operational Performance",'Project Event Tree Input'!$D$42="Yes"),IF(ISNUMBER(BR336),"+","-"),"-")</f>
        <v>-</v>
      </c>
      <c r="BS348" s="51" t="str">
        <f>IF(AND($E347="Operational Performance",'Project Event Tree Input'!$D$42="Yes"),IF(ISNUMBER(BS336),"+","-"),"-")</f>
        <v>-</v>
      </c>
      <c r="BT348" s="51" t="str">
        <f>IF(AND($E347="Operational Performance",'Project Event Tree Input'!$D$42="Yes"),IF(ISNUMBER(BT336),"+","-"),"-")</f>
        <v>-</v>
      </c>
      <c r="BU348" s="51" t="str">
        <f>IF(AND($E347="Operational Performance",'Project Event Tree Input'!$D$42="Yes"),IF(ISNUMBER(BU336),"+","-"),"-")</f>
        <v>-</v>
      </c>
      <c r="BV348" s="51" t="str">
        <f>IF(AND($E347="Operational Performance",'Project Event Tree Input'!$D$42="Yes"),IF(ISNUMBER(BV336),"+","-"),"-")</f>
        <v>-</v>
      </c>
      <c r="BW348" s="51" t="str">
        <f>IF(AND($E347="Operational Performance",'Project Event Tree Input'!$D$42="Yes"),IF(ISNUMBER(BW336),"+","-"),"-")</f>
        <v>-</v>
      </c>
      <c r="CE348" s="33"/>
      <c r="CF348" s="33"/>
    </row>
    <row r="349" spans="2:84" s="49" customFormat="1" ht="15" customHeight="1" x14ac:dyDescent="0.2">
      <c r="B349" s="214">
        <v>3</v>
      </c>
      <c r="C349" s="214"/>
      <c r="D349" s="214"/>
      <c r="E349" s="218" t="str">
        <f>$E$327</f>
        <v>Transform</v>
      </c>
      <c r="F349" s="218"/>
      <c r="G349" s="218"/>
      <c r="H349" s="218"/>
      <c r="I349" s="218"/>
      <c r="J349" s="218"/>
      <c r="K349" s="218"/>
      <c r="L349" s="218"/>
      <c r="M349" s="220">
        <f>$M$327</f>
        <v>3</v>
      </c>
      <c r="N349" s="220"/>
      <c r="O349" s="220"/>
      <c r="P349" s="220"/>
      <c r="Q349" s="220">
        <f>$Q$327</f>
        <v>9</v>
      </c>
      <c r="R349" s="220"/>
      <c r="S349" s="220"/>
      <c r="T349" s="220"/>
      <c r="U349" s="51" t="s">
        <v>123</v>
      </c>
      <c r="V349" s="51" t="str">
        <f>IF(AND($E348="Operational Performance",'Project Event Tree Input'!$D$42="Yes"),IF(ISNUMBER(V337),"+","-"),"-")</f>
        <v>-</v>
      </c>
      <c r="W349" s="51" t="str">
        <f>IF(AND($E348="Operational Performance",'Project Event Tree Input'!$D$42="Yes"),IF(ISNUMBER(W337),"+","-"),"-")</f>
        <v>-</v>
      </c>
      <c r="X349" s="51" t="str">
        <f>IF(AND($E348="Operational Performance",'Project Event Tree Input'!$D$42="Yes"),IF(ISNUMBER(X337),"+","-"),"-")</f>
        <v>+</v>
      </c>
      <c r="Y349" s="51" t="str">
        <f>IF(AND($E348="Operational Performance",'Project Event Tree Input'!$D$42="Yes"),IF(ISNUMBER(Y337),"+","-"),"-")</f>
        <v>-</v>
      </c>
      <c r="Z349" s="51" t="str">
        <f>IF(AND($E348="Operational Performance",'Project Event Tree Input'!$D$42="Yes"),IF(ISNUMBER(Z337),"+","-"),"-")</f>
        <v>-</v>
      </c>
      <c r="AA349" s="51" t="str">
        <f>IF(AND($E348="Operational Performance",'Project Event Tree Input'!$D$42="Yes"),IF(ISNUMBER(AA337),"+","-"),"-")</f>
        <v>+</v>
      </c>
      <c r="AB349" s="51" t="str">
        <f>IF(AND($E348="Operational Performance",'Project Event Tree Input'!$D$42="Yes"),IF(ISNUMBER(AB337),"+","-"),"-")</f>
        <v>-</v>
      </c>
      <c r="AC349" s="51" t="str">
        <f>IF(AND($E348="Operational Performance",'Project Event Tree Input'!$D$42="Yes"),IF(ISNUMBER(AC337),"+","-"),"-")</f>
        <v>-</v>
      </c>
      <c r="AD349" s="51" t="str">
        <f>IF(AND($E348="Operational Performance",'Project Event Tree Input'!$D$42="Yes"),IF(ISNUMBER(AD337),"+","-"),"-")</f>
        <v>-</v>
      </c>
      <c r="AE349" s="51" t="str">
        <f>IF(AND($E348="Operational Performance",'Project Event Tree Input'!$D$42="Yes"),IF(ISNUMBER(AE337),"+","-"),"-")</f>
        <v>-</v>
      </c>
      <c r="AF349" s="51" t="str">
        <f>IF(AND($E348="Operational Performance",'Project Event Tree Input'!$D$42="Yes"),IF(ISNUMBER(AF337),"+","-"),"-")</f>
        <v>-</v>
      </c>
      <c r="AG349" s="51" t="str">
        <f>IF(AND($E348="Operational Performance",'Project Event Tree Input'!$D$42="Yes"),IF(ISNUMBER(AG337),"+","-"),"-")</f>
        <v>-</v>
      </c>
      <c r="AH349" s="51" t="str">
        <f>IF(AND($E348="Operational Performance",'Project Event Tree Input'!$D$42="Yes"),IF(ISNUMBER(AH337),"+","-"),"-")</f>
        <v>-</v>
      </c>
      <c r="AI349" s="51" t="str">
        <f>IF(AND($E348="Operational Performance",'Project Event Tree Input'!$D$42="Yes"),IF(ISNUMBER(AI337),"+","-"),"-")</f>
        <v>-</v>
      </c>
      <c r="AJ349" s="51" t="str">
        <f>IF(AND($E348="Operational Performance",'Project Event Tree Input'!$D$42="Yes"),IF(ISNUMBER(AJ337),"+","-"),"-")</f>
        <v>-</v>
      </c>
      <c r="AK349" s="51" t="str">
        <f>IF(AND($E348="Operational Performance",'Project Event Tree Input'!$D$42="Yes"),IF(ISNUMBER(AK337),"+","-"),"-")</f>
        <v>-</v>
      </c>
      <c r="AL349" s="51" t="str">
        <f>IF(AND($E348="Operational Performance",'Project Event Tree Input'!$D$42="Yes"),IF(ISNUMBER(AL337),"+","-"),"-")</f>
        <v>-</v>
      </c>
      <c r="AM349" s="51" t="str">
        <f>IF(AND($E348="Operational Performance",'Project Event Tree Input'!$D$42="Yes"),IF(ISNUMBER(AM337),"+","-"),"-")</f>
        <v>-</v>
      </c>
      <c r="AN349" s="51" t="str">
        <f>IF(AND($E348="Operational Performance",'Project Event Tree Input'!$D$42="Yes"),IF(ISNUMBER(AN337),"+","-"),"-")</f>
        <v>-</v>
      </c>
      <c r="AO349" s="51" t="str">
        <f>IF(AND($E348="Operational Performance",'Project Event Tree Input'!$D$42="Yes"),IF(ISNUMBER(AO337),"+","-"),"-")</f>
        <v>-</v>
      </c>
      <c r="AP349" s="51" t="str">
        <f>IF(AND($E348="Operational Performance",'Project Event Tree Input'!$D$42="Yes"),IF(ISNUMBER(AP337),"+","-"),"-")</f>
        <v>-</v>
      </c>
      <c r="AQ349" s="51" t="str">
        <f>IF(AND($E348="Operational Performance",'Project Event Tree Input'!$D$42="Yes"),IF(ISNUMBER(AQ337),"+","-"),"-")</f>
        <v>-</v>
      </c>
      <c r="AR349" s="51" t="str">
        <f>IF(AND($E348="Operational Performance",'Project Event Tree Input'!$D$42="Yes"),IF(ISNUMBER(AR337),"+","-"),"-")</f>
        <v>-</v>
      </c>
      <c r="AS349" s="51" t="str">
        <f>IF(AND($E348="Operational Performance",'Project Event Tree Input'!$D$42="Yes"),IF(ISNUMBER(AS337),"+","-"),"-")</f>
        <v>-</v>
      </c>
      <c r="AT349" s="51" t="str">
        <f>IF(AND($E348="Operational Performance",'Project Event Tree Input'!$D$42="Yes"),IF(ISNUMBER(AT337),"+","-"),"-")</f>
        <v>-</v>
      </c>
      <c r="AU349" s="51" t="str">
        <f>IF(AND($E348="Operational Performance",'Project Event Tree Input'!$D$42="Yes"),IF(ISNUMBER(AU337),"+","-"),"-")</f>
        <v>-</v>
      </c>
      <c r="AV349" s="51" t="str">
        <f>IF(AND($E348="Operational Performance",'Project Event Tree Input'!$D$42="Yes"),IF(ISNUMBER(AV337),"+","-"),"-")</f>
        <v>-</v>
      </c>
      <c r="AW349" s="51" t="str">
        <f>IF(AND($E348="Operational Performance",'Project Event Tree Input'!$D$42="Yes"),IF(ISNUMBER(AW337),"+","-"),"-")</f>
        <v>-</v>
      </c>
      <c r="AX349" s="51" t="str">
        <f>IF(AND($E348="Operational Performance",'Project Event Tree Input'!$D$42="Yes"),IF(ISNUMBER(AX337),"+","-"),"-")</f>
        <v>-</v>
      </c>
      <c r="AY349" s="51" t="str">
        <f>IF(AND($E348="Operational Performance",'Project Event Tree Input'!$D$42="Yes"),IF(ISNUMBER(AY337),"+","-"),"-")</f>
        <v>-</v>
      </c>
      <c r="AZ349" s="51" t="str">
        <f>IF(AND($E348="Operational Performance",'Project Event Tree Input'!$D$42="Yes"),IF(ISNUMBER(AZ337),"+","-"),"-")</f>
        <v>-</v>
      </c>
      <c r="BA349" s="51" t="str">
        <f>IF(AND($E348="Operational Performance",'Project Event Tree Input'!$D$42="Yes"),IF(ISNUMBER(BA337),"+","-"),"-")</f>
        <v>-</v>
      </c>
      <c r="BB349" s="51" t="str">
        <f>IF(AND($E348="Operational Performance",'Project Event Tree Input'!$D$42="Yes"),IF(ISNUMBER(BB337),"+","-"),"-")</f>
        <v>-</v>
      </c>
      <c r="BC349" s="51" t="str">
        <f>IF(AND($E348="Operational Performance",'Project Event Tree Input'!$D$42="Yes"),IF(ISNUMBER(BC337),"+","-"),"-")</f>
        <v>-</v>
      </c>
      <c r="BD349" s="51" t="str">
        <f>IF(AND($E348="Operational Performance",'Project Event Tree Input'!$D$42="Yes"),IF(ISNUMBER(BD337),"+","-"),"-")</f>
        <v>-</v>
      </c>
      <c r="BE349" s="51" t="str">
        <f>IF(AND($E348="Operational Performance",'Project Event Tree Input'!$D$42="Yes"),IF(ISNUMBER(BE337),"+","-"),"-")</f>
        <v>-</v>
      </c>
      <c r="BF349" s="51" t="str">
        <f>IF(AND($E348="Operational Performance",'Project Event Tree Input'!$D$42="Yes"),IF(ISNUMBER(BF337),"+","-"),"-")</f>
        <v>-</v>
      </c>
      <c r="BG349" s="51" t="str">
        <f>IF(AND($E348="Operational Performance",'Project Event Tree Input'!$D$42="Yes"),IF(ISNUMBER(BG337),"+","-"),"-")</f>
        <v>-</v>
      </c>
      <c r="BH349" s="51" t="str">
        <f>IF(AND($E348="Operational Performance",'Project Event Tree Input'!$D$42="Yes"),IF(ISNUMBER(BH337),"+","-"),"-")</f>
        <v>-</v>
      </c>
      <c r="BI349" s="51" t="str">
        <f>IF(AND($E348="Operational Performance",'Project Event Tree Input'!$D$42="Yes"),IF(ISNUMBER(BI337),"+","-"),"-")</f>
        <v>-</v>
      </c>
      <c r="BJ349" s="51" t="str">
        <f>IF(AND($E348="Operational Performance",'Project Event Tree Input'!$D$42="Yes"),IF(ISNUMBER(BJ337),"+","-"),"-")</f>
        <v>-</v>
      </c>
      <c r="BK349" s="51" t="str">
        <f>IF(AND($E348="Operational Performance",'Project Event Tree Input'!$D$42="Yes"),IF(ISNUMBER(BK337),"+","-"),"-")</f>
        <v>-</v>
      </c>
      <c r="BL349" s="51" t="str">
        <f>IF(AND($E348="Operational Performance",'Project Event Tree Input'!$D$42="Yes"),IF(ISNUMBER(BL337),"+","-"),"-")</f>
        <v>-</v>
      </c>
      <c r="BM349" s="51" t="str">
        <f>IF(AND($E348="Operational Performance",'Project Event Tree Input'!$D$42="Yes"),IF(ISNUMBER(BM337),"+","-"),"-")</f>
        <v>-</v>
      </c>
      <c r="BN349" s="51" t="str">
        <f>IF(AND($E348="Operational Performance",'Project Event Tree Input'!$D$42="Yes"),IF(ISNUMBER(BN337),"+","-"),"-")</f>
        <v>-</v>
      </c>
      <c r="BO349" s="51" t="str">
        <f>IF(AND($E348="Operational Performance",'Project Event Tree Input'!$D$42="Yes"),IF(ISNUMBER(BO337),"+","-"),"-")</f>
        <v>-</v>
      </c>
      <c r="BP349" s="51" t="str">
        <f>IF(AND($E348="Operational Performance",'Project Event Tree Input'!$D$42="Yes"),IF(ISNUMBER(BP337),"+","-"),"-")</f>
        <v>-</v>
      </c>
      <c r="BQ349" s="51" t="str">
        <f>IF(AND($E348="Operational Performance",'Project Event Tree Input'!$D$42="Yes"),IF(ISNUMBER(BQ337),"+","-"),"-")</f>
        <v>-</v>
      </c>
      <c r="BR349" s="51" t="str">
        <f>IF(AND($E348="Operational Performance",'Project Event Tree Input'!$D$42="Yes"),IF(ISNUMBER(BR337),"+","-"),"-")</f>
        <v>-</v>
      </c>
      <c r="BS349" s="51" t="str">
        <f>IF(AND($E348="Operational Performance",'Project Event Tree Input'!$D$42="Yes"),IF(ISNUMBER(BS337),"+","-"),"-")</f>
        <v>-</v>
      </c>
      <c r="BT349" s="51" t="str">
        <f>IF(AND($E348="Operational Performance",'Project Event Tree Input'!$D$42="Yes"),IF(ISNUMBER(BT337),"+","-"),"-")</f>
        <v>-</v>
      </c>
      <c r="BU349" s="51" t="str">
        <f>IF(AND($E348="Operational Performance",'Project Event Tree Input'!$D$42="Yes"),IF(ISNUMBER(BU337),"+","-"),"-")</f>
        <v>-</v>
      </c>
      <c r="BV349" s="51" t="str">
        <f>IF(AND($E348="Operational Performance",'Project Event Tree Input'!$D$42="Yes"),IF(ISNUMBER(BV337),"+","-"),"-")</f>
        <v>-</v>
      </c>
      <c r="BW349" s="51" t="str">
        <f>IF(AND($E348="Operational Performance",'Project Event Tree Input'!$D$42="Yes"),IF(ISNUMBER(BW337),"+","-"),"-")</f>
        <v>-</v>
      </c>
      <c r="CE349" s="33"/>
      <c r="CF349" s="33"/>
    </row>
    <row r="350" spans="2:84" s="49" customFormat="1" ht="15" customHeight="1" x14ac:dyDescent="0.2">
      <c r="B350" s="214">
        <v>4</v>
      </c>
      <c r="C350" s="214"/>
      <c r="D350" s="214"/>
      <c r="E350" s="218" t="str">
        <f>$E$328</f>
        <v>System Response</v>
      </c>
      <c r="F350" s="218"/>
      <c r="G350" s="218"/>
      <c r="H350" s="218"/>
      <c r="I350" s="218"/>
      <c r="J350" s="218"/>
      <c r="K350" s="218"/>
      <c r="L350" s="218"/>
      <c r="M350" s="220">
        <f>$M$328</f>
        <v>1</v>
      </c>
      <c r="N350" s="220"/>
      <c r="O350" s="220"/>
      <c r="P350" s="220"/>
      <c r="Q350" s="220">
        <f>$Q$328</f>
        <v>9</v>
      </c>
      <c r="R350" s="220"/>
      <c r="S350" s="220"/>
      <c r="T350" s="220"/>
      <c r="U350" s="51" t="s">
        <v>123</v>
      </c>
      <c r="V350" s="51" t="str">
        <f>IF(AND($E349="Operational Performance",'Project Event Tree Input'!$D$42="Yes"),IF(ISNUMBER(V338),"+","-"),"-")</f>
        <v>-</v>
      </c>
      <c r="W350" s="51" t="str">
        <f>IF(AND($E349="Operational Performance",'Project Event Tree Input'!$D$42="Yes"),IF(ISNUMBER(W338),"+","-"),"-")</f>
        <v>-</v>
      </c>
      <c r="X350" s="51" t="str">
        <f>IF(AND($E349="Operational Performance",'Project Event Tree Input'!$D$42="Yes"),IF(ISNUMBER(X338),"+","-"),"-")</f>
        <v>-</v>
      </c>
      <c r="Y350" s="51" t="str">
        <f>IF(AND($E349="Operational Performance",'Project Event Tree Input'!$D$42="Yes"),IF(ISNUMBER(Y338),"+","-"),"-")</f>
        <v>-</v>
      </c>
      <c r="Z350" s="51" t="str">
        <f>IF(AND($E349="Operational Performance",'Project Event Tree Input'!$D$42="Yes"),IF(ISNUMBER(Z338),"+","-"),"-")</f>
        <v>-</v>
      </c>
      <c r="AA350" s="51" t="str">
        <f>IF(AND($E349="Operational Performance",'Project Event Tree Input'!$D$42="Yes"),IF(ISNUMBER(AA338),"+","-"),"-")</f>
        <v>-</v>
      </c>
      <c r="AB350" s="51" t="str">
        <f>IF(AND($E349="Operational Performance",'Project Event Tree Input'!$D$42="Yes"),IF(ISNUMBER(AB338),"+","-"),"-")</f>
        <v>-</v>
      </c>
      <c r="AC350" s="51" t="str">
        <f>IF(AND($E349="Operational Performance",'Project Event Tree Input'!$D$42="Yes"),IF(ISNUMBER(AC338),"+","-"),"-")</f>
        <v>-</v>
      </c>
      <c r="AD350" s="51" t="str">
        <f>IF(AND($E349="Operational Performance",'Project Event Tree Input'!$D$42="Yes"),IF(ISNUMBER(AD338),"+","-"),"-")</f>
        <v>-</v>
      </c>
      <c r="AE350" s="51" t="str">
        <f>IF(AND($E349="Operational Performance",'Project Event Tree Input'!$D$42="Yes"),IF(ISNUMBER(AE338),"+","-"),"-")</f>
        <v>-</v>
      </c>
      <c r="AF350" s="51" t="str">
        <f>IF(AND($E349="Operational Performance",'Project Event Tree Input'!$D$42="Yes"),IF(ISNUMBER(AF338),"+","-"),"-")</f>
        <v>-</v>
      </c>
      <c r="AG350" s="51" t="str">
        <f>IF(AND($E349="Operational Performance",'Project Event Tree Input'!$D$42="Yes"),IF(ISNUMBER(AG338),"+","-"),"-")</f>
        <v>-</v>
      </c>
      <c r="AH350" s="51" t="str">
        <f>IF(AND($E349="Operational Performance",'Project Event Tree Input'!$D$42="Yes"),IF(ISNUMBER(AH338),"+","-"),"-")</f>
        <v>-</v>
      </c>
      <c r="AI350" s="51" t="str">
        <f>IF(AND($E349="Operational Performance",'Project Event Tree Input'!$D$42="Yes"),IF(ISNUMBER(AI338),"+","-"),"-")</f>
        <v>-</v>
      </c>
      <c r="AJ350" s="51" t="str">
        <f>IF(AND($E349="Operational Performance",'Project Event Tree Input'!$D$42="Yes"),IF(ISNUMBER(AJ338),"+","-"),"-")</f>
        <v>-</v>
      </c>
      <c r="AK350" s="51" t="str">
        <f>IF(AND($E349="Operational Performance",'Project Event Tree Input'!$D$42="Yes"),IF(ISNUMBER(AK338),"+","-"),"-")</f>
        <v>-</v>
      </c>
      <c r="AL350" s="51" t="str">
        <f>IF(AND($E349="Operational Performance",'Project Event Tree Input'!$D$42="Yes"),IF(ISNUMBER(AL338),"+","-"),"-")</f>
        <v>-</v>
      </c>
      <c r="AM350" s="51" t="str">
        <f>IF(AND($E349="Operational Performance",'Project Event Tree Input'!$D$42="Yes"),IF(ISNUMBER(AM338),"+","-"),"-")</f>
        <v>-</v>
      </c>
      <c r="AN350" s="51" t="str">
        <f>IF(AND($E349="Operational Performance",'Project Event Tree Input'!$D$42="Yes"),IF(ISNUMBER(AN338),"+","-"),"-")</f>
        <v>-</v>
      </c>
      <c r="AO350" s="51" t="str">
        <f>IF(AND($E349="Operational Performance",'Project Event Tree Input'!$D$42="Yes"),IF(ISNUMBER(AO338),"+","-"),"-")</f>
        <v>-</v>
      </c>
      <c r="AP350" s="51" t="str">
        <f>IF(AND($E349="Operational Performance",'Project Event Tree Input'!$D$42="Yes"),IF(ISNUMBER(AP338),"+","-"),"-")</f>
        <v>-</v>
      </c>
      <c r="AQ350" s="51" t="str">
        <f>IF(AND($E349="Operational Performance",'Project Event Tree Input'!$D$42="Yes"),IF(ISNUMBER(AQ338),"+","-"),"-")</f>
        <v>-</v>
      </c>
      <c r="AR350" s="51" t="str">
        <f>IF(AND($E349="Operational Performance",'Project Event Tree Input'!$D$42="Yes"),IF(ISNUMBER(AR338),"+","-"),"-")</f>
        <v>-</v>
      </c>
      <c r="AS350" s="51" t="str">
        <f>IF(AND($E349="Operational Performance",'Project Event Tree Input'!$D$42="Yes"),IF(ISNUMBER(AS338),"+","-"),"-")</f>
        <v>-</v>
      </c>
      <c r="AT350" s="51" t="str">
        <f>IF(AND($E349="Operational Performance",'Project Event Tree Input'!$D$42="Yes"),IF(ISNUMBER(AT338),"+","-"),"-")</f>
        <v>-</v>
      </c>
      <c r="AU350" s="51" t="str">
        <f>IF(AND($E349="Operational Performance",'Project Event Tree Input'!$D$42="Yes"),IF(ISNUMBER(AU338),"+","-"),"-")</f>
        <v>-</v>
      </c>
      <c r="AV350" s="51" t="str">
        <f>IF(AND($E349="Operational Performance",'Project Event Tree Input'!$D$42="Yes"),IF(ISNUMBER(AV338),"+","-"),"-")</f>
        <v>-</v>
      </c>
      <c r="AW350" s="51" t="str">
        <f>IF(AND($E349="Operational Performance",'Project Event Tree Input'!$D$42="Yes"),IF(ISNUMBER(AW338),"+","-"),"-")</f>
        <v>-</v>
      </c>
      <c r="AX350" s="51" t="str">
        <f>IF(AND($E349="Operational Performance",'Project Event Tree Input'!$D$42="Yes"),IF(ISNUMBER(AX338),"+","-"),"-")</f>
        <v>-</v>
      </c>
      <c r="AY350" s="51" t="str">
        <f>IF(AND($E349="Operational Performance",'Project Event Tree Input'!$D$42="Yes"),IF(ISNUMBER(AY338),"+","-"),"-")</f>
        <v>-</v>
      </c>
      <c r="AZ350" s="51" t="str">
        <f>IF(AND($E349="Operational Performance",'Project Event Tree Input'!$D$42="Yes"),IF(ISNUMBER(AZ338),"+","-"),"-")</f>
        <v>-</v>
      </c>
      <c r="BA350" s="51" t="str">
        <f>IF(AND($E349="Operational Performance",'Project Event Tree Input'!$D$42="Yes"),IF(ISNUMBER(BA338),"+","-"),"-")</f>
        <v>-</v>
      </c>
      <c r="BB350" s="51" t="str">
        <f>IF(AND($E349="Operational Performance",'Project Event Tree Input'!$D$42="Yes"),IF(ISNUMBER(BB338),"+","-"),"-")</f>
        <v>-</v>
      </c>
      <c r="BC350" s="51" t="str">
        <f>IF(AND($E349="Operational Performance",'Project Event Tree Input'!$D$42="Yes"),IF(ISNUMBER(BC338),"+","-"),"-")</f>
        <v>-</v>
      </c>
      <c r="BD350" s="51" t="str">
        <f>IF(AND($E349="Operational Performance",'Project Event Tree Input'!$D$42="Yes"),IF(ISNUMBER(BD338),"+","-"),"-")</f>
        <v>-</v>
      </c>
      <c r="BE350" s="51" t="str">
        <f>IF(AND($E349="Operational Performance",'Project Event Tree Input'!$D$42="Yes"),IF(ISNUMBER(BE338),"+","-"),"-")</f>
        <v>-</v>
      </c>
      <c r="BF350" s="51" t="str">
        <f>IF(AND($E349="Operational Performance",'Project Event Tree Input'!$D$42="Yes"),IF(ISNUMBER(BF338),"+","-"),"-")</f>
        <v>-</v>
      </c>
      <c r="BG350" s="51" t="str">
        <f>IF(AND($E349="Operational Performance",'Project Event Tree Input'!$D$42="Yes"),IF(ISNUMBER(BG338),"+","-"),"-")</f>
        <v>-</v>
      </c>
      <c r="BH350" s="51" t="str">
        <f>IF(AND($E349="Operational Performance",'Project Event Tree Input'!$D$42="Yes"),IF(ISNUMBER(BH338),"+","-"),"-")</f>
        <v>-</v>
      </c>
      <c r="BI350" s="51" t="str">
        <f>IF(AND($E349="Operational Performance",'Project Event Tree Input'!$D$42="Yes"),IF(ISNUMBER(BI338),"+","-"),"-")</f>
        <v>-</v>
      </c>
      <c r="BJ350" s="51" t="str">
        <f>IF(AND($E349="Operational Performance",'Project Event Tree Input'!$D$42="Yes"),IF(ISNUMBER(BJ338),"+","-"),"-")</f>
        <v>-</v>
      </c>
      <c r="BK350" s="51" t="str">
        <f>IF(AND($E349="Operational Performance",'Project Event Tree Input'!$D$42="Yes"),IF(ISNUMBER(BK338),"+","-"),"-")</f>
        <v>-</v>
      </c>
      <c r="BL350" s="51" t="str">
        <f>IF(AND($E349="Operational Performance",'Project Event Tree Input'!$D$42="Yes"),IF(ISNUMBER(BL338),"+","-"),"-")</f>
        <v>-</v>
      </c>
      <c r="BM350" s="51" t="str">
        <f>IF(AND($E349="Operational Performance",'Project Event Tree Input'!$D$42="Yes"),IF(ISNUMBER(BM338),"+","-"),"-")</f>
        <v>-</v>
      </c>
      <c r="BN350" s="51" t="str">
        <f>IF(AND($E349="Operational Performance",'Project Event Tree Input'!$D$42="Yes"),IF(ISNUMBER(BN338),"+","-"),"-")</f>
        <v>-</v>
      </c>
      <c r="BO350" s="51" t="str">
        <f>IF(AND($E349="Operational Performance",'Project Event Tree Input'!$D$42="Yes"),IF(ISNUMBER(BO338),"+","-"),"-")</f>
        <v>-</v>
      </c>
      <c r="BP350" s="51" t="str">
        <f>IF(AND($E349="Operational Performance",'Project Event Tree Input'!$D$42="Yes"),IF(ISNUMBER(BP338),"+","-"),"-")</f>
        <v>-</v>
      </c>
      <c r="BQ350" s="51" t="str">
        <f>IF(AND($E349="Operational Performance",'Project Event Tree Input'!$D$42="Yes"),IF(ISNUMBER(BQ338),"+","-"),"-")</f>
        <v>-</v>
      </c>
      <c r="BR350" s="51" t="str">
        <f>IF(AND($E349="Operational Performance",'Project Event Tree Input'!$D$42="Yes"),IF(ISNUMBER(BR338),"+","-"),"-")</f>
        <v>-</v>
      </c>
      <c r="BS350" s="51" t="str">
        <f>IF(AND($E349="Operational Performance",'Project Event Tree Input'!$D$42="Yes"),IF(ISNUMBER(BS338),"+","-"),"-")</f>
        <v>-</v>
      </c>
      <c r="BT350" s="51" t="str">
        <f>IF(AND($E349="Operational Performance",'Project Event Tree Input'!$D$42="Yes"),IF(ISNUMBER(BT338),"+","-"),"-")</f>
        <v>-</v>
      </c>
      <c r="BU350" s="51" t="str">
        <f>IF(AND($E349="Operational Performance",'Project Event Tree Input'!$D$42="Yes"),IF(ISNUMBER(BU338),"+","-"),"-")</f>
        <v>-</v>
      </c>
      <c r="BV350" s="51" t="str">
        <f>IF(AND($E349="Operational Performance",'Project Event Tree Input'!$D$42="Yes"),IF(ISNUMBER(BV338),"+","-"),"-")</f>
        <v>-</v>
      </c>
      <c r="BW350" s="51" t="str">
        <f>IF(AND($E349="Operational Performance",'Project Event Tree Input'!$D$42="Yes"),IF(ISNUMBER(BW338),"+","-"),"-")</f>
        <v>-</v>
      </c>
      <c r="CE350" s="33"/>
      <c r="CF350" s="33"/>
    </row>
    <row r="351" spans="2:84" s="49" customFormat="1" ht="15" customHeight="1" x14ac:dyDescent="0.2">
      <c r="B351" s="214">
        <v>5</v>
      </c>
      <c r="C351" s="214"/>
      <c r="D351" s="214"/>
      <c r="E351" s="218" t="str">
        <f>$E$329</f>
        <v>Life Loss</v>
      </c>
      <c r="F351" s="218"/>
      <c r="G351" s="218"/>
      <c r="H351" s="218"/>
      <c r="I351" s="218"/>
      <c r="J351" s="218"/>
      <c r="K351" s="218"/>
      <c r="L351" s="218"/>
      <c r="M351" s="220">
        <f>$M$329</f>
        <v>1</v>
      </c>
      <c r="N351" s="220"/>
      <c r="O351" s="220"/>
      <c r="P351" s="220"/>
      <c r="Q351" s="220">
        <f>$Q$329</f>
        <v>9</v>
      </c>
      <c r="R351" s="220"/>
      <c r="S351" s="220"/>
      <c r="T351" s="220"/>
      <c r="U351" s="51" t="s">
        <v>123</v>
      </c>
      <c r="V351" s="51" t="str">
        <f>IF(AND($E350="Operational Performance",'Project Event Tree Input'!$D$42="Yes"),IF(ISNUMBER(V339),"+","-"),"-")</f>
        <v>-</v>
      </c>
      <c r="W351" s="51" t="str">
        <f>IF(AND($E350="Operational Performance",'Project Event Tree Input'!$D$42="Yes"),IF(ISNUMBER(W339),"+","-"),"-")</f>
        <v>-</v>
      </c>
      <c r="X351" s="51" t="str">
        <f>IF(AND($E350="Operational Performance",'Project Event Tree Input'!$D$42="Yes"),IF(ISNUMBER(X339),"+","-"),"-")</f>
        <v>-</v>
      </c>
      <c r="Y351" s="51" t="str">
        <f>IF(AND($E350="Operational Performance",'Project Event Tree Input'!$D$42="Yes"),IF(ISNUMBER(Y339),"+","-"),"-")</f>
        <v>-</v>
      </c>
      <c r="Z351" s="51" t="str">
        <f>IF(AND($E350="Operational Performance",'Project Event Tree Input'!$D$42="Yes"),IF(ISNUMBER(Z339),"+","-"),"-")</f>
        <v>-</v>
      </c>
      <c r="AA351" s="51" t="str">
        <f>IF(AND($E350="Operational Performance",'Project Event Tree Input'!$D$42="Yes"),IF(ISNUMBER(AA339),"+","-"),"-")</f>
        <v>-</v>
      </c>
      <c r="AB351" s="51" t="str">
        <f>IF(AND($E350="Operational Performance",'Project Event Tree Input'!$D$42="Yes"),IF(ISNUMBER(AB339),"+","-"),"-")</f>
        <v>-</v>
      </c>
      <c r="AC351" s="51" t="str">
        <f>IF(AND($E350="Operational Performance",'Project Event Tree Input'!$D$42="Yes"),IF(ISNUMBER(AC339),"+","-"),"-")</f>
        <v>-</v>
      </c>
      <c r="AD351" s="51" t="str">
        <f>IF(AND($E350="Operational Performance",'Project Event Tree Input'!$D$42="Yes"),IF(ISNUMBER(AD339),"+","-"),"-")</f>
        <v>-</v>
      </c>
      <c r="AE351" s="51" t="str">
        <f>IF(AND($E350="Operational Performance",'Project Event Tree Input'!$D$42="Yes"),IF(ISNUMBER(AE339),"+","-"),"-")</f>
        <v>-</v>
      </c>
      <c r="AF351" s="51" t="str">
        <f>IF(AND($E350="Operational Performance",'Project Event Tree Input'!$D$42="Yes"),IF(ISNUMBER(AF339),"+","-"),"-")</f>
        <v>-</v>
      </c>
      <c r="AG351" s="51" t="str">
        <f>IF(AND($E350="Operational Performance",'Project Event Tree Input'!$D$42="Yes"),IF(ISNUMBER(AG339),"+","-"),"-")</f>
        <v>-</v>
      </c>
      <c r="AH351" s="51" t="str">
        <f>IF(AND($E350="Operational Performance",'Project Event Tree Input'!$D$42="Yes"),IF(ISNUMBER(AH339),"+","-"),"-")</f>
        <v>-</v>
      </c>
      <c r="AI351" s="51" t="str">
        <f>IF(AND($E350="Operational Performance",'Project Event Tree Input'!$D$42="Yes"),IF(ISNUMBER(AI339),"+","-"),"-")</f>
        <v>-</v>
      </c>
      <c r="AJ351" s="51" t="str">
        <f>IF(AND($E350="Operational Performance",'Project Event Tree Input'!$D$42="Yes"),IF(ISNUMBER(AJ339),"+","-"),"-")</f>
        <v>-</v>
      </c>
      <c r="AK351" s="51" t="str">
        <f>IF(AND($E350="Operational Performance",'Project Event Tree Input'!$D$42="Yes"),IF(ISNUMBER(AK339),"+","-"),"-")</f>
        <v>-</v>
      </c>
      <c r="AL351" s="51" t="str">
        <f>IF(AND($E350="Operational Performance",'Project Event Tree Input'!$D$42="Yes"),IF(ISNUMBER(AL339),"+","-"),"-")</f>
        <v>-</v>
      </c>
      <c r="AM351" s="51" t="str">
        <f>IF(AND($E350="Operational Performance",'Project Event Tree Input'!$D$42="Yes"),IF(ISNUMBER(AM339),"+","-"),"-")</f>
        <v>-</v>
      </c>
      <c r="AN351" s="51" t="str">
        <f>IF(AND($E350="Operational Performance",'Project Event Tree Input'!$D$42="Yes"),IF(ISNUMBER(AN339),"+","-"),"-")</f>
        <v>-</v>
      </c>
      <c r="AO351" s="51" t="str">
        <f>IF(AND($E350="Operational Performance",'Project Event Tree Input'!$D$42="Yes"),IF(ISNUMBER(AO339),"+","-"),"-")</f>
        <v>-</v>
      </c>
      <c r="AP351" s="51" t="str">
        <f>IF(AND($E350="Operational Performance",'Project Event Tree Input'!$D$42="Yes"),IF(ISNUMBER(AP339),"+","-"),"-")</f>
        <v>-</v>
      </c>
      <c r="AQ351" s="51" t="str">
        <f>IF(AND($E350="Operational Performance",'Project Event Tree Input'!$D$42="Yes"),IF(ISNUMBER(AQ339),"+","-"),"-")</f>
        <v>-</v>
      </c>
      <c r="AR351" s="51" t="str">
        <f>IF(AND($E350="Operational Performance",'Project Event Tree Input'!$D$42="Yes"),IF(ISNUMBER(AR339),"+","-"),"-")</f>
        <v>-</v>
      </c>
      <c r="AS351" s="51" t="str">
        <f>IF(AND($E350="Operational Performance",'Project Event Tree Input'!$D$42="Yes"),IF(ISNUMBER(AS339),"+","-"),"-")</f>
        <v>-</v>
      </c>
      <c r="AT351" s="51" t="str">
        <f>IF(AND($E350="Operational Performance",'Project Event Tree Input'!$D$42="Yes"),IF(ISNUMBER(AT339),"+","-"),"-")</f>
        <v>-</v>
      </c>
      <c r="AU351" s="51" t="str">
        <f>IF(AND($E350="Operational Performance",'Project Event Tree Input'!$D$42="Yes"),IF(ISNUMBER(AU339),"+","-"),"-")</f>
        <v>-</v>
      </c>
      <c r="AV351" s="51" t="str">
        <f>IF(AND($E350="Operational Performance",'Project Event Tree Input'!$D$42="Yes"),IF(ISNUMBER(AV339),"+","-"),"-")</f>
        <v>-</v>
      </c>
      <c r="AW351" s="51" t="str">
        <f>IF(AND($E350="Operational Performance",'Project Event Tree Input'!$D$42="Yes"),IF(ISNUMBER(AW339),"+","-"),"-")</f>
        <v>-</v>
      </c>
      <c r="AX351" s="51" t="str">
        <f>IF(AND($E350="Operational Performance",'Project Event Tree Input'!$D$42="Yes"),IF(ISNUMBER(AX339),"+","-"),"-")</f>
        <v>-</v>
      </c>
      <c r="AY351" s="51" t="str">
        <f>IF(AND($E350="Operational Performance",'Project Event Tree Input'!$D$42="Yes"),IF(ISNUMBER(AY339),"+","-"),"-")</f>
        <v>-</v>
      </c>
      <c r="AZ351" s="51" t="str">
        <f>IF(AND($E350="Operational Performance",'Project Event Tree Input'!$D$42="Yes"),IF(ISNUMBER(AZ339),"+","-"),"-")</f>
        <v>-</v>
      </c>
      <c r="BA351" s="51" t="str">
        <f>IF(AND($E350="Operational Performance",'Project Event Tree Input'!$D$42="Yes"),IF(ISNUMBER(BA339),"+","-"),"-")</f>
        <v>-</v>
      </c>
      <c r="BB351" s="51" t="str">
        <f>IF(AND($E350="Operational Performance",'Project Event Tree Input'!$D$42="Yes"),IF(ISNUMBER(BB339),"+","-"),"-")</f>
        <v>-</v>
      </c>
      <c r="BC351" s="51" t="str">
        <f>IF(AND($E350="Operational Performance",'Project Event Tree Input'!$D$42="Yes"),IF(ISNUMBER(BC339),"+","-"),"-")</f>
        <v>-</v>
      </c>
      <c r="BD351" s="51" t="str">
        <f>IF(AND($E350="Operational Performance",'Project Event Tree Input'!$D$42="Yes"),IF(ISNUMBER(BD339),"+","-"),"-")</f>
        <v>-</v>
      </c>
      <c r="BE351" s="51" t="str">
        <f>IF(AND($E350="Operational Performance",'Project Event Tree Input'!$D$42="Yes"),IF(ISNUMBER(BE339),"+","-"),"-")</f>
        <v>-</v>
      </c>
      <c r="BF351" s="51" t="str">
        <f>IF(AND($E350="Operational Performance",'Project Event Tree Input'!$D$42="Yes"),IF(ISNUMBER(BF339),"+","-"),"-")</f>
        <v>-</v>
      </c>
      <c r="BG351" s="51" t="str">
        <f>IF(AND($E350="Operational Performance",'Project Event Tree Input'!$D$42="Yes"),IF(ISNUMBER(BG339),"+","-"),"-")</f>
        <v>-</v>
      </c>
      <c r="BH351" s="51" t="str">
        <f>IF(AND($E350="Operational Performance",'Project Event Tree Input'!$D$42="Yes"),IF(ISNUMBER(BH339),"+","-"),"-")</f>
        <v>-</v>
      </c>
      <c r="BI351" s="51" t="str">
        <f>IF(AND($E350="Operational Performance",'Project Event Tree Input'!$D$42="Yes"),IF(ISNUMBER(BI339),"+","-"),"-")</f>
        <v>-</v>
      </c>
      <c r="BJ351" s="51" t="str">
        <f>IF(AND($E350="Operational Performance",'Project Event Tree Input'!$D$42="Yes"),IF(ISNUMBER(BJ339),"+","-"),"-")</f>
        <v>-</v>
      </c>
      <c r="BK351" s="51" t="str">
        <f>IF(AND($E350="Operational Performance",'Project Event Tree Input'!$D$42="Yes"),IF(ISNUMBER(BK339),"+","-"),"-")</f>
        <v>-</v>
      </c>
      <c r="BL351" s="51" t="str">
        <f>IF(AND($E350="Operational Performance",'Project Event Tree Input'!$D$42="Yes"),IF(ISNUMBER(BL339),"+","-"),"-")</f>
        <v>-</v>
      </c>
      <c r="BM351" s="51" t="str">
        <f>IF(AND($E350="Operational Performance",'Project Event Tree Input'!$D$42="Yes"),IF(ISNUMBER(BM339),"+","-"),"-")</f>
        <v>-</v>
      </c>
      <c r="BN351" s="51" t="str">
        <f>IF(AND($E350="Operational Performance",'Project Event Tree Input'!$D$42="Yes"),IF(ISNUMBER(BN339),"+","-"),"-")</f>
        <v>-</v>
      </c>
      <c r="BO351" s="51" t="str">
        <f>IF(AND($E350="Operational Performance",'Project Event Tree Input'!$D$42="Yes"),IF(ISNUMBER(BO339),"+","-"),"-")</f>
        <v>-</v>
      </c>
      <c r="BP351" s="51" t="str">
        <f>IF(AND($E350="Operational Performance",'Project Event Tree Input'!$D$42="Yes"),IF(ISNUMBER(BP339),"+","-"),"-")</f>
        <v>-</v>
      </c>
      <c r="BQ351" s="51" t="str">
        <f>IF(AND($E350="Operational Performance",'Project Event Tree Input'!$D$42="Yes"),IF(ISNUMBER(BQ339),"+","-"),"-")</f>
        <v>-</v>
      </c>
      <c r="BR351" s="51" t="str">
        <f>IF(AND($E350="Operational Performance",'Project Event Tree Input'!$D$42="Yes"),IF(ISNUMBER(BR339),"+","-"),"-")</f>
        <v>-</v>
      </c>
      <c r="BS351" s="51" t="str">
        <f>IF(AND($E350="Operational Performance",'Project Event Tree Input'!$D$42="Yes"),IF(ISNUMBER(BS339),"+","-"),"-")</f>
        <v>-</v>
      </c>
      <c r="BT351" s="51" t="str">
        <f>IF(AND($E350="Operational Performance",'Project Event Tree Input'!$D$42="Yes"),IF(ISNUMBER(BT339),"+","-"),"-")</f>
        <v>-</v>
      </c>
      <c r="BU351" s="51" t="str">
        <f>IF(AND($E350="Operational Performance",'Project Event Tree Input'!$D$42="Yes"),IF(ISNUMBER(BU339),"+","-"),"-")</f>
        <v>-</v>
      </c>
      <c r="BV351" s="51" t="str">
        <f>IF(AND($E350="Operational Performance",'Project Event Tree Input'!$D$42="Yes"),IF(ISNUMBER(BV339),"+","-"),"-")</f>
        <v>-</v>
      </c>
      <c r="BW351" s="51" t="str">
        <f>IF(AND($E350="Operational Performance",'Project Event Tree Input'!$D$42="Yes"),IF(ISNUMBER(BW339),"+","-"),"-")</f>
        <v>-</v>
      </c>
      <c r="CE351" s="33"/>
      <c r="CF351" s="33"/>
    </row>
    <row r="352" spans="2:84" s="49" customFormat="1" ht="15" customHeight="1" x14ac:dyDescent="0.2">
      <c r="B352" s="214">
        <v>6</v>
      </c>
      <c r="C352" s="214"/>
      <c r="D352" s="214"/>
      <c r="E352" s="218" t="str">
        <f>$E$330</f>
        <v>Economic Cost</v>
      </c>
      <c r="F352" s="218"/>
      <c r="G352" s="218"/>
      <c r="H352" s="218"/>
      <c r="I352" s="218"/>
      <c r="J352" s="218"/>
      <c r="K352" s="218"/>
      <c r="L352" s="218"/>
      <c r="M352" s="220">
        <f>$M$330</f>
        <v>1</v>
      </c>
      <c r="N352" s="220"/>
      <c r="O352" s="220"/>
      <c r="P352" s="220"/>
      <c r="Q352" s="220">
        <f>$Q$330</f>
        <v>9</v>
      </c>
      <c r="R352" s="220"/>
      <c r="S352" s="220"/>
      <c r="T352" s="220"/>
      <c r="U352" s="51" t="s">
        <v>123</v>
      </c>
      <c r="V352" s="51" t="str">
        <f>IF(AND($E351="Operational Performance",'Project Event Tree Input'!$D$42="Yes"),IF(ISNUMBER(V340),"+","-"),"-")</f>
        <v>-</v>
      </c>
      <c r="W352" s="51" t="str">
        <f>IF(AND($E351="Operational Performance",'Project Event Tree Input'!$D$42="Yes"),IF(ISNUMBER(W340),"+","-"),"-")</f>
        <v>-</v>
      </c>
      <c r="X352" s="51" t="str">
        <f>IF(AND($E351="Operational Performance",'Project Event Tree Input'!$D$42="Yes"),IF(ISNUMBER(X340),"+","-"),"-")</f>
        <v>-</v>
      </c>
      <c r="Y352" s="51" t="str">
        <f>IF(AND($E351="Operational Performance",'Project Event Tree Input'!$D$42="Yes"),IF(ISNUMBER(Y340),"+","-"),"-")</f>
        <v>-</v>
      </c>
      <c r="Z352" s="51" t="str">
        <f>IF(AND($E351="Operational Performance",'Project Event Tree Input'!$D$42="Yes"),IF(ISNUMBER(Z340),"+","-"),"-")</f>
        <v>-</v>
      </c>
      <c r="AA352" s="51" t="str">
        <f>IF(AND($E351="Operational Performance",'Project Event Tree Input'!$D$42="Yes"),IF(ISNUMBER(AA340),"+","-"),"-")</f>
        <v>-</v>
      </c>
      <c r="AB352" s="51" t="str">
        <f>IF(AND($E351="Operational Performance",'Project Event Tree Input'!$D$42="Yes"),IF(ISNUMBER(AB340),"+","-"),"-")</f>
        <v>-</v>
      </c>
      <c r="AC352" s="51" t="str">
        <f>IF(AND($E351="Operational Performance",'Project Event Tree Input'!$D$42="Yes"),IF(ISNUMBER(AC340),"+","-"),"-")</f>
        <v>-</v>
      </c>
      <c r="AD352" s="51" t="str">
        <f>IF(AND($E351="Operational Performance",'Project Event Tree Input'!$D$42="Yes"),IF(ISNUMBER(AD340),"+","-"),"-")</f>
        <v>-</v>
      </c>
      <c r="AE352" s="51" t="str">
        <f>IF(AND($E351="Operational Performance",'Project Event Tree Input'!$D$42="Yes"),IF(ISNUMBER(AE340),"+","-"),"-")</f>
        <v>-</v>
      </c>
      <c r="AF352" s="51" t="str">
        <f>IF(AND($E351="Operational Performance",'Project Event Tree Input'!$D$42="Yes"),IF(ISNUMBER(AF340),"+","-"),"-")</f>
        <v>-</v>
      </c>
      <c r="AG352" s="51" t="str">
        <f>IF(AND($E351="Operational Performance",'Project Event Tree Input'!$D$42="Yes"),IF(ISNUMBER(AG340),"+","-"),"-")</f>
        <v>-</v>
      </c>
      <c r="AH352" s="51" t="str">
        <f>IF(AND($E351="Operational Performance",'Project Event Tree Input'!$D$42="Yes"),IF(ISNUMBER(AH340),"+","-"),"-")</f>
        <v>-</v>
      </c>
      <c r="AI352" s="51" t="str">
        <f>IF(AND($E351="Operational Performance",'Project Event Tree Input'!$D$42="Yes"),IF(ISNUMBER(AI340),"+","-"),"-")</f>
        <v>-</v>
      </c>
      <c r="AJ352" s="51" t="str">
        <f>IF(AND($E351="Operational Performance",'Project Event Tree Input'!$D$42="Yes"),IF(ISNUMBER(AJ340),"+","-"),"-")</f>
        <v>-</v>
      </c>
      <c r="AK352" s="51" t="str">
        <f>IF(AND($E351="Operational Performance",'Project Event Tree Input'!$D$42="Yes"),IF(ISNUMBER(AK340),"+","-"),"-")</f>
        <v>-</v>
      </c>
      <c r="AL352" s="51" t="str">
        <f>IF(AND($E351="Operational Performance",'Project Event Tree Input'!$D$42="Yes"),IF(ISNUMBER(AL340),"+","-"),"-")</f>
        <v>-</v>
      </c>
      <c r="AM352" s="51" t="str">
        <f>IF(AND($E351="Operational Performance",'Project Event Tree Input'!$D$42="Yes"),IF(ISNUMBER(AM340),"+","-"),"-")</f>
        <v>-</v>
      </c>
      <c r="AN352" s="51" t="str">
        <f>IF(AND($E351="Operational Performance",'Project Event Tree Input'!$D$42="Yes"),IF(ISNUMBER(AN340),"+","-"),"-")</f>
        <v>-</v>
      </c>
      <c r="AO352" s="51" t="str">
        <f>IF(AND($E351="Operational Performance",'Project Event Tree Input'!$D$42="Yes"),IF(ISNUMBER(AO340),"+","-"),"-")</f>
        <v>-</v>
      </c>
      <c r="AP352" s="51" t="str">
        <f>IF(AND($E351="Operational Performance",'Project Event Tree Input'!$D$42="Yes"),IF(ISNUMBER(AP340),"+","-"),"-")</f>
        <v>-</v>
      </c>
      <c r="AQ352" s="51" t="str">
        <f>IF(AND($E351="Operational Performance",'Project Event Tree Input'!$D$42="Yes"),IF(ISNUMBER(AQ340),"+","-"),"-")</f>
        <v>-</v>
      </c>
      <c r="AR352" s="51" t="str">
        <f>IF(AND($E351="Operational Performance",'Project Event Tree Input'!$D$42="Yes"),IF(ISNUMBER(AR340),"+","-"),"-")</f>
        <v>-</v>
      </c>
      <c r="AS352" s="51" t="str">
        <f>IF(AND($E351="Operational Performance",'Project Event Tree Input'!$D$42="Yes"),IF(ISNUMBER(AS340),"+","-"),"-")</f>
        <v>-</v>
      </c>
      <c r="AT352" s="51" t="str">
        <f>IF(AND($E351="Operational Performance",'Project Event Tree Input'!$D$42="Yes"),IF(ISNUMBER(AT340),"+","-"),"-")</f>
        <v>-</v>
      </c>
      <c r="AU352" s="51" t="str">
        <f>IF(AND($E351="Operational Performance",'Project Event Tree Input'!$D$42="Yes"),IF(ISNUMBER(AU340),"+","-"),"-")</f>
        <v>-</v>
      </c>
      <c r="AV352" s="51" t="str">
        <f>IF(AND($E351="Operational Performance",'Project Event Tree Input'!$D$42="Yes"),IF(ISNUMBER(AV340),"+","-"),"-")</f>
        <v>-</v>
      </c>
      <c r="AW352" s="51" t="str">
        <f>IF(AND($E351="Operational Performance",'Project Event Tree Input'!$D$42="Yes"),IF(ISNUMBER(AW340),"+","-"),"-")</f>
        <v>-</v>
      </c>
      <c r="AX352" s="51" t="str">
        <f>IF(AND($E351="Operational Performance",'Project Event Tree Input'!$D$42="Yes"),IF(ISNUMBER(AX340),"+","-"),"-")</f>
        <v>-</v>
      </c>
      <c r="AY352" s="51" t="str">
        <f>IF(AND($E351="Operational Performance",'Project Event Tree Input'!$D$42="Yes"),IF(ISNUMBER(AY340),"+","-"),"-")</f>
        <v>-</v>
      </c>
      <c r="AZ352" s="51" t="str">
        <f>IF(AND($E351="Operational Performance",'Project Event Tree Input'!$D$42="Yes"),IF(ISNUMBER(AZ340),"+","-"),"-")</f>
        <v>-</v>
      </c>
      <c r="BA352" s="51" t="str">
        <f>IF(AND($E351="Operational Performance",'Project Event Tree Input'!$D$42="Yes"),IF(ISNUMBER(BA340),"+","-"),"-")</f>
        <v>-</v>
      </c>
      <c r="BB352" s="51" t="str">
        <f>IF(AND($E351="Operational Performance",'Project Event Tree Input'!$D$42="Yes"),IF(ISNUMBER(BB340),"+","-"),"-")</f>
        <v>-</v>
      </c>
      <c r="BC352" s="51" t="str">
        <f>IF(AND($E351="Operational Performance",'Project Event Tree Input'!$D$42="Yes"),IF(ISNUMBER(BC340),"+","-"),"-")</f>
        <v>-</v>
      </c>
      <c r="BD352" s="51" t="str">
        <f>IF(AND($E351="Operational Performance",'Project Event Tree Input'!$D$42="Yes"),IF(ISNUMBER(BD340),"+","-"),"-")</f>
        <v>-</v>
      </c>
      <c r="BE352" s="51" t="str">
        <f>IF(AND($E351="Operational Performance",'Project Event Tree Input'!$D$42="Yes"),IF(ISNUMBER(BE340),"+","-"),"-")</f>
        <v>-</v>
      </c>
      <c r="BF352" s="51" t="str">
        <f>IF(AND($E351="Operational Performance",'Project Event Tree Input'!$D$42="Yes"),IF(ISNUMBER(BF340),"+","-"),"-")</f>
        <v>-</v>
      </c>
      <c r="BG352" s="51" t="str">
        <f>IF(AND($E351="Operational Performance",'Project Event Tree Input'!$D$42="Yes"),IF(ISNUMBER(BG340),"+","-"),"-")</f>
        <v>-</v>
      </c>
      <c r="BH352" s="51" t="str">
        <f>IF(AND($E351="Operational Performance",'Project Event Tree Input'!$D$42="Yes"),IF(ISNUMBER(BH340),"+","-"),"-")</f>
        <v>-</v>
      </c>
      <c r="BI352" s="51" t="str">
        <f>IF(AND($E351="Operational Performance",'Project Event Tree Input'!$D$42="Yes"),IF(ISNUMBER(BI340),"+","-"),"-")</f>
        <v>-</v>
      </c>
      <c r="BJ352" s="51" t="str">
        <f>IF(AND($E351="Operational Performance",'Project Event Tree Input'!$D$42="Yes"),IF(ISNUMBER(BJ340),"+","-"),"-")</f>
        <v>-</v>
      </c>
      <c r="BK352" s="51" t="str">
        <f>IF(AND($E351="Operational Performance",'Project Event Tree Input'!$D$42="Yes"),IF(ISNUMBER(BK340),"+","-"),"-")</f>
        <v>-</v>
      </c>
      <c r="BL352" s="51" t="str">
        <f>IF(AND($E351="Operational Performance",'Project Event Tree Input'!$D$42="Yes"),IF(ISNUMBER(BL340),"+","-"),"-")</f>
        <v>-</v>
      </c>
      <c r="BM352" s="51" t="str">
        <f>IF(AND($E351="Operational Performance",'Project Event Tree Input'!$D$42="Yes"),IF(ISNUMBER(BM340),"+","-"),"-")</f>
        <v>-</v>
      </c>
      <c r="BN352" s="51" t="str">
        <f>IF(AND($E351="Operational Performance",'Project Event Tree Input'!$D$42="Yes"),IF(ISNUMBER(BN340),"+","-"),"-")</f>
        <v>-</v>
      </c>
      <c r="BO352" s="51" t="str">
        <f>IF(AND($E351="Operational Performance",'Project Event Tree Input'!$D$42="Yes"),IF(ISNUMBER(BO340),"+","-"),"-")</f>
        <v>-</v>
      </c>
      <c r="BP352" s="51" t="str">
        <f>IF(AND($E351="Operational Performance",'Project Event Tree Input'!$D$42="Yes"),IF(ISNUMBER(BP340),"+","-"),"-")</f>
        <v>-</v>
      </c>
      <c r="BQ352" s="51" t="str">
        <f>IF(AND($E351="Operational Performance",'Project Event Tree Input'!$D$42="Yes"),IF(ISNUMBER(BQ340),"+","-"),"-")</f>
        <v>-</v>
      </c>
      <c r="BR352" s="51" t="str">
        <f>IF(AND($E351="Operational Performance",'Project Event Tree Input'!$D$42="Yes"),IF(ISNUMBER(BR340),"+","-"),"-")</f>
        <v>-</v>
      </c>
      <c r="BS352" s="51" t="str">
        <f>IF(AND($E351="Operational Performance",'Project Event Tree Input'!$D$42="Yes"),IF(ISNUMBER(BS340),"+","-"),"-")</f>
        <v>-</v>
      </c>
      <c r="BT352" s="51" t="str">
        <f>IF(AND($E351="Operational Performance",'Project Event Tree Input'!$D$42="Yes"),IF(ISNUMBER(BT340),"+","-"),"-")</f>
        <v>-</v>
      </c>
      <c r="BU352" s="51" t="str">
        <f>IF(AND($E351="Operational Performance",'Project Event Tree Input'!$D$42="Yes"),IF(ISNUMBER(BU340),"+","-"),"-")</f>
        <v>-</v>
      </c>
      <c r="BV352" s="51" t="str">
        <f>IF(AND($E351="Operational Performance",'Project Event Tree Input'!$D$42="Yes"),IF(ISNUMBER(BV340),"+","-"),"-")</f>
        <v>-</v>
      </c>
      <c r="BW352" s="51" t="str">
        <f>IF(AND($E351="Operational Performance",'Project Event Tree Input'!$D$42="Yes"),IF(ISNUMBER(BW340),"+","-"),"-")</f>
        <v>-</v>
      </c>
      <c r="CE352" s="33"/>
      <c r="CF352" s="33"/>
    </row>
    <row r="353" spans="2:84" s="49" customFormat="1" ht="15" customHeight="1" x14ac:dyDescent="0.2">
      <c r="BH353" s="48"/>
      <c r="BI353" s="48"/>
      <c r="CE353" s="33"/>
      <c r="CF353" s="33"/>
    </row>
    <row r="354" spans="2:84" s="49" customFormat="1" ht="15" customHeight="1" x14ac:dyDescent="0.2">
      <c r="B354" s="50" t="s">
        <v>288</v>
      </c>
      <c r="BH354" s="48"/>
      <c r="BI354" s="48"/>
      <c r="CE354" s="33"/>
      <c r="CF354" s="33"/>
    </row>
    <row r="355" spans="2:84" s="49" customFormat="1" ht="15" customHeight="1" x14ac:dyDescent="0.2">
      <c r="BH355" s="48"/>
      <c r="BI355" s="48"/>
      <c r="CE355" s="33"/>
      <c r="CF355" s="33"/>
    </row>
    <row r="356" spans="2:84" s="49" customFormat="1" ht="15" customHeight="1" x14ac:dyDescent="0.2">
      <c r="B356" s="219" t="s">
        <v>289</v>
      </c>
      <c r="C356" s="219"/>
      <c r="D356" s="219"/>
      <c r="E356" s="219"/>
      <c r="F356" s="219"/>
      <c r="G356" s="219"/>
      <c r="H356" s="219"/>
      <c r="I356" s="51" t="str">
        <f t="shared" ref="I356:AN356" si="1789">IF(AND(ISNUMBER(U336),U336="+"),U336,IF(AND(ISNUMBER(U336),U337="+"),U336,IF(AND(ISNUMBER(U337),U338="+"),U337,IF(AND(ISNUMBER(U338),U339="+"),U338,IF(AND(ISNUMBER(U339),U340="+"),U339,IF(AND(ISNUMBER(U340),U341="+"),U340,""))))))</f>
        <v/>
      </c>
      <c r="J356" s="51" t="str">
        <f t="shared" si="1789"/>
        <v/>
      </c>
      <c r="K356" s="51" t="str">
        <f t="shared" si="1789"/>
        <v/>
      </c>
      <c r="L356" s="51">
        <f t="shared" si="1789"/>
        <v>25</v>
      </c>
      <c r="M356" s="51" t="str">
        <f t="shared" si="1789"/>
        <v/>
      </c>
      <c r="N356" s="51" t="str">
        <f t="shared" si="1789"/>
        <v/>
      </c>
      <c r="O356" s="51">
        <f t="shared" si="1789"/>
        <v>40</v>
      </c>
      <c r="P356" s="51" t="str">
        <f t="shared" si="1789"/>
        <v/>
      </c>
      <c r="Q356" s="51" t="str">
        <f t="shared" si="1789"/>
        <v/>
      </c>
      <c r="R356" s="51" t="str">
        <f t="shared" si="1789"/>
        <v/>
      </c>
      <c r="S356" s="51" t="str">
        <f t="shared" si="1789"/>
        <v/>
      </c>
      <c r="T356" s="51" t="str">
        <f t="shared" si="1789"/>
        <v/>
      </c>
      <c r="U356" s="51" t="str">
        <f t="shared" si="1789"/>
        <v/>
      </c>
      <c r="V356" s="51" t="str">
        <f t="shared" si="1789"/>
        <v/>
      </c>
      <c r="W356" s="51" t="str">
        <f t="shared" si="1789"/>
        <v/>
      </c>
      <c r="X356" s="51" t="str">
        <f t="shared" si="1789"/>
        <v/>
      </c>
      <c r="Y356" s="51" t="str">
        <f t="shared" si="1789"/>
        <v/>
      </c>
      <c r="Z356" s="51" t="str">
        <f t="shared" si="1789"/>
        <v/>
      </c>
      <c r="AA356" s="51" t="str">
        <f t="shared" si="1789"/>
        <v/>
      </c>
      <c r="AB356" s="51" t="str">
        <f t="shared" si="1789"/>
        <v/>
      </c>
      <c r="AC356" s="51" t="str">
        <f t="shared" si="1789"/>
        <v/>
      </c>
      <c r="AD356" s="51" t="str">
        <f t="shared" si="1789"/>
        <v/>
      </c>
      <c r="AE356" s="51" t="str">
        <f t="shared" si="1789"/>
        <v/>
      </c>
      <c r="AF356" s="51" t="str">
        <f t="shared" si="1789"/>
        <v/>
      </c>
      <c r="AG356" s="51" t="str">
        <f t="shared" si="1789"/>
        <v/>
      </c>
      <c r="AH356" s="51" t="str">
        <f t="shared" si="1789"/>
        <v/>
      </c>
      <c r="AI356" s="51" t="str">
        <f t="shared" si="1789"/>
        <v/>
      </c>
      <c r="AJ356" s="51" t="str">
        <f t="shared" si="1789"/>
        <v/>
      </c>
      <c r="AK356" s="51" t="str">
        <f t="shared" si="1789"/>
        <v/>
      </c>
      <c r="AL356" s="51" t="str">
        <f t="shared" si="1789"/>
        <v/>
      </c>
      <c r="AM356" s="51" t="str">
        <f t="shared" si="1789"/>
        <v/>
      </c>
      <c r="AN356" s="51" t="str">
        <f t="shared" si="1789"/>
        <v/>
      </c>
      <c r="AO356" s="51" t="str">
        <f t="shared" ref="AO356:BK356" si="1790">IF(AND(ISNUMBER(BA336),BA336="+"),BA336,IF(AND(ISNUMBER(BA336),BA337="+"),BA336,IF(AND(ISNUMBER(BA337),BA338="+"),BA337,IF(AND(ISNUMBER(BA338),BA339="+"),BA338,IF(AND(ISNUMBER(BA339),BA340="+"),BA339,IF(AND(ISNUMBER(BA340),BA341="+"),BA340,""))))))</f>
        <v/>
      </c>
      <c r="AP356" s="51" t="str">
        <f t="shared" si="1790"/>
        <v/>
      </c>
      <c r="AQ356" s="51" t="str">
        <f t="shared" si="1790"/>
        <v/>
      </c>
      <c r="AR356" s="51" t="str">
        <f t="shared" si="1790"/>
        <v/>
      </c>
      <c r="AS356" s="51" t="str">
        <f t="shared" si="1790"/>
        <v/>
      </c>
      <c r="AT356" s="51" t="str">
        <f t="shared" si="1790"/>
        <v/>
      </c>
      <c r="AU356" s="51" t="str">
        <f t="shared" si="1790"/>
        <v/>
      </c>
      <c r="AV356" s="51" t="str">
        <f t="shared" si="1790"/>
        <v/>
      </c>
      <c r="AW356" s="51" t="str">
        <f t="shared" si="1790"/>
        <v/>
      </c>
      <c r="AX356" s="51" t="str">
        <f t="shared" si="1790"/>
        <v/>
      </c>
      <c r="AY356" s="51" t="str">
        <f t="shared" si="1790"/>
        <v/>
      </c>
      <c r="AZ356" s="51" t="str">
        <f t="shared" si="1790"/>
        <v/>
      </c>
      <c r="BA356" s="51" t="str">
        <f t="shared" si="1790"/>
        <v/>
      </c>
      <c r="BB356" s="51" t="str">
        <f t="shared" si="1790"/>
        <v/>
      </c>
      <c r="BC356" s="51" t="str">
        <f t="shared" si="1790"/>
        <v/>
      </c>
      <c r="BD356" s="51" t="str">
        <f t="shared" si="1790"/>
        <v/>
      </c>
      <c r="BE356" s="51" t="str">
        <f t="shared" si="1790"/>
        <v/>
      </c>
      <c r="BF356" s="51" t="str">
        <f t="shared" si="1790"/>
        <v/>
      </c>
      <c r="BG356" s="51" t="str">
        <f t="shared" si="1790"/>
        <v/>
      </c>
      <c r="BH356" s="51" t="str">
        <f t="shared" si="1790"/>
        <v/>
      </c>
      <c r="BI356" s="51" t="str">
        <f t="shared" si="1790"/>
        <v/>
      </c>
      <c r="BJ356" s="51" t="str">
        <f t="shared" si="1790"/>
        <v/>
      </c>
      <c r="BK356" s="51" t="str">
        <f t="shared" si="1790"/>
        <v/>
      </c>
      <c r="CE356" s="33"/>
      <c r="CF356" s="33"/>
    </row>
    <row r="357" spans="2:84" s="49" customFormat="1" ht="15" customHeight="1" x14ac:dyDescent="0.2">
      <c r="B357" s="219" t="s">
        <v>290</v>
      </c>
      <c r="C357" s="219"/>
      <c r="D357" s="219"/>
      <c r="E357" s="219"/>
      <c r="F357" s="219"/>
      <c r="G357" s="219"/>
      <c r="H357" s="219"/>
      <c r="I357" s="52" cm="1">
        <f t="array" ref="I357:J357">IF(ISERROR(_xlfn._xlws.FILTER($I$356:$BK$356,$I$356:$BK$356&lt;&gt;"")),"",_xlfn._xlws.FILTER($I$356:$BK$356,$I$356:$BK$356&lt;&gt;""))</f>
        <v>25</v>
      </c>
      <c r="J357" s="52">
        <v>40</v>
      </c>
      <c r="K357" s="52"/>
      <c r="L357" s="52"/>
      <c r="M357" s="52"/>
      <c r="N357" s="52"/>
      <c r="O357" s="52"/>
      <c r="P357" s="52"/>
      <c r="Q357" s="52"/>
      <c r="R357" s="52"/>
      <c r="S357" s="52"/>
      <c r="T357" s="52"/>
      <c r="U357" s="52"/>
      <c r="V357" s="52"/>
      <c r="W357" s="52"/>
      <c r="X357" s="52"/>
      <c r="Y357" s="52"/>
      <c r="Z357" s="52"/>
      <c r="AA357" s="52"/>
      <c r="AB357" s="52"/>
      <c r="AC357" s="52"/>
      <c r="AD357" s="52"/>
      <c r="AE357" s="52"/>
      <c r="AF357" s="52"/>
      <c r="AG357" s="52"/>
      <c r="AH357" s="52"/>
      <c r="AI357" s="52"/>
      <c r="AJ357" s="52"/>
      <c r="AK357" s="52"/>
      <c r="AL357" s="52"/>
      <c r="AM357" s="52"/>
      <c r="AN357" s="52"/>
      <c r="AO357" s="52"/>
      <c r="AP357" s="52"/>
      <c r="AQ357" s="52"/>
      <c r="AR357" s="52"/>
      <c r="AS357" s="52"/>
      <c r="AT357" s="52"/>
      <c r="AU357" s="52"/>
      <c r="AV357" s="52"/>
      <c r="AW357" s="52"/>
      <c r="AX357" s="52"/>
      <c r="AY357" s="52"/>
      <c r="AZ357" s="52"/>
      <c r="BA357" s="52"/>
      <c r="BB357" s="52"/>
      <c r="BC357" s="52"/>
      <c r="BD357" s="52"/>
      <c r="BE357" s="52"/>
      <c r="BF357" s="52"/>
      <c r="BG357" s="52"/>
      <c r="BH357" s="52"/>
      <c r="BI357" s="52"/>
      <c r="BJ357" s="52"/>
      <c r="BK357" s="52"/>
      <c r="BX357" s="53"/>
      <c r="BY357" s="53"/>
      <c r="BZ357" s="53"/>
      <c r="CA357" s="53"/>
      <c r="CB357" s="53"/>
      <c r="CE357" s="33"/>
      <c r="CF357" s="33"/>
    </row>
    <row r="358" spans="2:84" s="49" customFormat="1" ht="15" customHeight="1" x14ac:dyDescent="0.2">
      <c r="B358" s="219" t="s">
        <v>291</v>
      </c>
      <c r="C358" s="219"/>
      <c r="D358" s="219"/>
      <c r="E358" s="219"/>
      <c r="F358" s="219"/>
      <c r="G358" s="219"/>
      <c r="H358" s="219"/>
      <c r="I358" s="51">
        <f>IF(AND(ISNUMBER(I357),J357=""),"",IF(ISNUMBER(I357),I357+6+26,""))</f>
        <v>57</v>
      </c>
      <c r="J358" s="51" t="str">
        <f t="shared" ref="J358:BK358" si="1791">IF(AND(ISNUMBER(J357),K357=""),"",IF(ISNUMBER(J357),J357+6+26,""))</f>
        <v/>
      </c>
      <c r="K358" s="51" t="str">
        <f t="shared" si="1791"/>
        <v/>
      </c>
      <c r="L358" s="51" t="str">
        <f t="shared" si="1791"/>
        <v/>
      </c>
      <c r="M358" s="51" t="str">
        <f t="shared" si="1791"/>
        <v/>
      </c>
      <c r="N358" s="51" t="str">
        <f t="shared" si="1791"/>
        <v/>
      </c>
      <c r="O358" s="51" t="str">
        <f t="shared" si="1791"/>
        <v/>
      </c>
      <c r="P358" s="51" t="str">
        <f t="shared" si="1791"/>
        <v/>
      </c>
      <c r="Q358" s="51" t="str">
        <f t="shared" si="1791"/>
        <v/>
      </c>
      <c r="R358" s="51" t="str">
        <f t="shared" si="1791"/>
        <v/>
      </c>
      <c r="S358" s="51" t="str">
        <f t="shared" si="1791"/>
        <v/>
      </c>
      <c r="T358" s="51" t="str">
        <f t="shared" si="1791"/>
        <v/>
      </c>
      <c r="U358" s="51" t="str">
        <f t="shared" si="1791"/>
        <v/>
      </c>
      <c r="V358" s="51" t="str">
        <f t="shared" si="1791"/>
        <v/>
      </c>
      <c r="W358" s="51" t="str">
        <f t="shared" si="1791"/>
        <v/>
      </c>
      <c r="X358" s="51" t="str">
        <f t="shared" si="1791"/>
        <v/>
      </c>
      <c r="Y358" s="51" t="str">
        <f t="shared" si="1791"/>
        <v/>
      </c>
      <c r="Z358" s="51" t="str">
        <f t="shared" si="1791"/>
        <v/>
      </c>
      <c r="AA358" s="51" t="str">
        <f t="shared" si="1791"/>
        <v/>
      </c>
      <c r="AB358" s="51" t="str">
        <f t="shared" si="1791"/>
        <v/>
      </c>
      <c r="AC358" s="51" t="str">
        <f t="shared" si="1791"/>
        <v/>
      </c>
      <c r="AD358" s="51" t="str">
        <f t="shared" si="1791"/>
        <v/>
      </c>
      <c r="AE358" s="51" t="str">
        <f t="shared" si="1791"/>
        <v/>
      </c>
      <c r="AF358" s="51" t="str">
        <f t="shared" si="1791"/>
        <v/>
      </c>
      <c r="AG358" s="51" t="str">
        <f t="shared" si="1791"/>
        <v/>
      </c>
      <c r="AH358" s="51" t="str">
        <f t="shared" si="1791"/>
        <v/>
      </c>
      <c r="AI358" s="51" t="str">
        <f t="shared" si="1791"/>
        <v/>
      </c>
      <c r="AJ358" s="51" t="str">
        <f t="shared" si="1791"/>
        <v/>
      </c>
      <c r="AK358" s="51" t="str">
        <f t="shared" si="1791"/>
        <v/>
      </c>
      <c r="AL358" s="51" t="str">
        <f t="shared" si="1791"/>
        <v/>
      </c>
      <c r="AM358" s="51" t="str">
        <f t="shared" si="1791"/>
        <v/>
      </c>
      <c r="AN358" s="51" t="str">
        <f t="shared" si="1791"/>
        <v/>
      </c>
      <c r="AO358" s="51" t="str">
        <f t="shared" si="1791"/>
        <v/>
      </c>
      <c r="AP358" s="51" t="str">
        <f t="shared" si="1791"/>
        <v/>
      </c>
      <c r="AQ358" s="51" t="str">
        <f t="shared" si="1791"/>
        <v/>
      </c>
      <c r="AR358" s="51" t="str">
        <f t="shared" si="1791"/>
        <v/>
      </c>
      <c r="AS358" s="51" t="str">
        <f t="shared" si="1791"/>
        <v/>
      </c>
      <c r="AT358" s="51" t="str">
        <f t="shared" si="1791"/>
        <v/>
      </c>
      <c r="AU358" s="51" t="str">
        <f t="shared" si="1791"/>
        <v/>
      </c>
      <c r="AV358" s="51" t="str">
        <f t="shared" si="1791"/>
        <v/>
      </c>
      <c r="AW358" s="51" t="str">
        <f t="shared" si="1791"/>
        <v/>
      </c>
      <c r="AX358" s="51" t="str">
        <f t="shared" si="1791"/>
        <v/>
      </c>
      <c r="AY358" s="51" t="str">
        <f t="shared" si="1791"/>
        <v/>
      </c>
      <c r="AZ358" s="51" t="str">
        <f t="shared" si="1791"/>
        <v/>
      </c>
      <c r="BA358" s="51" t="str">
        <f t="shared" si="1791"/>
        <v/>
      </c>
      <c r="BB358" s="51" t="str">
        <f t="shared" si="1791"/>
        <v/>
      </c>
      <c r="BC358" s="51" t="str">
        <f t="shared" si="1791"/>
        <v/>
      </c>
      <c r="BD358" s="51" t="str">
        <f t="shared" si="1791"/>
        <v/>
      </c>
      <c r="BE358" s="51" t="str">
        <f t="shared" si="1791"/>
        <v/>
      </c>
      <c r="BF358" s="51" t="str">
        <f t="shared" si="1791"/>
        <v/>
      </c>
      <c r="BG358" s="51" t="str">
        <f t="shared" si="1791"/>
        <v/>
      </c>
      <c r="BH358" s="51" t="str">
        <f t="shared" si="1791"/>
        <v/>
      </c>
      <c r="BI358" s="51" t="str">
        <f t="shared" si="1791"/>
        <v/>
      </c>
      <c r="BJ358" s="51" t="str">
        <f t="shared" si="1791"/>
        <v/>
      </c>
      <c r="BK358" s="51" t="str">
        <f t="shared" si="1791"/>
        <v/>
      </c>
      <c r="BL358" s="49" t="str">
        <f t="shared" ref="BL358:BP358" si="1792">IF(AND(ISNUMBER(BL357),BM357=""),"",IF(ISNUMBER(BL357),BL357+6,""))</f>
        <v/>
      </c>
      <c r="BM358" s="49" t="str">
        <f t="shared" si="1792"/>
        <v/>
      </c>
      <c r="BN358" s="49" t="str">
        <f t="shared" si="1792"/>
        <v/>
      </c>
      <c r="BO358" s="49" t="str">
        <f t="shared" si="1792"/>
        <v/>
      </c>
      <c r="BP358" s="49" t="str">
        <f t="shared" si="1792"/>
        <v/>
      </c>
      <c r="CE358" s="33"/>
      <c r="CF358" s="33"/>
    </row>
    <row r="359" spans="2:84" s="49" customFormat="1" ht="15" customHeight="1" x14ac:dyDescent="0.2">
      <c r="B359" s="219" t="s">
        <v>292</v>
      </c>
      <c r="C359" s="219"/>
      <c r="D359" s="219"/>
      <c r="E359" s="219"/>
      <c r="F359" s="219"/>
      <c r="G359" s="219"/>
      <c r="H359" s="219"/>
      <c r="I359" s="51">
        <f>IF(I357="","",IF(AND(ISNUMBER(I357),ISNUMBER(J357)),J357+26,""))</f>
        <v>66</v>
      </c>
      <c r="J359" s="51" t="str">
        <f t="shared" ref="J359:BK359" si="1793">IF(J357="","",IF(AND(ISNUMBER(J357),ISNUMBER(K357)),K357+26,""))</f>
        <v/>
      </c>
      <c r="K359" s="51" t="str">
        <f t="shared" si="1793"/>
        <v/>
      </c>
      <c r="L359" s="51" t="str">
        <f t="shared" si="1793"/>
        <v/>
      </c>
      <c r="M359" s="51" t="str">
        <f t="shared" si="1793"/>
        <v/>
      </c>
      <c r="N359" s="51" t="str">
        <f t="shared" si="1793"/>
        <v/>
      </c>
      <c r="O359" s="51" t="str">
        <f t="shared" si="1793"/>
        <v/>
      </c>
      <c r="P359" s="51" t="str">
        <f t="shared" si="1793"/>
        <v/>
      </c>
      <c r="Q359" s="51" t="str">
        <f t="shared" si="1793"/>
        <v/>
      </c>
      <c r="R359" s="51" t="str">
        <f t="shared" si="1793"/>
        <v/>
      </c>
      <c r="S359" s="51" t="str">
        <f t="shared" si="1793"/>
        <v/>
      </c>
      <c r="T359" s="51" t="str">
        <f t="shared" si="1793"/>
        <v/>
      </c>
      <c r="U359" s="51" t="str">
        <f t="shared" si="1793"/>
        <v/>
      </c>
      <c r="V359" s="51" t="str">
        <f t="shared" si="1793"/>
        <v/>
      </c>
      <c r="W359" s="51" t="str">
        <f t="shared" si="1793"/>
        <v/>
      </c>
      <c r="X359" s="51" t="str">
        <f t="shared" si="1793"/>
        <v/>
      </c>
      <c r="Y359" s="51" t="str">
        <f t="shared" si="1793"/>
        <v/>
      </c>
      <c r="Z359" s="51" t="str">
        <f t="shared" si="1793"/>
        <v/>
      </c>
      <c r="AA359" s="51" t="str">
        <f t="shared" si="1793"/>
        <v/>
      </c>
      <c r="AB359" s="51" t="str">
        <f t="shared" si="1793"/>
        <v/>
      </c>
      <c r="AC359" s="51" t="str">
        <f t="shared" si="1793"/>
        <v/>
      </c>
      <c r="AD359" s="51" t="str">
        <f t="shared" si="1793"/>
        <v/>
      </c>
      <c r="AE359" s="51" t="str">
        <f t="shared" si="1793"/>
        <v/>
      </c>
      <c r="AF359" s="51" t="str">
        <f t="shared" si="1793"/>
        <v/>
      </c>
      <c r="AG359" s="51" t="str">
        <f t="shared" si="1793"/>
        <v/>
      </c>
      <c r="AH359" s="51" t="str">
        <f t="shared" si="1793"/>
        <v/>
      </c>
      <c r="AI359" s="51" t="str">
        <f t="shared" si="1793"/>
        <v/>
      </c>
      <c r="AJ359" s="51" t="str">
        <f t="shared" si="1793"/>
        <v/>
      </c>
      <c r="AK359" s="51" t="str">
        <f t="shared" si="1793"/>
        <v/>
      </c>
      <c r="AL359" s="51" t="str">
        <f t="shared" si="1793"/>
        <v/>
      </c>
      <c r="AM359" s="51" t="str">
        <f t="shared" si="1793"/>
        <v/>
      </c>
      <c r="AN359" s="51" t="str">
        <f t="shared" si="1793"/>
        <v/>
      </c>
      <c r="AO359" s="51" t="str">
        <f t="shared" si="1793"/>
        <v/>
      </c>
      <c r="AP359" s="51" t="str">
        <f t="shared" si="1793"/>
        <v/>
      </c>
      <c r="AQ359" s="51" t="str">
        <f t="shared" si="1793"/>
        <v/>
      </c>
      <c r="AR359" s="51" t="str">
        <f t="shared" si="1793"/>
        <v/>
      </c>
      <c r="AS359" s="51" t="str">
        <f t="shared" si="1793"/>
        <v/>
      </c>
      <c r="AT359" s="51" t="str">
        <f t="shared" si="1793"/>
        <v/>
      </c>
      <c r="AU359" s="51" t="str">
        <f t="shared" si="1793"/>
        <v/>
      </c>
      <c r="AV359" s="51" t="str">
        <f t="shared" si="1793"/>
        <v/>
      </c>
      <c r="AW359" s="51" t="str">
        <f t="shared" si="1793"/>
        <v/>
      </c>
      <c r="AX359" s="51" t="str">
        <f t="shared" si="1793"/>
        <v/>
      </c>
      <c r="AY359" s="51" t="str">
        <f t="shared" si="1793"/>
        <v/>
      </c>
      <c r="AZ359" s="51" t="str">
        <f t="shared" si="1793"/>
        <v/>
      </c>
      <c r="BA359" s="51" t="str">
        <f t="shared" si="1793"/>
        <v/>
      </c>
      <c r="BB359" s="51" t="str">
        <f t="shared" si="1793"/>
        <v/>
      </c>
      <c r="BC359" s="51" t="str">
        <f t="shared" si="1793"/>
        <v/>
      </c>
      <c r="BD359" s="51" t="str">
        <f t="shared" si="1793"/>
        <v/>
      </c>
      <c r="BE359" s="51" t="str">
        <f t="shared" si="1793"/>
        <v/>
      </c>
      <c r="BF359" s="51" t="str">
        <f t="shared" si="1793"/>
        <v/>
      </c>
      <c r="BG359" s="51" t="str">
        <f t="shared" si="1793"/>
        <v/>
      </c>
      <c r="BH359" s="51" t="str">
        <f t="shared" si="1793"/>
        <v/>
      </c>
      <c r="BI359" s="51" t="str">
        <f t="shared" si="1793"/>
        <v/>
      </c>
      <c r="BJ359" s="51" t="str">
        <f t="shared" si="1793"/>
        <v/>
      </c>
      <c r="BK359" s="51" t="str">
        <f t="shared" si="1793"/>
        <v/>
      </c>
      <c r="BL359" s="49" t="str">
        <f t="shared" ref="BL359:BP359" si="1794">IF(BL357="","",IF(AND(ISNUMBER(BL357),ISNUMBER(BM357)),BM357,""))</f>
        <v/>
      </c>
      <c r="BM359" s="49" t="str">
        <f t="shared" si="1794"/>
        <v/>
      </c>
      <c r="BN359" s="49" t="str">
        <f t="shared" si="1794"/>
        <v/>
      </c>
      <c r="BO359" s="49" t="str">
        <f t="shared" si="1794"/>
        <v/>
      </c>
      <c r="BP359" s="49" t="str">
        <f t="shared" si="1794"/>
        <v/>
      </c>
      <c r="CE359" s="33"/>
      <c r="CF359" s="33"/>
    </row>
    <row r="360" spans="2:84" s="49" customFormat="1" ht="15" customHeight="1" x14ac:dyDescent="0.2">
      <c r="B360" s="106"/>
      <c r="C360" s="106"/>
      <c r="D360" s="106"/>
      <c r="E360" s="58"/>
      <c r="F360" s="58"/>
      <c r="G360" s="58"/>
      <c r="H360" s="58"/>
      <c r="I360" s="58"/>
      <c r="J360" s="58"/>
      <c r="K360" s="58"/>
      <c r="L360" s="58"/>
      <c r="M360" s="58"/>
      <c r="N360" s="58"/>
      <c r="O360" s="58"/>
      <c r="P360" s="58"/>
      <c r="Q360" s="58"/>
      <c r="R360" s="58"/>
      <c r="S360" s="58"/>
      <c r="T360" s="58"/>
      <c r="CE360" s="33"/>
      <c r="CF360" s="33"/>
    </row>
    <row r="361" spans="2:84" s="49" customFormat="1" ht="15" customHeight="1" x14ac:dyDescent="0.2">
      <c r="B361" s="50" t="s">
        <v>293</v>
      </c>
      <c r="BF361" s="50" t="s">
        <v>203</v>
      </c>
      <c r="CE361" s="33"/>
      <c r="CF361" s="33"/>
    </row>
    <row r="362" spans="2:84" s="49" customFormat="1" ht="15" customHeight="1" x14ac:dyDescent="0.2">
      <c r="CE362" s="33"/>
      <c r="CF362" s="33"/>
    </row>
    <row r="363" spans="2:84" s="49" customFormat="1" ht="15" customHeight="1" x14ac:dyDescent="0.2">
      <c r="B363" s="110">
        <f>ROW(B336)</f>
        <v>336</v>
      </c>
      <c r="C363" s="110">
        <f t="shared" ref="C363:G364" si="1795">B363+1</f>
        <v>337</v>
      </c>
      <c r="D363" s="110">
        <f t="shared" si="1795"/>
        <v>338</v>
      </c>
      <c r="E363" s="110">
        <f t="shared" si="1795"/>
        <v>339</v>
      </c>
      <c r="F363" s="110">
        <f t="shared" si="1795"/>
        <v>340</v>
      </c>
      <c r="G363" s="110">
        <f t="shared" si="1795"/>
        <v>341</v>
      </c>
      <c r="H363" s="101"/>
      <c r="BF363" s="218" t="s">
        <v>204</v>
      </c>
      <c r="BG363" s="218"/>
      <c r="BH363" s="218" t="str">
        <f>IF(ISBLANK('Project Event Tree Input'!$D$9),"No","Yes")</f>
        <v>Yes</v>
      </c>
      <c r="BI363" s="218"/>
      <c r="BJ363" s="218"/>
      <c r="CE363" s="33"/>
      <c r="CF363" s="33"/>
    </row>
    <row r="364" spans="2:84" s="49" customFormat="1" ht="15" customHeight="1" x14ac:dyDescent="0.2">
      <c r="B364" s="51">
        <f>ROW(B347)</f>
        <v>347</v>
      </c>
      <c r="C364" s="110">
        <f t="shared" si="1795"/>
        <v>348</v>
      </c>
      <c r="D364" s="110">
        <f t="shared" si="1795"/>
        <v>349</v>
      </c>
      <c r="E364" s="110">
        <f t="shared" si="1795"/>
        <v>350</v>
      </c>
      <c r="F364" s="110">
        <f t="shared" si="1795"/>
        <v>351</v>
      </c>
      <c r="G364" s="110">
        <f t="shared" si="1795"/>
        <v>352</v>
      </c>
      <c r="H364" s="101"/>
      <c r="BF364" s="218" t="s">
        <v>205</v>
      </c>
      <c r="BG364" s="218"/>
      <c r="BH364" s="218" t="str">
        <f>IF('Project Event Tree Input'!$D$9&lt;&gt;"Seismic Hazard","No","Yes")</f>
        <v>No</v>
      </c>
      <c r="BI364" s="218"/>
      <c r="BJ364" s="218"/>
      <c r="CE364" s="33"/>
      <c r="CF364" s="33"/>
    </row>
    <row r="365" spans="2:84" s="49" customFormat="1" ht="15" customHeight="1" x14ac:dyDescent="0.2">
      <c r="B365" s="51" t="s">
        <v>99</v>
      </c>
      <c r="C365" s="51" t="s">
        <v>198</v>
      </c>
      <c r="D365" s="51" t="s">
        <v>199</v>
      </c>
      <c r="E365" s="51" t="s">
        <v>200</v>
      </c>
      <c r="F365" s="51" t="s">
        <v>201</v>
      </c>
      <c r="G365" s="51" t="s">
        <v>202</v>
      </c>
      <c r="H365" s="51" t="s">
        <v>100</v>
      </c>
      <c r="I365" s="51" t="s">
        <v>101</v>
      </c>
      <c r="J365" s="51" t="s">
        <v>102</v>
      </c>
      <c r="K365" s="51" t="s">
        <v>103</v>
      </c>
      <c r="L365" s="51" t="s">
        <v>104</v>
      </c>
      <c r="M365" s="51" t="s">
        <v>105</v>
      </c>
      <c r="N365" s="51" t="s">
        <v>106</v>
      </c>
      <c r="O365" s="51" t="s">
        <v>107</v>
      </c>
      <c r="P365" s="51" t="s">
        <v>108</v>
      </c>
      <c r="Q365" s="51" t="s">
        <v>109</v>
      </c>
      <c r="R365" s="51" t="s">
        <v>110</v>
      </c>
      <c r="S365" s="51" t="s">
        <v>111</v>
      </c>
      <c r="T365" s="51" t="s">
        <v>112</v>
      </c>
      <c r="U365" s="51" t="s">
        <v>113</v>
      </c>
      <c r="V365" s="51" t="s">
        <v>114</v>
      </c>
      <c r="W365" s="51" t="s">
        <v>115</v>
      </c>
      <c r="X365" s="51" t="s">
        <v>251</v>
      </c>
      <c r="Y365" s="51" t="s">
        <v>252</v>
      </c>
      <c r="Z365" s="51" t="s">
        <v>253</v>
      </c>
      <c r="AA365" s="51" t="s">
        <v>254</v>
      </c>
      <c r="AB365" s="51" t="s">
        <v>255</v>
      </c>
      <c r="AC365" s="51" t="s">
        <v>256</v>
      </c>
      <c r="AD365" s="51" t="s">
        <v>257</v>
      </c>
      <c r="AE365" s="51" t="s">
        <v>258</v>
      </c>
      <c r="AF365" s="51" t="s">
        <v>259</v>
      </c>
      <c r="AG365" s="51" t="s">
        <v>260</v>
      </c>
      <c r="AH365" s="51" t="s">
        <v>261</v>
      </c>
      <c r="AI365" s="51" t="s">
        <v>262</v>
      </c>
      <c r="AJ365" s="51" t="s">
        <v>263</v>
      </c>
      <c r="AK365" s="51" t="s">
        <v>264</v>
      </c>
      <c r="AL365" s="51" t="s">
        <v>265</v>
      </c>
      <c r="AM365" s="51" t="s">
        <v>266</v>
      </c>
      <c r="AN365" s="51" t="s">
        <v>267</v>
      </c>
      <c r="AO365" s="51" t="s">
        <v>268</v>
      </c>
      <c r="AP365" s="51" t="s">
        <v>269</v>
      </c>
      <c r="AQ365" s="51" t="s">
        <v>270</v>
      </c>
      <c r="AR365" s="51" t="s">
        <v>271</v>
      </c>
      <c r="AS365" s="51" t="s">
        <v>272</v>
      </c>
      <c r="AT365" s="51" t="s">
        <v>273</v>
      </c>
      <c r="AU365" s="51" t="s">
        <v>274</v>
      </c>
      <c r="AV365" s="51" t="s">
        <v>275</v>
      </c>
      <c r="AW365" s="51" t="s">
        <v>276</v>
      </c>
      <c r="AX365" s="51" t="s">
        <v>277</v>
      </c>
      <c r="AY365" s="51" t="s">
        <v>278</v>
      </c>
      <c r="AZ365" s="51" t="s">
        <v>279</v>
      </c>
      <c r="BA365" s="51" t="s">
        <v>280</v>
      </c>
      <c r="BB365" s="51" t="s">
        <v>281</v>
      </c>
      <c r="BC365" s="51" t="s">
        <v>282</v>
      </c>
      <c r="BD365" s="51" t="s">
        <v>283</v>
      </c>
      <c r="CE365" s="33"/>
      <c r="CF365" s="33"/>
    </row>
    <row r="366" spans="2:84" s="49" customFormat="1" ht="15" customHeight="1" x14ac:dyDescent="0.2">
      <c r="CE366" s="33"/>
      <c r="CF366" s="33"/>
    </row>
    <row r="367" spans="2:84" s="49" customFormat="1" ht="15" customHeight="1" x14ac:dyDescent="0.2">
      <c r="B367" s="50" t="s">
        <v>117</v>
      </c>
      <c r="CE367" s="33"/>
      <c r="CF367" s="33"/>
    </row>
    <row r="368" spans="2:84" s="49" customFormat="1" ht="15" customHeight="1" x14ac:dyDescent="0.2">
      <c r="CE368" s="33"/>
      <c r="CF368" s="33"/>
    </row>
    <row r="369" spans="2:80" ht="15" customHeight="1" x14ac:dyDescent="0.2">
      <c r="B369" s="219" t="s">
        <v>119</v>
      </c>
      <c r="C369" s="219"/>
      <c r="D369" s="219"/>
      <c r="E369" s="219"/>
      <c r="F369" s="219"/>
      <c r="G369" s="219"/>
      <c r="H369" s="219"/>
      <c r="I369" s="219"/>
      <c r="J369" s="219"/>
      <c r="K369" s="219"/>
      <c r="L369" s="219"/>
      <c r="M369" s="219"/>
      <c r="N369" s="219"/>
      <c r="O369" s="219"/>
      <c r="P369" s="219"/>
      <c r="Q369" s="219"/>
      <c r="R369" s="219"/>
      <c r="S369" s="219"/>
      <c r="T369" s="219"/>
      <c r="U369" s="51">
        <v>10</v>
      </c>
      <c r="V369" s="51">
        <f>U369+5</f>
        <v>15</v>
      </c>
      <c r="W369" s="51">
        <f t="shared" ref="W369:AE369" si="1796">V369+5</f>
        <v>20</v>
      </c>
      <c r="X369" s="51">
        <f t="shared" si="1796"/>
        <v>25</v>
      </c>
      <c r="Y369" s="51">
        <f t="shared" si="1796"/>
        <v>30</v>
      </c>
      <c r="Z369" s="51">
        <f t="shared" si="1796"/>
        <v>35</v>
      </c>
      <c r="AA369" s="51">
        <f t="shared" si="1796"/>
        <v>40</v>
      </c>
      <c r="AB369" s="51">
        <f t="shared" si="1796"/>
        <v>45</v>
      </c>
      <c r="AC369" s="51">
        <f t="shared" si="1796"/>
        <v>50</v>
      </c>
      <c r="AD369" s="51">
        <f t="shared" si="1796"/>
        <v>55</v>
      </c>
      <c r="AE369" s="51">
        <f t="shared" si="1796"/>
        <v>60</v>
      </c>
      <c r="AF369" s="51">
        <f t="shared" ref="AF369" si="1797">AE369+5</f>
        <v>65</v>
      </c>
      <c r="AG369" s="51">
        <f t="shared" ref="AG369" si="1798">AF369+5</f>
        <v>70</v>
      </c>
      <c r="AH369" s="51">
        <f t="shared" ref="AH369" si="1799">AG369+5</f>
        <v>75</v>
      </c>
      <c r="AI369" s="51">
        <f t="shared" ref="AI369" si="1800">AH369+5</f>
        <v>80</v>
      </c>
      <c r="AJ369" s="51">
        <f t="shared" ref="AJ369" si="1801">AI369+5</f>
        <v>85</v>
      </c>
      <c r="AK369" s="51">
        <f t="shared" ref="AK369" si="1802">AJ369+5</f>
        <v>90</v>
      </c>
      <c r="AL369" s="51">
        <f t="shared" ref="AL369" si="1803">AK369+5</f>
        <v>95</v>
      </c>
      <c r="AM369" s="51">
        <f t="shared" ref="AM369" si="1804">AL369+5</f>
        <v>100</v>
      </c>
      <c r="AN369" s="51">
        <f t="shared" ref="AN369" si="1805">AM369+5</f>
        <v>105</v>
      </c>
      <c r="AO369" s="51">
        <f t="shared" ref="AO369" si="1806">AN369+5</f>
        <v>110</v>
      </c>
      <c r="AP369" s="51">
        <f t="shared" ref="AP369" si="1807">AO369+5</f>
        <v>115</v>
      </c>
      <c r="AQ369" s="51">
        <f t="shared" ref="AQ369" si="1808">AP369+5</f>
        <v>120</v>
      </c>
      <c r="AR369" s="51">
        <f t="shared" ref="AR369" si="1809">AQ369+5</f>
        <v>125</v>
      </c>
      <c r="AS369" s="51">
        <f t="shared" ref="AS369" si="1810">AR369+5</f>
        <v>130</v>
      </c>
      <c r="AT369" s="51">
        <f t="shared" ref="AT369" si="1811">AS369+5</f>
        <v>135</v>
      </c>
      <c r="AU369" s="51">
        <f t="shared" ref="AU369" si="1812">AT369+5</f>
        <v>140</v>
      </c>
      <c r="AV369" s="51">
        <f t="shared" ref="AV369" si="1813">AU369+5</f>
        <v>145</v>
      </c>
      <c r="AW369" s="51">
        <f t="shared" ref="AW369" si="1814">AV369+5</f>
        <v>150</v>
      </c>
      <c r="AX369" s="51">
        <f t="shared" ref="AX369" si="1815">AW369+5</f>
        <v>155</v>
      </c>
      <c r="AY369" s="51">
        <f t="shared" ref="AY369" si="1816">AX369+5</f>
        <v>160</v>
      </c>
      <c r="AZ369" s="51">
        <f t="shared" ref="AZ369" si="1817">AY369+5</f>
        <v>165</v>
      </c>
      <c r="BA369" s="51">
        <f t="shared" ref="BA369" si="1818">AZ369+5</f>
        <v>170</v>
      </c>
      <c r="BB369" s="51">
        <f t="shared" ref="BB369" si="1819">BA369+5</f>
        <v>175</v>
      </c>
      <c r="BC369" s="51">
        <f t="shared" ref="BC369" si="1820">BB369+5</f>
        <v>180</v>
      </c>
      <c r="BD369" s="51">
        <f t="shared" ref="BD369" si="1821">BC369+5</f>
        <v>185</v>
      </c>
      <c r="BE369" s="51">
        <f t="shared" ref="BE369" si="1822">BD369+5</f>
        <v>190</v>
      </c>
      <c r="BF369" s="51">
        <f t="shared" ref="BF369" si="1823">BE369+5</f>
        <v>195</v>
      </c>
      <c r="BG369" s="51">
        <f t="shared" ref="BG369" si="1824">BF369+5</f>
        <v>200</v>
      </c>
      <c r="BH369" s="51">
        <f t="shared" ref="BH369" si="1825">BG369+5</f>
        <v>205</v>
      </c>
      <c r="BI369" s="51">
        <f t="shared" ref="BI369" si="1826">BH369+5</f>
        <v>210</v>
      </c>
      <c r="BJ369" s="51">
        <f t="shared" ref="BJ369" si="1827">BI369+5</f>
        <v>215</v>
      </c>
      <c r="BK369" s="51">
        <f t="shared" ref="BK369" si="1828">BJ369+5</f>
        <v>220</v>
      </c>
      <c r="BL369" s="51">
        <f t="shared" ref="BL369" si="1829">BK369+5</f>
        <v>225</v>
      </c>
      <c r="BM369" s="51">
        <f t="shared" ref="BM369" si="1830">BL369+5</f>
        <v>230</v>
      </c>
      <c r="BN369" s="51">
        <f t="shared" ref="BN369" si="1831">BM369+5</f>
        <v>235</v>
      </c>
      <c r="BO369" s="51">
        <f t="shared" ref="BO369" si="1832">BN369+5</f>
        <v>240</v>
      </c>
      <c r="BP369" s="51">
        <f t="shared" ref="BP369" si="1833">BO369+5</f>
        <v>245</v>
      </c>
      <c r="BQ369" s="51">
        <f t="shared" ref="BQ369" si="1834">BP369+5</f>
        <v>250</v>
      </c>
      <c r="BR369" s="51">
        <f t="shared" ref="BR369" si="1835">BQ369+5</f>
        <v>255</v>
      </c>
      <c r="BS369" s="51">
        <f t="shared" ref="BS369" si="1836">BR369+5</f>
        <v>260</v>
      </c>
      <c r="BT369" s="51">
        <f t="shared" ref="BT369" si="1837">BS369+5</f>
        <v>265</v>
      </c>
      <c r="BU369" s="51">
        <f t="shared" ref="BU369" si="1838">BT369+5</f>
        <v>270</v>
      </c>
      <c r="BV369" s="51">
        <f t="shared" ref="BV369" si="1839">BU369+5</f>
        <v>275</v>
      </c>
      <c r="BW369" s="51">
        <f t="shared" ref="BW369" si="1840">BV369+5</f>
        <v>280</v>
      </c>
      <c r="BX369" s="49"/>
      <c r="BY369" s="49"/>
      <c r="BZ369" s="49"/>
      <c r="CA369" s="49"/>
      <c r="CB369" s="49"/>
    </row>
    <row r="370" spans="2:80" ht="15" customHeight="1" x14ac:dyDescent="0.2">
      <c r="B370" s="214" t="s">
        <v>98</v>
      </c>
      <c r="C370" s="214"/>
      <c r="D370" s="214"/>
      <c r="E370" s="218" t="s">
        <v>147</v>
      </c>
      <c r="F370" s="218"/>
      <c r="G370" s="218"/>
      <c r="H370" s="218"/>
      <c r="I370" s="218"/>
      <c r="J370" s="218"/>
      <c r="K370" s="218"/>
      <c r="L370" s="218"/>
      <c r="M370" s="218" t="s">
        <v>97</v>
      </c>
      <c r="N370" s="218"/>
      <c r="O370" s="218"/>
      <c r="P370" s="218"/>
      <c r="Q370" s="218" t="s">
        <v>118</v>
      </c>
      <c r="R370" s="218"/>
      <c r="S370" s="218"/>
      <c r="T370" s="218"/>
      <c r="U370" s="52">
        <v>1</v>
      </c>
      <c r="V370" s="52">
        <v>2</v>
      </c>
      <c r="W370" s="52">
        <v>3</v>
      </c>
      <c r="X370" s="52">
        <v>4</v>
      </c>
      <c r="Y370" s="52">
        <v>5</v>
      </c>
      <c r="Z370" s="52">
        <v>6</v>
      </c>
      <c r="AA370" s="52">
        <v>7</v>
      </c>
      <c r="AB370" s="52">
        <v>8</v>
      </c>
      <c r="AC370" s="52">
        <v>9</v>
      </c>
      <c r="AD370" s="52">
        <v>10</v>
      </c>
      <c r="AE370" s="52">
        <v>11</v>
      </c>
      <c r="AF370" s="52">
        <v>12</v>
      </c>
      <c r="AG370" s="52">
        <v>13</v>
      </c>
      <c r="AH370" s="52">
        <v>14</v>
      </c>
      <c r="AI370" s="52">
        <v>15</v>
      </c>
      <c r="AJ370" s="52">
        <v>16</v>
      </c>
      <c r="AK370" s="52">
        <v>17</v>
      </c>
      <c r="AL370" s="52">
        <v>18</v>
      </c>
      <c r="AM370" s="52">
        <v>19</v>
      </c>
      <c r="AN370" s="52">
        <v>20</v>
      </c>
      <c r="AO370" s="52">
        <v>21</v>
      </c>
      <c r="AP370" s="52">
        <v>22</v>
      </c>
      <c r="AQ370" s="52">
        <v>23</v>
      </c>
      <c r="AR370" s="52">
        <v>24</v>
      </c>
      <c r="AS370" s="52">
        <v>25</v>
      </c>
      <c r="AT370" s="52">
        <v>26</v>
      </c>
      <c r="AU370" s="52">
        <v>27</v>
      </c>
      <c r="AV370" s="52">
        <v>28</v>
      </c>
      <c r="AW370" s="52">
        <v>29</v>
      </c>
      <c r="AX370" s="52">
        <v>30</v>
      </c>
      <c r="AY370" s="52">
        <v>31</v>
      </c>
      <c r="AZ370" s="52">
        <v>32</v>
      </c>
      <c r="BA370" s="52">
        <v>33</v>
      </c>
      <c r="BB370" s="52">
        <v>34</v>
      </c>
      <c r="BC370" s="52">
        <v>35</v>
      </c>
      <c r="BD370" s="52">
        <v>36</v>
      </c>
      <c r="BE370" s="52">
        <v>37</v>
      </c>
      <c r="BF370" s="52">
        <v>38</v>
      </c>
      <c r="BG370" s="52">
        <v>39</v>
      </c>
      <c r="BH370" s="52">
        <v>40</v>
      </c>
      <c r="BI370" s="52">
        <v>41</v>
      </c>
      <c r="BJ370" s="52">
        <v>42</v>
      </c>
      <c r="BK370" s="52">
        <v>43</v>
      </c>
      <c r="BL370" s="52">
        <v>44</v>
      </c>
      <c r="BM370" s="52">
        <v>45</v>
      </c>
      <c r="BN370" s="52">
        <v>46</v>
      </c>
      <c r="BO370" s="52">
        <v>47</v>
      </c>
      <c r="BP370" s="52">
        <v>48</v>
      </c>
      <c r="BQ370" s="52">
        <v>49</v>
      </c>
      <c r="BR370" s="52">
        <v>50</v>
      </c>
      <c r="BS370" s="52">
        <v>51</v>
      </c>
      <c r="BT370" s="52">
        <v>52</v>
      </c>
      <c r="BU370" s="52">
        <v>53</v>
      </c>
      <c r="BV370" s="52">
        <v>54</v>
      </c>
      <c r="BW370" s="52">
        <v>55</v>
      </c>
      <c r="BX370" s="53"/>
      <c r="BY370" s="53"/>
      <c r="BZ370" s="53"/>
      <c r="CA370" s="53"/>
      <c r="CB370" s="53"/>
    </row>
    <row r="371" spans="2:80" ht="15" customHeight="1" x14ac:dyDescent="0.2">
      <c r="B371" s="214">
        <v>1</v>
      </c>
      <c r="C371" s="214"/>
      <c r="D371" s="214"/>
      <c r="E371" s="218" t="str">
        <f>$E$325</f>
        <v>Hazard</v>
      </c>
      <c r="F371" s="218"/>
      <c r="G371" s="218"/>
      <c r="H371" s="218"/>
      <c r="I371" s="218"/>
      <c r="J371" s="218"/>
      <c r="K371" s="218"/>
      <c r="L371" s="218"/>
      <c r="M371" s="220">
        <f>$M$325</f>
        <v>1</v>
      </c>
      <c r="N371" s="220"/>
      <c r="O371" s="220"/>
      <c r="P371" s="220"/>
      <c r="Q371" s="220">
        <f>$Q$325</f>
        <v>1</v>
      </c>
      <c r="R371" s="220"/>
      <c r="S371" s="220"/>
      <c r="T371" s="220"/>
      <c r="U371" s="51" t="str">
        <f>IF($M371=1,"",IF(ISNUMBER(U336),"-",""))</f>
        <v/>
      </c>
      <c r="V371" s="51" t="str">
        <f t="shared" ref="V371:BW371" si="1841">IF($M371=1,"",IF(ISNUMBER(V336),"-",""))</f>
        <v/>
      </c>
      <c r="W371" s="51" t="str">
        <f t="shared" si="1841"/>
        <v/>
      </c>
      <c r="X371" s="51" t="str">
        <f t="shared" si="1841"/>
        <v/>
      </c>
      <c r="Y371" s="51" t="str">
        <f t="shared" si="1841"/>
        <v/>
      </c>
      <c r="Z371" s="51" t="str">
        <f t="shared" si="1841"/>
        <v/>
      </c>
      <c r="AA371" s="51" t="str">
        <f t="shared" si="1841"/>
        <v/>
      </c>
      <c r="AB371" s="51" t="str">
        <f t="shared" si="1841"/>
        <v/>
      </c>
      <c r="AC371" s="51" t="str">
        <f t="shared" si="1841"/>
        <v/>
      </c>
      <c r="AD371" s="51" t="str">
        <f t="shared" si="1841"/>
        <v/>
      </c>
      <c r="AE371" s="51" t="str">
        <f t="shared" si="1841"/>
        <v/>
      </c>
      <c r="AF371" s="51" t="str">
        <f t="shared" si="1841"/>
        <v/>
      </c>
      <c r="AG371" s="51" t="str">
        <f t="shared" si="1841"/>
        <v/>
      </c>
      <c r="AH371" s="51" t="str">
        <f t="shared" si="1841"/>
        <v/>
      </c>
      <c r="AI371" s="51" t="str">
        <f t="shared" si="1841"/>
        <v/>
      </c>
      <c r="AJ371" s="51" t="str">
        <f t="shared" si="1841"/>
        <v/>
      </c>
      <c r="AK371" s="51" t="str">
        <f t="shared" si="1841"/>
        <v/>
      </c>
      <c r="AL371" s="51" t="str">
        <f t="shared" si="1841"/>
        <v/>
      </c>
      <c r="AM371" s="51" t="str">
        <f t="shared" si="1841"/>
        <v/>
      </c>
      <c r="AN371" s="51" t="str">
        <f t="shared" si="1841"/>
        <v/>
      </c>
      <c r="AO371" s="51" t="str">
        <f t="shared" si="1841"/>
        <v/>
      </c>
      <c r="AP371" s="51" t="str">
        <f t="shared" si="1841"/>
        <v/>
      </c>
      <c r="AQ371" s="51" t="str">
        <f t="shared" si="1841"/>
        <v/>
      </c>
      <c r="AR371" s="51" t="str">
        <f t="shared" si="1841"/>
        <v/>
      </c>
      <c r="AS371" s="51" t="str">
        <f t="shared" si="1841"/>
        <v/>
      </c>
      <c r="AT371" s="51" t="str">
        <f t="shared" si="1841"/>
        <v/>
      </c>
      <c r="AU371" s="51" t="str">
        <f t="shared" si="1841"/>
        <v/>
      </c>
      <c r="AV371" s="51" t="str">
        <f t="shared" si="1841"/>
        <v/>
      </c>
      <c r="AW371" s="51" t="str">
        <f t="shared" si="1841"/>
        <v/>
      </c>
      <c r="AX371" s="51" t="str">
        <f t="shared" si="1841"/>
        <v/>
      </c>
      <c r="AY371" s="51" t="str">
        <f t="shared" si="1841"/>
        <v/>
      </c>
      <c r="AZ371" s="51" t="str">
        <f t="shared" si="1841"/>
        <v/>
      </c>
      <c r="BA371" s="51" t="str">
        <f t="shared" si="1841"/>
        <v/>
      </c>
      <c r="BB371" s="51" t="str">
        <f t="shared" si="1841"/>
        <v/>
      </c>
      <c r="BC371" s="51" t="str">
        <f t="shared" si="1841"/>
        <v/>
      </c>
      <c r="BD371" s="51" t="str">
        <f t="shared" si="1841"/>
        <v/>
      </c>
      <c r="BE371" s="51" t="str">
        <f t="shared" si="1841"/>
        <v/>
      </c>
      <c r="BF371" s="51" t="str">
        <f t="shared" si="1841"/>
        <v/>
      </c>
      <c r="BG371" s="51" t="str">
        <f t="shared" si="1841"/>
        <v/>
      </c>
      <c r="BH371" s="51" t="str">
        <f t="shared" si="1841"/>
        <v/>
      </c>
      <c r="BI371" s="51" t="str">
        <f t="shared" si="1841"/>
        <v/>
      </c>
      <c r="BJ371" s="51" t="str">
        <f t="shared" si="1841"/>
        <v/>
      </c>
      <c r="BK371" s="51" t="str">
        <f t="shared" si="1841"/>
        <v/>
      </c>
      <c r="BL371" s="51" t="str">
        <f t="shared" si="1841"/>
        <v/>
      </c>
      <c r="BM371" s="51" t="str">
        <f t="shared" si="1841"/>
        <v/>
      </c>
      <c r="BN371" s="51" t="str">
        <f t="shared" si="1841"/>
        <v/>
      </c>
      <c r="BO371" s="51" t="str">
        <f t="shared" si="1841"/>
        <v/>
      </c>
      <c r="BP371" s="51" t="str">
        <f t="shared" si="1841"/>
        <v/>
      </c>
      <c r="BQ371" s="51" t="str">
        <f t="shared" si="1841"/>
        <v/>
      </c>
      <c r="BR371" s="51" t="str">
        <f t="shared" si="1841"/>
        <v/>
      </c>
      <c r="BS371" s="51" t="str">
        <f t="shared" si="1841"/>
        <v/>
      </c>
      <c r="BT371" s="51" t="str">
        <f t="shared" si="1841"/>
        <v/>
      </c>
      <c r="BU371" s="51" t="str">
        <f t="shared" si="1841"/>
        <v/>
      </c>
      <c r="BV371" s="51" t="str">
        <f t="shared" si="1841"/>
        <v/>
      </c>
      <c r="BW371" s="51" t="str">
        <f t="shared" si="1841"/>
        <v/>
      </c>
      <c r="BX371" s="49"/>
      <c r="BY371" s="49"/>
      <c r="BZ371" s="49"/>
      <c r="CA371" s="49"/>
      <c r="CB371" s="49"/>
    </row>
    <row r="372" spans="2:80" ht="15" customHeight="1" x14ac:dyDescent="0.2">
      <c r="B372" s="214">
        <v>2</v>
      </c>
      <c r="C372" s="214"/>
      <c r="D372" s="214"/>
      <c r="E372" s="218" t="str">
        <f>$E$326</f>
        <v>Operational Performance</v>
      </c>
      <c r="F372" s="218"/>
      <c r="G372" s="218"/>
      <c r="H372" s="218"/>
      <c r="I372" s="218"/>
      <c r="J372" s="218"/>
      <c r="K372" s="218"/>
      <c r="L372" s="218"/>
      <c r="M372" s="220">
        <f>$M$326</f>
        <v>3</v>
      </c>
      <c r="N372" s="220"/>
      <c r="O372" s="220"/>
      <c r="P372" s="220"/>
      <c r="Q372" s="220">
        <f>$Q$326</f>
        <v>3</v>
      </c>
      <c r="R372" s="220"/>
      <c r="S372" s="220"/>
      <c r="T372" s="220"/>
      <c r="U372" s="51" t="str">
        <f t="shared" ref="U372:U376" si="1842">IF($M372=1,"",IF(ISNUMBER(U337),"-",""))</f>
        <v>-</v>
      </c>
      <c r="V372" s="51" t="str">
        <f>IF($M372=1,"",IF(AND(ISNUMBER(V337),ISNUMBER(V336)),"-",IF(ISNUMBER(V337),"+","")))</f>
        <v/>
      </c>
      <c r="W372" s="51" t="str">
        <f t="shared" ref="W372:BW372" si="1843">IF($M372=1,"",IF(AND(ISNUMBER(W337),ISNUMBER(W336)),"-",IF(ISNUMBER(W337),"+","")))</f>
        <v/>
      </c>
      <c r="X372" s="51" t="str">
        <f t="shared" si="1843"/>
        <v>+</v>
      </c>
      <c r="Y372" s="51" t="str">
        <f t="shared" si="1843"/>
        <v/>
      </c>
      <c r="Z372" s="51" t="str">
        <f t="shared" si="1843"/>
        <v/>
      </c>
      <c r="AA372" s="51" t="str">
        <f t="shared" si="1843"/>
        <v>+</v>
      </c>
      <c r="AB372" s="51" t="str">
        <f t="shared" si="1843"/>
        <v/>
      </c>
      <c r="AC372" s="51" t="str">
        <f t="shared" si="1843"/>
        <v/>
      </c>
      <c r="AD372" s="51" t="str">
        <f t="shared" si="1843"/>
        <v/>
      </c>
      <c r="AE372" s="51" t="str">
        <f t="shared" si="1843"/>
        <v/>
      </c>
      <c r="AF372" s="51" t="str">
        <f t="shared" si="1843"/>
        <v/>
      </c>
      <c r="AG372" s="51" t="str">
        <f t="shared" si="1843"/>
        <v/>
      </c>
      <c r="AH372" s="51" t="str">
        <f t="shared" si="1843"/>
        <v/>
      </c>
      <c r="AI372" s="51" t="str">
        <f t="shared" si="1843"/>
        <v/>
      </c>
      <c r="AJ372" s="51" t="str">
        <f t="shared" si="1843"/>
        <v/>
      </c>
      <c r="AK372" s="51" t="str">
        <f t="shared" si="1843"/>
        <v/>
      </c>
      <c r="AL372" s="51" t="str">
        <f t="shared" si="1843"/>
        <v/>
      </c>
      <c r="AM372" s="51" t="str">
        <f t="shared" si="1843"/>
        <v/>
      </c>
      <c r="AN372" s="51" t="str">
        <f t="shared" si="1843"/>
        <v/>
      </c>
      <c r="AO372" s="51" t="str">
        <f t="shared" si="1843"/>
        <v/>
      </c>
      <c r="AP372" s="51" t="str">
        <f t="shared" si="1843"/>
        <v/>
      </c>
      <c r="AQ372" s="51" t="str">
        <f t="shared" si="1843"/>
        <v/>
      </c>
      <c r="AR372" s="51" t="str">
        <f t="shared" si="1843"/>
        <v/>
      </c>
      <c r="AS372" s="51" t="str">
        <f t="shared" si="1843"/>
        <v/>
      </c>
      <c r="AT372" s="51" t="str">
        <f t="shared" si="1843"/>
        <v/>
      </c>
      <c r="AU372" s="51" t="str">
        <f t="shared" si="1843"/>
        <v/>
      </c>
      <c r="AV372" s="51" t="str">
        <f t="shared" si="1843"/>
        <v/>
      </c>
      <c r="AW372" s="51" t="str">
        <f t="shared" si="1843"/>
        <v/>
      </c>
      <c r="AX372" s="51" t="str">
        <f t="shared" si="1843"/>
        <v/>
      </c>
      <c r="AY372" s="51" t="str">
        <f t="shared" si="1843"/>
        <v/>
      </c>
      <c r="AZ372" s="51" t="str">
        <f t="shared" si="1843"/>
        <v/>
      </c>
      <c r="BA372" s="51" t="str">
        <f t="shared" si="1843"/>
        <v/>
      </c>
      <c r="BB372" s="51" t="str">
        <f t="shared" si="1843"/>
        <v/>
      </c>
      <c r="BC372" s="51" t="str">
        <f t="shared" si="1843"/>
        <v/>
      </c>
      <c r="BD372" s="51" t="str">
        <f t="shared" si="1843"/>
        <v/>
      </c>
      <c r="BE372" s="51" t="str">
        <f t="shared" si="1843"/>
        <v/>
      </c>
      <c r="BF372" s="51" t="str">
        <f t="shared" si="1843"/>
        <v/>
      </c>
      <c r="BG372" s="51" t="str">
        <f t="shared" si="1843"/>
        <v/>
      </c>
      <c r="BH372" s="51" t="str">
        <f t="shared" si="1843"/>
        <v/>
      </c>
      <c r="BI372" s="51" t="str">
        <f t="shared" si="1843"/>
        <v/>
      </c>
      <c r="BJ372" s="51" t="str">
        <f t="shared" si="1843"/>
        <v/>
      </c>
      <c r="BK372" s="51" t="str">
        <f t="shared" si="1843"/>
        <v/>
      </c>
      <c r="BL372" s="51" t="str">
        <f t="shared" si="1843"/>
        <v/>
      </c>
      <c r="BM372" s="51" t="str">
        <f t="shared" si="1843"/>
        <v/>
      </c>
      <c r="BN372" s="51" t="str">
        <f t="shared" si="1843"/>
        <v/>
      </c>
      <c r="BO372" s="51" t="str">
        <f t="shared" si="1843"/>
        <v/>
      </c>
      <c r="BP372" s="51" t="str">
        <f t="shared" si="1843"/>
        <v/>
      </c>
      <c r="BQ372" s="51" t="str">
        <f t="shared" si="1843"/>
        <v/>
      </c>
      <c r="BR372" s="51" t="str">
        <f t="shared" si="1843"/>
        <v/>
      </c>
      <c r="BS372" s="51" t="str">
        <f t="shared" si="1843"/>
        <v/>
      </c>
      <c r="BT372" s="51" t="str">
        <f t="shared" si="1843"/>
        <v/>
      </c>
      <c r="BU372" s="51" t="str">
        <f t="shared" si="1843"/>
        <v/>
      </c>
      <c r="BV372" s="51" t="str">
        <f t="shared" si="1843"/>
        <v/>
      </c>
      <c r="BW372" s="51" t="str">
        <f t="shared" si="1843"/>
        <v/>
      </c>
      <c r="BX372" s="49"/>
      <c r="BY372" s="49"/>
      <c r="BZ372" s="49"/>
      <c r="CA372" s="49"/>
      <c r="CB372" s="49"/>
    </row>
    <row r="373" spans="2:80" ht="15" customHeight="1" x14ac:dyDescent="0.2">
      <c r="B373" s="214">
        <v>3</v>
      </c>
      <c r="C373" s="214"/>
      <c r="D373" s="214"/>
      <c r="E373" s="218" t="str">
        <f>$E$327</f>
        <v>Transform</v>
      </c>
      <c r="F373" s="218"/>
      <c r="G373" s="218"/>
      <c r="H373" s="218"/>
      <c r="I373" s="218"/>
      <c r="J373" s="218"/>
      <c r="K373" s="218"/>
      <c r="L373" s="218"/>
      <c r="M373" s="220">
        <f>$M$327</f>
        <v>3</v>
      </c>
      <c r="N373" s="220"/>
      <c r="O373" s="220"/>
      <c r="P373" s="220"/>
      <c r="Q373" s="220">
        <f>$Q$327</f>
        <v>9</v>
      </c>
      <c r="R373" s="220"/>
      <c r="S373" s="220"/>
      <c r="T373" s="220"/>
      <c r="U373" s="51" t="str">
        <f t="shared" si="1842"/>
        <v>-</v>
      </c>
      <c r="V373" s="51" t="str">
        <f t="shared" ref="V373:BW373" si="1844">IF($M373=1,"",IF(AND(ISNUMBER(V338),ISNUMBER(V337)),"-",IF(ISNUMBER(V338),"+","")))</f>
        <v>+</v>
      </c>
      <c r="W373" s="51" t="str">
        <f t="shared" si="1844"/>
        <v>+</v>
      </c>
      <c r="X373" s="51" t="str">
        <f t="shared" si="1844"/>
        <v/>
      </c>
      <c r="Y373" s="51" t="str">
        <f t="shared" si="1844"/>
        <v/>
      </c>
      <c r="Z373" s="51" t="str">
        <f t="shared" si="1844"/>
        <v/>
      </c>
      <c r="AA373" s="51" t="str">
        <f t="shared" si="1844"/>
        <v/>
      </c>
      <c r="AB373" s="51" t="str">
        <f t="shared" si="1844"/>
        <v/>
      </c>
      <c r="AC373" s="51" t="str">
        <f t="shared" si="1844"/>
        <v/>
      </c>
      <c r="AD373" s="51" t="str">
        <f t="shared" si="1844"/>
        <v/>
      </c>
      <c r="AE373" s="51" t="str">
        <f t="shared" si="1844"/>
        <v/>
      </c>
      <c r="AF373" s="51" t="str">
        <f t="shared" si="1844"/>
        <v/>
      </c>
      <c r="AG373" s="51" t="str">
        <f t="shared" si="1844"/>
        <v/>
      </c>
      <c r="AH373" s="51" t="str">
        <f t="shared" si="1844"/>
        <v/>
      </c>
      <c r="AI373" s="51" t="str">
        <f t="shared" si="1844"/>
        <v/>
      </c>
      <c r="AJ373" s="51" t="str">
        <f t="shared" si="1844"/>
        <v/>
      </c>
      <c r="AK373" s="51" t="str">
        <f t="shared" si="1844"/>
        <v/>
      </c>
      <c r="AL373" s="51" t="str">
        <f t="shared" si="1844"/>
        <v/>
      </c>
      <c r="AM373" s="51" t="str">
        <f t="shared" si="1844"/>
        <v/>
      </c>
      <c r="AN373" s="51" t="str">
        <f t="shared" si="1844"/>
        <v/>
      </c>
      <c r="AO373" s="51" t="str">
        <f t="shared" si="1844"/>
        <v/>
      </c>
      <c r="AP373" s="51" t="str">
        <f t="shared" si="1844"/>
        <v/>
      </c>
      <c r="AQ373" s="51" t="str">
        <f t="shared" si="1844"/>
        <v/>
      </c>
      <c r="AR373" s="51" t="str">
        <f t="shared" si="1844"/>
        <v/>
      </c>
      <c r="AS373" s="51" t="str">
        <f t="shared" si="1844"/>
        <v/>
      </c>
      <c r="AT373" s="51" t="str">
        <f t="shared" si="1844"/>
        <v/>
      </c>
      <c r="AU373" s="51" t="str">
        <f t="shared" si="1844"/>
        <v/>
      </c>
      <c r="AV373" s="51" t="str">
        <f t="shared" si="1844"/>
        <v/>
      </c>
      <c r="AW373" s="51" t="str">
        <f t="shared" si="1844"/>
        <v/>
      </c>
      <c r="AX373" s="51" t="str">
        <f t="shared" si="1844"/>
        <v/>
      </c>
      <c r="AY373" s="51" t="str">
        <f t="shared" si="1844"/>
        <v/>
      </c>
      <c r="AZ373" s="51" t="str">
        <f t="shared" si="1844"/>
        <v/>
      </c>
      <c r="BA373" s="51" t="str">
        <f t="shared" si="1844"/>
        <v/>
      </c>
      <c r="BB373" s="51" t="str">
        <f t="shared" si="1844"/>
        <v/>
      </c>
      <c r="BC373" s="51" t="str">
        <f t="shared" si="1844"/>
        <v/>
      </c>
      <c r="BD373" s="51" t="str">
        <f t="shared" si="1844"/>
        <v/>
      </c>
      <c r="BE373" s="51" t="str">
        <f t="shared" si="1844"/>
        <v/>
      </c>
      <c r="BF373" s="51" t="str">
        <f t="shared" si="1844"/>
        <v/>
      </c>
      <c r="BG373" s="51" t="str">
        <f t="shared" si="1844"/>
        <v/>
      </c>
      <c r="BH373" s="51" t="str">
        <f t="shared" si="1844"/>
        <v/>
      </c>
      <c r="BI373" s="51" t="str">
        <f t="shared" si="1844"/>
        <v/>
      </c>
      <c r="BJ373" s="51" t="str">
        <f t="shared" si="1844"/>
        <v/>
      </c>
      <c r="BK373" s="51" t="str">
        <f t="shared" si="1844"/>
        <v/>
      </c>
      <c r="BL373" s="51" t="str">
        <f t="shared" si="1844"/>
        <v/>
      </c>
      <c r="BM373" s="51" t="str">
        <f t="shared" si="1844"/>
        <v/>
      </c>
      <c r="BN373" s="51" t="str">
        <f t="shared" si="1844"/>
        <v/>
      </c>
      <c r="BO373" s="51" t="str">
        <f t="shared" si="1844"/>
        <v/>
      </c>
      <c r="BP373" s="51" t="str">
        <f t="shared" si="1844"/>
        <v/>
      </c>
      <c r="BQ373" s="51" t="str">
        <f t="shared" si="1844"/>
        <v/>
      </c>
      <c r="BR373" s="51" t="str">
        <f t="shared" si="1844"/>
        <v/>
      </c>
      <c r="BS373" s="51" t="str">
        <f t="shared" si="1844"/>
        <v/>
      </c>
      <c r="BT373" s="51" t="str">
        <f t="shared" si="1844"/>
        <v/>
      </c>
      <c r="BU373" s="51" t="str">
        <f t="shared" si="1844"/>
        <v/>
      </c>
      <c r="BV373" s="51" t="str">
        <f t="shared" si="1844"/>
        <v/>
      </c>
      <c r="BW373" s="51" t="str">
        <f t="shared" si="1844"/>
        <v/>
      </c>
      <c r="BX373" s="49"/>
      <c r="BY373" s="49"/>
      <c r="BZ373" s="49"/>
      <c r="CA373" s="49"/>
      <c r="CB373" s="49"/>
    </row>
    <row r="374" spans="2:80" ht="15" customHeight="1" x14ac:dyDescent="0.2">
      <c r="B374" s="214">
        <v>4</v>
      </c>
      <c r="C374" s="214"/>
      <c r="D374" s="214"/>
      <c r="E374" s="218" t="str">
        <f>$E$328</f>
        <v>System Response</v>
      </c>
      <c r="F374" s="218"/>
      <c r="G374" s="218"/>
      <c r="H374" s="218"/>
      <c r="I374" s="218"/>
      <c r="J374" s="218"/>
      <c r="K374" s="218"/>
      <c r="L374" s="218"/>
      <c r="M374" s="220">
        <f>$M$328</f>
        <v>1</v>
      </c>
      <c r="N374" s="220"/>
      <c r="O374" s="220"/>
      <c r="P374" s="220"/>
      <c r="Q374" s="220">
        <f>$Q$328</f>
        <v>9</v>
      </c>
      <c r="R374" s="220"/>
      <c r="S374" s="220"/>
      <c r="T374" s="220"/>
      <c r="U374" s="51" t="str">
        <f t="shared" si="1842"/>
        <v/>
      </c>
      <c r="V374" s="51" t="str">
        <f t="shared" ref="V374:BW374" si="1845">IF($M374=1,"",IF(AND(ISNUMBER(V339),ISNUMBER(V338)),"-",IF(ISNUMBER(V339),"+","")))</f>
        <v/>
      </c>
      <c r="W374" s="51" t="str">
        <f t="shared" si="1845"/>
        <v/>
      </c>
      <c r="X374" s="51" t="str">
        <f t="shared" si="1845"/>
        <v/>
      </c>
      <c r="Y374" s="51" t="str">
        <f t="shared" si="1845"/>
        <v/>
      </c>
      <c r="Z374" s="51" t="str">
        <f t="shared" si="1845"/>
        <v/>
      </c>
      <c r="AA374" s="51" t="str">
        <f t="shared" si="1845"/>
        <v/>
      </c>
      <c r="AB374" s="51" t="str">
        <f t="shared" si="1845"/>
        <v/>
      </c>
      <c r="AC374" s="51" t="str">
        <f t="shared" si="1845"/>
        <v/>
      </c>
      <c r="AD374" s="51" t="str">
        <f t="shared" si="1845"/>
        <v/>
      </c>
      <c r="AE374" s="51" t="str">
        <f t="shared" si="1845"/>
        <v/>
      </c>
      <c r="AF374" s="51" t="str">
        <f t="shared" si="1845"/>
        <v/>
      </c>
      <c r="AG374" s="51" t="str">
        <f t="shared" si="1845"/>
        <v/>
      </c>
      <c r="AH374" s="51" t="str">
        <f t="shared" si="1845"/>
        <v/>
      </c>
      <c r="AI374" s="51" t="str">
        <f t="shared" si="1845"/>
        <v/>
      </c>
      <c r="AJ374" s="51" t="str">
        <f t="shared" si="1845"/>
        <v/>
      </c>
      <c r="AK374" s="51" t="str">
        <f t="shared" si="1845"/>
        <v/>
      </c>
      <c r="AL374" s="51" t="str">
        <f t="shared" si="1845"/>
        <v/>
      </c>
      <c r="AM374" s="51" t="str">
        <f t="shared" si="1845"/>
        <v/>
      </c>
      <c r="AN374" s="51" t="str">
        <f t="shared" si="1845"/>
        <v/>
      </c>
      <c r="AO374" s="51" t="str">
        <f t="shared" si="1845"/>
        <v/>
      </c>
      <c r="AP374" s="51" t="str">
        <f t="shared" si="1845"/>
        <v/>
      </c>
      <c r="AQ374" s="51" t="str">
        <f t="shared" si="1845"/>
        <v/>
      </c>
      <c r="AR374" s="51" t="str">
        <f t="shared" si="1845"/>
        <v/>
      </c>
      <c r="AS374" s="51" t="str">
        <f t="shared" si="1845"/>
        <v/>
      </c>
      <c r="AT374" s="51" t="str">
        <f t="shared" si="1845"/>
        <v/>
      </c>
      <c r="AU374" s="51" t="str">
        <f t="shared" si="1845"/>
        <v/>
      </c>
      <c r="AV374" s="51" t="str">
        <f t="shared" si="1845"/>
        <v/>
      </c>
      <c r="AW374" s="51" t="str">
        <f t="shared" si="1845"/>
        <v/>
      </c>
      <c r="AX374" s="51" t="str">
        <f t="shared" si="1845"/>
        <v/>
      </c>
      <c r="AY374" s="51" t="str">
        <f t="shared" si="1845"/>
        <v/>
      </c>
      <c r="AZ374" s="51" t="str">
        <f t="shared" si="1845"/>
        <v/>
      </c>
      <c r="BA374" s="51" t="str">
        <f t="shared" si="1845"/>
        <v/>
      </c>
      <c r="BB374" s="51" t="str">
        <f t="shared" si="1845"/>
        <v/>
      </c>
      <c r="BC374" s="51" t="str">
        <f t="shared" si="1845"/>
        <v/>
      </c>
      <c r="BD374" s="51" t="str">
        <f t="shared" si="1845"/>
        <v/>
      </c>
      <c r="BE374" s="51" t="str">
        <f t="shared" si="1845"/>
        <v/>
      </c>
      <c r="BF374" s="51" t="str">
        <f t="shared" si="1845"/>
        <v/>
      </c>
      <c r="BG374" s="51" t="str">
        <f t="shared" si="1845"/>
        <v/>
      </c>
      <c r="BH374" s="51" t="str">
        <f t="shared" si="1845"/>
        <v/>
      </c>
      <c r="BI374" s="51" t="str">
        <f t="shared" si="1845"/>
        <v/>
      </c>
      <c r="BJ374" s="51" t="str">
        <f t="shared" si="1845"/>
        <v/>
      </c>
      <c r="BK374" s="51" t="str">
        <f t="shared" si="1845"/>
        <v/>
      </c>
      <c r="BL374" s="51" t="str">
        <f t="shared" si="1845"/>
        <v/>
      </c>
      <c r="BM374" s="51" t="str">
        <f t="shared" si="1845"/>
        <v/>
      </c>
      <c r="BN374" s="51" t="str">
        <f t="shared" si="1845"/>
        <v/>
      </c>
      <c r="BO374" s="51" t="str">
        <f t="shared" si="1845"/>
        <v/>
      </c>
      <c r="BP374" s="51" t="str">
        <f t="shared" si="1845"/>
        <v/>
      </c>
      <c r="BQ374" s="51" t="str">
        <f t="shared" si="1845"/>
        <v/>
      </c>
      <c r="BR374" s="51" t="str">
        <f t="shared" si="1845"/>
        <v/>
      </c>
      <c r="BS374" s="51" t="str">
        <f t="shared" si="1845"/>
        <v/>
      </c>
      <c r="BT374" s="51" t="str">
        <f t="shared" si="1845"/>
        <v/>
      </c>
      <c r="BU374" s="51" t="str">
        <f t="shared" si="1845"/>
        <v/>
      </c>
      <c r="BV374" s="51" t="str">
        <f t="shared" si="1845"/>
        <v/>
      </c>
      <c r="BW374" s="51" t="str">
        <f t="shared" si="1845"/>
        <v/>
      </c>
      <c r="BX374" s="49"/>
      <c r="BY374" s="49"/>
      <c r="BZ374" s="49"/>
      <c r="CA374" s="49"/>
      <c r="CB374" s="49"/>
    </row>
    <row r="375" spans="2:80" ht="15" customHeight="1" x14ac:dyDescent="0.2">
      <c r="B375" s="214">
        <v>5</v>
      </c>
      <c r="C375" s="214"/>
      <c r="D375" s="214"/>
      <c r="E375" s="218" t="str">
        <f>$E$329</f>
        <v>Life Loss</v>
      </c>
      <c r="F375" s="218"/>
      <c r="G375" s="218"/>
      <c r="H375" s="218"/>
      <c r="I375" s="218"/>
      <c r="J375" s="218"/>
      <c r="K375" s="218"/>
      <c r="L375" s="218"/>
      <c r="M375" s="220">
        <f>$M$329</f>
        <v>1</v>
      </c>
      <c r="N375" s="220"/>
      <c r="O375" s="220"/>
      <c r="P375" s="220"/>
      <c r="Q375" s="220">
        <f>$Q$329</f>
        <v>9</v>
      </c>
      <c r="R375" s="220"/>
      <c r="S375" s="220"/>
      <c r="T375" s="220"/>
      <c r="U375" s="51" t="str">
        <f t="shared" si="1842"/>
        <v/>
      </c>
      <c r="V375" s="51" t="str">
        <f t="shared" ref="V375:BW375" si="1846">IF($M375=1,"",IF(AND(ISNUMBER(V340),ISNUMBER(V339)),"-",IF(ISNUMBER(V340),"+","")))</f>
        <v/>
      </c>
      <c r="W375" s="51" t="str">
        <f t="shared" si="1846"/>
        <v/>
      </c>
      <c r="X375" s="51" t="str">
        <f t="shared" si="1846"/>
        <v/>
      </c>
      <c r="Y375" s="51" t="str">
        <f t="shared" si="1846"/>
        <v/>
      </c>
      <c r="Z375" s="51" t="str">
        <f t="shared" si="1846"/>
        <v/>
      </c>
      <c r="AA375" s="51" t="str">
        <f t="shared" si="1846"/>
        <v/>
      </c>
      <c r="AB375" s="51" t="str">
        <f t="shared" si="1846"/>
        <v/>
      </c>
      <c r="AC375" s="51" t="str">
        <f t="shared" si="1846"/>
        <v/>
      </c>
      <c r="AD375" s="51" t="str">
        <f t="shared" si="1846"/>
        <v/>
      </c>
      <c r="AE375" s="51" t="str">
        <f t="shared" si="1846"/>
        <v/>
      </c>
      <c r="AF375" s="51" t="str">
        <f t="shared" si="1846"/>
        <v/>
      </c>
      <c r="AG375" s="51" t="str">
        <f t="shared" si="1846"/>
        <v/>
      </c>
      <c r="AH375" s="51" t="str">
        <f t="shared" si="1846"/>
        <v/>
      </c>
      <c r="AI375" s="51" t="str">
        <f t="shared" si="1846"/>
        <v/>
      </c>
      <c r="AJ375" s="51" t="str">
        <f t="shared" si="1846"/>
        <v/>
      </c>
      <c r="AK375" s="51" t="str">
        <f t="shared" si="1846"/>
        <v/>
      </c>
      <c r="AL375" s="51" t="str">
        <f t="shared" si="1846"/>
        <v/>
      </c>
      <c r="AM375" s="51" t="str">
        <f t="shared" si="1846"/>
        <v/>
      </c>
      <c r="AN375" s="51" t="str">
        <f t="shared" si="1846"/>
        <v/>
      </c>
      <c r="AO375" s="51" t="str">
        <f t="shared" si="1846"/>
        <v/>
      </c>
      <c r="AP375" s="51" t="str">
        <f t="shared" si="1846"/>
        <v/>
      </c>
      <c r="AQ375" s="51" t="str">
        <f t="shared" si="1846"/>
        <v/>
      </c>
      <c r="AR375" s="51" t="str">
        <f t="shared" si="1846"/>
        <v/>
      </c>
      <c r="AS375" s="51" t="str">
        <f t="shared" si="1846"/>
        <v/>
      </c>
      <c r="AT375" s="51" t="str">
        <f t="shared" si="1846"/>
        <v/>
      </c>
      <c r="AU375" s="51" t="str">
        <f t="shared" si="1846"/>
        <v/>
      </c>
      <c r="AV375" s="51" t="str">
        <f t="shared" si="1846"/>
        <v/>
      </c>
      <c r="AW375" s="51" t="str">
        <f t="shared" si="1846"/>
        <v/>
      </c>
      <c r="AX375" s="51" t="str">
        <f t="shared" si="1846"/>
        <v/>
      </c>
      <c r="AY375" s="51" t="str">
        <f t="shared" si="1846"/>
        <v/>
      </c>
      <c r="AZ375" s="51" t="str">
        <f t="shared" si="1846"/>
        <v/>
      </c>
      <c r="BA375" s="51" t="str">
        <f t="shared" si="1846"/>
        <v/>
      </c>
      <c r="BB375" s="51" t="str">
        <f t="shared" si="1846"/>
        <v/>
      </c>
      <c r="BC375" s="51" t="str">
        <f t="shared" si="1846"/>
        <v/>
      </c>
      <c r="BD375" s="51" t="str">
        <f t="shared" si="1846"/>
        <v/>
      </c>
      <c r="BE375" s="51" t="str">
        <f t="shared" si="1846"/>
        <v/>
      </c>
      <c r="BF375" s="51" t="str">
        <f t="shared" si="1846"/>
        <v/>
      </c>
      <c r="BG375" s="51" t="str">
        <f t="shared" si="1846"/>
        <v/>
      </c>
      <c r="BH375" s="51" t="str">
        <f t="shared" si="1846"/>
        <v/>
      </c>
      <c r="BI375" s="51" t="str">
        <f t="shared" si="1846"/>
        <v/>
      </c>
      <c r="BJ375" s="51" t="str">
        <f t="shared" si="1846"/>
        <v/>
      </c>
      <c r="BK375" s="51" t="str">
        <f t="shared" si="1846"/>
        <v/>
      </c>
      <c r="BL375" s="51" t="str">
        <f t="shared" si="1846"/>
        <v/>
      </c>
      <c r="BM375" s="51" t="str">
        <f t="shared" si="1846"/>
        <v/>
      </c>
      <c r="BN375" s="51" t="str">
        <f t="shared" si="1846"/>
        <v/>
      </c>
      <c r="BO375" s="51" t="str">
        <f t="shared" si="1846"/>
        <v/>
      </c>
      <c r="BP375" s="51" t="str">
        <f t="shared" si="1846"/>
        <v/>
      </c>
      <c r="BQ375" s="51" t="str">
        <f t="shared" si="1846"/>
        <v/>
      </c>
      <c r="BR375" s="51" t="str">
        <f t="shared" si="1846"/>
        <v/>
      </c>
      <c r="BS375" s="51" t="str">
        <f t="shared" si="1846"/>
        <v/>
      </c>
      <c r="BT375" s="51" t="str">
        <f t="shared" si="1846"/>
        <v/>
      </c>
      <c r="BU375" s="51" t="str">
        <f t="shared" si="1846"/>
        <v/>
      </c>
      <c r="BV375" s="51" t="str">
        <f t="shared" si="1846"/>
        <v/>
      </c>
      <c r="BW375" s="51" t="str">
        <f t="shared" si="1846"/>
        <v/>
      </c>
      <c r="BX375" s="49"/>
      <c r="BY375" s="49"/>
      <c r="BZ375" s="49"/>
      <c r="CA375" s="49"/>
      <c r="CB375" s="49"/>
    </row>
    <row r="376" spans="2:80" ht="15" customHeight="1" x14ac:dyDescent="0.2">
      <c r="B376" s="214">
        <v>6</v>
      </c>
      <c r="C376" s="214"/>
      <c r="D376" s="214"/>
      <c r="E376" s="218" t="str">
        <f>$E$330</f>
        <v>Economic Cost</v>
      </c>
      <c r="F376" s="218"/>
      <c r="G376" s="218"/>
      <c r="H376" s="218"/>
      <c r="I376" s="218"/>
      <c r="J376" s="218"/>
      <c r="K376" s="218"/>
      <c r="L376" s="218"/>
      <c r="M376" s="220">
        <f>$M$330</f>
        <v>1</v>
      </c>
      <c r="N376" s="220"/>
      <c r="O376" s="220"/>
      <c r="P376" s="220"/>
      <c r="Q376" s="220">
        <f>$Q$330</f>
        <v>9</v>
      </c>
      <c r="R376" s="220"/>
      <c r="S376" s="220"/>
      <c r="T376" s="220"/>
      <c r="U376" s="51" t="str">
        <f t="shared" si="1842"/>
        <v/>
      </c>
      <c r="V376" s="51" t="str">
        <f t="shared" ref="V376:BW376" si="1847">IF($M376=1,"",IF(AND(ISNUMBER(V341),ISNUMBER(V340)),"-",IF(ISNUMBER(V341),"+","")))</f>
        <v/>
      </c>
      <c r="W376" s="51" t="str">
        <f t="shared" si="1847"/>
        <v/>
      </c>
      <c r="X376" s="51" t="str">
        <f t="shared" si="1847"/>
        <v/>
      </c>
      <c r="Y376" s="51" t="str">
        <f t="shared" si="1847"/>
        <v/>
      </c>
      <c r="Z376" s="51" t="str">
        <f t="shared" si="1847"/>
        <v/>
      </c>
      <c r="AA376" s="51" t="str">
        <f t="shared" si="1847"/>
        <v/>
      </c>
      <c r="AB376" s="51" t="str">
        <f t="shared" si="1847"/>
        <v/>
      </c>
      <c r="AC376" s="51" t="str">
        <f t="shared" si="1847"/>
        <v/>
      </c>
      <c r="AD376" s="51" t="str">
        <f t="shared" si="1847"/>
        <v/>
      </c>
      <c r="AE376" s="51" t="str">
        <f t="shared" si="1847"/>
        <v/>
      </c>
      <c r="AF376" s="51" t="str">
        <f t="shared" si="1847"/>
        <v/>
      </c>
      <c r="AG376" s="51" t="str">
        <f t="shared" si="1847"/>
        <v/>
      </c>
      <c r="AH376" s="51" t="str">
        <f t="shared" si="1847"/>
        <v/>
      </c>
      <c r="AI376" s="51" t="str">
        <f t="shared" si="1847"/>
        <v/>
      </c>
      <c r="AJ376" s="51" t="str">
        <f t="shared" si="1847"/>
        <v/>
      </c>
      <c r="AK376" s="51" t="str">
        <f t="shared" si="1847"/>
        <v/>
      </c>
      <c r="AL376" s="51" t="str">
        <f t="shared" si="1847"/>
        <v/>
      </c>
      <c r="AM376" s="51" t="str">
        <f t="shared" si="1847"/>
        <v/>
      </c>
      <c r="AN376" s="51" t="str">
        <f t="shared" si="1847"/>
        <v/>
      </c>
      <c r="AO376" s="51" t="str">
        <f t="shared" si="1847"/>
        <v/>
      </c>
      <c r="AP376" s="51" t="str">
        <f t="shared" si="1847"/>
        <v/>
      </c>
      <c r="AQ376" s="51" t="str">
        <f t="shared" si="1847"/>
        <v/>
      </c>
      <c r="AR376" s="51" t="str">
        <f t="shared" si="1847"/>
        <v/>
      </c>
      <c r="AS376" s="51" t="str">
        <f t="shared" si="1847"/>
        <v/>
      </c>
      <c r="AT376" s="51" t="str">
        <f t="shared" si="1847"/>
        <v/>
      </c>
      <c r="AU376" s="51" t="str">
        <f t="shared" si="1847"/>
        <v/>
      </c>
      <c r="AV376" s="51" t="str">
        <f t="shared" si="1847"/>
        <v/>
      </c>
      <c r="AW376" s="51" t="str">
        <f t="shared" si="1847"/>
        <v/>
      </c>
      <c r="AX376" s="51" t="str">
        <f t="shared" si="1847"/>
        <v/>
      </c>
      <c r="AY376" s="51" t="str">
        <f t="shared" si="1847"/>
        <v/>
      </c>
      <c r="AZ376" s="51" t="str">
        <f t="shared" si="1847"/>
        <v/>
      </c>
      <c r="BA376" s="51" t="str">
        <f t="shared" si="1847"/>
        <v/>
      </c>
      <c r="BB376" s="51" t="str">
        <f t="shared" si="1847"/>
        <v/>
      </c>
      <c r="BC376" s="51" t="str">
        <f t="shared" si="1847"/>
        <v/>
      </c>
      <c r="BD376" s="51" t="str">
        <f t="shared" si="1847"/>
        <v/>
      </c>
      <c r="BE376" s="51" t="str">
        <f t="shared" si="1847"/>
        <v/>
      </c>
      <c r="BF376" s="51" t="str">
        <f t="shared" si="1847"/>
        <v/>
      </c>
      <c r="BG376" s="51" t="str">
        <f t="shared" si="1847"/>
        <v/>
      </c>
      <c r="BH376" s="51" t="str">
        <f t="shared" si="1847"/>
        <v/>
      </c>
      <c r="BI376" s="51" t="str">
        <f t="shared" si="1847"/>
        <v/>
      </c>
      <c r="BJ376" s="51" t="str">
        <f t="shared" si="1847"/>
        <v/>
      </c>
      <c r="BK376" s="51" t="str">
        <f t="shared" si="1847"/>
        <v/>
      </c>
      <c r="BL376" s="51" t="str">
        <f t="shared" si="1847"/>
        <v/>
      </c>
      <c r="BM376" s="51" t="str">
        <f t="shared" si="1847"/>
        <v/>
      </c>
      <c r="BN376" s="51" t="str">
        <f t="shared" si="1847"/>
        <v/>
      </c>
      <c r="BO376" s="51" t="str">
        <f t="shared" si="1847"/>
        <v/>
      </c>
      <c r="BP376" s="51" t="str">
        <f t="shared" si="1847"/>
        <v/>
      </c>
      <c r="BQ376" s="51" t="str">
        <f t="shared" si="1847"/>
        <v/>
      </c>
      <c r="BR376" s="51" t="str">
        <f t="shared" si="1847"/>
        <v/>
      </c>
      <c r="BS376" s="51" t="str">
        <f t="shared" si="1847"/>
        <v/>
      </c>
      <c r="BT376" s="51" t="str">
        <f t="shared" si="1847"/>
        <v/>
      </c>
      <c r="BU376" s="51" t="str">
        <f t="shared" si="1847"/>
        <v/>
      </c>
      <c r="BV376" s="51" t="str">
        <f t="shared" si="1847"/>
        <v/>
      </c>
      <c r="BW376" s="51" t="str">
        <f t="shared" si="1847"/>
        <v/>
      </c>
      <c r="BX376" s="49"/>
      <c r="BY376" s="49"/>
      <c r="BZ376" s="49"/>
      <c r="CA376" s="49"/>
      <c r="CB376" s="49"/>
    </row>
    <row r="377" spans="2:80" ht="15" customHeight="1" x14ac:dyDescent="0.2"/>
    <row r="378" spans="2:80" ht="15" customHeight="1" x14ac:dyDescent="0.2">
      <c r="B378" s="219" t="s">
        <v>120</v>
      </c>
      <c r="C378" s="219"/>
      <c r="D378" s="219"/>
      <c r="E378" s="219"/>
      <c r="F378" s="219"/>
      <c r="G378" s="219"/>
      <c r="H378" s="219"/>
      <c r="I378" s="219"/>
      <c r="J378" s="219"/>
      <c r="K378" s="219"/>
      <c r="L378" s="219"/>
      <c r="M378" s="219"/>
      <c r="N378" s="219"/>
      <c r="O378" s="219"/>
      <c r="P378" s="219"/>
      <c r="Q378" s="219"/>
      <c r="R378" s="219"/>
      <c r="S378" s="219"/>
      <c r="T378" s="219"/>
      <c r="U378" s="51">
        <v>10</v>
      </c>
      <c r="V378" s="51">
        <f>U378+5</f>
        <v>15</v>
      </c>
      <c r="W378" s="51">
        <f t="shared" ref="W378:AE378" si="1848">V378+5</f>
        <v>20</v>
      </c>
      <c r="X378" s="51">
        <f t="shared" si="1848"/>
        <v>25</v>
      </c>
      <c r="Y378" s="51">
        <f t="shared" si="1848"/>
        <v>30</v>
      </c>
      <c r="Z378" s="51">
        <f t="shared" si="1848"/>
        <v>35</v>
      </c>
      <c r="AA378" s="51">
        <f t="shared" si="1848"/>
        <v>40</v>
      </c>
      <c r="AB378" s="51">
        <f t="shared" si="1848"/>
        <v>45</v>
      </c>
      <c r="AC378" s="51">
        <f t="shared" si="1848"/>
        <v>50</v>
      </c>
      <c r="AD378" s="51">
        <f t="shared" si="1848"/>
        <v>55</v>
      </c>
      <c r="AE378" s="51">
        <f t="shared" si="1848"/>
        <v>60</v>
      </c>
      <c r="AF378" s="51">
        <f t="shared" ref="AF378" si="1849">AE378+5</f>
        <v>65</v>
      </c>
      <c r="AG378" s="51">
        <f t="shared" ref="AG378" si="1850">AF378+5</f>
        <v>70</v>
      </c>
      <c r="AH378" s="51">
        <f t="shared" ref="AH378" si="1851">AG378+5</f>
        <v>75</v>
      </c>
      <c r="AI378" s="51">
        <f t="shared" ref="AI378" si="1852">AH378+5</f>
        <v>80</v>
      </c>
      <c r="AJ378" s="51">
        <f t="shared" ref="AJ378" si="1853">AI378+5</f>
        <v>85</v>
      </c>
      <c r="AK378" s="51">
        <f t="shared" ref="AK378" si="1854">AJ378+5</f>
        <v>90</v>
      </c>
      <c r="AL378" s="51">
        <f t="shared" ref="AL378" si="1855">AK378+5</f>
        <v>95</v>
      </c>
      <c r="AM378" s="51">
        <f t="shared" ref="AM378" si="1856">AL378+5</f>
        <v>100</v>
      </c>
      <c r="AN378" s="51">
        <f t="shared" ref="AN378" si="1857">AM378+5</f>
        <v>105</v>
      </c>
      <c r="AO378" s="51">
        <f t="shared" ref="AO378" si="1858">AN378+5</f>
        <v>110</v>
      </c>
      <c r="AP378" s="51">
        <f t="shared" ref="AP378" si="1859">AO378+5</f>
        <v>115</v>
      </c>
      <c r="AQ378" s="51">
        <f t="shared" ref="AQ378" si="1860">AP378+5</f>
        <v>120</v>
      </c>
      <c r="AR378" s="51">
        <f t="shared" ref="AR378" si="1861">AQ378+5</f>
        <v>125</v>
      </c>
      <c r="AS378" s="51">
        <f t="shared" ref="AS378" si="1862">AR378+5</f>
        <v>130</v>
      </c>
      <c r="AT378" s="51">
        <f t="shared" ref="AT378" si="1863">AS378+5</f>
        <v>135</v>
      </c>
      <c r="AU378" s="51">
        <f t="shared" ref="AU378" si="1864">AT378+5</f>
        <v>140</v>
      </c>
      <c r="AV378" s="51">
        <f t="shared" ref="AV378" si="1865">AU378+5</f>
        <v>145</v>
      </c>
      <c r="AW378" s="51">
        <f t="shared" ref="AW378" si="1866">AV378+5</f>
        <v>150</v>
      </c>
      <c r="AX378" s="51">
        <f t="shared" ref="AX378" si="1867">AW378+5</f>
        <v>155</v>
      </c>
      <c r="AY378" s="51">
        <f t="shared" ref="AY378" si="1868">AX378+5</f>
        <v>160</v>
      </c>
      <c r="AZ378" s="51">
        <f t="shared" ref="AZ378" si="1869">AY378+5</f>
        <v>165</v>
      </c>
      <c r="BA378" s="51">
        <f t="shared" ref="BA378" si="1870">AZ378+5</f>
        <v>170</v>
      </c>
      <c r="BB378" s="51">
        <f t="shared" ref="BB378" si="1871">BA378+5</f>
        <v>175</v>
      </c>
      <c r="BC378" s="51">
        <f t="shared" ref="BC378" si="1872">BB378+5</f>
        <v>180</v>
      </c>
      <c r="BD378" s="51">
        <f t="shared" ref="BD378" si="1873">BC378+5</f>
        <v>185</v>
      </c>
      <c r="BE378" s="51">
        <f t="shared" ref="BE378" si="1874">BD378+5</f>
        <v>190</v>
      </c>
      <c r="BF378" s="51">
        <f t="shared" ref="BF378" si="1875">BE378+5</f>
        <v>195</v>
      </c>
      <c r="BG378" s="51">
        <f t="shared" ref="BG378" si="1876">BF378+5</f>
        <v>200</v>
      </c>
      <c r="BH378" s="51">
        <f t="shared" ref="BH378" si="1877">BG378+5</f>
        <v>205</v>
      </c>
      <c r="BI378" s="51">
        <f t="shared" ref="BI378" si="1878">BH378+5</f>
        <v>210</v>
      </c>
      <c r="BJ378" s="51">
        <f t="shared" ref="BJ378" si="1879">BI378+5</f>
        <v>215</v>
      </c>
      <c r="BK378" s="51">
        <f t="shared" ref="BK378" si="1880">BJ378+5</f>
        <v>220</v>
      </c>
      <c r="BL378" s="51">
        <f t="shared" ref="BL378" si="1881">BK378+5</f>
        <v>225</v>
      </c>
      <c r="BM378" s="51">
        <f t="shared" ref="BM378" si="1882">BL378+5</f>
        <v>230</v>
      </c>
      <c r="BN378" s="51">
        <f t="shared" ref="BN378" si="1883">BM378+5</f>
        <v>235</v>
      </c>
      <c r="BO378" s="51">
        <f t="shared" ref="BO378" si="1884">BN378+5</f>
        <v>240</v>
      </c>
      <c r="BP378" s="51">
        <f t="shared" ref="BP378" si="1885">BO378+5</f>
        <v>245</v>
      </c>
      <c r="BQ378" s="51">
        <f t="shared" ref="BQ378" si="1886">BP378+5</f>
        <v>250</v>
      </c>
      <c r="BR378" s="51">
        <f t="shared" ref="BR378" si="1887">BQ378+5</f>
        <v>255</v>
      </c>
      <c r="BS378" s="51">
        <f t="shared" ref="BS378" si="1888">BR378+5</f>
        <v>260</v>
      </c>
      <c r="BT378" s="51">
        <f t="shared" ref="BT378" si="1889">BS378+5</f>
        <v>265</v>
      </c>
      <c r="BU378" s="51">
        <f t="shared" ref="BU378" si="1890">BT378+5</f>
        <v>270</v>
      </c>
      <c r="BV378" s="51">
        <f t="shared" ref="BV378" si="1891">BU378+5</f>
        <v>275</v>
      </c>
      <c r="BW378" s="51">
        <f t="shared" ref="BW378" si="1892">BV378+5</f>
        <v>280</v>
      </c>
      <c r="BX378" s="49"/>
      <c r="BY378" s="49"/>
      <c r="BZ378" s="49"/>
      <c r="CA378" s="49"/>
      <c r="CB378" s="49"/>
    </row>
    <row r="379" spans="2:80" ht="15" customHeight="1" x14ac:dyDescent="0.2">
      <c r="B379" s="214" t="s">
        <v>98</v>
      </c>
      <c r="C379" s="214"/>
      <c r="D379" s="214"/>
      <c r="E379" s="218" t="s">
        <v>147</v>
      </c>
      <c r="F379" s="218"/>
      <c r="G379" s="218"/>
      <c r="H379" s="218"/>
      <c r="I379" s="218"/>
      <c r="J379" s="218"/>
      <c r="K379" s="218"/>
      <c r="L379" s="218"/>
      <c r="M379" s="218" t="s">
        <v>97</v>
      </c>
      <c r="N379" s="218"/>
      <c r="O379" s="218"/>
      <c r="P379" s="218"/>
      <c r="Q379" s="218" t="s">
        <v>118</v>
      </c>
      <c r="R379" s="218"/>
      <c r="S379" s="218"/>
      <c r="T379" s="218"/>
      <c r="U379" s="52">
        <v>1</v>
      </c>
      <c r="V379" s="52">
        <v>2</v>
      </c>
      <c r="W379" s="52">
        <v>3</v>
      </c>
      <c r="X379" s="52">
        <v>4</v>
      </c>
      <c r="Y379" s="52">
        <v>5</v>
      </c>
      <c r="Z379" s="52">
        <v>6</v>
      </c>
      <c r="AA379" s="52">
        <v>7</v>
      </c>
      <c r="AB379" s="52">
        <v>8</v>
      </c>
      <c r="AC379" s="52">
        <v>9</v>
      </c>
      <c r="AD379" s="52">
        <v>10</v>
      </c>
      <c r="AE379" s="52">
        <v>11</v>
      </c>
      <c r="AF379" s="52">
        <v>12</v>
      </c>
      <c r="AG379" s="52">
        <v>13</v>
      </c>
      <c r="AH379" s="52">
        <v>14</v>
      </c>
      <c r="AI379" s="52">
        <v>15</v>
      </c>
      <c r="AJ379" s="52">
        <v>16</v>
      </c>
      <c r="AK379" s="52">
        <v>17</v>
      </c>
      <c r="AL379" s="52">
        <v>18</v>
      </c>
      <c r="AM379" s="52">
        <v>19</v>
      </c>
      <c r="AN379" s="52">
        <v>20</v>
      </c>
      <c r="AO379" s="52">
        <v>21</v>
      </c>
      <c r="AP379" s="52">
        <v>22</v>
      </c>
      <c r="AQ379" s="52">
        <v>23</v>
      </c>
      <c r="AR379" s="52">
        <v>24</v>
      </c>
      <c r="AS379" s="52">
        <v>25</v>
      </c>
      <c r="AT379" s="52">
        <v>26</v>
      </c>
      <c r="AU379" s="52">
        <v>27</v>
      </c>
      <c r="AV379" s="52">
        <v>28</v>
      </c>
      <c r="AW379" s="52">
        <v>29</v>
      </c>
      <c r="AX379" s="52">
        <v>30</v>
      </c>
      <c r="AY379" s="52">
        <v>31</v>
      </c>
      <c r="AZ379" s="52">
        <v>32</v>
      </c>
      <c r="BA379" s="52">
        <v>33</v>
      </c>
      <c r="BB379" s="52">
        <v>34</v>
      </c>
      <c r="BC379" s="52">
        <v>35</v>
      </c>
      <c r="BD379" s="52">
        <v>36</v>
      </c>
      <c r="BE379" s="52">
        <v>37</v>
      </c>
      <c r="BF379" s="52">
        <v>38</v>
      </c>
      <c r="BG379" s="52">
        <v>39</v>
      </c>
      <c r="BH379" s="52">
        <v>40</v>
      </c>
      <c r="BI379" s="52">
        <v>41</v>
      </c>
      <c r="BJ379" s="52">
        <v>42</v>
      </c>
      <c r="BK379" s="52">
        <v>43</v>
      </c>
      <c r="BL379" s="52">
        <v>44</v>
      </c>
      <c r="BM379" s="52">
        <v>45</v>
      </c>
      <c r="BN379" s="52">
        <v>46</v>
      </c>
      <c r="BO379" s="52">
        <v>47</v>
      </c>
      <c r="BP379" s="52">
        <v>48</v>
      </c>
      <c r="BQ379" s="52">
        <v>49</v>
      </c>
      <c r="BR379" s="52">
        <v>50</v>
      </c>
      <c r="BS379" s="52">
        <v>51</v>
      </c>
      <c r="BT379" s="52">
        <v>52</v>
      </c>
      <c r="BU379" s="52">
        <v>53</v>
      </c>
      <c r="BV379" s="52">
        <v>54</v>
      </c>
      <c r="BW379" s="52">
        <v>55</v>
      </c>
      <c r="BX379" s="53"/>
      <c r="BY379" s="53"/>
      <c r="BZ379" s="53"/>
      <c r="CA379" s="53"/>
      <c r="CB379" s="53"/>
    </row>
    <row r="380" spans="2:80" ht="15" customHeight="1" x14ac:dyDescent="0.2">
      <c r="B380" s="214">
        <v>1</v>
      </c>
      <c r="C380" s="214"/>
      <c r="D380" s="214"/>
      <c r="E380" s="218" t="str">
        <f>$E$325</f>
        <v>Hazard</v>
      </c>
      <c r="F380" s="218"/>
      <c r="G380" s="218"/>
      <c r="H380" s="218"/>
      <c r="I380" s="218"/>
      <c r="J380" s="218"/>
      <c r="K380" s="218"/>
      <c r="L380" s="218"/>
      <c r="M380" s="220">
        <f>$M$325</f>
        <v>1</v>
      </c>
      <c r="N380" s="220"/>
      <c r="O380" s="220"/>
      <c r="P380" s="220"/>
      <c r="Q380" s="220">
        <f>$Q$325</f>
        <v>1</v>
      </c>
      <c r="R380" s="220"/>
      <c r="S380" s="220"/>
      <c r="T380" s="220"/>
      <c r="U380" s="51" t="str">
        <f t="shared" ref="U380:U385" si="1893">U371</f>
        <v/>
      </c>
      <c r="V380" s="51" t="str" cm="1">
        <f t="array" ref="V380">IF(V371&lt;&gt;"",V371,IF(ISERROR(INDEX(V371:$CB371,MATCH(FALSE,V371:$CB371="",0))),"",INDEX(V371:$CB371,MATCH(FALSE,V371:$CB371="",0))))</f>
        <v/>
      </c>
      <c r="W380" s="51" t="str" cm="1">
        <f t="array" ref="W380">IF(W371&lt;&gt;"",W371,IF(ISERROR(INDEX(W371:$CB371,MATCH(FALSE,W371:$CB371="",0))),"",INDEX(W371:$CB371,MATCH(FALSE,W371:$CB371="",0))))</f>
        <v/>
      </c>
      <c r="X380" s="51" t="str" cm="1">
        <f t="array" ref="X380">IF(X371&lt;&gt;"",X371,IF(ISERROR(INDEX(X371:$CB371,MATCH(FALSE,X371:$CB371="",0))),"",INDEX(X371:$CB371,MATCH(FALSE,X371:$CB371="",0))))</f>
        <v/>
      </c>
      <c r="Y380" s="51" t="str" cm="1">
        <f t="array" ref="Y380">IF(Y371&lt;&gt;"",Y371,IF(ISERROR(INDEX(Y371:$CB371,MATCH(FALSE,Y371:$CB371="",0))),"",INDEX(Y371:$CB371,MATCH(FALSE,Y371:$CB371="",0))))</f>
        <v/>
      </c>
      <c r="Z380" s="51" t="str" cm="1">
        <f t="array" ref="Z380">IF(Z371&lt;&gt;"",Z371,IF(ISERROR(INDEX(Z371:$CB371,MATCH(FALSE,Z371:$CB371="",0))),"",INDEX(Z371:$CB371,MATCH(FALSE,Z371:$CB371="",0))))</f>
        <v/>
      </c>
      <c r="AA380" s="51" t="str" cm="1">
        <f t="array" ref="AA380">IF(AA371&lt;&gt;"",AA371,IF(ISERROR(INDEX(AA371:$CB371,MATCH(FALSE,AA371:$CB371="",0))),"",INDEX(AA371:$CB371,MATCH(FALSE,AA371:$CB371="",0))))</f>
        <v/>
      </c>
      <c r="AB380" s="51" t="str" cm="1">
        <f t="array" ref="AB380">IF(AB371&lt;&gt;"",AB371,IF(ISERROR(INDEX(AB371:$CB371,MATCH(FALSE,AB371:$CB371="",0))),"",INDEX(AB371:$CB371,MATCH(FALSE,AB371:$CB371="",0))))</f>
        <v/>
      </c>
      <c r="AC380" s="51" t="str" cm="1">
        <f t="array" ref="AC380">IF(AC371&lt;&gt;"",AC371,IF(ISERROR(INDEX(AC371:$CB371,MATCH(FALSE,AC371:$CB371="",0))),"",INDEX(AC371:$CB371,MATCH(FALSE,AC371:$CB371="",0))))</f>
        <v/>
      </c>
      <c r="AD380" s="51" t="str" cm="1">
        <f t="array" ref="AD380">IF(AD371&lt;&gt;"",AD371,IF(ISERROR(INDEX(AD371:$CB371,MATCH(FALSE,AD371:$CB371="",0))),"",INDEX(AD371:$CB371,MATCH(FALSE,AD371:$CB371="",0))))</f>
        <v/>
      </c>
      <c r="AE380" s="51" t="str" cm="1">
        <f t="array" ref="AE380">IF(AE371&lt;&gt;"",AE371,IF(ISERROR(INDEX(AE371:$CB371,MATCH(FALSE,AE371:$CB371="",0))),"",INDEX(AE371:$CB371,MATCH(FALSE,AE371:$CB371="",0))))</f>
        <v/>
      </c>
      <c r="AF380" s="51" t="str" cm="1">
        <f t="array" ref="AF380">IF(AF371&lt;&gt;"",AF371,IF(ISERROR(INDEX(AF371:$CB371,MATCH(FALSE,AF371:$CB371="",0))),"",INDEX(AF371:$CB371,MATCH(FALSE,AF371:$CB371="",0))))</f>
        <v/>
      </c>
      <c r="AG380" s="51" t="str" cm="1">
        <f t="array" ref="AG380">IF(AG371&lt;&gt;"",AG371,IF(ISERROR(INDEX(AG371:$CB371,MATCH(FALSE,AG371:$CB371="",0))),"",INDEX(AG371:$CB371,MATCH(FALSE,AG371:$CB371="",0))))</f>
        <v/>
      </c>
      <c r="AH380" s="51" t="str" cm="1">
        <f t="array" ref="AH380">IF(AH371&lt;&gt;"",AH371,IF(ISERROR(INDEX(AH371:$CB371,MATCH(FALSE,AH371:$CB371="",0))),"",INDEX(AH371:$CB371,MATCH(FALSE,AH371:$CB371="",0))))</f>
        <v/>
      </c>
      <c r="AI380" s="51" t="str" cm="1">
        <f t="array" ref="AI380">IF(AI371&lt;&gt;"",AI371,IF(ISERROR(INDEX(AI371:$CB371,MATCH(FALSE,AI371:$CB371="",0))),"",INDEX(AI371:$CB371,MATCH(FALSE,AI371:$CB371="",0))))</f>
        <v/>
      </c>
      <c r="AJ380" s="51" t="str" cm="1">
        <f t="array" ref="AJ380">IF(AJ371&lt;&gt;"",AJ371,IF(ISERROR(INDEX(AJ371:$CB371,MATCH(FALSE,AJ371:$CB371="",0))),"",INDEX(AJ371:$CB371,MATCH(FALSE,AJ371:$CB371="",0))))</f>
        <v/>
      </c>
      <c r="AK380" s="51" t="str" cm="1">
        <f t="array" ref="AK380">IF(AK371&lt;&gt;"",AK371,IF(ISERROR(INDEX(AK371:$CB371,MATCH(FALSE,AK371:$CB371="",0))),"",INDEX(AK371:$CB371,MATCH(FALSE,AK371:$CB371="",0))))</f>
        <v/>
      </c>
      <c r="AL380" s="51" t="str" cm="1">
        <f t="array" ref="AL380">IF(AL371&lt;&gt;"",AL371,IF(ISERROR(INDEX(AL371:$CB371,MATCH(FALSE,AL371:$CB371="",0))),"",INDEX(AL371:$CB371,MATCH(FALSE,AL371:$CB371="",0))))</f>
        <v/>
      </c>
      <c r="AM380" s="51" t="str" cm="1">
        <f t="array" ref="AM380">IF(AM371&lt;&gt;"",AM371,IF(ISERROR(INDEX(AM371:$CB371,MATCH(FALSE,AM371:$CB371="",0))),"",INDEX(AM371:$CB371,MATCH(FALSE,AM371:$CB371="",0))))</f>
        <v/>
      </c>
      <c r="AN380" s="51" t="str" cm="1">
        <f t="array" ref="AN380">IF(AN371&lt;&gt;"",AN371,IF(ISERROR(INDEX(AN371:$CB371,MATCH(FALSE,AN371:$CB371="",0))),"",INDEX(AN371:$CB371,MATCH(FALSE,AN371:$CB371="",0))))</f>
        <v/>
      </c>
      <c r="AO380" s="51" t="str" cm="1">
        <f t="array" ref="AO380">IF(AO371&lt;&gt;"",AO371,IF(ISERROR(INDEX(AO371:$CB371,MATCH(FALSE,AO371:$CB371="",0))),"",INDEX(AO371:$CB371,MATCH(FALSE,AO371:$CB371="",0))))</f>
        <v/>
      </c>
      <c r="AP380" s="51" t="str" cm="1">
        <f t="array" ref="AP380">IF(AP371&lt;&gt;"",AP371,IF(ISERROR(INDEX(AP371:$CB371,MATCH(FALSE,AP371:$CB371="",0))),"",INDEX(AP371:$CB371,MATCH(FALSE,AP371:$CB371="",0))))</f>
        <v/>
      </c>
      <c r="AQ380" s="51" t="str" cm="1">
        <f t="array" ref="AQ380">IF(AQ371&lt;&gt;"",AQ371,IF(ISERROR(INDEX(AQ371:$CB371,MATCH(FALSE,AQ371:$CB371="",0))),"",INDEX(AQ371:$CB371,MATCH(FALSE,AQ371:$CB371="",0))))</f>
        <v/>
      </c>
      <c r="AR380" s="51" t="str" cm="1">
        <f t="array" ref="AR380">IF(AR371&lt;&gt;"",AR371,IF(ISERROR(INDEX(AR371:$CB371,MATCH(FALSE,AR371:$CB371="",0))),"",INDEX(AR371:$CB371,MATCH(FALSE,AR371:$CB371="",0))))</f>
        <v/>
      </c>
      <c r="AS380" s="51" t="str" cm="1">
        <f t="array" ref="AS380">IF(AS371&lt;&gt;"",AS371,IF(ISERROR(INDEX(AS371:$CB371,MATCH(FALSE,AS371:$CB371="",0))),"",INDEX(AS371:$CB371,MATCH(FALSE,AS371:$CB371="",0))))</f>
        <v/>
      </c>
      <c r="AT380" s="51" t="str" cm="1">
        <f t="array" ref="AT380">IF(AT371&lt;&gt;"",AT371,IF(ISERROR(INDEX(AT371:$CB371,MATCH(FALSE,AT371:$CB371="",0))),"",INDEX(AT371:$CB371,MATCH(FALSE,AT371:$CB371="",0))))</f>
        <v/>
      </c>
      <c r="AU380" s="51" t="str" cm="1">
        <f t="array" ref="AU380">IF(AU371&lt;&gt;"",AU371,IF(ISERROR(INDEX(AU371:$CB371,MATCH(FALSE,AU371:$CB371="",0))),"",INDEX(AU371:$CB371,MATCH(FALSE,AU371:$CB371="",0))))</f>
        <v/>
      </c>
      <c r="AV380" s="51" t="str" cm="1">
        <f t="array" ref="AV380">IF(AV371&lt;&gt;"",AV371,IF(ISERROR(INDEX(AV371:$CB371,MATCH(FALSE,AV371:$CB371="",0))),"",INDEX(AV371:$CB371,MATCH(FALSE,AV371:$CB371="",0))))</f>
        <v/>
      </c>
      <c r="AW380" s="51" t="str" cm="1">
        <f t="array" ref="AW380">IF(AW371&lt;&gt;"",AW371,IF(ISERROR(INDEX(AW371:$CB371,MATCH(FALSE,AW371:$CB371="",0))),"",INDEX(AW371:$CB371,MATCH(FALSE,AW371:$CB371="",0))))</f>
        <v/>
      </c>
      <c r="AX380" s="51" t="str" cm="1">
        <f t="array" ref="AX380">IF(AX371&lt;&gt;"",AX371,IF(ISERROR(INDEX(AX371:$CB371,MATCH(FALSE,AX371:$CB371="",0))),"",INDEX(AX371:$CB371,MATCH(FALSE,AX371:$CB371="",0))))</f>
        <v/>
      </c>
      <c r="AY380" s="51" t="str" cm="1">
        <f t="array" ref="AY380">IF(AY371&lt;&gt;"",AY371,IF(ISERROR(INDEX(AY371:$CB371,MATCH(FALSE,AY371:$CB371="",0))),"",INDEX(AY371:$CB371,MATCH(FALSE,AY371:$CB371="",0))))</f>
        <v/>
      </c>
      <c r="AZ380" s="51" t="str" cm="1">
        <f t="array" ref="AZ380">IF(AZ371&lt;&gt;"",AZ371,IF(ISERROR(INDEX(AZ371:$CB371,MATCH(FALSE,AZ371:$CB371="",0))),"",INDEX(AZ371:$CB371,MATCH(FALSE,AZ371:$CB371="",0))))</f>
        <v/>
      </c>
      <c r="BA380" s="51" t="str" cm="1">
        <f t="array" ref="BA380">IF(BA371&lt;&gt;"",BA371,IF(ISERROR(INDEX(BA371:$CB371,MATCH(FALSE,BA371:$CB371="",0))),"",INDEX(BA371:$CB371,MATCH(FALSE,BA371:$CB371="",0))))</f>
        <v/>
      </c>
      <c r="BB380" s="51" t="str" cm="1">
        <f t="array" ref="BB380">IF(BB371&lt;&gt;"",BB371,IF(ISERROR(INDEX(BB371:$CB371,MATCH(FALSE,BB371:$CB371="",0))),"",INDEX(BB371:$CB371,MATCH(FALSE,BB371:$CB371="",0))))</f>
        <v/>
      </c>
      <c r="BC380" s="51" t="str" cm="1">
        <f t="array" ref="BC380">IF(BC371&lt;&gt;"",BC371,IF(ISERROR(INDEX(BC371:$CB371,MATCH(FALSE,BC371:$CB371="",0))),"",INDEX(BC371:$CB371,MATCH(FALSE,BC371:$CB371="",0))))</f>
        <v/>
      </c>
      <c r="BD380" s="51" t="str" cm="1">
        <f t="array" ref="BD380">IF(BD371&lt;&gt;"",BD371,IF(ISERROR(INDEX(BD371:$CB371,MATCH(FALSE,BD371:$CB371="",0))),"",INDEX(BD371:$CB371,MATCH(FALSE,BD371:$CB371="",0))))</f>
        <v/>
      </c>
      <c r="BE380" s="51" t="str" cm="1">
        <f t="array" ref="BE380">IF(BE371&lt;&gt;"",BE371,IF(ISERROR(INDEX(BE371:$CB371,MATCH(FALSE,BE371:$CB371="",0))),"",INDEX(BE371:$CB371,MATCH(FALSE,BE371:$CB371="",0))))</f>
        <v/>
      </c>
      <c r="BF380" s="51" t="str" cm="1">
        <f t="array" ref="BF380">IF(BF371&lt;&gt;"",BF371,IF(ISERROR(INDEX(BF371:$CB371,MATCH(FALSE,BF371:$CB371="",0))),"",INDEX(BF371:$CB371,MATCH(FALSE,BF371:$CB371="",0))))</f>
        <v/>
      </c>
      <c r="BG380" s="51" t="str" cm="1">
        <f t="array" ref="BG380">IF(BG371&lt;&gt;"",BG371,IF(ISERROR(INDEX(BG371:$CB371,MATCH(FALSE,BG371:$CB371="",0))),"",INDEX(BG371:$CB371,MATCH(FALSE,BG371:$CB371="",0))))</f>
        <v/>
      </c>
      <c r="BH380" s="51" t="str" cm="1">
        <f t="array" ref="BH380">IF(BH371&lt;&gt;"",BH371,IF(ISERROR(INDEX(BH371:$CB371,MATCH(FALSE,BH371:$CB371="",0))),"",INDEX(BH371:$CB371,MATCH(FALSE,BH371:$CB371="",0))))</f>
        <v/>
      </c>
      <c r="BI380" s="51" t="str" cm="1">
        <f t="array" ref="BI380">IF(BI371&lt;&gt;"",BI371,IF(ISERROR(INDEX(BI371:$CB371,MATCH(FALSE,BI371:$CB371="",0))),"",INDEX(BI371:$CB371,MATCH(FALSE,BI371:$CB371="",0))))</f>
        <v/>
      </c>
      <c r="BJ380" s="51" t="str" cm="1">
        <f t="array" ref="BJ380">IF(BJ371&lt;&gt;"",BJ371,IF(ISERROR(INDEX(BJ371:$CB371,MATCH(FALSE,BJ371:$CB371="",0))),"",INDEX(BJ371:$CB371,MATCH(FALSE,BJ371:$CB371="",0))))</f>
        <v/>
      </c>
      <c r="BK380" s="51" t="str" cm="1">
        <f t="array" ref="BK380">IF(BK371&lt;&gt;"",BK371,IF(ISERROR(INDEX(BK371:$CB371,MATCH(FALSE,BK371:$CB371="",0))),"",INDEX(BK371:$CB371,MATCH(FALSE,BK371:$CB371="",0))))</f>
        <v/>
      </c>
      <c r="BL380" s="51" t="str" cm="1">
        <f t="array" ref="BL380">IF(BL371&lt;&gt;"",BL371,IF(ISERROR(INDEX(BL371:$CB371,MATCH(FALSE,BL371:$CB371="",0))),"",INDEX(BL371:$CB371,MATCH(FALSE,BL371:$CB371="",0))))</f>
        <v/>
      </c>
      <c r="BM380" s="51" t="str" cm="1">
        <f t="array" ref="BM380">IF(BM371&lt;&gt;"",BM371,IF(ISERROR(INDEX(BM371:$CB371,MATCH(FALSE,BM371:$CB371="",0))),"",INDEX(BM371:$CB371,MATCH(FALSE,BM371:$CB371="",0))))</f>
        <v/>
      </c>
      <c r="BN380" s="51" t="str" cm="1">
        <f t="array" ref="BN380">IF(BN371&lt;&gt;"",BN371,IF(ISERROR(INDEX(BN371:$CB371,MATCH(FALSE,BN371:$CB371="",0))),"",INDEX(BN371:$CB371,MATCH(FALSE,BN371:$CB371="",0))))</f>
        <v/>
      </c>
      <c r="BO380" s="51" t="str" cm="1">
        <f t="array" ref="BO380">IF(BO371&lt;&gt;"",BO371,IF(ISERROR(INDEX(BO371:$CB371,MATCH(FALSE,BO371:$CB371="",0))),"",INDEX(BO371:$CB371,MATCH(FALSE,BO371:$CB371="",0))))</f>
        <v/>
      </c>
      <c r="BP380" s="51" t="str" cm="1">
        <f t="array" ref="BP380">IF(BP371&lt;&gt;"",BP371,IF(ISERROR(INDEX(BP371:$CB371,MATCH(FALSE,BP371:$CB371="",0))),"",INDEX(BP371:$CB371,MATCH(FALSE,BP371:$CB371="",0))))</f>
        <v/>
      </c>
      <c r="BQ380" s="51" t="str" cm="1">
        <f t="array" ref="BQ380">IF(BQ371&lt;&gt;"",BQ371,IF(ISERROR(INDEX(BQ371:$CB371,MATCH(FALSE,BQ371:$CB371="",0))),"",INDEX(BQ371:$CB371,MATCH(FALSE,BQ371:$CB371="",0))))</f>
        <v/>
      </c>
      <c r="BR380" s="51" t="str" cm="1">
        <f t="array" ref="BR380">IF(BR371&lt;&gt;"",BR371,IF(ISERROR(INDEX(BR371:$CB371,MATCH(FALSE,BR371:$CB371="",0))),"",INDEX(BR371:$CB371,MATCH(FALSE,BR371:$CB371="",0))))</f>
        <v/>
      </c>
      <c r="BS380" s="51" t="str" cm="1">
        <f t="array" ref="BS380">IF(BS371&lt;&gt;"",BS371,IF(ISERROR(INDEX(BS371:$CB371,MATCH(FALSE,BS371:$CB371="",0))),"",INDEX(BS371:$CB371,MATCH(FALSE,BS371:$CB371="",0))))</f>
        <v/>
      </c>
      <c r="BT380" s="51" t="str" cm="1">
        <f t="array" ref="BT380">IF(BT371&lt;&gt;"",BT371,IF(ISERROR(INDEX(BT371:$CB371,MATCH(FALSE,BT371:$CB371="",0))),"",INDEX(BT371:$CB371,MATCH(FALSE,BT371:$CB371="",0))))</f>
        <v/>
      </c>
      <c r="BU380" s="51" t="str" cm="1">
        <f t="array" ref="BU380">IF(BU371&lt;&gt;"",BU371,IF(ISERROR(INDEX(BU371:$CB371,MATCH(FALSE,BU371:$CB371="",0))),"",INDEX(BU371:$CB371,MATCH(FALSE,BU371:$CB371="",0))))</f>
        <v/>
      </c>
      <c r="BV380" s="51" t="str" cm="1">
        <f t="array" ref="BV380">IF(BV371&lt;&gt;"",BV371,IF(ISERROR(INDEX(BV371:$CB371,MATCH(FALSE,BV371:$CB371="",0))),"",INDEX(BV371:$CB371,MATCH(FALSE,BV371:$CB371="",0))))</f>
        <v/>
      </c>
      <c r="BW380" s="51" t="str" cm="1">
        <f t="array" ref="BW380">IF(BW371&lt;&gt;"",BW371,IF(ISERROR(INDEX(BW371:$CB371,MATCH(FALSE,BW371:$CB371="",0))),"",INDEX(BW371:$CB371,MATCH(FALSE,BW371:$CB371="",0))))</f>
        <v/>
      </c>
      <c r="BX380" s="49"/>
      <c r="BY380" s="49"/>
      <c r="BZ380" s="49"/>
      <c r="CA380" s="49"/>
      <c r="CB380" s="49"/>
    </row>
    <row r="381" spans="2:80" ht="15" customHeight="1" x14ac:dyDescent="0.2">
      <c r="B381" s="214">
        <v>2</v>
      </c>
      <c r="C381" s="214"/>
      <c r="D381" s="214"/>
      <c r="E381" s="218" t="str">
        <f>$E$326</f>
        <v>Operational Performance</v>
      </c>
      <c r="F381" s="218"/>
      <c r="G381" s="218"/>
      <c r="H381" s="218"/>
      <c r="I381" s="218"/>
      <c r="J381" s="218"/>
      <c r="K381" s="218"/>
      <c r="L381" s="218"/>
      <c r="M381" s="220">
        <f>$M$326</f>
        <v>3</v>
      </c>
      <c r="N381" s="220"/>
      <c r="O381" s="220"/>
      <c r="P381" s="220"/>
      <c r="Q381" s="220">
        <f>$Q$326</f>
        <v>3</v>
      </c>
      <c r="R381" s="220"/>
      <c r="S381" s="220"/>
      <c r="T381" s="220"/>
      <c r="U381" s="51" t="str">
        <f t="shared" si="1893"/>
        <v>-</v>
      </c>
      <c r="V381" s="51" t="str" cm="1">
        <f t="array" ref="V381">IF(V372&lt;&gt;"",V372,IF(ISERROR(INDEX(V372:$CB372,MATCH(FALSE,V372:$CB372="",0))),"",INDEX(V372:$CB372,MATCH(FALSE,V372:$CB372="",0))))</f>
        <v>+</v>
      </c>
      <c r="W381" s="51" t="str" cm="1">
        <f t="array" ref="W381">IF(W372&lt;&gt;"",W372,IF(ISERROR(INDEX(W372:$CB372,MATCH(FALSE,W372:$CB372="",0))),"",INDEX(W372:$CB372,MATCH(FALSE,W372:$CB372="",0))))</f>
        <v>+</v>
      </c>
      <c r="X381" s="51" t="str" cm="1">
        <f t="array" ref="X381">IF(X372&lt;&gt;"",X372,IF(ISERROR(INDEX(X372:$CB372,MATCH(FALSE,X372:$CB372="",0))),"",INDEX(X372:$CB372,MATCH(FALSE,X372:$CB372="",0))))</f>
        <v>+</v>
      </c>
      <c r="Y381" s="51" t="str" cm="1">
        <f t="array" ref="Y381">IF(Y372&lt;&gt;"",Y372,IF(ISERROR(INDEX(Y372:$CB372,MATCH(FALSE,Y372:$CB372="",0))),"",INDEX(Y372:$CB372,MATCH(FALSE,Y372:$CB372="",0))))</f>
        <v>+</v>
      </c>
      <c r="Z381" s="51" t="str" cm="1">
        <f t="array" ref="Z381">IF(Z372&lt;&gt;"",Z372,IF(ISERROR(INDEX(Z372:$CB372,MATCH(FALSE,Z372:$CB372="",0))),"",INDEX(Z372:$CB372,MATCH(FALSE,Z372:$CB372="",0))))</f>
        <v>+</v>
      </c>
      <c r="AA381" s="51" t="str" cm="1">
        <f t="array" ref="AA381">IF(AA372&lt;&gt;"",AA372,IF(ISERROR(INDEX(AA372:$CB372,MATCH(FALSE,AA372:$CB372="",0))),"",INDEX(AA372:$CB372,MATCH(FALSE,AA372:$CB372="",0))))</f>
        <v>+</v>
      </c>
      <c r="AB381" s="51" t="str" cm="1">
        <f t="array" ref="AB381">IF(AB372&lt;&gt;"",AB372,IF(ISERROR(INDEX(AB372:$CB372,MATCH(FALSE,AB372:$CB372="",0))),"",INDEX(AB372:$CB372,MATCH(FALSE,AB372:$CB372="",0))))</f>
        <v/>
      </c>
      <c r="AC381" s="51" t="str" cm="1">
        <f t="array" ref="AC381">IF(AC372&lt;&gt;"",AC372,IF(ISERROR(INDEX(AC372:$CB372,MATCH(FALSE,AC372:$CB372="",0))),"",INDEX(AC372:$CB372,MATCH(FALSE,AC372:$CB372="",0))))</f>
        <v/>
      </c>
      <c r="AD381" s="51" t="str" cm="1">
        <f t="array" ref="AD381">IF(AD372&lt;&gt;"",AD372,IF(ISERROR(INDEX(AD372:$CB372,MATCH(FALSE,AD372:$CB372="",0))),"",INDEX(AD372:$CB372,MATCH(FALSE,AD372:$CB372="",0))))</f>
        <v/>
      </c>
      <c r="AE381" s="51" t="str" cm="1">
        <f t="array" ref="AE381">IF(AE372&lt;&gt;"",AE372,IF(ISERROR(INDEX(AE372:$CB372,MATCH(FALSE,AE372:$CB372="",0))),"",INDEX(AE372:$CB372,MATCH(FALSE,AE372:$CB372="",0))))</f>
        <v/>
      </c>
      <c r="AF381" s="51" t="str" cm="1">
        <f t="array" ref="AF381">IF(AF372&lt;&gt;"",AF372,IF(ISERROR(INDEX(AF372:$CB372,MATCH(FALSE,AF372:$CB372="",0))),"",INDEX(AF372:$CB372,MATCH(FALSE,AF372:$CB372="",0))))</f>
        <v/>
      </c>
      <c r="AG381" s="51" t="str" cm="1">
        <f t="array" ref="AG381">IF(AG372&lt;&gt;"",AG372,IF(ISERROR(INDEX(AG372:$CB372,MATCH(FALSE,AG372:$CB372="",0))),"",INDEX(AG372:$CB372,MATCH(FALSE,AG372:$CB372="",0))))</f>
        <v/>
      </c>
      <c r="AH381" s="51" t="str" cm="1">
        <f t="array" ref="AH381">IF(AH372&lt;&gt;"",AH372,IF(ISERROR(INDEX(AH372:$CB372,MATCH(FALSE,AH372:$CB372="",0))),"",INDEX(AH372:$CB372,MATCH(FALSE,AH372:$CB372="",0))))</f>
        <v/>
      </c>
      <c r="AI381" s="51" t="str" cm="1">
        <f t="array" ref="AI381">IF(AI372&lt;&gt;"",AI372,IF(ISERROR(INDEX(AI372:$CB372,MATCH(FALSE,AI372:$CB372="",0))),"",INDEX(AI372:$CB372,MATCH(FALSE,AI372:$CB372="",0))))</f>
        <v/>
      </c>
      <c r="AJ381" s="51" t="str" cm="1">
        <f t="array" ref="AJ381">IF(AJ372&lt;&gt;"",AJ372,IF(ISERROR(INDEX(AJ372:$CB372,MATCH(FALSE,AJ372:$CB372="",0))),"",INDEX(AJ372:$CB372,MATCH(FALSE,AJ372:$CB372="",0))))</f>
        <v/>
      </c>
      <c r="AK381" s="51" t="str" cm="1">
        <f t="array" ref="AK381">IF(AK372&lt;&gt;"",AK372,IF(ISERROR(INDEX(AK372:$CB372,MATCH(FALSE,AK372:$CB372="",0))),"",INDEX(AK372:$CB372,MATCH(FALSE,AK372:$CB372="",0))))</f>
        <v/>
      </c>
      <c r="AL381" s="51" t="str" cm="1">
        <f t="array" ref="AL381">IF(AL372&lt;&gt;"",AL372,IF(ISERROR(INDEX(AL372:$CB372,MATCH(FALSE,AL372:$CB372="",0))),"",INDEX(AL372:$CB372,MATCH(FALSE,AL372:$CB372="",0))))</f>
        <v/>
      </c>
      <c r="AM381" s="51" t="str" cm="1">
        <f t="array" ref="AM381">IF(AM372&lt;&gt;"",AM372,IF(ISERROR(INDEX(AM372:$CB372,MATCH(FALSE,AM372:$CB372="",0))),"",INDEX(AM372:$CB372,MATCH(FALSE,AM372:$CB372="",0))))</f>
        <v/>
      </c>
      <c r="AN381" s="51" t="str" cm="1">
        <f t="array" ref="AN381">IF(AN372&lt;&gt;"",AN372,IF(ISERROR(INDEX(AN372:$CB372,MATCH(FALSE,AN372:$CB372="",0))),"",INDEX(AN372:$CB372,MATCH(FALSE,AN372:$CB372="",0))))</f>
        <v/>
      </c>
      <c r="AO381" s="51" t="str" cm="1">
        <f t="array" ref="AO381">IF(AO372&lt;&gt;"",AO372,IF(ISERROR(INDEX(AO372:$CB372,MATCH(FALSE,AO372:$CB372="",0))),"",INDEX(AO372:$CB372,MATCH(FALSE,AO372:$CB372="",0))))</f>
        <v/>
      </c>
      <c r="AP381" s="51" t="str" cm="1">
        <f t="array" ref="AP381">IF(AP372&lt;&gt;"",AP372,IF(ISERROR(INDEX(AP372:$CB372,MATCH(FALSE,AP372:$CB372="",0))),"",INDEX(AP372:$CB372,MATCH(FALSE,AP372:$CB372="",0))))</f>
        <v/>
      </c>
      <c r="AQ381" s="51" t="str" cm="1">
        <f t="array" ref="AQ381">IF(AQ372&lt;&gt;"",AQ372,IF(ISERROR(INDEX(AQ372:$CB372,MATCH(FALSE,AQ372:$CB372="",0))),"",INDEX(AQ372:$CB372,MATCH(FALSE,AQ372:$CB372="",0))))</f>
        <v/>
      </c>
      <c r="AR381" s="51" t="str" cm="1">
        <f t="array" ref="AR381">IF(AR372&lt;&gt;"",AR372,IF(ISERROR(INDEX(AR372:$CB372,MATCH(FALSE,AR372:$CB372="",0))),"",INDEX(AR372:$CB372,MATCH(FALSE,AR372:$CB372="",0))))</f>
        <v/>
      </c>
      <c r="AS381" s="51" t="str" cm="1">
        <f t="array" ref="AS381">IF(AS372&lt;&gt;"",AS372,IF(ISERROR(INDEX(AS372:$CB372,MATCH(FALSE,AS372:$CB372="",0))),"",INDEX(AS372:$CB372,MATCH(FALSE,AS372:$CB372="",0))))</f>
        <v/>
      </c>
      <c r="AT381" s="51" t="str" cm="1">
        <f t="array" ref="AT381">IF(AT372&lt;&gt;"",AT372,IF(ISERROR(INDEX(AT372:$CB372,MATCH(FALSE,AT372:$CB372="",0))),"",INDEX(AT372:$CB372,MATCH(FALSE,AT372:$CB372="",0))))</f>
        <v/>
      </c>
      <c r="AU381" s="51" t="str" cm="1">
        <f t="array" ref="AU381">IF(AU372&lt;&gt;"",AU372,IF(ISERROR(INDEX(AU372:$CB372,MATCH(FALSE,AU372:$CB372="",0))),"",INDEX(AU372:$CB372,MATCH(FALSE,AU372:$CB372="",0))))</f>
        <v/>
      </c>
      <c r="AV381" s="51" t="str" cm="1">
        <f t="array" ref="AV381">IF(AV372&lt;&gt;"",AV372,IF(ISERROR(INDEX(AV372:$CB372,MATCH(FALSE,AV372:$CB372="",0))),"",INDEX(AV372:$CB372,MATCH(FALSE,AV372:$CB372="",0))))</f>
        <v/>
      </c>
      <c r="AW381" s="51" t="str" cm="1">
        <f t="array" ref="AW381">IF(AW372&lt;&gt;"",AW372,IF(ISERROR(INDEX(AW372:$CB372,MATCH(FALSE,AW372:$CB372="",0))),"",INDEX(AW372:$CB372,MATCH(FALSE,AW372:$CB372="",0))))</f>
        <v/>
      </c>
      <c r="AX381" s="51" t="str" cm="1">
        <f t="array" ref="AX381">IF(AX372&lt;&gt;"",AX372,IF(ISERROR(INDEX(AX372:$CB372,MATCH(FALSE,AX372:$CB372="",0))),"",INDEX(AX372:$CB372,MATCH(FALSE,AX372:$CB372="",0))))</f>
        <v/>
      </c>
      <c r="AY381" s="51" t="str" cm="1">
        <f t="array" ref="AY381">IF(AY372&lt;&gt;"",AY372,IF(ISERROR(INDEX(AY372:$CB372,MATCH(FALSE,AY372:$CB372="",0))),"",INDEX(AY372:$CB372,MATCH(FALSE,AY372:$CB372="",0))))</f>
        <v/>
      </c>
      <c r="AZ381" s="51" t="str" cm="1">
        <f t="array" ref="AZ381">IF(AZ372&lt;&gt;"",AZ372,IF(ISERROR(INDEX(AZ372:$CB372,MATCH(FALSE,AZ372:$CB372="",0))),"",INDEX(AZ372:$CB372,MATCH(FALSE,AZ372:$CB372="",0))))</f>
        <v/>
      </c>
      <c r="BA381" s="51" t="str" cm="1">
        <f t="array" ref="BA381">IF(BA372&lt;&gt;"",BA372,IF(ISERROR(INDEX(BA372:$CB372,MATCH(FALSE,BA372:$CB372="",0))),"",INDEX(BA372:$CB372,MATCH(FALSE,BA372:$CB372="",0))))</f>
        <v/>
      </c>
      <c r="BB381" s="51" t="str" cm="1">
        <f t="array" ref="BB381">IF(BB372&lt;&gt;"",BB372,IF(ISERROR(INDEX(BB372:$CB372,MATCH(FALSE,BB372:$CB372="",0))),"",INDEX(BB372:$CB372,MATCH(FALSE,BB372:$CB372="",0))))</f>
        <v/>
      </c>
      <c r="BC381" s="51" t="str" cm="1">
        <f t="array" ref="BC381">IF(BC372&lt;&gt;"",BC372,IF(ISERROR(INDEX(BC372:$CB372,MATCH(FALSE,BC372:$CB372="",0))),"",INDEX(BC372:$CB372,MATCH(FALSE,BC372:$CB372="",0))))</f>
        <v/>
      </c>
      <c r="BD381" s="51" t="str" cm="1">
        <f t="array" ref="BD381">IF(BD372&lt;&gt;"",BD372,IF(ISERROR(INDEX(BD372:$CB372,MATCH(FALSE,BD372:$CB372="",0))),"",INDEX(BD372:$CB372,MATCH(FALSE,BD372:$CB372="",0))))</f>
        <v/>
      </c>
      <c r="BE381" s="51" t="str" cm="1">
        <f t="array" ref="BE381">IF(BE372&lt;&gt;"",BE372,IF(ISERROR(INDEX(BE372:$CB372,MATCH(FALSE,BE372:$CB372="",0))),"",INDEX(BE372:$CB372,MATCH(FALSE,BE372:$CB372="",0))))</f>
        <v/>
      </c>
      <c r="BF381" s="51" t="str" cm="1">
        <f t="array" ref="BF381">IF(BF372&lt;&gt;"",BF372,IF(ISERROR(INDEX(BF372:$CB372,MATCH(FALSE,BF372:$CB372="",0))),"",INDEX(BF372:$CB372,MATCH(FALSE,BF372:$CB372="",0))))</f>
        <v/>
      </c>
      <c r="BG381" s="51" t="str" cm="1">
        <f t="array" ref="BG381">IF(BG372&lt;&gt;"",BG372,IF(ISERROR(INDEX(BG372:$CB372,MATCH(FALSE,BG372:$CB372="",0))),"",INDEX(BG372:$CB372,MATCH(FALSE,BG372:$CB372="",0))))</f>
        <v/>
      </c>
      <c r="BH381" s="51" t="str" cm="1">
        <f t="array" ref="BH381">IF(BH372&lt;&gt;"",BH372,IF(ISERROR(INDEX(BH372:$CB372,MATCH(FALSE,BH372:$CB372="",0))),"",INDEX(BH372:$CB372,MATCH(FALSE,BH372:$CB372="",0))))</f>
        <v/>
      </c>
      <c r="BI381" s="51" t="str" cm="1">
        <f t="array" ref="BI381">IF(BI372&lt;&gt;"",BI372,IF(ISERROR(INDEX(BI372:$CB372,MATCH(FALSE,BI372:$CB372="",0))),"",INDEX(BI372:$CB372,MATCH(FALSE,BI372:$CB372="",0))))</f>
        <v/>
      </c>
      <c r="BJ381" s="51" t="str" cm="1">
        <f t="array" ref="BJ381">IF(BJ372&lt;&gt;"",BJ372,IF(ISERROR(INDEX(BJ372:$CB372,MATCH(FALSE,BJ372:$CB372="",0))),"",INDEX(BJ372:$CB372,MATCH(FALSE,BJ372:$CB372="",0))))</f>
        <v/>
      </c>
      <c r="BK381" s="51" t="str" cm="1">
        <f t="array" ref="BK381">IF(BK372&lt;&gt;"",BK372,IF(ISERROR(INDEX(BK372:$CB372,MATCH(FALSE,BK372:$CB372="",0))),"",INDEX(BK372:$CB372,MATCH(FALSE,BK372:$CB372="",0))))</f>
        <v/>
      </c>
      <c r="BL381" s="51" t="str" cm="1">
        <f t="array" ref="BL381">IF(BL372&lt;&gt;"",BL372,IF(ISERROR(INDEX(BL372:$CB372,MATCH(FALSE,BL372:$CB372="",0))),"",INDEX(BL372:$CB372,MATCH(FALSE,BL372:$CB372="",0))))</f>
        <v/>
      </c>
      <c r="BM381" s="51" t="str" cm="1">
        <f t="array" ref="BM381">IF(BM372&lt;&gt;"",BM372,IF(ISERROR(INDEX(BM372:$CB372,MATCH(FALSE,BM372:$CB372="",0))),"",INDEX(BM372:$CB372,MATCH(FALSE,BM372:$CB372="",0))))</f>
        <v/>
      </c>
      <c r="BN381" s="51" t="str" cm="1">
        <f t="array" ref="BN381">IF(BN372&lt;&gt;"",BN372,IF(ISERROR(INDEX(BN372:$CB372,MATCH(FALSE,BN372:$CB372="",0))),"",INDEX(BN372:$CB372,MATCH(FALSE,BN372:$CB372="",0))))</f>
        <v/>
      </c>
      <c r="BO381" s="51" t="str" cm="1">
        <f t="array" ref="BO381">IF(BO372&lt;&gt;"",BO372,IF(ISERROR(INDEX(BO372:$CB372,MATCH(FALSE,BO372:$CB372="",0))),"",INDEX(BO372:$CB372,MATCH(FALSE,BO372:$CB372="",0))))</f>
        <v/>
      </c>
      <c r="BP381" s="51" t="str" cm="1">
        <f t="array" ref="BP381">IF(BP372&lt;&gt;"",BP372,IF(ISERROR(INDEX(BP372:$CB372,MATCH(FALSE,BP372:$CB372="",0))),"",INDEX(BP372:$CB372,MATCH(FALSE,BP372:$CB372="",0))))</f>
        <v/>
      </c>
      <c r="BQ381" s="51" t="str" cm="1">
        <f t="array" ref="BQ381">IF(BQ372&lt;&gt;"",BQ372,IF(ISERROR(INDEX(BQ372:$CB372,MATCH(FALSE,BQ372:$CB372="",0))),"",INDEX(BQ372:$CB372,MATCH(FALSE,BQ372:$CB372="",0))))</f>
        <v/>
      </c>
      <c r="BR381" s="51" t="str" cm="1">
        <f t="array" ref="BR381">IF(BR372&lt;&gt;"",BR372,IF(ISERROR(INDEX(BR372:$CB372,MATCH(FALSE,BR372:$CB372="",0))),"",INDEX(BR372:$CB372,MATCH(FALSE,BR372:$CB372="",0))))</f>
        <v/>
      </c>
      <c r="BS381" s="51" t="str" cm="1">
        <f t="array" ref="BS381">IF(BS372&lt;&gt;"",BS372,IF(ISERROR(INDEX(BS372:$CB372,MATCH(FALSE,BS372:$CB372="",0))),"",INDEX(BS372:$CB372,MATCH(FALSE,BS372:$CB372="",0))))</f>
        <v/>
      </c>
      <c r="BT381" s="51" t="str" cm="1">
        <f t="array" ref="BT381">IF(BT372&lt;&gt;"",BT372,IF(ISERROR(INDEX(BT372:$CB372,MATCH(FALSE,BT372:$CB372="",0))),"",INDEX(BT372:$CB372,MATCH(FALSE,BT372:$CB372="",0))))</f>
        <v/>
      </c>
      <c r="BU381" s="51" t="str" cm="1">
        <f t="array" ref="BU381">IF(BU372&lt;&gt;"",BU372,IF(ISERROR(INDEX(BU372:$CB372,MATCH(FALSE,BU372:$CB372="",0))),"",INDEX(BU372:$CB372,MATCH(FALSE,BU372:$CB372="",0))))</f>
        <v/>
      </c>
      <c r="BV381" s="51" t="str" cm="1">
        <f t="array" ref="BV381">IF(BV372&lt;&gt;"",BV372,IF(ISERROR(INDEX(BV372:$CB372,MATCH(FALSE,BV372:$CB372="",0))),"",INDEX(BV372:$CB372,MATCH(FALSE,BV372:$CB372="",0))))</f>
        <v/>
      </c>
      <c r="BW381" s="51" t="str" cm="1">
        <f t="array" ref="BW381">IF(BW372&lt;&gt;"",BW372,IF(ISERROR(INDEX(BW372:$CB372,MATCH(FALSE,BW372:$CB372="",0))),"",INDEX(BW372:$CB372,MATCH(FALSE,BW372:$CB372="",0))))</f>
        <v/>
      </c>
      <c r="BX381" s="49"/>
      <c r="BY381" s="49"/>
      <c r="BZ381" s="49"/>
      <c r="CA381" s="49"/>
      <c r="CB381" s="49"/>
    </row>
    <row r="382" spans="2:80" ht="15" customHeight="1" x14ac:dyDescent="0.2">
      <c r="B382" s="214">
        <v>3</v>
      </c>
      <c r="C382" s="214"/>
      <c r="D382" s="214"/>
      <c r="E382" s="218" t="str">
        <f>$E$327</f>
        <v>Transform</v>
      </c>
      <c r="F382" s="218"/>
      <c r="G382" s="218"/>
      <c r="H382" s="218"/>
      <c r="I382" s="218"/>
      <c r="J382" s="218"/>
      <c r="K382" s="218"/>
      <c r="L382" s="218"/>
      <c r="M382" s="220">
        <f>$M$327</f>
        <v>3</v>
      </c>
      <c r="N382" s="220"/>
      <c r="O382" s="220"/>
      <c r="P382" s="220"/>
      <c r="Q382" s="220">
        <f>$Q$327</f>
        <v>9</v>
      </c>
      <c r="R382" s="220"/>
      <c r="S382" s="220"/>
      <c r="T382" s="220"/>
      <c r="U382" s="51" t="str">
        <f t="shared" si="1893"/>
        <v>-</v>
      </c>
      <c r="V382" s="51" t="str" cm="1">
        <f t="array" ref="V382">IF(V373&lt;&gt;"",V373,IF(ISERROR(INDEX(V373:$CB373,MATCH(FALSE,V373:$CB373="",0))),"",INDEX(V373:$CB373,MATCH(FALSE,V373:$CB373="",0))))</f>
        <v>+</v>
      </c>
      <c r="W382" s="51" t="str" cm="1">
        <f t="array" ref="W382">IF(W373&lt;&gt;"",W373,IF(ISERROR(INDEX(W373:$CB373,MATCH(FALSE,W373:$CB373="",0))),"",INDEX(W373:$CB373,MATCH(FALSE,W373:$CB373="",0))))</f>
        <v>+</v>
      </c>
      <c r="X382" s="51" t="str" cm="1">
        <f t="array" ref="X382">IF(X373&lt;&gt;"",X373,IF(ISERROR(INDEX(X373:$CB373,MATCH(FALSE,X373:$CB373="",0))),"",INDEX(X373:$CB373,MATCH(FALSE,X373:$CB373="",0))))</f>
        <v/>
      </c>
      <c r="Y382" s="51" t="str" cm="1">
        <f t="array" ref="Y382">IF(Y373&lt;&gt;"",Y373,IF(ISERROR(INDEX(Y373:$CB373,MATCH(FALSE,Y373:$CB373="",0))),"",INDEX(Y373:$CB373,MATCH(FALSE,Y373:$CB373="",0))))</f>
        <v/>
      </c>
      <c r="Z382" s="51" t="str" cm="1">
        <f t="array" ref="Z382">IF(Z373&lt;&gt;"",Z373,IF(ISERROR(INDEX(Z373:$CB373,MATCH(FALSE,Z373:$CB373="",0))),"",INDEX(Z373:$CB373,MATCH(FALSE,Z373:$CB373="",0))))</f>
        <v/>
      </c>
      <c r="AA382" s="51" t="str" cm="1">
        <f t="array" ref="AA382">IF(AA373&lt;&gt;"",AA373,IF(ISERROR(INDEX(AA373:$CB373,MATCH(FALSE,AA373:$CB373="",0))),"",INDEX(AA373:$CB373,MATCH(FALSE,AA373:$CB373="",0))))</f>
        <v/>
      </c>
      <c r="AB382" s="51" t="str" cm="1">
        <f t="array" ref="AB382">IF(AB373&lt;&gt;"",AB373,IF(ISERROR(INDEX(AB373:$CB373,MATCH(FALSE,AB373:$CB373="",0))),"",INDEX(AB373:$CB373,MATCH(FALSE,AB373:$CB373="",0))))</f>
        <v/>
      </c>
      <c r="AC382" s="51" t="str" cm="1">
        <f t="array" ref="AC382">IF(AC373&lt;&gt;"",AC373,IF(ISERROR(INDEX(AC373:$CB373,MATCH(FALSE,AC373:$CB373="",0))),"",INDEX(AC373:$CB373,MATCH(FALSE,AC373:$CB373="",0))))</f>
        <v/>
      </c>
      <c r="AD382" s="51" t="str" cm="1">
        <f t="array" ref="AD382">IF(AD373&lt;&gt;"",AD373,IF(ISERROR(INDEX(AD373:$CB373,MATCH(FALSE,AD373:$CB373="",0))),"",INDEX(AD373:$CB373,MATCH(FALSE,AD373:$CB373="",0))))</f>
        <v/>
      </c>
      <c r="AE382" s="51" t="str" cm="1">
        <f t="array" ref="AE382">IF(AE373&lt;&gt;"",AE373,IF(ISERROR(INDEX(AE373:$CB373,MATCH(FALSE,AE373:$CB373="",0))),"",INDEX(AE373:$CB373,MATCH(FALSE,AE373:$CB373="",0))))</f>
        <v/>
      </c>
      <c r="AF382" s="51" t="str" cm="1">
        <f t="array" ref="AF382">IF(AF373&lt;&gt;"",AF373,IF(ISERROR(INDEX(AF373:$CB373,MATCH(FALSE,AF373:$CB373="",0))),"",INDEX(AF373:$CB373,MATCH(FALSE,AF373:$CB373="",0))))</f>
        <v/>
      </c>
      <c r="AG382" s="51" t="str" cm="1">
        <f t="array" ref="AG382">IF(AG373&lt;&gt;"",AG373,IF(ISERROR(INDEX(AG373:$CB373,MATCH(FALSE,AG373:$CB373="",0))),"",INDEX(AG373:$CB373,MATCH(FALSE,AG373:$CB373="",0))))</f>
        <v/>
      </c>
      <c r="AH382" s="51" t="str" cm="1">
        <f t="array" ref="AH382">IF(AH373&lt;&gt;"",AH373,IF(ISERROR(INDEX(AH373:$CB373,MATCH(FALSE,AH373:$CB373="",0))),"",INDEX(AH373:$CB373,MATCH(FALSE,AH373:$CB373="",0))))</f>
        <v/>
      </c>
      <c r="AI382" s="51" t="str" cm="1">
        <f t="array" ref="AI382">IF(AI373&lt;&gt;"",AI373,IF(ISERROR(INDEX(AI373:$CB373,MATCH(FALSE,AI373:$CB373="",0))),"",INDEX(AI373:$CB373,MATCH(FALSE,AI373:$CB373="",0))))</f>
        <v/>
      </c>
      <c r="AJ382" s="51" t="str" cm="1">
        <f t="array" ref="AJ382">IF(AJ373&lt;&gt;"",AJ373,IF(ISERROR(INDEX(AJ373:$CB373,MATCH(FALSE,AJ373:$CB373="",0))),"",INDEX(AJ373:$CB373,MATCH(FALSE,AJ373:$CB373="",0))))</f>
        <v/>
      </c>
      <c r="AK382" s="51" t="str" cm="1">
        <f t="array" ref="AK382">IF(AK373&lt;&gt;"",AK373,IF(ISERROR(INDEX(AK373:$CB373,MATCH(FALSE,AK373:$CB373="",0))),"",INDEX(AK373:$CB373,MATCH(FALSE,AK373:$CB373="",0))))</f>
        <v/>
      </c>
      <c r="AL382" s="51" t="str" cm="1">
        <f t="array" ref="AL382">IF(AL373&lt;&gt;"",AL373,IF(ISERROR(INDEX(AL373:$CB373,MATCH(FALSE,AL373:$CB373="",0))),"",INDEX(AL373:$CB373,MATCH(FALSE,AL373:$CB373="",0))))</f>
        <v/>
      </c>
      <c r="AM382" s="51" t="str" cm="1">
        <f t="array" ref="AM382">IF(AM373&lt;&gt;"",AM373,IF(ISERROR(INDEX(AM373:$CB373,MATCH(FALSE,AM373:$CB373="",0))),"",INDEX(AM373:$CB373,MATCH(FALSE,AM373:$CB373="",0))))</f>
        <v/>
      </c>
      <c r="AN382" s="51" t="str" cm="1">
        <f t="array" ref="AN382">IF(AN373&lt;&gt;"",AN373,IF(ISERROR(INDEX(AN373:$CB373,MATCH(FALSE,AN373:$CB373="",0))),"",INDEX(AN373:$CB373,MATCH(FALSE,AN373:$CB373="",0))))</f>
        <v/>
      </c>
      <c r="AO382" s="51" t="str" cm="1">
        <f t="array" ref="AO382">IF(AO373&lt;&gt;"",AO373,IF(ISERROR(INDEX(AO373:$CB373,MATCH(FALSE,AO373:$CB373="",0))),"",INDEX(AO373:$CB373,MATCH(FALSE,AO373:$CB373="",0))))</f>
        <v/>
      </c>
      <c r="AP382" s="51" t="str" cm="1">
        <f t="array" ref="AP382">IF(AP373&lt;&gt;"",AP373,IF(ISERROR(INDEX(AP373:$CB373,MATCH(FALSE,AP373:$CB373="",0))),"",INDEX(AP373:$CB373,MATCH(FALSE,AP373:$CB373="",0))))</f>
        <v/>
      </c>
      <c r="AQ382" s="51" t="str" cm="1">
        <f t="array" ref="AQ382">IF(AQ373&lt;&gt;"",AQ373,IF(ISERROR(INDEX(AQ373:$CB373,MATCH(FALSE,AQ373:$CB373="",0))),"",INDEX(AQ373:$CB373,MATCH(FALSE,AQ373:$CB373="",0))))</f>
        <v/>
      </c>
      <c r="AR382" s="51" t="str" cm="1">
        <f t="array" ref="AR382">IF(AR373&lt;&gt;"",AR373,IF(ISERROR(INDEX(AR373:$CB373,MATCH(FALSE,AR373:$CB373="",0))),"",INDEX(AR373:$CB373,MATCH(FALSE,AR373:$CB373="",0))))</f>
        <v/>
      </c>
      <c r="AS382" s="51" t="str" cm="1">
        <f t="array" ref="AS382">IF(AS373&lt;&gt;"",AS373,IF(ISERROR(INDEX(AS373:$CB373,MATCH(FALSE,AS373:$CB373="",0))),"",INDEX(AS373:$CB373,MATCH(FALSE,AS373:$CB373="",0))))</f>
        <v/>
      </c>
      <c r="AT382" s="51" t="str" cm="1">
        <f t="array" ref="AT382">IF(AT373&lt;&gt;"",AT373,IF(ISERROR(INDEX(AT373:$CB373,MATCH(FALSE,AT373:$CB373="",0))),"",INDEX(AT373:$CB373,MATCH(FALSE,AT373:$CB373="",0))))</f>
        <v/>
      </c>
      <c r="AU382" s="51" t="str" cm="1">
        <f t="array" ref="AU382">IF(AU373&lt;&gt;"",AU373,IF(ISERROR(INDEX(AU373:$CB373,MATCH(FALSE,AU373:$CB373="",0))),"",INDEX(AU373:$CB373,MATCH(FALSE,AU373:$CB373="",0))))</f>
        <v/>
      </c>
      <c r="AV382" s="51" t="str" cm="1">
        <f t="array" ref="AV382">IF(AV373&lt;&gt;"",AV373,IF(ISERROR(INDEX(AV373:$CB373,MATCH(FALSE,AV373:$CB373="",0))),"",INDEX(AV373:$CB373,MATCH(FALSE,AV373:$CB373="",0))))</f>
        <v/>
      </c>
      <c r="AW382" s="51" t="str" cm="1">
        <f t="array" ref="AW382">IF(AW373&lt;&gt;"",AW373,IF(ISERROR(INDEX(AW373:$CB373,MATCH(FALSE,AW373:$CB373="",0))),"",INDEX(AW373:$CB373,MATCH(FALSE,AW373:$CB373="",0))))</f>
        <v/>
      </c>
      <c r="AX382" s="51" t="str" cm="1">
        <f t="array" ref="AX382">IF(AX373&lt;&gt;"",AX373,IF(ISERROR(INDEX(AX373:$CB373,MATCH(FALSE,AX373:$CB373="",0))),"",INDEX(AX373:$CB373,MATCH(FALSE,AX373:$CB373="",0))))</f>
        <v/>
      </c>
      <c r="AY382" s="51" t="str" cm="1">
        <f t="array" ref="AY382">IF(AY373&lt;&gt;"",AY373,IF(ISERROR(INDEX(AY373:$CB373,MATCH(FALSE,AY373:$CB373="",0))),"",INDEX(AY373:$CB373,MATCH(FALSE,AY373:$CB373="",0))))</f>
        <v/>
      </c>
      <c r="AZ382" s="51" t="str" cm="1">
        <f t="array" ref="AZ382">IF(AZ373&lt;&gt;"",AZ373,IF(ISERROR(INDEX(AZ373:$CB373,MATCH(FALSE,AZ373:$CB373="",0))),"",INDEX(AZ373:$CB373,MATCH(FALSE,AZ373:$CB373="",0))))</f>
        <v/>
      </c>
      <c r="BA382" s="51" t="str" cm="1">
        <f t="array" ref="BA382">IF(BA373&lt;&gt;"",BA373,IF(ISERROR(INDEX(BA373:$CB373,MATCH(FALSE,BA373:$CB373="",0))),"",INDEX(BA373:$CB373,MATCH(FALSE,BA373:$CB373="",0))))</f>
        <v/>
      </c>
      <c r="BB382" s="51" t="str" cm="1">
        <f t="array" ref="BB382">IF(BB373&lt;&gt;"",BB373,IF(ISERROR(INDEX(BB373:$CB373,MATCH(FALSE,BB373:$CB373="",0))),"",INDEX(BB373:$CB373,MATCH(FALSE,BB373:$CB373="",0))))</f>
        <v/>
      </c>
      <c r="BC382" s="51" t="str" cm="1">
        <f t="array" ref="BC382">IF(BC373&lt;&gt;"",BC373,IF(ISERROR(INDEX(BC373:$CB373,MATCH(FALSE,BC373:$CB373="",0))),"",INDEX(BC373:$CB373,MATCH(FALSE,BC373:$CB373="",0))))</f>
        <v/>
      </c>
      <c r="BD382" s="51" t="str" cm="1">
        <f t="array" ref="BD382">IF(BD373&lt;&gt;"",BD373,IF(ISERROR(INDEX(BD373:$CB373,MATCH(FALSE,BD373:$CB373="",0))),"",INDEX(BD373:$CB373,MATCH(FALSE,BD373:$CB373="",0))))</f>
        <v/>
      </c>
      <c r="BE382" s="51" t="str" cm="1">
        <f t="array" ref="BE382">IF(BE373&lt;&gt;"",BE373,IF(ISERROR(INDEX(BE373:$CB373,MATCH(FALSE,BE373:$CB373="",0))),"",INDEX(BE373:$CB373,MATCH(FALSE,BE373:$CB373="",0))))</f>
        <v/>
      </c>
      <c r="BF382" s="51" t="str" cm="1">
        <f t="array" ref="BF382">IF(BF373&lt;&gt;"",BF373,IF(ISERROR(INDEX(BF373:$CB373,MATCH(FALSE,BF373:$CB373="",0))),"",INDEX(BF373:$CB373,MATCH(FALSE,BF373:$CB373="",0))))</f>
        <v/>
      </c>
      <c r="BG382" s="51" t="str" cm="1">
        <f t="array" ref="BG382">IF(BG373&lt;&gt;"",BG373,IF(ISERROR(INDEX(BG373:$CB373,MATCH(FALSE,BG373:$CB373="",0))),"",INDEX(BG373:$CB373,MATCH(FALSE,BG373:$CB373="",0))))</f>
        <v/>
      </c>
      <c r="BH382" s="51" t="str" cm="1">
        <f t="array" ref="BH382">IF(BH373&lt;&gt;"",BH373,IF(ISERROR(INDEX(BH373:$CB373,MATCH(FALSE,BH373:$CB373="",0))),"",INDEX(BH373:$CB373,MATCH(FALSE,BH373:$CB373="",0))))</f>
        <v/>
      </c>
      <c r="BI382" s="51" t="str" cm="1">
        <f t="array" ref="BI382">IF(BI373&lt;&gt;"",BI373,IF(ISERROR(INDEX(BI373:$CB373,MATCH(FALSE,BI373:$CB373="",0))),"",INDEX(BI373:$CB373,MATCH(FALSE,BI373:$CB373="",0))))</f>
        <v/>
      </c>
      <c r="BJ382" s="51" t="str" cm="1">
        <f t="array" ref="BJ382">IF(BJ373&lt;&gt;"",BJ373,IF(ISERROR(INDEX(BJ373:$CB373,MATCH(FALSE,BJ373:$CB373="",0))),"",INDEX(BJ373:$CB373,MATCH(FALSE,BJ373:$CB373="",0))))</f>
        <v/>
      </c>
      <c r="BK382" s="51" t="str" cm="1">
        <f t="array" ref="BK382">IF(BK373&lt;&gt;"",BK373,IF(ISERROR(INDEX(BK373:$CB373,MATCH(FALSE,BK373:$CB373="",0))),"",INDEX(BK373:$CB373,MATCH(FALSE,BK373:$CB373="",0))))</f>
        <v/>
      </c>
      <c r="BL382" s="51" t="str" cm="1">
        <f t="array" ref="BL382">IF(BL373&lt;&gt;"",BL373,IF(ISERROR(INDEX(BL373:$CB373,MATCH(FALSE,BL373:$CB373="",0))),"",INDEX(BL373:$CB373,MATCH(FALSE,BL373:$CB373="",0))))</f>
        <v/>
      </c>
      <c r="BM382" s="51" t="str" cm="1">
        <f t="array" ref="BM382">IF(BM373&lt;&gt;"",BM373,IF(ISERROR(INDEX(BM373:$CB373,MATCH(FALSE,BM373:$CB373="",0))),"",INDEX(BM373:$CB373,MATCH(FALSE,BM373:$CB373="",0))))</f>
        <v/>
      </c>
      <c r="BN382" s="51" t="str" cm="1">
        <f t="array" ref="BN382">IF(BN373&lt;&gt;"",BN373,IF(ISERROR(INDEX(BN373:$CB373,MATCH(FALSE,BN373:$CB373="",0))),"",INDEX(BN373:$CB373,MATCH(FALSE,BN373:$CB373="",0))))</f>
        <v/>
      </c>
      <c r="BO382" s="51" t="str" cm="1">
        <f t="array" ref="BO382">IF(BO373&lt;&gt;"",BO373,IF(ISERROR(INDEX(BO373:$CB373,MATCH(FALSE,BO373:$CB373="",0))),"",INDEX(BO373:$CB373,MATCH(FALSE,BO373:$CB373="",0))))</f>
        <v/>
      </c>
      <c r="BP382" s="51" t="str" cm="1">
        <f t="array" ref="BP382">IF(BP373&lt;&gt;"",BP373,IF(ISERROR(INDEX(BP373:$CB373,MATCH(FALSE,BP373:$CB373="",0))),"",INDEX(BP373:$CB373,MATCH(FALSE,BP373:$CB373="",0))))</f>
        <v/>
      </c>
      <c r="BQ382" s="51" t="str" cm="1">
        <f t="array" ref="BQ382">IF(BQ373&lt;&gt;"",BQ373,IF(ISERROR(INDEX(BQ373:$CB373,MATCH(FALSE,BQ373:$CB373="",0))),"",INDEX(BQ373:$CB373,MATCH(FALSE,BQ373:$CB373="",0))))</f>
        <v/>
      </c>
      <c r="BR382" s="51" t="str" cm="1">
        <f t="array" ref="BR382">IF(BR373&lt;&gt;"",BR373,IF(ISERROR(INDEX(BR373:$CB373,MATCH(FALSE,BR373:$CB373="",0))),"",INDEX(BR373:$CB373,MATCH(FALSE,BR373:$CB373="",0))))</f>
        <v/>
      </c>
      <c r="BS382" s="51" t="str" cm="1">
        <f t="array" ref="BS382">IF(BS373&lt;&gt;"",BS373,IF(ISERROR(INDEX(BS373:$CB373,MATCH(FALSE,BS373:$CB373="",0))),"",INDEX(BS373:$CB373,MATCH(FALSE,BS373:$CB373="",0))))</f>
        <v/>
      </c>
      <c r="BT382" s="51" t="str" cm="1">
        <f t="array" ref="BT382">IF(BT373&lt;&gt;"",BT373,IF(ISERROR(INDEX(BT373:$CB373,MATCH(FALSE,BT373:$CB373="",0))),"",INDEX(BT373:$CB373,MATCH(FALSE,BT373:$CB373="",0))))</f>
        <v/>
      </c>
      <c r="BU382" s="51" t="str" cm="1">
        <f t="array" ref="BU382">IF(BU373&lt;&gt;"",BU373,IF(ISERROR(INDEX(BU373:$CB373,MATCH(FALSE,BU373:$CB373="",0))),"",INDEX(BU373:$CB373,MATCH(FALSE,BU373:$CB373="",0))))</f>
        <v/>
      </c>
      <c r="BV382" s="51" t="str" cm="1">
        <f t="array" ref="BV382">IF(BV373&lt;&gt;"",BV373,IF(ISERROR(INDEX(BV373:$CB373,MATCH(FALSE,BV373:$CB373="",0))),"",INDEX(BV373:$CB373,MATCH(FALSE,BV373:$CB373="",0))))</f>
        <v/>
      </c>
      <c r="BW382" s="51" t="str" cm="1">
        <f t="array" ref="BW382">IF(BW373&lt;&gt;"",BW373,IF(ISERROR(INDEX(BW373:$CB373,MATCH(FALSE,BW373:$CB373="",0))),"",INDEX(BW373:$CB373,MATCH(FALSE,BW373:$CB373="",0))))</f>
        <v/>
      </c>
      <c r="BX382" s="49"/>
      <c r="BY382" s="49"/>
      <c r="BZ382" s="49"/>
      <c r="CA382" s="49"/>
      <c r="CB382" s="49"/>
    </row>
    <row r="383" spans="2:80" ht="15" customHeight="1" x14ac:dyDescent="0.2">
      <c r="B383" s="214">
        <v>4</v>
      </c>
      <c r="C383" s="214"/>
      <c r="D383" s="214"/>
      <c r="E383" s="218" t="str">
        <f>$E$328</f>
        <v>System Response</v>
      </c>
      <c r="F383" s="218"/>
      <c r="G383" s="218"/>
      <c r="H383" s="218"/>
      <c r="I383" s="218"/>
      <c r="J383" s="218"/>
      <c r="K383" s="218"/>
      <c r="L383" s="218"/>
      <c r="M383" s="220">
        <f>$M$328</f>
        <v>1</v>
      </c>
      <c r="N383" s="220"/>
      <c r="O383" s="220"/>
      <c r="P383" s="220"/>
      <c r="Q383" s="220">
        <f>$Q$328</f>
        <v>9</v>
      </c>
      <c r="R383" s="220"/>
      <c r="S383" s="220"/>
      <c r="T383" s="220"/>
      <c r="U383" s="51" t="str">
        <f t="shared" si="1893"/>
        <v/>
      </c>
      <c r="V383" s="51" t="str" cm="1">
        <f t="array" ref="V383">IF(V374&lt;&gt;"",V374,IF(ISERROR(INDEX(V374:$CB374,MATCH(FALSE,V374:$CB374="",0))),"",INDEX(V374:$CB374,MATCH(FALSE,V374:$CB374="",0))))</f>
        <v/>
      </c>
      <c r="W383" s="51" t="str" cm="1">
        <f t="array" ref="W383">IF(W374&lt;&gt;"",W374,IF(ISERROR(INDEX(W374:$CB374,MATCH(FALSE,W374:$CB374="",0))),"",INDEX(W374:$CB374,MATCH(FALSE,W374:$CB374="",0))))</f>
        <v/>
      </c>
      <c r="X383" s="51" t="str" cm="1">
        <f t="array" ref="X383">IF(X374&lt;&gt;"",X374,IF(ISERROR(INDEX(X374:$CB374,MATCH(FALSE,X374:$CB374="",0))),"",INDEX(X374:$CB374,MATCH(FALSE,X374:$CB374="",0))))</f>
        <v/>
      </c>
      <c r="Y383" s="51" t="str" cm="1">
        <f t="array" ref="Y383">IF(Y374&lt;&gt;"",Y374,IF(ISERROR(INDEX(Y374:$CB374,MATCH(FALSE,Y374:$CB374="",0))),"",INDEX(Y374:$CB374,MATCH(FALSE,Y374:$CB374="",0))))</f>
        <v/>
      </c>
      <c r="Z383" s="51" t="str" cm="1">
        <f t="array" ref="Z383">IF(Z374&lt;&gt;"",Z374,IF(ISERROR(INDEX(Z374:$CB374,MATCH(FALSE,Z374:$CB374="",0))),"",INDEX(Z374:$CB374,MATCH(FALSE,Z374:$CB374="",0))))</f>
        <v/>
      </c>
      <c r="AA383" s="51" t="str" cm="1">
        <f t="array" ref="AA383">IF(AA374&lt;&gt;"",AA374,IF(ISERROR(INDEX(AA374:$CB374,MATCH(FALSE,AA374:$CB374="",0))),"",INDEX(AA374:$CB374,MATCH(FALSE,AA374:$CB374="",0))))</f>
        <v/>
      </c>
      <c r="AB383" s="51" t="str" cm="1">
        <f t="array" ref="AB383">IF(AB374&lt;&gt;"",AB374,IF(ISERROR(INDEX(AB374:$CB374,MATCH(FALSE,AB374:$CB374="",0))),"",INDEX(AB374:$CB374,MATCH(FALSE,AB374:$CB374="",0))))</f>
        <v/>
      </c>
      <c r="AC383" s="51" t="str" cm="1">
        <f t="array" ref="AC383">IF(AC374&lt;&gt;"",AC374,IF(ISERROR(INDEX(AC374:$CB374,MATCH(FALSE,AC374:$CB374="",0))),"",INDEX(AC374:$CB374,MATCH(FALSE,AC374:$CB374="",0))))</f>
        <v/>
      </c>
      <c r="AD383" s="51" t="str" cm="1">
        <f t="array" ref="AD383">IF(AD374&lt;&gt;"",AD374,IF(ISERROR(INDEX(AD374:$CB374,MATCH(FALSE,AD374:$CB374="",0))),"",INDEX(AD374:$CB374,MATCH(FALSE,AD374:$CB374="",0))))</f>
        <v/>
      </c>
      <c r="AE383" s="51" t="str" cm="1">
        <f t="array" ref="AE383">IF(AE374&lt;&gt;"",AE374,IF(ISERROR(INDEX(AE374:$CB374,MATCH(FALSE,AE374:$CB374="",0))),"",INDEX(AE374:$CB374,MATCH(FALSE,AE374:$CB374="",0))))</f>
        <v/>
      </c>
      <c r="AF383" s="51" t="str" cm="1">
        <f t="array" ref="AF383">IF(AF374&lt;&gt;"",AF374,IF(ISERROR(INDEX(AF374:$CB374,MATCH(FALSE,AF374:$CB374="",0))),"",INDEX(AF374:$CB374,MATCH(FALSE,AF374:$CB374="",0))))</f>
        <v/>
      </c>
      <c r="AG383" s="51" t="str" cm="1">
        <f t="array" ref="AG383">IF(AG374&lt;&gt;"",AG374,IF(ISERROR(INDEX(AG374:$CB374,MATCH(FALSE,AG374:$CB374="",0))),"",INDEX(AG374:$CB374,MATCH(FALSE,AG374:$CB374="",0))))</f>
        <v/>
      </c>
      <c r="AH383" s="51" t="str" cm="1">
        <f t="array" ref="AH383">IF(AH374&lt;&gt;"",AH374,IF(ISERROR(INDEX(AH374:$CB374,MATCH(FALSE,AH374:$CB374="",0))),"",INDEX(AH374:$CB374,MATCH(FALSE,AH374:$CB374="",0))))</f>
        <v/>
      </c>
      <c r="AI383" s="51" t="str" cm="1">
        <f t="array" ref="AI383">IF(AI374&lt;&gt;"",AI374,IF(ISERROR(INDEX(AI374:$CB374,MATCH(FALSE,AI374:$CB374="",0))),"",INDEX(AI374:$CB374,MATCH(FALSE,AI374:$CB374="",0))))</f>
        <v/>
      </c>
      <c r="AJ383" s="51" t="str" cm="1">
        <f t="array" ref="AJ383">IF(AJ374&lt;&gt;"",AJ374,IF(ISERROR(INDEX(AJ374:$CB374,MATCH(FALSE,AJ374:$CB374="",0))),"",INDEX(AJ374:$CB374,MATCH(FALSE,AJ374:$CB374="",0))))</f>
        <v/>
      </c>
      <c r="AK383" s="51" t="str" cm="1">
        <f t="array" ref="AK383">IF(AK374&lt;&gt;"",AK374,IF(ISERROR(INDEX(AK374:$CB374,MATCH(FALSE,AK374:$CB374="",0))),"",INDEX(AK374:$CB374,MATCH(FALSE,AK374:$CB374="",0))))</f>
        <v/>
      </c>
      <c r="AL383" s="51" t="str" cm="1">
        <f t="array" ref="AL383">IF(AL374&lt;&gt;"",AL374,IF(ISERROR(INDEX(AL374:$CB374,MATCH(FALSE,AL374:$CB374="",0))),"",INDEX(AL374:$CB374,MATCH(FALSE,AL374:$CB374="",0))))</f>
        <v/>
      </c>
      <c r="AM383" s="51" t="str" cm="1">
        <f t="array" ref="AM383">IF(AM374&lt;&gt;"",AM374,IF(ISERROR(INDEX(AM374:$CB374,MATCH(FALSE,AM374:$CB374="",0))),"",INDEX(AM374:$CB374,MATCH(FALSE,AM374:$CB374="",0))))</f>
        <v/>
      </c>
      <c r="AN383" s="51" t="str" cm="1">
        <f t="array" ref="AN383">IF(AN374&lt;&gt;"",AN374,IF(ISERROR(INDEX(AN374:$CB374,MATCH(FALSE,AN374:$CB374="",0))),"",INDEX(AN374:$CB374,MATCH(FALSE,AN374:$CB374="",0))))</f>
        <v/>
      </c>
      <c r="AO383" s="51" t="str" cm="1">
        <f t="array" ref="AO383">IF(AO374&lt;&gt;"",AO374,IF(ISERROR(INDEX(AO374:$CB374,MATCH(FALSE,AO374:$CB374="",0))),"",INDEX(AO374:$CB374,MATCH(FALSE,AO374:$CB374="",0))))</f>
        <v/>
      </c>
      <c r="AP383" s="51" t="str" cm="1">
        <f t="array" ref="AP383">IF(AP374&lt;&gt;"",AP374,IF(ISERROR(INDEX(AP374:$CB374,MATCH(FALSE,AP374:$CB374="",0))),"",INDEX(AP374:$CB374,MATCH(FALSE,AP374:$CB374="",0))))</f>
        <v/>
      </c>
      <c r="AQ383" s="51" t="str" cm="1">
        <f t="array" ref="AQ383">IF(AQ374&lt;&gt;"",AQ374,IF(ISERROR(INDEX(AQ374:$CB374,MATCH(FALSE,AQ374:$CB374="",0))),"",INDEX(AQ374:$CB374,MATCH(FALSE,AQ374:$CB374="",0))))</f>
        <v/>
      </c>
      <c r="AR383" s="51" t="str" cm="1">
        <f t="array" ref="AR383">IF(AR374&lt;&gt;"",AR374,IF(ISERROR(INDEX(AR374:$CB374,MATCH(FALSE,AR374:$CB374="",0))),"",INDEX(AR374:$CB374,MATCH(FALSE,AR374:$CB374="",0))))</f>
        <v/>
      </c>
      <c r="AS383" s="51" t="str" cm="1">
        <f t="array" ref="AS383">IF(AS374&lt;&gt;"",AS374,IF(ISERROR(INDEX(AS374:$CB374,MATCH(FALSE,AS374:$CB374="",0))),"",INDEX(AS374:$CB374,MATCH(FALSE,AS374:$CB374="",0))))</f>
        <v/>
      </c>
      <c r="AT383" s="51" t="str" cm="1">
        <f t="array" ref="AT383">IF(AT374&lt;&gt;"",AT374,IF(ISERROR(INDEX(AT374:$CB374,MATCH(FALSE,AT374:$CB374="",0))),"",INDEX(AT374:$CB374,MATCH(FALSE,AT374:$CB374="",0))))</f>
        <v/>
      </c>
      <c r="AU383" s="51" t="str" cm="1">
        <f t="array" ref="AU383">IF(AU374&lt;&gt;"",AU374,IF(ISERROR(INDEX(AU374:$CB374,MATCH(FALSE,AU374:$CB374="",0))),"",INDEX(AU374:$CB374,MATCH(FALSE,AU374:$CB374="",0))))</f>
        <v/>
      </c>
      <c r="AV383" s="51" t="str" cm="1">
        <f t="array" ref="AV383">IF(AV374&lt;&gt;"",AV374,IF(ISERROR(INDEX(AV374:$CB374,MATCH(FALSE,AV374:$CB374="",0))),"",INDEX(AV374:$CB374,MATCH(FALSE,AV374:$CB374="",0))))</f>
        <v/>
      </c>
      <c r="AW383" s="51" t="str" cm="1">
        <f t="array" ref="AW383">IF(AW374&lt;&gt;"",AW374,IF(ISERROR(INDEX(AW374:$CB374,MATCH(FALSE,AW374:$CB374="",0))),"",INDEX(AW374:$CB374,MATCH(FALSE,AW374:$CB374="",0))))</f>
        <v/>
      </c>
      <c r="AX383" s="51" t="str" cm="1">
        <f t="array" ref="AX383">IF(AX374&lt;&gt;"",AX374,IF(ISERROR(INDEX(AX374:$CB374,MATCH(FALSE,AX374:$CB374="",0))),"",INDEX(AX374:$CB374,MATCH(FALSE,AX374:$CB374="",0))))</f>
        <v/>
      </c>
      <c r="AY383" s="51" t="str" cm="1">
        <f t="array" ref="AY383">IF(AY374&lt;&gt;"",AY374,IF(ISERROR(INDEX(AY374:$CB374,MATCH(FALSE,AY374:$CB374="",0))),"",INDEX(AY374:$CB374,MATCH(FALSE,AY374:$CB374="",0))))</f>
        <v/>
      </c>
      <c r="AZ383" s="51" t="str" cm="1">
        <f t="array" ref="AZ383">IF(AZ374&lt;&gt;"",AZ374,IF(ISERROR(INDEX(AZ374:$CB374,MATCH(FALSE,AZ374:$CB374="",0))),"",INDEX(AZ374:$CB374,MATCH(FALSE,AZ374:$CB374="",0))))</f>
        <v/>
      </c>
      <c r="BA383" s="51" t="str" cm="1">
        <f t="array" ref="BA383">IF(BA374&lt;&gt;"",BA374,IF(ISERROR(INDEX(BA374:$CB374,MATCH(FALSE,BA374:$CB374="",0))),"",INDEX(BA374:$CB374,MATCH(FALSE,BA374:$CB374="",0))))</f>
        <v/>
      </c>
      <c r="BB383" s="51" t="str" cm="1">
        <f t="array" ref="BB383">IF(BB374&lt;&gt;"",BB374,IF(ISERROR(INDEX(BB374:$CB374,MATCH(FALSE,BB374:$CB374="",0))),"",INDEX(BB374:$CB374,MATCH(FALSE,BB374:$CB374="",0))))</f>
        <v/>
      </c>
      <c r="BC383" s="51" t="str" cm="1">
        <f t="array" ref="BC383">IF(BC374&lt;&gt;"",BC374,IF(ISERROR(INDEX(BC374:$CB374,MATCH(FALSE,BC374:$CB374="",0))),"",INDEX(BC374:$CB374,MATCH(FALSE,BC374:$CB374="",0))))</f>
        <v/>
      </c>
      <c r="BD383" s="51" t="str" cm="1">
        <f t="array" ref="BD383">IF(BD374&lt;&gt;"",BD374,IF(ISERROR(INDEX(BD374:$CB374,MATCH(FALSE,BD374:$CB374="",0))),"",INDEX(BD374:$CB374,MATCH(FALSE,BD374:$CB374="",0))))</f>
        <v/>
      </c>
      <c r="BE383" s="51" t="str" cm="1">
        <f t="array" ref="BE383">IF(BE374&lt;&gt;"",BE374,IF(ISERROR(INDEX(BE374:$CB374,MATCH(FALSE,BE374:$CB374="",0))),"",INDEX(BE374:$CB374,MATCH(FALSE,BE374:$CB374="",0))))</f>
        <v/>
      </c>
      <c r="BF383" s="51" t="str" cm="1">
        <f t="array" ref="BF383">IF(BF374&lt;&gt;"",BF374,IF(ISERROR(INDEX(BF374:$CB374,MATCH(FALSE,BF374:$CB374="",0))),"",INDEX(BF374:$CB374,MATCH(FALSE,BF374:$CB374="",0))))</f>
        <v/>
      </c>
      <c r="BG383" s="51" t="str" cm="1">
        <f t="array" ref="BG383">IF(BG374&lt;&gt;"",BG374,IF(ISERROR(INDEX(BG374:$CB374,MATCH(FALSE,BG374:$CB374="",0))),"",INDEX(BG374:$CB374,MATCH(FALSE,BG374:$CB374="",0))))</f>
        <v/>
      </c>
      <c r="BH383" s="51" t="str" cm="1">
        <f t="array" ref="BH383">IF(BH374&lt;&gt;"",BH374,IF(ISERROR(INDEX(BH374:$CB374,MATCH(FALSE,BH374:$CB374="",0))),"",INDEX(BH374:$CB374,MATCH(FALSE,BH374:$CB374="",0))))</f>
        <v/>
      </c>
      <c r="BI383" s="51" t="str" cm="1">
        <f t="array" ref="BI383">IF(BI374&lt;&gt;"",BI374,IF(ISERROR(INDEX(BI374:$CB374,MATCH(FALSE,BI374:$CB374="",0))),"",INDEX(BI374:$CB374,MATCH(FALSE,BI374:$CB374="",0))))</f>
        <v/>
      </c>
      <c r="BJ383" s="51" t="str" cm="1">
        <f t="array" ref="BJ383">IF(BJ374&lt;&gt;"",BJ374,IF(ISERROR(INDEX(BJ374:$CB374,MATCH(FALSE,BJ374:$CB374="",0))),"",INDEX(BJ374:$CB374,MATCH(FALSE,BJ374:$CB374="",0))))</f>
        <v/>
      </c>
      <c r="BK383" s="51" t="str" cm="1">
        <f t="array" ref="BK383">IF(BK374&lt;&gt;"",BK374,IF(ISERROR(INDEX(BK374:$CB374,MATCH(FALSE,BK374:$CB374="",0))),"",INDEX(BK374:$CB374,MATCH(FALSE,BK374:$CB374="",0))))</f>
        <v/>
      </c>
      <c r="BL383" s="51" t="str" cm="1">
        <f t="array" ref="BL383">IF(BL374&lt;&gt;"",BL374,IF(ISERROR(INDEX(BL374:$CB374,MATCH(FALSE,BL374:$CB374="",0))),"",INDEX(BL374:$CB374,MATCH(FALSE,BL374:$CB374="",0))))</f>
        <v/>
      </c>
      <c r="BM383" s="51" t="str" cm="1">
        <f t="array" ref="BM383">IF(BM374&lt;&gt;"",BM374,IF(ISERROR(INDEX(BM374:$CB374,MATCH(FALSE,BM374:$CB374="",0))),"",INDEX(BM374:$CB374,MATCH(FALSE,BM374:$CB374="",0))))</f>
        <v/>
      </c>
      <c r="BN383" s="51" t="str" cm="1">
        <f t="array" ref="BN383">IF(BN374&lt;&gt;"",BN374,IF(ISERROR(INDEX(BN374:$CB374,MATCH(FALSE,BN374:$CB374="",0))),"",INDEX(BN374:$CB374,MATCH(FALSE,BN374:$CB374="",0))))</f>
        <v/>
      </c>
      <c r="BO383" s="51" t="str" cm="1">
        <f t="array" ref="BO383">IF(BO374&lt;&gt;"",BO374,IF(ISERROR(INDEX(BO374:$CB374,MATCH(FALSE,BO374:$CB374="",0))),"",INDEX(BO374:$CB374,MATCH(FALSE,BO374:$CB374="",0))))</f>
        <v/>
      </c>
      <c r="BP383" s="51" t="str" cm="1">
        <f t="array" ref="BP383">IF(BP374&lt;&gt;"",BP374,IF(ISERROR(INDEX(BP374:$CB374,MATCH(FALSE,BP374:$CB374="",0))),"",INDEX(BP374:$CB374,MATCH(FALSE,BP374:$CB374="",0))))</f>
        <v/>
      </c>
      <c r="BQ383" s="51" t="str" cm="1">
        <f t="array" ref="BQ383">IF(BQ374&lt;&gt;"",BQ374,IF(ISERROR(INDEX(BQ374:$CB374,MATCH(FALSE,BQ374:$CB374="",0))),"",INDEX(BQ374:$CB374,MATCH(FALSE,BQ374:$CB374="",0))))</f>
        <v/>
      </c>
      <c r="BR383" s="51" t="str" cm="1">
        <f t="array" ref="BR383">IF(BR374&lt;&gt;"",BR374,IF(ISERROR(INDEX(BR374:$CB374,MATCH(FALSE,BR374:$CB374="",0))),"",INDEX(BR374:$CB374,MATCH(FALSE,BR374:$CB374="",0))))</f>
        <v/>
      </c>
      <c r="BS383" s="51" t="str" cm="1">
        <f t="array" ref="BS383">IF(BS374&lt;&gt;"",BS374,IF(ISERROR(INDEX(BS374:$CB374,MATCH(FALSE,BS374:$CB374="",0))),"",INDEX(BS374:$CB374,MATCH(FALSE,BS374:$CB374="",0))))</f>
        <v/>
      </c>
      <c r="BT383" s="51" t="str" cm="1">
        <f t="array" ref="BT383">IF(BT374&lt;&gt;"",BT374,IF(ISERROR(INDEX(BT374:$CB374,MATCH(FALSE,BT374:$CB374="",0))),"",INDEX(BT374:$CB374,MATCH(FALSE,BT374:$CB374="",0))))</f>
        <v/>
      </c>
      <c r="BU383" s="51" t="str" cm="1">
        <f t="array" ref="BU383">IF(BU374&lt;&gt;"",BU374,IF(ISERROR(INDEX(BU374:$CB374,MATCH(FALSE,BU374:$CB374="",0))),"",INDEX(BU374:$CB374,MATCH(FALSE,BU374:$CB374="",0))))</f>
        <v/>
      </c>
      <c r="BV383" s="51" t="str" cm="1">
        <f t="array" ref="BV383">IF(BV374&lt;&gt;"",BV374,IF(ISERROR(INDEX(BV374:$CB374,MATCH(FALSE,BV374:$CB374="",0))),"",INDEX(BV374:$CB374,MATCH(FALSE,BV374:$CB374="",0))))</f>
        <v/>
      </c>
      <c r="BW383" s="51" t="str" cm="1">
        <f t="array" ref="BW383">IF(BW374&lt;&gt;"",BW374,IF(ISERROR(INDEX(BW374:$CB374,MATCH(FALSE,BW374:$CB374="",0))),"",INDEX(BW374:$CB374,MATCH(FALSE,BW374:$CB374="",0))))</f>
        <v/>
      </c>
      <c r="BX383" s="49"/>
      <c r="BY383" s="49"/>
      <c r="BZ383" s="49"/>
      <c r="CA383" s="49"/>
      <c r="CB383" s="49"/>
    </row>
    <row r="384" spans="2:80" ht="15" customHeight="1" x14ac:dyDescent="0.2">
      <c r="B384" s="214">
        <v>5</v>
      </c>
      <c r="C384" s="214"/>
      <c r="D384" s="214"/>
      <c r="E384" s="218" t="str">
        <f>$E$329</f>
        <v>Life Loss</v>
      </c>
      <c r="F384" s="218"/>
      <c r="G384" s="218"/>
      <c r="H384" s="218"/>
      <c r="I384" s="218"/>
      <c r="J384" s="218"/>
      <c r="K384" s="218"/>
      <c r="L384" s="218"/>
      <c r="M384" s="220">
        <f>$M$329</f>
        <v>1</v>
      </c>
      <c r="N384" s="220"/>
      <c r="O384" s="220"/>
      <c r="P384" s="220"/>
      <c r="Q384" s="220">
        <f>$Q$329</f>
        <v>9</v>
      </c>
      <c r="R384" s="220"/>
      <c r="S384" s="220"/>
      <c r="T384" s="220"/>
      <c r="U384" s="51" t="str">
        <f t="shared" si="1893"/>
        <v/>
      </c>
      <c r="V384" s="51" t="str" cm="1">
        <f t="array" ref="V384">IF(V375&lt;&gt;"",V375,IF(ISERROR(INDEX(V375:$CB375,MATCH(FALSE,V375:$CB375="",0))),"",INDEX(V375:$CB375,MATCH(FALSE,V375:$CB375="",0))))</f>
        <v/>
      </c>
      <c r="W384" s="51" t="str" cm="1">
        <f t="array" ref="W384">IF(W375&lt;&gt;"",W375,IF(ISERROR(INDEX(W375:$CB375,MATCH(FALSE,W375:$CB375="",0))),"",INDEX(W375:$CB375,MATCH(FALSE,W375:$CB375="",0))))</f>
        <v/>
      </c>
      <c r="X384" s="51" t="str" cm="1">
        <f t="array" ref="X384">IF(X375&lt;&gt;"",X375,IF(ISERROR(INDEX(X375:$CB375,MATCH(FALSE,X375:$CB375="",0))),"",INDEX(X375:$CB375,MATCH(FALSE,X375:$CB375="",0))))</f>
        <v/>
      </c>
      <c r="Y384" s="51" t="str" cm="1">
        <f t="array" ref="Y384">IF(Y375&lt;&gt;"",Y375,IF(ISERROR(INDEX(Y375:$CB375,MATCH(FALSE,Y375:$CB375="",0))),"",INDEX(Y375:$CB375,MATCH(FALSE,Y375:$CB375="",0))))</f>
        <v/>
      </c>
      <c r="Z384" s="51" t="str" cm="1">
        <f t="array" ref="Z384">IF(Z375&lt;&gt;"",Z375,IF(ISERROR(INDEX(Z375:$CB375,MATCH(FALSE,Z375:$CB375="",0))),"",INDEX(Z375:$CB375,MATCH(FALSE,Z375:$CB375="",0))))</f>
        <v/>
      </c>
      <c r="AA384" s="51" t="str" cm="1">
        <f t="array" ref="AA384">IF(AA375&lt;&gt;"",AA375,IF(ISERROR(INDEX(AA375:$CB375,MATCH(FALSE,AA375:$CB375="",0))),"",INDEX(AA375:$CB375,MATCH(FALSE,AA375:$CB375="",0))))</f>
        <v/>
      </c>
      <c r="AB384" s="51" t="str" cm="1">
        <f t="array" ref="AB384">IF(AB375&lt;&gt;"",AB375,IF(ISERROR(INDEX(AB375:$CB375,MATCH(FALSE,AB375:$CB375="",0))),"",INDEX(AB375:$CB375,MATCH(FALSE,AB375:$CB375="",0))))</f>
        <v/>
      </c>
      <c r="AC384" s="51" t="str" cm="1">
        <f t="array" ref="AC384">IF(AC375&lt;&gt;"",AC375,IF(ISERROR(INDEX(AC375:$CB375,MATCH(FALSE,AC375:$CB375="",0))),"",INDEX(AC375:$CB375,MATCH(FALSE,AC375:$CB375="",0))))</f>
        <v/>
      </c>
      <c r="AD384" s="51" t="str" cm="1">
        <f t="array" ref="AD384">IF(AD375&lt;&gt;"",AD375,IF(ISERROR(INDEX(AD375:$CB375,MATCH(FALSE,AD375:$CB375="",0))),"",INDEX(AD375:$CB375,MATCH(FALSE,AD375:$CB375="",0))))</f>
        <v/>
      </c>
      <c r="AE384" s="51" t="str" cm="1">
        <f t="array" ref="AE384">IF(AE375&lt;&gt;"",AE375,IF(ISERROR(INDEX(AE375:$CB375,MATCH(FALSE,AE375:$CB375="",0))),"",INDEX(AE375:$CB375,MATCH(FALSE,AE375:$CB375="",0))))</f>
        <v/>
      </c>
      <c r="AF384" s="51" t="str" cm="1">
        <f t="array" ref="AF384">IF(AF375&lt;&gt;"",AF375,IF(ISERROR(INDEX(AF375:$CB375,MATCH(FALSE,AF375:$CB375="",0))),"",INDEX(AF375:$CB375,MATCH(FALSE,AF375:$CB375="",0))))</f>
        <v/>
      </c>
      <c r="AG384" s="51" t="str" cm="1">
        <f t="array" ref="AG384">IF(AG375&lt;&gt;"",AG375,IF(ISERROR(INDEX(AG375:$CB375,MATCH(FALSE,AG375:$CB375="",0))),"",INDEX(AG375:$CB375,MATCH(FALSE,AG375:$CB375="",0))))</f>
        <v/>
      </c>
      <c r="AH384" s="51" t="str" cm="1">
        <f t="array" ref="AH384">IF(AH375&lt;&gt;"",AH375,IF(ISERROR(INDEX(AH375:$CB375,MATCH(FALSE,AH375:$CB375="",0))),"",INDEX(AH375:$CB375,MATCH(FALSE,AH375:$CB375="",0))))</f>
        <v/>
      </c>
      <c r="AI384" s="51" t="str" cm="1">
        <f t="array" ref="AI384">IF(AI375&lt;&gt;"",AI375,IF(ISERROR(INDEX(AI375:$CB375,MATCH(FALSE,AI375:$CB375="",0))),"",INDEX(AI375:$CB375,MATCH(FALSE,AI375:$CB375="",0))))</f>
        <v/>
      </c>
      <c r="AJ384" s="51" t="str" cm="1">
        <f t="array" ref="AJ384">IF(AJ375&lt;&gt;"",AJ375,IF(ISERROR(INDEX(AJ375:$CB375,MATCH(FALSE,AJ375:$CB375="",0))),"",INDEX(AJ375:$CB375,MATCH(FALSE,AJ375:$CB375="",0))))</f>
        <v/>
      </c>
      <c r="AK384" s="51" t="str" cm="1">
        <f t="array" ref="AK384">IF(AK375&lt;&gt;"",AK375,IF(ISERROR(INDEX(AK375:$CB375,MATCH(FALSE,AK375:$CB375="",0))),"",INDEX(AK375:$CB375,MATCH(FALSE,AK375:$CB375="",0))))</f>
        <v/>
      </c>
      <c r="AL384" s="51" t="str" cm="1">
        <f t="array" ref="AL384">IF(AL375&lt;&gt;"",AL375,IF(ISERROR(INDEX(AL375:$CB375,MATCH(FALSE,AL375:$CB375="",0))),"",INDEX(AL375:$CB375,MATCH(FALSE,AL375:$CB375="",0))))</f>
        <v/>
      </c>
      <c r="AM384" s="51" t="str" cm="1">
        <f t="array" ref="AM384">IF(AM375&lt;&gt;"",AM375,IF(ISERROR(INDEX(AM375:$CB375,MATCH(FALSE,AM375:$CB375="",0))),"",INDEX(AM375:$CB375,MATCH(FALSE,AM375:$CB375="",0))))</f>
        <v/>
      </c>
      <c r="AN384" s="51" t="str" cm="1">
        <f t="array" ref="AN384">IF(AN375&lt;&gt;"",AN375,IF(ISERROR(INDEX(AN375:$CB375,MATCH(FALSE,AN375:$CB375="",0))),"",INDEX(AN375:$CB375,MATCH(FALSE,AN375:$CB375="",0))))</f>
        <v/>
      </c>
      <c r="AO384" s="51" t="str" cm="1">
        <f t="array" ref="AO384">IF(AO375&lt;&gt;"",AO375,IF(ISERROR(INDEX(AO375:$CB375,MATCH(FALSE,AO375:$CB375="",0))),"",INDEX(AO375:$CB375,MATCH(FALSE,AO375:$CB375="",0))))</f>
        <v/>
      </c>
      <c r="AP384" s="51" t="str" cm="1">
        <f t="array" ref="AP384">IF(AP375&lt;&gt;"",AP375,IF(ISERROR(INDEX(AP375:$CB375,MATCH(FALSE,AP375:$CB375="",0))),"",INDEX(AP375:$CB375,MATCH(FALSE,AP375:$CB375="",0))))</f>
        <v/>
      </c>
      <c r="AQ384" s="51" t="str" cm="1">
        <f t="array" ref="AQ384">IF(AQ375&lt;&gt;"",AQ375,IF(ISERROR(INDEX(AQ375:$CB375,MATCH(FALSE,AQ375:$CB375="",0))),"",INDEX(AQ375:$CB375,MATCH(FALSE,AQ375:$CB375="",0))))</f>
        <v/>
      </c>
      <c r="AR384" s="51" t="str" cm="1">
        <f t="array" ref="AR384">IF(AR375&lt;&gt;"",AR375,IF(ISERROR(INDEX(AR375:$CB375,MATCH(FALSE,AR375:$CB375="",0))),"",INDEX(AR375:$CB375,MATCH(FALSE,AR375:$CB375="",0))))</f>
        <v/>
      </c>
      <c r="AS384" s="51" t="str" cm="1">
        <f t="array" ref="AS384">IF(AS375&lt;&gt;"",AS375,IF(ISERROR(INDEX(AS375:$CB375,MATCH(FALSE,AS375:$CB375="",0))),"",INDEX(AS375:$CB375,MATCH(FALSE,AS375:$CB375="",0))))</f>
        <v/>
      </c>
      <c r="AT384" s="51" t="str" cm="1">
        <f t="array" ref="AT384">IF(AT375&lt;&gt;"",AT375,IF(ISERROR(INDEX(AT375:$CB375,MATCH(FALSE,AT375:$CB375="",0))),"",INDEX(AT375:$CB375,MATCH(FALSE,AT375:$CB375="",0))))</f>
        <v/>
      </c>
      <c r="AU384" s="51" t="str" cm="1">
        <f t="array" ref="AU384">IF(AU375&lt;&gt;"",AU375,IF(ISERROR(INDEX(AU375:$CB375,MATCH(FALSE,AU375:$CB375="",0))),"",INDEX(AU375:$CB375,MATCH(FALSE,AU375:$CB375="",0))))</f>
        <v/>
      </c>
      <c r="AV384" s="51" t="str" cm="1">
        <f t="array" ref="AV384">IF(AV375&lt;&gt;"",AV375,IF(ISERROR(INDEX(AV375:$CB375,MATCH(FALSE,AV375:$CB375="",0))),"",INDEX(AV375:$CB375,MATCH(FALSE,AV375:$CB375="",0))))</f>
        <v/>
      </c>
      <c r="AW384" s="51" t="str" cm="1">
        <f t="array" ref="AW384">IF(AW375&lt;&gt;"",AW375,IF(ISERROR(INDEX(AW375:$CB375,MATCH(FALSE,AW375:$CB375="",0))),"",INDEX(AW375:$CB375,MATCH(FALSE,AW375:$CB375="",0))))</f>
        <v/>
      </c>
      <c r="AX384" s="51" t="str" cm="1">
        <f t="array" ref="AX384">IF(AX375&lt;&gt;"",AX375,IF(ISERROR(INDEX(AX375:$CB375,MATCH(FALSE,AX375:$CB375="",0))),"",INDEX(AX375:$CB375,MATCH(FALSE,AX375:$CB375="",0))))</f>
        <v/>
      </c>
      <c r="AY384" s="51" t="str" cm="1">
        <f t="array" ref="AY384">IF(AY375&lt;&gt;"",AY375,IF(ISERROR(INDEX(AY375:$CB375,MATCH(FALSE,AY375:$CB375="",0))),"",INDEX(AY375:$CB375,MATCH(FALSE,AY375:$CB375="",0))))</f>
        <v/>
      </c>
      <c r="AZ384" s="51" t="str" cm="1">
        <f t="array" ref="AZ384">IF(AZ375&lt;&gt;"",AZ375,IF(ISERROR(INDEX(AZ375:$CB375,MATCH(FALSE,AZ375:$CB375="",0))),"",INDEX(AZ375:$CB375,MATCH(FALSE,AZ375:$CB375="",0))))</f>
        <v/>
      </c>
      <c r="BA384" s="51" t="str" cm="1">
        <f t="array" ref="BA384">IF(BA375&lt;&gt;"",BA375,IF(ISERROR(INDEX(BA375:$CB375,MATCH(FALSE,BA375:$CB375="",0))),"",INDEX(BA375:$CB375,MATCH(FALSE,BA375:$CB375="",0))))</f>
        <v/>
      </c>
      <c r="BB384" s="51" t="str" cm="1">
        <f t="array" ref="BB384">IF(BB375&lt;&gt;"",BB375,IF(ISERROR(INDEX(BB375:$CB375,MATCH(FALSE,BB375:$CB375="",0))),"",INDEX(BB375:$CB375,MATCH(FALSE,BB375:$CB375="",0))))</f>
        <v/>
      </c>
      <c r="BC384" s="51" t="str" cm="1">
        <f t="array" ref="BC384">IF(BC375&lt;&gt;"",BC375,IF(ISERROR(INDEX(BC375:$CB375,MATCH(FALSE,BC375:$CB375="",0))),"",INDEX(BC375:$CB375,MATCH(FALSE,BC375:$CB375="",0))))</f>
        <v/>
      </c>
      <c r="BD384" s="51" t="str" cm="1">
        <f t="array" ref="BD384">IF(BD375&lt;&gt;"",BD375,IF(ISERROR(INDEX(BD375:$CB375,MATCH(FALSE,BD375:$CB375="",0))),"",INDEX(BD375:$CB375,MATCH(FALSE,BD375:$CB375="",0))))</f>
        <v/>
      </c>
      <c r="BE384" s="51" t="str" cm="1">
        <f t="array" ref="BE384">IF(BE375&lt;&gt;"",BE375,IF(ISERROR(INDEX(BE375:$CB375,MATCH(FALSE,BE375:$CB375="",0))),"",INDEX(BE375:$CB375,MATCH(FALSE,BE375:$CB375="",0))))</f>
        <v/>
      </c>
      <c r="BF384" s="51" t="str" cm="1">
        <f t="array" ref="BF384">IF(BF375&lt;&gt;"",BF375,IF(ISERROR(INDEX(BF375:$CB375,MATCH(FALSE,BF375:$CB375="",0))),"",INDEX(BF375:$CB375,MATCH(FALSE,BF375:$CB375="",0))))</f>
        <v/>
      </c>
      <c r="BG384" s="51" t="str" cm="1">
        <f t="array" ref="BG384">IF(BG375&lt;&gt;"",BG375,IF(ISERROR(INDEX(BG375:$CB375,MATCH(FALSE,BG375:$CB375="",0))),"",INDEX(BG375:$CB375,MATCH(FALSE,BG375:$CB375="",0))))</f>
        <v/>
      </c>
      <c r="BH384" s="51" t="str" cm="1">
        <f t="array" ref="BH384">IF(BH375&lt;&gt;"",BH375,IF(ISERROR(INDEX(BH375:$CB375,MATCH(FALSE,BH375:$CB375="",0))),"",INDEX(BH375:$CB375,MATCH(FALSE,BH375:$CB375="",0))))</f>
        <v/>
      </c>
      <c r="BI384" s="51" t="str" cm="1">
        <f t="array" ref="BI384">IF(BI375&lt;&gt;"",BI375,IF(ISERROR(INDEX(BI375:$CB375,MATCH(FALSE,BI375:$CB375="",0))),"",INDEX(BI375:$CB375,MATCH(FALSE,BI375:$CB375="",0))))</f>
        <v/>
      </c>
      <c r="BJ384" s="51" t="str" cm="1">
        <f t="array" ref="BJ384">IF(BJ375&lt;&gt;"",BJ375,IF(ISERROR(INDEX(BJ375:$CB375,MATCH(FALSE,BJ375:$CB375="",0))),"",INDEX(BJ375:$CB375,MATCH(FALSE,BJ375:$CB375="",0))))</f>
        <v/>
      </c>
      <c r="BK384" s="51" t="str" cm="1">
        <f t="array" ref="BK384">IF(BK375&lt;&gt;"",BK375,IF(ISERROR(INDEX(BK375:$CB375,MATCH(FALSE,BK375:$CB375="",0))),"",INDEX(BK375:$CB375,MATCH(FALSE,BK375:$CB375="",0))))</f>
        <v/>
      </c>
      <c r="BL384" s="51" t="str" cm="1">
        <f t="array" ref="BL384">IF(BL375&lt;&gt;"",BL375,IF(ISERROR(INDEX(BL375:$CB375,MATCH(FALSE,BL375:$CB375="",0))),"",INDEX(BL375:$CB375,MATCH(FALSE,BL375:$CB375="",0))))</f>
        <v/>
      </c>
      <c r="BM384" s="51" t="str" cm="1">
        <f t="array" ref="BM384">IF(BM375&lt;&gt;"",BM375,IF(ISERROR(INDEX(BM375:$CB375,MATCH(FALSE,BM375:$CB375="",0))),"",INDEX(BM375:$CB375,MATCH(FALSE,BM375:$CB375="",0))))</f>
        <v/>
      </c>
      <c r="BN384" s="51" t="str" cm="1">
        <f t="array" ref="BN384">IF(BN375&lt;&gt;"",BN375,IF(ISERROR(INDEX(BN375:$CB375,MATCH(FALSE,BN375:$CB375="",0))),"",INDEX(BN375:$CB375,MATCH(FALSE,BN375:$CB375="",0))))</f>
        <v/>
      </c>
      <c r="BO384" s="51" t="str" cm="1">
        <f t="array" ref="BO384">IF(BO375&lt;&gt;"",BO375,IF(ISERROR(INDEX(BO375:$CB375,MATCH(FALSE,BO375:$CB375="",0))),"",INDEX(BO375:$CB375,MATCH(FALSE,BO375:$CB375="",0))))</f>
        <v/>
      </c>
      <c r="BP384" s="51" t="str" cm="1">
        <f t="array" ref="BP384">IF(BP375&lt;&gt;"",BP375,IF(ISERROR(INDEX(BP375:$CB375,MATCH(FALSE,BP375:$CB375="",0))),"",INDEX(BP375:$CB375,MATCH(FALSE,BP375:$CB375="",0))))</f>
        <v/>
      </c>
      <c r="BQ384" s="51" t="str" cm="1">
        <f t="array" ref="BQ384">IF(BQ375&lt;&gt;"",BQ375,IF(ISERROR(INDEX(BQ375:$CB375,MATCH(FALSE,BQ375:$CB375="",0))),"",INDEX(BQ375:$CB375,MATCH(FALSE,BQ375:$CB375="",0))))</f>
        <v/>
      </c>
      <c r="BR384" s="51" t="str" cm="1">
        <f t="array" ref="BR384">IF(BR375&lt;&gt;"",BR375,IF(ISERROR(INDEX(BR375:$CB375,MATCH(FALSE,BR375:$CB375="",0))),"",INDEX(BR375:$CB375,MATCH(FALSE,BR375:$CB375="",0))))</f>
        <v/>
      </c>
      <c r="BS384" s="51" t="str" cm="1">
        <f t="array" ref="BS384">IF(BS375&lt;&gt;"",BS375,IF(ISERROR(INDEX(BS375:$CB375,MATCH(FALSE,BS375:$CB375="",0))),"",INDEX(BS375:$CB375,MATCH(FALSE,BS375:$CB375="",0))))</f>
        <v/>
      </c>
      <c r="BT384" s="51" t="str" cm="1">
        <f t="array" ref="BT384">IF(BT375&lt;&gt;"",BT375,IF(ISERROR(INDEX(BT375:$CB375,MATCH(FALSE,BT375:$CB375="",0))),"",INDEX(BT375:$CB375,MATCH(FALSE,BT375:$CB375="",0))))</f>
        <v/>
      </c>
      <c r="BU384" s="51" t="str" cm="1">
        <f t="array" ref="BU384">IF(BU375&lt;&gt;"",BU375,IF(ISERROR(INDEX(BU375:$CB375,MATCH(FALSE,BU375:$CB375="",0))),"",INDEX(BU375:$CB375,MATCH(FALSE,BU375:$CB375="",0))))</f>
        <v/>
      </c>
      <c r="BV384" s="51" t="str" cm="1">
        <f t="array" ref="BV384">IF(BV375&lt;&gt;"",BV375,IF(ISERROR(INDEX(BV375:$CB375,MATCH(FALSE,BV375:$CB375="",0))),"",INDEX(BV375:$CB375,MATCH(FALSE,BV375:$CB375="",0))))</f>
        <v/>
      </c>
      <c r="BW384" s="51" t="str" cm="1">
        <f t="array" ref="BW384">IF(BW375&lt;&gt;"",BW375,IF(ISERROR(INDEX(BW375:$CB375,MATCH(FALSE,BW375:$CB375="",0))),"",INDEX(BW375:$CB375,MATCH(FALSE,BW375:$CB375="",0))))</f>
        <v/>
      </c>
      <c r="BX384" s="49"/>
      <c r="BY384" s="49"/>
      <c r="BZ384" s="49"/>
      <c r="CA384" s="49"/>
      <c r="CB384" s="49"/>
    </row>
    <row r="385" spans="2:80" ht="15" customHeight="1" x14ac:dyDescent="0.2">
      <c r="B385" s="214">
        <v>6</v>
      </c>
      <c r="C385" s="214"/>
      <c r="D385" s="214"/>
      <c r="E385" s="218" t="str">
        <f>$E$330</f>
        <v>Economic Cost</v>
      </c>
      <c r="F385" s="218"/>
      <c r="G385" s="218"/>
      <c r="H385" s="218"/>
      <c r="I385" s="218"/>
      <c r="J385" s="218"/>
      <c r="K385" s="218"/>
      <c r="L385" s="218"/>
      <c r="M385" s="220">
        <f>$M$330</f>
        <v>1</v>
      </c>
      <c r="N385" s="220"/>
      <c r="O385" s="220"/>
      <c r="P385" s="220"/>
      <c r="Q385" s="220">
        <f>$Q$330</f>
        <v>9</v>
      </c>
      <c r="R385" s="220"/>
      <c r="S385" s="220"/>
      <c r="T385" s="220"/>
      <c r="U385" s="51" t="str">
        <f t="shared" si="1893"/>
        <v/>
      </c>
      <c r="V385" s="51" t="str" cm="1">
        <f t="array" ref="V385">IF(V376&lt;&gt;"",V376,IF(ISERROR(INDEX(V376:$CB376,MATCH(FALSE,V376:$CB376="",0))),"",INDEX(V376:$CB376,MATCH(FALSE,V376:$CB376="",0))))</f>
        <v/>
      </c>
      <c r="W385" s="51" t="str" cm="1">
        <f t="array" ref="W385">IF(W376&lt;&gt;"",W376,IF(ISERROR(INDEX(W376:$CB376,MATCH(FALSE,W376:$CB376="",0))),"",INDEX(W376:$CB376,MATCH(FALSE,W376:$CB376="",0))))</f>
        <v/>
      </c>
      <c r="X385" s="51" t="str" cm="1">
        <f t="array" ref="X385">IF(X376&lt;&gt;"",X376,IF(ISERROR(INDEX(X376:$CB376,MATCH(FALSE,X376:$CB376="",0))),"",INDEX(X376:$CB376,MATCH(FALSE,X376:$CB376="",0))))</f>
        <v/>
      </c>
      <c r="Y385" s="51" t="str" cm="1">
        <f t="array" ref="Y385">IF(Y376&lt;&gt;"",Y376,IF(ISERROR(INDEX(Y376:$CB376,MATCH(FALSE,Y376:$CB376="",0))),"",INDEX(Y376:$CB376,MATCH(FALSE,Y376:$CB376="",0))))</f>
        <v/>
      </c>
      <c r="Z385" s="51" t="str" cm="1">
        <f t="array" ref="Z385">IF(Z376&lt;&gt;"",Z376,IF(ISERROR(INDEX(Z376:$CB376,MATCH(FALSE,Z376:$CB376="",0))),"",INDEX(Z376:$CB376,MATCH(FALSE,Z376:$CB376="",0))))</f>
        <v/>
      </c>
      <c r="AA385" s="51" t="str" cm="1">
        <f t="array" ref="AA385">IF(AA376&lt;&gt;"",AA376,IF(ISERROR(INDEX(AA376:$CB376,MATCH(FALSE,AA376:$CB376="",0))),"",INDEX(AA376:$CB376,MATCH(FALSE,AA376:$CB376="",0))))</f>
        <v/>
      </c>
      <c r="AB385" s="51" t="str" cm="1">
        <f t="array" ref="AB385">IF(AB376&lt;&gt;"",AB376,IF(ISERROR(INDEX(AB376:$CB376,MATCH(FALSE,AB376:$CB376="",0))),"",INDEX(AB376:$CB376,MATCH(FALSE,AB376:$CB376="",0))))</f>
        <v/>
      </c>
      <c r="AC385" s="51" t="str" cm="1">
        <f t="array" ref="AC385">IF(AC376&lt;&gt;"",AC376,IF(ISERROR(INDEX(AC376:$CB376,MATCH(FALSE,AC376:$CB376="",0))),"",INDEX(AC376:$CB376,MATCH(FALSE,AC376:$CB376="",0))))</f>
        <v/>
      </c>
      <c r="AD385" s="51" t="str" cm="1">
        <f t="array" ref="AD385">IF(AD376&lt;&gt;"",AD376,IF(ISERROR(INDEX(AD376:$CB376,MATCH(FALSE,AD376:$CB376="",0))),"",INDEX(AD376:$CB376,MATCH(FALSE,AD376:$CB376="",0))))</f>
        <v/>
      </c>
      <c r="AE385" s="51" t="str" cm="1">
        <f t="array" ref="AE385">IF(AE376&lt;&gt;"",AE376,IF(ISERROR(INDEX(AE376:$CB376,MATCH(FALSE,AE376:$CB376="",0))),"",INDEX(AE376:$CB376,MATCH(FALSE,AE376:$CB376="",0))))</f>
        <v/>
      </c>
      <c r="AF385" s="51" t="str" cm="1">
        <f t="array" ref="AF385">IF(AF376&lt;&gt;"",AF376,IF(ISERROR(INDEX(AF376:$CB376,MATCH(FALSE,AF376:$CB376="",0))),"",INDEX(AF376:$CB376,MATCH(FALSE,AF376:$CB376="",0))))</f>
        <v/>
      </c>
      <c r="AG385" s="51" t="str" cm="1">
        <f t="array" ref="AG385">IF(AG376&lt;&gt;"",AG376,IF(ISERROR(INDEX(AG376:$CB376,MATCH(FALSE,AG376:$CB376="",0))),"",INDEX(AG376:$CB376,MATCH(FALSE,AG376:$CB376="",0))))</f>
        <v/>
      </c>
      <c r="AH385" s="51" t="str" cm="1">
        <f t="array" ref="AH385">IF(AH376&lt;&gt;"",AH376,IF(ISERROR(INDEX(AH376:$CB376,MATCH(FALSE,AH376:$CB376="",0))),"",INDEX(AH376:$CB376,MATCH(FALSE,AH376:$CB376="",0))))</f>
        <v/>
      </c>
      <c r="AI385" s="51" t="str" cm="1">
        <f t="array" ref="AI385">IF(AI376&lt;&gt;"",AI376,IF(ISERROR(INDEX(AI376:$CB376,MATCH(FALSE,AI376:$CB376="",0))),"",INDEX(AI376:$CB376,MATCH(FALSE,AI376:$CB376="",0))))</f>
        <v/>
      </c>
      <c r="AJ385" s="51" t="str" cm="1">
        <f t="array" ref="AJ385">IF(AJ376&lt;&gt;"",AJ376,IF(ISERROR(INDEX(AJ376:$CB376,MATCH(FALSE,AJ376:$CB376="",0))),"",INDEX(AJ376:$CB376,MATCH(FALSE,AJ376:$CB376="",0))))</f>
        <v/>
      </c>
      <c r="AK385" s="51" t="str" cm="1">
        <f t="array" ref="AK385">IF(AK376&lt;&gt;"",AK376,IF(ISERROR(INDEX(AK376:$CB376,MATCH(FALSE,AK376:$CB376="",0))),"",INDEX(AK376:$CB376,MATCH(FALSE,AK376:$CB376="",0))))</f>
        <v/>
      </c>
      <c r="AL385" s="51" t="str" cm="1">
        <f t="array" ref="AL385">IF(AL376&lt;&gt;"",AL376,IF(ISERROR(INDEX(AL376:$CB376,MATCH(FALSE,AL376:$CB376="",0))),"",INDEX(AL376:$CB376,MATCH(FALSE,AL376:$CB376="",0))))</f>
        <v/>
      </c>
      <c r="AM385" s="51" t="str" cm="1">
        <f t="array" ref="AM385">IF(AM376&lt;&gt;"",AM376,IF(ISERROR(INDEX(AM376:$CB376,MATCH(FALSE,AM376:$CB376="",0))),"",INDEX(AM376:$CB376,MATCH(FALSE,AM376:$CB376="",0))))</f>
        <v/>
      </c>
      <c r="AN385" s="51" t="str" cm="1">
        <f t="array" ref="AN385">IF(AN376&lt;&gt;"",AN376,IF(ISERROR(INDEX(AN376:$CB376,MATCH(FALSE,AN376:$CB376="",0))),"",INDEX(AN376:$CB376,MATCH(FALSE,AN376:$CB376="",0))))</f>
        <v/>
      </c>
      <c r="AO385" s="51" t="str" cm="1">
        <f t="array" ref="AO385">IF(AO376&lt;&gt;"",AO376,IF(ISERROR(INDEX(AO376:$CB376,MATCH(FALSE,AO376:$CB376="",0))),"",INDEX(AO376:$CB376,MATCH(FALSE,AO376:$CB376="",0))))</f>
        <v/>
      </c>
      <c r="AP385" s="51" t="str" cm="1">
        <f t="array" ref="AP385">IF(AP376&lt;&gt;"",AP376,IF(ISERROR(INDEX(AP376:$CB376,MATCH(FALSE,AP376:$CB376="",0))),"",INDEX(AP376:$CB376,MATCH(FALSE,AP376:$CB376="",0))))</f>
        <v/>
      </c>
      <c r="AQ385" s="51" t="str" cm="1">
        <f t="array" ref="AQ385">IF(AQ376&lt;&gt;"",AQ376,IF(ISERROR(INDEX(AQ376:$CB376,MATCH(FALSE,AQ376:$CB376="",0))),"",INDEX(AQ376:$CB376,MATCH(FALSE,AQ376:$CB376="",0))))</f>
        <v/>
      </c>
      <c r="AR385" s="51" t="str" cm="1">
        <f t="array" ref="AR385">IF(AR376&lt;&gt;"",AR376,IF(ISERROR(INDEX(AR376:$CB376,MATCH(FALSE,AR376:$CB376="",0))),"",INDEX(AR376:$CB376,MATCH(FALSE,AR376:$CB376="",0))))</f>
        <v/>
      </c>
      <c r="AS385" s="51" t="str" cm="1">
        <f t="array" ref="AS385">IF(AS376&lt;&gt;"",AS376,IF(ISERROR(INDEX(AS376:$CB376,MATCH(FALSE,AS376:$CB376="",0))),"",INDEX(AS376:$CB376,MATCH(FALSE,AS376:$CB376="",0))))</f>
        <v/>
      </c>
      <c r="AT385" s="51" t="str" cm="1">
        <f t="array" ref="AT385">IF(AT376&lt;&gt;"",AT376,IF(ISERROR(INDEX(AT376:$CB376,MATCH(FALSE,AT376:$CB376="",0))),"",INDEX(AT376:$CB376,MATCH(FALSE,AT376:$CB376="",0))))</f>
        <v/>
      </c>
      <c r="AU385" s="51" t="str" cm="1">
        <f t="array" ref="AU385">IF(AU376&lt;&gt;"",AU376,IF(ISERROR(INDEX(AU376:$CB376,MATCH(FALSE,AU376:$CB376="",0))),"",INDEX(AU376:$CB376,MATCH(FALSE,AU376:$CB376="",0))))</f>
        <v/>
      </c>
      <c r="AV385" s="51" t="str" cm="1">
        <f t="array" ref="AV385">IF(AV376&lt;&gt;"",AV376,IF(ISERROR(INDEX(AV376:$CB376,MATCH(FALSE,AV376:$CB376="",0))),"",INDEX(AV376:$CB376,MATCH(FALSE,AV376:$CB376="",0))))</f>
        <v/>
      </c>
      <c r="AW385" s="51" t="str" cm="1">
        <f t="array" ref="AW385">IF(AW376&lt;&gt;"",AW376,IF(ISERROR(INDEX(AW376:$CB376,MATCH(FALSE,AW376:$CB376="",0))),"",INDEX(AW376:$CB376,MATCH(FALSE,AW376:$CB376="",0))))</f>
        <v/>
      </c>
      <c r="AX385" s="51" t="str" cm="1">
        <f t="array" ref="AX385">IF(AX376&lt;&gt;"",AX376,IF(ISERROR(INDEX(AX376:$CB376,MATCH(FALSE,AX376:$CB376="",0))),"",INDEX(AX376:$CB376,MATCH(FALSE,AX376:$CB376="",0))))</f>
        <v/>
      </c>
      <c r="AY385" s="51" t="str" cm="1">
        <f t="array" ref="AY385">IF(AY376&lt;&gt;"",AY376,IF(ISERROR(INDEX(AY376:$CB376,MATCH(FALSE,AY376:$CB376="",0))),"",INDEX(AY376:$CB376,MATCH(FALSE,AY376:$CB376="",0))))</f>
        <v/>
      </c>
      <c r="AZ385" s="51" t="str" cm="1">
        <f t="array" ref="AZ385">IF(AZ376&lt;&gt;"",AZ376,IF(ISERROR(INDEX(AZ376:$CB376,MATCH(FALSE,AZ376:$CB376="",0))),"",INDEX(AZ376:$CB376,MATCH(FALSE,AZ376:$CB376="",0))))</f>
        <v/>
      </c>
      <c r="BA385" s="51" t="str" cm="1">
        <f t="array" ref="BA385">IF(BA376&lt;&gt;"",BA376,IF(ISERROR(INDEX(BA376:$CB376,MATCH(FALSE,BA376:$CB376="",0))),"",INDEX(BA376:$CB376,MATCH(FALSE,BA376:$CB376="",0))))</f>
        <v/>
      </c>
      <c r="BB385" s="51" t="str" cm="1">
        <f t="array" ref="BB385">IF(BB376&lt;&gt;"",BB376,IF(ISERROR(INDEX(BB376:$CB376,MATCH(FALSE,BB376:$CB376="",0))),"",INDEX(BB376:$CB376,MATCH(FALSE,BB376:$CB376="",0))))</f>
        <v/>
      </c>
      <c r="BC385" s="51" t="str" cm="1">
        <f t="array" ref="BC385">IF(BC376&lt;&gt;"",BC376,IF(ISERROR(INDEX(BC376:$CB376,MATCH(FALSE,BC376:$CB376="",0))),"",INDEX(BC376:$CB376,MATCH(FALSE,BC376:$CB376="",0))))</f>
        <v/>
      </c>
      <c r="BD385" s="51" t="str" cm="1">
        <f t="array" ref="BD385">IF(BD376&lt;&gt;"",BD376,IF(ISERROR(INDEX(BD376:$CB376,MATCH(FALSE,BD376:$CB376="",0))),"",INDEX(BD376:$CB376,MATCH(FALSE,BD376:$CB376="",0))))</f>
        <v/>
      </c>
      <c r="BE385" s="51" t="str" cm="1">
        <f t="array" ref="BE385">IF(BE376&lt;&gt;"",BE376,IF(ISERROR(INDEX(BE376:$CB376,MATCH(FALSE,BE376:$CB376="",0))),"",INDEX(BE376:$CB376,MATCH(FALSE,BE376:$CB376="",0))))</f>
        <v/>
      </c>
      <c r="BF385" s="51" t="str" cm="1">
        <f t="array" ref="BF385">IF(BF376&lt;&gt;"",BF376,IF(ISERROR(INDEX(BF376:$CB376,MATCH(FALSE,BF376:$CB376="",0))),"",INDEX(BF376:$CB376,MATCH(FALSE,BF376:$CB376="",0))))</f>
        <v/>
      </c>
      <c r="BG385" s="51" t="str" cm="1">
        <f t="array" ref="BG385">IF(BG376&lt;&gt;"",BG376,IF(ISERROR(INDEX(BG376:$CB376,MATCH(FALSE,BG376:$CB376="",0))),"",INDEX(BG376:$CB376,MATCH(FALSE,BG376:$CB376="",0))))</f>
        <v/>
      </c>
      <c r="BH385" s="51" t="str" cm="1">
        <f t="array" ref="BH385">IF(BH376&lt;&gt;"",BH376,IF(ISERROR(INDEX(BH376:$CB376,MATCH(FALSE,BH376:$CB376="",0))),"",INDEX(BH376:$CB376,MATCH(FALSE,BH376:$CB376="",0))))</f>
        <v/>
      </c>
      <c r="BI385" s="51" t="str" cm="1">
        <f t="array" ref="BI385">IF(BI376&lt;&gt;"",BI376,IF(ISERROR(INDEX(BI376:$CB376,MATCH(FALSE,BI376:$CB376="",0))),"",INDEX(BI376:$CB376,MATCH(FALSE,BI376:$CB376="",0))))</f>
        <v/>
      </c>
      <c r="BJ385" s="51" t="str" cm="1">
        <f t="array" ref="BJ385">IF(BJ376&lt;&gt;"",BJ376,IF(ISERROR(INDEX(BJ376:$CB376,MATCH(FALSE,BJ376:$CB376="",0))),"",INDEX(BJ376:$CB376,MATCH(FALSE,BJ376:$CB376="",0))))</f>
        <v/>
      </c>
      <c r="BK385" s="51" t="str" cm="1">
        <f t="array" ref="BK385">IF(BK376&lt;&gt;"",BK376,IF(ISERROR(INDEX(BK376:$CB376,MATCH(FALSE,BK376:$CB376="",0))),"",INDEX(BK376:$CB376,MATCH(FALSE,BK376:$CB376="",0))))</f>
        <v/>
      </c>
      <c r="BL385" s="51" t="str" cm="1">
        <f t="array" ref="BL385">IF(BL376&lt;&gt;"",BL376,IF(ISERROR(INDEX(BL376:$CB376,MATCH(FALSE,BL376:$CB376="",0))),"",INDEX(BL376:$CB376,MATCH(FALSE,BL376:$CB376="",0))))</f>
        <v/>
      </c>
      <c r="BM385" s="51" t="str" cm="1">
        <f t="array" ref="BM385">IF(BM376&lt;&gt;"",BM376,IF(ISERROR(INDEX(BM376:$CB376,MATCH(FALSE,BM376:$CB376="",0))),"",INDEX(BM376:$CB376,MATCH(FALSE,BM376:$CB376="",0))))</f>
        <v/>
      </c>
      <c r="BN385" s="51" t="str" cm="1">
        <f t="array" ref="BN385">IF(BN376&lt;&gt;"",BN376,IF(ISERROR(INDEX(BN376:$CB376,MATCH(FALSE,BN376:$CB376="",0))),"",INDEX(BN376:$CB376,MATCH(FALSE,BN376:$CB376="",0))))</f>
        <v/>
      </c>
      <c r="BO385" s="51" t="str" cm="1">
        <f t="array" ref="BO385">IF(BO376&lt;&gt;"",BO376,IF(ISERROR(INDEX(BO376:$CB376,MATCH(FALSE,BO376:$CB376="",0))),"",INDEX(BO376:$CB376,MATCH(FALSE,BO376:$CB376="",0))))</f>
        <v/>
      </c>
      <c r="BP385" s="51" t="str" cm="1">
        <f t="array" ref="BP385">IF(BP376&lt;&gt;"",BP376,IF(ISERROR(INDEX(BP376:$CB376,MATCH(FALSE,BP376:$CB376="",0))),"",INDEX(BP376:$CB376,MATCH(FALSE,BP376:$CB376="",0))))</f>
        <v/>
      </c>
      <c r="BQ385" s="51" t="str" cm="1">
        <f t="array" ref="BQ385">IF(BQ376&lt;&gt;"",BQ376,IF(ISERROR(INDEX(BQ376:$CB376,MATCH(FALSE,BQ376:$CB376="",0))),"",INDEX(BQ376:$CB376,MATCH(FALSE,BQ376:$CB376="",0))))</f>
        <v/>
      </c>
      <c r="BR385" s="51" t="str" cm="1">
        <f t="array" ref="BR385">IF(BR376&lt;&gt;"",BR376,IF(ISERROR(INDEX(BR376:$CB376,MATCH(FALSE,BR376:$CB376="",0))),"",INDEX(BR376:$CB376,MATCH(FALSE,BR376:$CB376="",0))))</f>
        <v/>
      </c>
      <c r="BS385" s="51" t="str" cm="1">
        <f t="array" ref="BS385">IF(BS376&lt;&gt;"",BS376,IF(ISERROR(INDEX(BS376:$CB376,MATCH(FALSE,BS376:$CB376="",0))),"",INDEX(BS376:$CB376,MATCH(FALSE,BS376:$CB376="",0))))</f>
        <v/>
      </c>
      <c r="BT385" s="51" t="str" cm="1">
        <f t="array" ref="BT385">IF(BT376&lt;&gt;"",BT376,IF(ISERROR(INDEX(BT376:$CB376,MATCH(FALSE,BT376:$CB376="",0))),"",INDEX(BT376:$CB376,MATCH(FALSE,BT376:$CB376="",0))))</f>
        <v/>
      </c>
      <c r="BU385" s="51" t="str" cm="1">
        <f t="array" ref="BU385">IF(BU376&lt;&gt;"",BU376,IF(ISERROR(INDEX(BU376:$CB376,MATCH(FALSE,BU376:$CB376="",0))),"",INDEX(BU376:$CB376,MATCH(FALSE,BU376:$CB376="",0))))</f>
        <v/>
      </c>
      <c r="BV385" s="51" t="str" cm="1">
        <f t="array" ref="BV385">IF(BV376&lt;&gt;"",BV376,IF(ISERROR(INDEX(BV376:$CB376,MATCH(FALSE,BV376:$CB376="",0))),"",INDEX(BV376:$CB376,MATCH(FALSE,BV376:$CB376="",0))))</f>
        <v/>
      </c>
      <c r="BW385" s="51" t="str" cm="1">
        <f t="array" ref="BW385">IF(BW376&lt;&gt;"",BW376,IF(ISERROR(INDEX(BW376:$CB376,MATCH(FALSE,BW376:$CB376="",0))),"",INDEX(BW376:$CB376,MATCH(FALSE,BW376:$CB376="",0))))</f>
        <v/>
      </c>
      <c r="BX385" s="49"/>
      <c r="BY385" s="49"/>
      <c r="BZ385" s="49"/>
      <c r="CA385" s="49"/>
      <c r="CB385" s="49"/>
    </row>
    <row r="386" spans="2:80" ht="15" customHeight="1" x14ac:dyDescent="0.2"/>
    <row r="387" spans="2:80" ht="15" customHeight="1" x14ac:dyDescent="0.2">
      <c r="B387" s="50" t="s">
        <v>121</v>
      </c>
      <c r="C387" s="49"/>
      <c r="D387" s="49"/>
      <c r="E387" s="49"/>
      <c r="F387" s="49"/>
      <c r="G387" s="49"/>
      <c r="H387" s="49"/>
      <c r="I387" s="49"/>
      <c r="J387" s="49"/>
      <c r="K387" s="49"/>
      <c r="L387" s="49"/>
      <c r="M387" s="49"/>
      <c r="N387" s="49"/>
      <c r="O387" s="49"/>
      <c r="P387" s="49"/>
      <c r="Q387" s="49"/>
      <c r="R387" s="49"/>
      <c r="S387" s="49"/>
      <c r="T387" s="49"/>
      <c r="U387" s="49"/>
      <c r="V387" s="49"/>
      <c r="W387" s="49"/>
      <c r="X387" s="49"/>
      <c r="Y387" s="49"/>
      <c r="Z387" s="49"/>
      <c r="AA387" s="49"/>
      <c r="AB387" s="49"/>
      <c r="AC387" s="49"/>
      <c r="BS387" s="100"/>
    </row>
    <row r="388" spans="2:80" ht="15" customHeight="1" x14ac:dyDescent="0.2">
      <c r="B388" s="49"/>
      <c r="C388" s="49"/>
      <c r="D388" s="49"/>
      <c r="E388" s="49"/>
      <c r="F388" s="49"/>
      <c r="G388" s="49"/>
      <c r="H388" s="49"/>
      <c r="I388" s="49"/>
      <c r="J388" s="49"/>
      <c r="K388" s="49"/>
      <c r="L388" s="49"/>
      <c r="M388" s="49"/>
      <c r="N388" s="49"/>
      <c r="O388" s="49"/>
      <c r="P388" s="49"/>
      <c r="Q388" s="49"/>
      <c r="R388" s="49"/>
      <c r="S388" s="49"/>
      <c r="T388" s="49"/>
      <c r="U388" s="49"/>
      <c r="V388" s="49"/>
      <c r="W388" s="49"/>
      <c r="X388" s="49"/>
      <c r="Y388" s="49"/>
      <c r="Z388" s="49"/>
      <c r="AA388" s="49"/>
      <c r="AB388" s="49"/>
      <c r="AC388" s="49"/>
    </row>
    <row r="389" spans="2:80" ht="15" customHeight="1" x14ac:dyDescent="0.2">
      <c r="B389" s="103">
        <f>ROW(B380)</f>
        <v>380</v>
      </c>
      <c r="C389" s="103">
        <f>B389+1</f>
        <v>381</v>
      </c>
      <c r="D389" s="103">
        <f>C389+1</f>
        <v>382</v>
      </c>
      <c r="E389" s="103">
        <f>D389+1</f>
        <v>383</v>
      </c>
      <c r="F389" s="103">
        <f>E389+1</f>
        <v>384</v>
      </c>
      <c r="G389" s="103">
        <f>F389+1</f>
        <v>385</v>
      </c>
      <c r="H389" s="101"/>
      <c r="I389" s="49"/>
      <c r="J389" s="49"/>
      <c r="K389" s="49"/>
      <c r="L389" s="49"/>
      <c r="M389" s="49"/>
      <c r="N389" s="49"/>
      <c r="O389" s="49"/>
      <c r="P389" s="49"/>
      <c r="Q389" s="49"/>
      <c r="R389" s="49"/>
      <c r="S389" s="49"/>
      <c r="T389" s="49"/>
      <c r="U389" s="49"/>
      <c r="V389" s="49"/>
      <c r="W389" s="49"/>
      <c r="X389" s="49"/>
      <c r="Y389" s="49"/>
      <c r="Z389" s="49"/>
      <c r="AA389" s="49"/>
      <c r="AB389" s="49"/>
      <c r="AC389" s="49"/>
    </row>
    <row r="390" spans="2:80" ht="15" customHeight="1" x14ac:dyDescent="0.2">
      <c r="B390" s="51" t="s">
        <v>99</v>
      </c>
      <c r="C390" s="51" t="s">
        <v>198</v>
      </c>
      <c r="D390" s="51" t="s">
        <v>199</v>
      </c>
      <c r="E390" s="51" t="s">
        <v>200</v>
      </c>
      <c r="F390" s="51" t="s">
        <v>201</v>
      </c>
      <c r="G390" s="51" t="s">
        <v>202</v>
      </c>
      <c r="H390" s="51" t="s">
        <v>100</v>
      </c>
      <c r="I390" s="51" t="s">
        <v>101</v>
      </c>
      <c r="J390" s="51" t="s">
        <v>102</v>
      </c>
      <c r="K390" s="51" t="s">
        <v>103</v>
      </c>
      <c r="L390" s="51" t="s">
        <v>104</v>
      </c>
      <c r="M390" s="51" t="s">
        <v>105</v>
      </c>
      <c r="N390" s="51" t="s">
        <v>106</v>
      </c>
      <c r="O390" s="51" t="s">
        <v>107</v>
      </c>
      <c r="P390" s="51" t="s">
        <v>108</v>
      </c>
      <c r="Q390" s="51" t="s">
        <v>109</v>
      </c>
      <c r="R390" s="51" t="s">
        <v>110</v>
      </c>
      <c r="S390" s="51" t="s">
        <v>111</v>
      </c>
      <c r="T390" s="51" t="s">
        <v>112</v>
      </c>
      <c r="U390" s="51" t="s">
        <v>113</v>
      </c>
      <c r="V390" s="51" t="s">
        <v>114</v>
      </c>
      <c r="W390" s="51" t="s">
        <v>115</v>
      </c>
      <c r="X390" s="51" t="s">
        <v>251</v>
      </c>
      <c r="Y390" s="51" t="s">
        <v>252</v>
      </c>
      <c r="Z390" s="51" t="s">
        <v>253</v>
      </c>
      <c r="AA390" s="51" t="s">
        <v>254</v>
      </c>
      <c r="AB390" s="51" t="s">
        <v>255</v>
      </c>
      <c r="AC390" s="51" t="s">
        <v>256</v>
      </c>
      <c r="AD390" s="51" t="s">
        <v>257</v>
      </c>
      <c r="AE390" s="51" t="s">
        <v>258</v>
      </c>
      <c r="AF390" s="51" t="s">
        <v>259</v>
      </c>
      <c r="AG390" s="51" t="s">
        <v>260</v>
      </c>
      <c r="AH390" s="51" t="s">
        <v>261</v>
      </c>
      <c r="AI390" s="51" t="s">
        <v>262</v>
      </c>
      <c r="AJ390" s="51" t="s">
        <v>263</v>
      </c>
      <c r="AK390" s="51" t="s">
        <v>264</v>
      </c>
      <c r="AL390" s="51" t="s">
        <v>265</v>
      </c>
      <c r="AM390" s="51" t="s">
        <v>266</v>
      </c>
      <c r="AN390" s="51" t="s">
        <v>267</v>
      </c>
      <c r="AO390" s="51" t="s">
        <v>268</v>
      </c>
      <c r="AP390" s="51" t="s">
        <v>269</v>
      </c>
      <c r="AQ390" s="51" t="s">
        <v>270</v>
      </c>
      <c r="AR390" s="51" t="s">
        <v>271</v>
      </c>
      <c r="AS390" s="51" t="s">
        <v>272</v>
      </c>
      <c r="AT390" s="51" t="s">
        <v>273</v>
      </c>
      <c r="AU390" s="51" t="s">
        <v>274</v>
      </c>
      <c r="AV390" s="51" t="s">
        <v>275</v>
      </c>
      <c r="AW390" s="51" t="s">
        <v>276</v>
      </c>
      <c r="AX390" s="51" t="s">
        <v>277</v>
      </c>
      <c r="AY390" s="51" t="s">
        <v>278</v>
      </c>
      <c r="AZ390" s="51" t="s">
        <v>279</v>
      </c>
      <c r="BA390" s="51" t="s">
        <v>280</v>
      </c>
      <c r="BB390" s="51" t="s">
        <v>281</v>
      </c>
      <c r="BC390" s="51" t="s">
        <v>282</v>
      </c>
      <c r="BD390" s="51" t="s">
        <v>283</v>
      </c>
      <c r="BE390" s="49"/>
      <c r="BF390" s="49"/>
      <c r="BG390" s="49"/>
      <c r="BH390" s="49"/>
      <c r="BI390" s="49"/>
    </row>
    <row r="391" spans="2:80" ht="15" customHeight="1" x14ac:dyDescent="0.2"/>
    <row r="392" spans="2:80" ht="15" customHeight="1" x14ac:dyDescent="0.2">
      <c r="B392" s="50" t="s">
        <v>122</v>
      </c>
      <c r="C392" s="49"/>
      <c r="D392" s="49"/>
      <c r="E392" s="49"/>
      <c r="F392" s="49"/>
      <c r="G392" s="49"/>
      <c r="H392" s="49"/>
      <c r="I392" s="49"/>
      <c r="J392" s="49"/>
      <c r="K392" s="49"/>
      <c r="L392" s="49"/>
      <c r="M392" s="49"/>
      <c r="N392" s="49"/>
      <c r="O392" s="49"/>
      <c r="P392" s="49"/>
      <c r="Q392" s="49"/>
      <c r="R392" s="49"/>
      <c r="S392" s="49"/>
      <c r="T392" s="49"/>
      <c r="U392" s="49"/>
      <c r="V392" s="49"/>
      <c r="W392" s="49"/>
      <c r="X392" s="49"/>
      <c r="Y392" s="49"/>
      <c r="Z392" s="49"/>
      <c r="AA392" s="49"/>
      <c r="AB392" s="49"/>
      <c r="AC392" s="49"/>
      <c r="AD392" s="49"/>
      <c r="AE392" s="49"/>
      <c r="AF392" s="49"/>
      <c r="AG392" s="49"/>
      <c r="AH392" s="49"/>
      <c r="AI392" s="49"/>
      <c r="AJ392" s="49"/>
      <c r="AK392" s="49"/>
      <c r="AL392" s="49"/>
      <c r="AM392" s="49"/>
      <c r="AN392" s="49"/>
      <c r="AO392" s="49"/>
      <c r="AP392" s="49"/>
      <c r="AQ392" s="49"/>
      <c r="AR392" s="49"/>
      <c r="AS392" s="49"/>
      <c r="AT392" s="49"/>
      <c r="AU392" s="49"/>
    </row>
    <row r="393" spans="2:80" ht="15" customHeight="1" x14ac:dyDescent="0.2"/>
    <row r="394" spans="2:80" ht="15" customHeight="1" x14ac:dyDescent="0.2">
      <c r="B394" s="219" t="s">
        <v>196</v>
      </c>
      <c r="C394" s="219"/>
      <c r="D394" s="219"/>
      <c r="E394" s="219"/>
      <c r="F394" s="219"/>
      <c r="G394" s="219"/>
      <c r="H394" s="219"/>
      <c r="I394" s="219"/>
      <c r="J394" s="219"/>
      <c r="K394" s="219"/>
      <c r="L394" s="219"/>
      <c r="M394" s="219"/>
      <c r="N394" s="219"/>
      <c r="O394" s="219"/>
      <c r="P394" s="219"/>
      <c r="Q394" s="219"/>
      <c r="R394" s="219"/>
      <c r="S394" s="219"/>
      <c r="T394" s="219"/>
      <c r="U394" s="51">
        <v>10</v>
      </c>
      <c r="V394" s="51">
        <f>U394+5</f>
        <v>15</v>
      </c>
      <c r="W394" s="51">
        <f t="shared" ref="W394:AE394" si="1894">V394+5</f>
        <v>20</v>
      </c>
      <c r="X394" s="51">
        <f t="shared" si="1894"/>
        <v>25</v>
      </c>
      <c r="Y394" s="51">
        <f t="shared" si="1894"/>
        <v>30</v>
      </c>
      <c r="Z394" s="51">
        <f t="shared" si="1894"/>
        <v>35</v>
      </c>
      <c r="AA394" s="51">
        <f t="shared" si="1894"/>
        <v>40</v>
      </c>
      <c r="AB394" s="51">
        <f t="shared" si="1894"/>
        <v>45</v>
      </c>
      <c r="AC394" s="51">
        <f t="shared" si="1894"/>
        <v>50</v>
      </c>
      <c r="AD394" s="51">
        <f t="shared" si="1894"/>
        <v>55</v>
      </c>
      <c r="AE394" s="51">
        <f t="shared" si="1894"/>
        <v>60</v>
      </c>
      <c r="AF394" s="51">
        <f t="shared" ref="AF394" si="1895">AE394+5</f>
        <v>65</v>
      </c>
      <c r="AG394" s="51">
        <f t="shared" ref="AG394" si="1896">AF394+5</f>
        <v>70</v>
      </c>
      <c r="AH394" s="51">
        <f t="shared" ref="AH394" si="1897">AG394+5</f>
        <v>75</v>
      </c>
      <c r="AI394" s="51">
        <f t="shared" ref="AI394" si="1898">AH394+5</f>
        <v>80</v>
      </c>
      <c r="AJ394" s="51">
        <f t="shared" ref="AJ394" si="1899">AI394+5</f>
        <v>85</v>
      </c>
      <c r="AK394" s="51">
        <f t="shared" ref="AK394" si="1900">AJ394+5</f>
        <v>90</v>
      </c>
      <c r="AL394" s="51">
        <f t="shared" ref="AL394" si="1901">AK394+5</f>
        <v>95</v>
      </c>
      <c r="AM394" s="51">
        <f t="shared" ref="AM394" si="1902">AL394+5</f>
        <v>100</v>
      </c>
      <c r="AN394" s="51">
        <f t="shared" ref="AN394" si="1903">AM394+5</f>
        <v>105</v>
      </c>
      <c r="AO394" s="51">
        <f t="shared" ref="AO394" si="1904">AN394+5</f>
        <v>110</v>
      </c>
      <c r="AP394" s="51">
        <f t="shared" ref="AP394" si="1905">AO394+5</f>
        <v>115</v>
      </c>
      <c r="AQ394" s="51">
        <f t="shared" ref="AQ394" si="1906">AP394+5</f>
        <v>120</v>
      </c>
      <c r="AR394" s="51">
        <f t="shared" ref="AR394" si="1907">AQ394+5</f>
        <v>125</v>
      </c>
      <c r="AS394" s="51">
        <f t="shared" ref="AS394" si="1908">AR394+5</f>
        <v>130</v>
      </c>
      <c r="AT394" s="51">
        <f t="shared" ref="AT394" si="1909">AS394+5</f>
        <v>135</v>
      </c>
      <c r="AU394" s="51">
        <f t="shared" ref="AU394" si="1910">AT394+5</f>
        <v>140</v>
      </c>
      <c r="AV394" s="51">
        <f t="shared" ref="AV394" si="1911">AU394+5</f>
        <v>145</v>
      </c>
      <c r="AW394" s="51">
        <f t="shared" ref="AW394" si="1912">AV394+5</f>
        <v>150</v>
      </c>
      <c r="AX394" s="51">
        <f t="shared" ref="AX394" si="1913">AW394+5</f>
        <v>155</v>
      </c>
      <c r="AY394" s="51">
        <f t="shared" ref="AY394" si="1914">AX394+5</f>
        <v>160</v>
      </c>
      <c r="AZ394" s="51">
        <f t="shared" ref="AZ394" si="1915">AY394+5</f>
        <v>165</v>
      </c>
      <c r="BA394" s="51">
        <f t="shared" ref="BA394" si="1916">AZ394+5</f>
        <v>170</v>
      </c>
      <c r="BB394" s="51">
        <f t="shared" ref="BB394" si="1917">BA394+5</f>
        <v>175</v>
      </c>
      <c r="BC394" s="51">
        <f t="shared" ref="BC394" si="1918">BB394+5</f>
        <v>180</v>
      </c>
      <c r="BD394" s="51">
        <f t="shared" ref="BD394" si="1919">BC394+5</f>
        <v>185</v>
      </c>
      <c r="BE394" s="51">
        <f t="shared" ref="BE394" si="1920">BD394+5</f>
        <v>190</v>
      </c>
      <c r="BF394" s="51">
        <f t="shared" ref="BF394" si="1921">BE394+5</f>
        <v>195</v>
      </c>
      <c r="BG394" s="51">
        <f t="shared" ref="BG394" si="1922">BF394+5</f>
        <v>200</v>
      </c>
      <c r="BH394" s="51">
        <f t="shared" ref="BH394" si="1923">BG394+5</f>
        <v>205</v>
      </c>
      <c r="BI394" s="51">
        <f t="shared" ref="BI394" si="1924">BH394+5</f>
        <v>210</v>
      </c>
      <c r="BJ394" s="51">
        <f t="shared" ref="BJ394" si="1925">BI394+5</f>
        <v>215</v>
      </c>
      <c r="BK394" s="51">
        <f t="shared" ref="BK394" si="1926">BJ394+5</f>
        <v>220</v>
      </c>
      <c r="BL394" s="51">
        <f t="shared" ref="BL394" si="1927">BK394+5</f>
        <v>225</v>
      </c>
      <c r="BM394" s="51">
        <f t="shared" ref="BM394" si="1928">BL394+5</f>
        <v>230</v>
      </c>
      <c r="BN394" s="51">
        <f t="shared" ref="BN394" si="1929">BM394+5</f>
        <v>235</v>
      </c>
      <c r="BO394" s="51">
        <f t="shared" ref="BO394" si="1930">BN394+5</f>
        <v>240</v>
      </c>
      <c r="BP394" s="51">
        <f t="shared" ref="BP394" si="1931">BO394+5</f>
        <v>245</v>
      </c>
      <c r="BQ394" s="51">
        <f t="shared" ref="BQ394" si="1932">BP394+5</f>
        <v>250</v>
      </c>
      <c r="BR394" s="51">
        <f t="shared" ref="BR394" si="1933">BQ394+5</f>
        <v>255</v>
      </c>
      <c r="BS394" s="51">
        <f t="shared" ref="BS394" si="1934">BR394+5</f>
        <v>260</v>
      </c>
      <c r="BT394" s="51">
        <f t="shared" ref="BT394" si="1935">BS394+5</f>
        <v>265</v>
      </c>
      <c r="BU394" s="51">
        <f t="shared" ref="BU394" si="1936">BT394+5</f>
        <v>270</v>
      </c>
      <c r="BV394" s="51">
        <f t="shared" ref="BV394" si="1937">BU394+5</f>
        <v>275</v>
      </c>
      <c r="BW394" s="51">
        <f t="shared" ref="BW394" si="1938">BV394+5</f>
        <v>280</v>
      </c>
      <c r="BX394" s="49"/>
      <c r="BY394" s="49"/>
      <c r="BZ394" s="49"/>
      <c r="CA394" s="49"/>
      <c r="CB394" s="49"/>
    </row>
    <row r="395" spans="2:80" ht="15" customHeight="1" x14ac:dyDescent="0.2">
      <c r="B395" s="214" t="s">
        <v>98</v>
      </c>
      <c r="C395" s="214"/>
      <c r="D395" s="214"/>
      <c r="E395" s="218" t="s">
        <v>147</v>
      </c>
      <c r="F395" s="218"/>
      <c r="G395" s="218"/>
      <c r="H395" s="218"/>
      <c r="I395" s="218"/>
      <c r="J395" s="218"/>
      <c r="K395" s="218"/>
      <c r="L395" s="218"/>
      <c r="M395" s="218" t="s">
        <v>97</v>
      </c>
      <c r="N395" s="218"/>
      <c r="O395" s="218"/>
      <c r="P395" s="218"/>
      <c r="Q395" s="218" t="s">
        <v>118</v>
      </c>
      <c r="R395" s="218"/>
      <c r="S395" s="218"/>
      <c r="T395" s="218"/>
      <c r="U395" s="52">
        <v>1</v>
      </c>
      <c r="V395" s="52">
        <v>2</v>
      </c>
      <c r="W395" s="52">
        <v>3</v>
      </c>
      <c r="X395" s="52">
        <v>4</v>
      </c>
      <c r="Y395" s="52">
        <v>5</v>
      </c>
      <c r="Z395" s="52">
        <v>6</v>
      </c>
      <c r="AA395" s="52">
        <v>7</v>
      </c>
      <c r="AB395" s="52">
        <v>8</v>
      </c>
      <c r="AC395" s="52">
        <v>9</v>
      </c>
      <c r="AD395" s="52">
        <v>10</v>
      </c>
      <c r="AE395" s="52">
        <v>11</v>
      </c>
      <c r="AF395" s="52">
        <v>12</v>
      </c>
      <c r="AG395" s="52">
        <v>13</v>
      </c>
      <c r="AH395" s="52">
        <v>14</v>
      </c>
      <c r="AI395" s="52">
        <v>15</v>
      </c>
      <c r="AJ395" s="52">
        <v>16</v>
      </c>
      <c r="AK395" s="52">
        <v>17</v>
      </c>
      <c r="AL395" s="52">
        <v>18</v>
      </c>
      <c r="AM395" s="52">
        <v>19</v>
      </c>
      <c r="AN395" s="52">
        <v>20</v>
      </c>
      <c r="AO395" s="52">
        <v>21</v>
      </c>
      <c r="AP395" s="52">
        <v>22</v>
      </c>
      <c r="AQ395" s="52">
        <v>23</v>
      </c>
      <c r="AR395" s="52">
        <v>24</v>
      </c>
      <c r="AS395" s="52">
        <v>25</v>
      </c>
      <c r="AT395" s="52">
        <v>26</v>
      </c>
      <c r="AU395" s="52">
        <v>27</v>
      </c>
      <c r="AV395" s="52">
        <v>28</v>
      </c>
      <c r="AW395" s="52">
        <v>29</v>
      </c>
      <c r="AX395" s="52">
        <v>30</v>
      </c>
      <c r="AY395" s="52">
        <v>31</v>
      </c>
      <c r="AZ395" s="52">
        <v>32</v>
      </c>
      <c r="BA395" s="52">
        <v>33</v>
      </c>
      <c r="BB395" s="52">
        <v>34</v>
      </c>
      <c r="BC395" s="52">
        <v>35</v>
      </c>
      <c r="BD395" s="52">
        <v>36</v>
      </c>
      <c r="BE395" s="52">
        <v>37</v>
      </c>
      <c r="BF395" s="52">
        <v>38</v>
      </c>
      <c r="BG395" s="52">
        <v>39</v>
      </c>
      <c r="BH395" s="52">
        <v>40</v>
      </c>
      <c r="BI395" s="52">
        <v>41</v>
      </c>
      <c r="BJ395" s="52">
        <v>42</v>
      </c>
      <c r="BK395" s="52">
        <v>43</v>
      </c>
      <c r="BL395" s="52">
        <v>44</v>
      </c>
      <c r="BM395" s="52">
        <v>45</v>
      </c>
      <c r="BN395" s="52">
        <v>46</v>
      </c>
      <c r="BO395" s="52">
        <v>47</v>
      </c>
      <c r="BP395" s="52">
        <v>48</v>
      </c>
      <c r="BQ395" s="52">
        <v>49</v>
      </c>
      <c r="BR395" s="52">
        <v>50</v>
      </c>
      <c r="BS395" s="52">
        <v>51</v>
      </c>
      <c r="BT395" s="52">
        <v>52</v>
      </c>
      <c r="BU395" s="52">
        <v>53</v>
      </c>
      <c r="BV395" s="52">
        <v>54</v>
      </c>
      <c r="BW395" s="52">
        <v>55</v>
      </c>
      <c r="BX395" s="53"/>
      <c r="BY395" s="53"/>
      <c r="BZ395" s="53"/>
      <c r="CA395" s="53"/>
      <c r="CB395" s="53"/>
    </row>
    <row r="396" spans="2:80" ht="15" customHeight="1" x14ac:dyDescent="0.2">
      <c r="B396" s="214">
        <v>1</v>
      </c>
      <c r="C396" s="214"/>
      <c r="D396" s="214"/>
      <c r="E396" s="218" t="str">
        <f>$E$325</f>
        <v>Hazard</v>
      </c>
      <c r="F396" s="218"/>
      <c r="G396" s="218"/>
      <c r="H396" s="218"/>
      <c r="I396" s="218"/>
      <c r="J396" s="218"/>
      <c r="K396" s="218"/>
      <c r="L396" s="218"/>
      <c r="M396" s="220">
        <f>$M$325</f>
        <v>1</v>
      </c>
      <c r="N396" s="220"/>
      <c r="O396" s="220"/>
      <c r="P396" s="220"/>
      <c r="Q396" s="220">
        <f>$Q$325</f>
        <v>1</v>
      </c>
      <c r="R396" s="220"/>
      <c r="S396" s="220"/>
      <c r="T396" s="220"/>
      <c r="U396" s="51">
        <f t="shared" ref="U396:U401" si="1939">IF(ISNUMBER(U325),1,"-")</f>
        <v>1</v>
      </c>
      <c r="V396" s="51" t="s">
        <v>123</v>
      </c>
      <c r="W396" s="51" t="s">
        <v>123</v>
      </c>
      <c r="X396" s="51" t="s">
        <v>123</v>
      </c>
      <c r="Y396" s="51" t="s">
        <v>123</v>
      </c>
      <c r="Z396" s="51" t="s">
        <v>123</v>
      </c>
      <c r="AA396" s="51" t="s">
        <v>123</v>
      </c>
      <c r="AB396" s="51" t="s">
        <v>123</v>
      </c>
      <c r="AC396" s="51" t="s">
        <v>123</v>
      </c>
      <c r="AD396" s="51" t="s">
        <v>123</v>
      </c>
      <c r="AE396" s="51" t="s">
        <v>123</v>
      </c>
      <c r="AF396" s="51" t="s">
        <v>123</v>
      </c>
      <c r="AG396" s="51" t="s">
        <v>123</v>
      </c>
      <c r="AH396" s="51" t="s">
        <v>123</v>
      </c>
      <c r="AI396" s="51" t="s">
        <v>123</v>
      </c>
      <c r="AJ396" s="51" t="s">
        <v>123</v>
      </c>
      <c r="AK396" s="51" t="s">
        <v>123</v>
      </c>
      <c r="AL396" s="51" t="s">
        <v>123</v>
      </c>
      <c r="AM396" s="51" t="s">
        <v>123</v>
      </c>
      <c r="AN396" s="51" t="s">
        <v>123</v>
      </c>
      <c r="AO396" s="51" t="s">
        <v>123</v>
      </c>
      <c r="AP396" s="51" t="s">
        <v>123</v>
      </c>
      <c r="AQ396" s="51" t="s">
        <v>123</v>
      </c>
      <c r="AR396" s="51" t="s">
        <v>123</v>
      </c>
      <c r="AS396" s="51" t="s">
        <v>123</v>
      </c>
      <c r="AT396" s="51" t="s">
        <v>123</v>
      </c>
      <c r="AU396" s="51" t="s">
        <v>123</v>
      </c>
      <c r="AV396" s="51" t="s">
        <v>123</v>
      </c>
      <c r="AW396" s="51" t="s">
        <v>123</v>
      </c>
      <c r="AX396" s="51" t="s">
        <v>123</v>
      </c>
      <c r="AY396" s="51" t="s">
        <v>123</v>
      </c>
      <c r="AZ396" s="51" t="s">
        <v>123</v>
      </c>
      <c r="BA396" s="51" t="s">
        <v>123</v>
      </c>
      <c r="BB396" s="51" t="s">
        <v>123</v>
      </c>
      <c r="BC396" s="51" t="s">
        <v>123</v>
      </c>
      <c r="BD396" s="51" t="s">
        <v>123</v>
      </c>
      <c r="BE396" s="51" t="s">
        <v>123</v>
      </c>
      <c r="BF396" s="51" t="s">
        <v>123</v>
      </c>
      <c r="BG396" s="51" t="s">
        <v>123</v>
      </c>
      <c r="BH396" s="51" t="s">
        <v>123</v>
      </c>
      <c r="BI396" s="51" t="s">
        <v>123</v>
      </c>
      <c r="BJ396" s="51" t="s">
        <v>123</v>
      </c>
      <c r="BK396" s="51" t="s">
        <v>123</v>
      </c>
      <c r="BL396" s="51" t="s">
        <v>123</v>
      </c>
      <c r="BM396" s="51" t="s">
        <v>123</v>
      </c>
      <c r="BN396" s="51" t="s">
        <v>123</v>
      </c>
      <c r="BO396" s="51" t="s">
        <v>123</v>
      </c>
      <c r="BP396" s="51" t="s">
        <v>123</v>
      </c>
      <c r="BQ396" s="51" t="s">
        <v>123</v>
      </c>
      <c r="BR396" s="51" t="s">
        <v>123</v>
      </c>
      <c r="BS396" s="51" t="s">
        <v>123</v>
      </c>
      <c r="BT396" s="51" t="s">
        <v>123</v>
      </c>
      <c r="BU396" s="51" t="s">
        <v>123</v>
      </c>
      <c r="BV396" s="51" t="s">
        <v>123</v>
      </c>
      <c r="BW396" s="51" t="s">
        <v>123</v>
      </c>
      <c r="BX396" s="49"/>
      <c r="BY396" s="49"/>
      <c r="BZ396" s="49"/>
      <c r="CA396" s="49"/>
      <c r="CB396" s="49"/>
    </row>
    <row r="397" spans="2:80" ht="15" customHeight="1" x14ac:dyDescent="0.2">
      <c r="B397" s="214">
        <v>2</v>
      </c>
      <c r="C397" s="214"/>
      <c r="D397" s="214"/>
      <c r="E397" s="218" t="str">
        <f>$E$326</f>
        <v>Operational Performance</v>
      </c>
      <c r="F397" s="218"/>
      <c r="G397" s="218"/>
      <c r="H397" s="218"/>
      <c r="I397" s="218"/>
      <c r="J397" s="218"/>
      <c r="K397" s="218"/>
      <c r="L397" s="218"/>
      <c r="M397" s="220">
        <f>$M$326</f>
        <v>3</v>
      </c>
      <c r="N397" s="220"/>
      <c r="O397" s="220"/>
      <c r="P397" s="220"/>
      <c r="Q397" s="220">
        <f>$Q$326</f>
        <v>3</v>
      </c>
      <c r="R397" s="220"/>
      <c r="S397" s="220"/>
      <c r="T397" s="220"/>
      <c r="U397" s="51">
        <f t="shared" si="1939"/>
        <v>1</v>
      </c>
      <c r="V397" s="51" t="str">
        <f>IF(ISNUMBER($M397),IF($E397="Operational Performance",IF(V$395&gt;=MAX($Q$396:$T$401),"-",IF(MOD(U$395,'Project Event Tree Input'!$D$48+1)=0,(U$395/('Project Event Tree Input'!$D$48+1))+1,"-")),IF($E397="Transform",IF(V381="-",1,IF(V381="+",U397+1,"-")),V396)))</f>
        <v>-</v>
      </c>
      <c r="W397" s="51" t="str">
        <f>IF(ISNUMBER($M397),IF($E397="Operational Performance",IF(W$395&gt;=MAX($Q$396:$T$401),"-",IF(MOD(V$395,'Project Event Tree Input'!$D$48+1)=0,(V$395/('Project Event Tree Input'!$D$48+1))+1,"-")),IF($E397="Transform",IF(W381="-",1,IF(W381="+",V397+1,"-")),W396)))</f>
        <v>-</v>
      </c>
      <c r="X397" s="51">
        <f>IF(ISNUMBER($M397),IF($E397="Operational Performance",IF(X$395&gt;=MAX($Q$396:$T$401),"-",IF(MOD(W$395,'Project Event Tree Input'!$D$48+1)=0,(W$395/('Project Event Tree Input'!$D$48+1))+1,"-")),IF($E397="Transform",IF(X381="-",1,IF(X381="+",W397+1,"-")),X396)))</f>
        <v>2</v>
      </c>
      <c r="Y397" s="51" t="str">
        <f>IF(ISNUMBER($M397),IF($E397="Operational Performance",IF(Y$395&gt;=MAX($Q$396:$T$401),"-",IF(MOD(X$395,'Project Event Tree Input'!$D$48+1)=0,(X$395/('Project Event Tree Input'!$D$48+1))+1,"-")),IF($E397="Transform",IF(Y381="-",1,IF(Y381="+",X397+1,"-")),Y396)))</f>
        <v>-</v>
      </c>
      <c r="Z397" s="51" t="str">
        <f>IF(ISNUMBER($M397),IF($E397="Operational Performance",IF(Z$395&gt;=MAX($Q$396:$T$401),"-",IF(MOD(Y$395,'Project Event Tree Input'!$D$48+1)=0,(Y$395/('Project Event Tree Input'!$D$48+1))+1,"-")),IF($E397="Transform",IF(Z381="-",1,IF(Z381="+",Y397+1,"-")),Z396)))</f>
        <v>-</v>
      </c>
      <c r="AA397" s="51">
        <f>IF(ISNUMBER($M397),IF($E397="Operational Performance",IF(AA$395&gt;=MAX($Q$396:$T$401),"-",IF(MOD(Z$395,'Project Event Tree Input'!$D$48+1)=0,(Z$395/('Project Event Tree Input'!$D$48+1))+1,"-")),IF($E397="Transform",IF(AA381="-",1,IF(AA381="+",Z397+1,"-")),AA396)))</f>
        <v>3</v>
      </c>
      <c r="AB397" s="51" t="str">
        <f>IF(ISNUMBER($M397),IF($E397="Operational Performance",IF(AB$395&gt;=MAX($Q$396:$T$401),"-",IF(MOD(AA$395,'Project Event Tree Input'!$D$48+1)=0,(AA$395/('Project Event Tree Input'!$D$48+1))+1,"-")),IF($E397="Transform",IF(AB381="-",1,IF(AB381="+",AA397+1,"-")),AB396)))</f>
        <v>-</v>
      </c>
      <c r="AC397" s="51" t="str">
        <f>IF(ISNUMBER($M397),IF($E397="Operational Performance",IF(AC$395&gt;=MAX($Q$396:$T$401),"-",IF(MOD(AB$395,'Project Event Tree Input'!$D$48+1)=0,(AB$395/('Project Event Tree Input'!$D$48+1))+1,"-")),IF($E397="Transform",IF(AC381="-",1,IF(AC381="+",AB397+1,"-")),AC396)))</f>
        <v>-</v>
      </c>
      <c r="AD397" s="51" t="str">
        <f>IF(ISNUMBER($M397),IF($E397="Operational Performance",IF(AD$395&gt;=MAX($Q$396:$T$401),"-",IF(MOD(AC$395,'Project Event Tree Input'!$D$48+1)=0,(AC$395/('Project Event Tree Input'!$D$48+1))+1,"-")),IF($E397="Transform",IF(AD381="-",1,IF(AD381="+",AC397+1,"-")),AD396)))</f>
        <v>-</v>
      </c>
      <c r="AE397" s="51" t="str">
        <f>IF(ISNUMBER($M397),IF($E397="Operational Performance",IF(AE$395&gt;=MAX($Q$396:$T$401),"-",IF(MOD(AD$395,'Project Event Tree Input'!$D$48+1)=0,(AD$395/('Project Event Tree Input'!$D$48+1))+1,"-")),IF($E397="Transform",IF(AE381="-",1,IF(AE381="+",AD397+1,"-")),AE396)))</f>
        <v>-</v>
      </c>
      <c r="AF397" s="51" t="str">
        <f>IF(ISNUMBER($M397),IF($E397="Operational Performance",IF(AF$395&gt;=MAX($Q$396:$T$401),"-",IF(MOD(AE$395,'Project Event Tree Input'!$D$48+1)=0,(AE$395/('Project Event Tree Input'!$D$48+1))+1,"-")),IF($E397="Transform",IF(AF381="-",1,IF(AF381="+",AE397+1,"-")),AF396)))</f>
        <v>-</v>
      </c>
      <c r="AG397" s="51" t="str">
        <f>IF(ISNUMBER($M397),IF($E397="Operational Performance",IF(AG$395&gt;=MAX($Q$396:$T$401),"-",IF(MOD(AF$395,'Project Event Tree Input'!$D$48+1)=0,(AF$395/('Project Event Tree Input'!$D$48+1))+1,"-")),IF($E397="Transform",IF(AG381="-",1,IF(AG381="+",AF397+1,"-")),AG396)))</f>
        <v>-</v>
      </c>
      <c r="AH397" s="51" t="str">
        <f>IF(ISNUMBER($M397),IF($E397="Operational Performance",IF(AH$395&gt;=MAX($Q$396:$T$401),"-",IF(MOD(AG$395,'Project Event Tree Input'!$D$48+1)=0,(AG$395/('Project Event Tree Input'!$D$48+1))+1,"-")),IF($E397="Transform",IF(AH381="-",1,IF(AH381="+",AG397+1,"-")),AH396)))</f>
        <v>-</v>
      </c>
      <c r="AI397" s="51" t="str">
        <f>IF(ISNUMBER($M397),IF($E397="Operational Performance",IF(AI$395&gt;=MAX($Q$396:$T$401),"-",IF(MOD(AH$395,'Project Event Tree Input'!$D$48+1)=0,(AH$395/('Project Event Tree Input'!$D$48+1))+1,"-")),IF($E397="Transform",IF(AI381="-",1,IF(AI381="+",AH397+1,"-")),AI396)))</f>
        <v>-</v>
      </c>
      <c r="AJ397" s="51" t="str">
        <f>IF(ISNUMBER($M397),IF($E397="Operational Performance",IF(AJ$395&gt;=MAX($Q$396:$T$401),"-",IF(MOD(AI$395,'Project Event Tree Input'!$D$48+1)=0,(AI$395/('Project Event Tree Input'!$D$48+1))+1,"-")),IF($E397="Transform",IF(AJ381="-",1,IF(AJ381="+",AI397+1,"-")),AJ396)))</f>
        <v>-</v>
      </c>
      <c r="AK397" s="51" t="str">
        <f>IF(ISNUMBER($M397),IF($E397="Operational Performance",IF(AK$395&gt;=MAX($Q$396:$T$401),"-",IF(MOD(AJ$395,'Project Event Tree Input'!$D$48+1)=0,(AJ$395/('Project Event Tree Input'!$D$48+1))+1,"-")),IF($E397="Transform",IF(AK381="-",1,IF(AK381="+",AJ397+1,"-")),AK396)))</f>
        <v>-</v>
      </c>
      <c r="AL397" s="51" t="str">
        <f>IF(ISNUMBER($M397),IF($E397="Operational Performance",IF(AL$395&gt;=MAX($Q$396:$T$401),"-",IF(MOD(AK$395,'Project Event Tree Input'!$D$48+1)=0,(AK$395/('Project Event Tree Input'!$D$48+1))+1,"-")),IF($E397="Transform",IF(AL381="-",1,IF(AL381="+",AK397+1,"-")),AL396)))</f>
        <v>-</v>
      </c>
      <c r="AM397" s="51" t="str">
        <f>IF(ISNUMBER($M397),IF($E397="Operational Performance",IF(AM$395&gt;=MAX($Q$396:$T$401),"-",IF(MOD(AL$395,'Project Event Tree Input'!$D$48+1)=0,(AL$395/('Project Event Tree Input'!$D$48+1))+1,"-")),IF($E397="Transform",IF(AM381="-",1,IF(AM381="+",AL397+1,"-")),AM396)))</f>
        <v>-</v>
      </c>
      <c r="AN397" s="51" t="str">
        <f>IF(ISNUMBER($M397),IF($E397="Operational Performance",IF(AN$395&gt;=MAX($Q$396:$T$401),"-",IF(MOD(AM$395,'Project Event Tree Input'!$D$48+1)=0,(AM$395/('Project Event Tree Input'!$D$48+1))+1,"-")),IF($E397="Transform",IF(AN381="-",1,IF(AN381="+",AM397+1,"-")),AN396)))</f>
        <v>-</v>
      </c>
      <c r="AO397" s="51" t="str">
        <f>IF(ISNUMBER($M397),IF($E397="Operational Performance",IF(AO$395&gt;=MAX($Q$396:$T$401),"-",IF(MOD(AN$395,'Project Event Tree Input'!$D$48+1)=0,(AN$395/('Project Event Tree Input'!$D$48+1))+1,"-")),IF($E397="Transform",IF(AO381="-",1,IF(AO381="+",AN397+1,"-")),AO396)))</f>
        <v>-</v>
      </c>
      <c r="AP397" s="51" t="str">
        <f>IF(ISNUMBER($M397),IF($E397="Operational Performance",IF(AP$395&gt;=MAX($Q$396:$T$401),"-",IF(MOD(AO$395,'Project Event Tree Input'!$D$48+1)=0,(AO$395/('Project Event Tree Input'!$D$48+1))+1,"-")),IF($E397="Transform",IF(AP381="-",1,IF(AP381="+",AO397+1,"-")),AP396)))</f>
        <v>-</v>
      </c>
      <c r="AQ397" s="51" t="str">
        <f>IF(ISNUMBER($M397),IF($E397="Operational Performance",IF(AQ$395&gt;=MAX($Q$396:$T$401),"-",IF(MOD(AP$395,'Project Event Tree Input'!$D$48+1)=0,(AP$395/('Project Event Tree Input'!$D$48+1))+1,"-")),IF($E397="Transform",IF(AQ381="-",1,IF(AQ381="+",AP397+1,"-")),AQ396)))</f>
        <v>-</v>
      </c>
      <c r="AR397" s="51" t="str">
        <f>IF(ISNUMBER($M397),IF($E397="Operational Performance",IF(AR$395&gt;=MAX($Q$396:$T$401),"-",IF(MOD(AQ$395,'Project Event Tree Input'!$D$48+1)=0,(AQ$395/('Project Event Tree Input'!$D$48+1))+1,"-")),IF($E397="Transform",IF(AR381="-",1,IF(AR381="+",AQ397+1,"-")),AR396)))</f>
        <v>-</v>
      </c>
      <c r="AS397" s="51" t="str">
        <f>IF(ISNUMBER($M397),IF($E397="Operational Performance",IF(AS$395&gt;=MAX($Q$396:$T$401),"-",IF(MOD(AR$395,'Project Event Tree Input'!$D$48+1)=0,(AR$395/('Project Event Tree Input'!$D$48+1))+1,"-")),IF($E397="Transform",IF(AS381="-",1,IF(AS381="+",AR397+1,"-")),AS396)))</f>
        <v>-</v>
      </c>
      <c r="AT397" s="51" t="str">
        <f>IF(ISNUMBER($M397),IF($E397="Operational Performance",IF(AT$395&gt;=MAX($Q$396:$T$401),"-",IF(MOD(AS$395,'Project Event Tree Input'!$D$48+1)=0,(AS$395/('Project Event Tree Input'!$D$48+1))+1,"-")),IF($E397="Transform",IF(AT381="-",1,IF(AT381="+",AS397+1,"-")),AT396)))</f>
        <v>-</v>
      </c>
      <c r="AU397" s="51" t="str">
        <f>IF(ISNUMBER($M397),IF($E397="Operational Performance",IF(AU$395&gt;=MAX($Q$396:$T$401),"-",IF(MOD(AT$395,'Project Event Tree Input'!$D$48+1)=0,(AT$395/('Project Event Tree Input'!$D$48+1))+1,"-")),IF($E397="Transform",IF(AU381="-",1,IF(AU381="+",AT397+1,"-")),AU396)))</f>
        <v>-</v>
      </c>
      <c r="AV397" s="51" t="str">
        <f>IF(ISNUMBER($M397),IF($E397="Operational Performance",IF(AV$395&gt;=MAX($Q$396:$T$401),"-",IF(MOD(AU$395,'Project Event Tree Input'!$D$48+1)=0,(AU$395/('Project Event Tree Input'!$D$48+1))+1,"-")),IF($E397="Transform",IF(AV381="-",1,IF(AV381="+",AU397+1,"-")),AV396)))</f>
        <v>-</v>
      </c>
      <c r="AW397" s="51" t="str">
        <f>IF(ISNUMBER($M397),IF($E397="Operational Performance",IF(AW$395&gt;=MAX($Q$396:$T$401),"-",IF(MOD(AV$395,'Project Event Tree Input'!$D$48+1)=0,(AV$395/('Project Event Tree Input'!$D$48+1))+1,"-")),IF($E397="Transform",IF(AW381="-",1,IF(AW381="+",AV397+1,"-")),AW396)))</f>
        <v>-</v>
      </c>
      <c r="AX397" s="51" t="str">
        <f>IF(ISNUMBER($M397),IF($E397="Operational Performance",IF(AX$395&gt;=MAX($Q$396:$T$401),"-",IF(MOD(AW$395,'Project Event Tree Input'!$D$48+1)=0,(AW$395/('Project Event Tree Input'!$D$48+1))+1,"-")),IF($E397="Transform",IF(AX381="-",1,IF(AX381="+",AW397+1,"-")),AX396)))</f>
        <v>-</v>
      </c>
      <c r="AY397" s="51" t="str">
        <f>IF(ISNUMBER($M397),IF($E397="Operational Performance",IF(AY$395&gt;=MAX($Q$396:$T$401),"-",IF(MOD(AX$395,'Project Event Tree Input'!$D$48+1)=0,(AX$395/('Project Event Tree Input'!$D$48+1))+1,"-")),IF($E397="Transform",IF(AY381="-",1,IF(AY381="+",AX397+1,"-")),AY396)))</f>
        <v>-</v>
      </c>
      <c r="AZ397" s="51" t="str">
        <f>IF(ISNUMBER($M397),IF($E397="Operational Performance",IF(AZ$395&gt;=MAX($Q$396:$T$401),"-",IF(MOD(AY$395,'Project Event Tree Input'!$D$48+1)=0,(AY$395/('Project Event Tree Input'!$D$48+1))+1,"-")),IF($E397="Transform",IF(AZ381="-",1,IF(AZ381="+",AY397+1,"-")),AZ396)))</f>
        <v>-</v>
      </c>
      <c r="BA397" s="51" t="str">
        <f>IF(ISNUMBER($M397),IF($E397="Operational Performance",IF(BA$395&gt;=MAX($Q$396:$T$401),"-",IF(MOD(AZ$395,'Project Event Tree Input'!$D$48+1)=0,(AZ$395/('Project Event Tree Input'!$D$48+1))+1,"-")),IF($E397="Transform",IF(BA381="-",1,IF(BA381="+",AZ397+1,"-")),BA396)))</f>
        <v>-</v>
      </c>
      <c r="BB397" s="51" t="str">
        <f>IF(ISNUMBER($M397),IF($E397="Operational Performance",IF(BB$395&gt;=MAX($Q$396:$T$401),"-",IF(MOD(BA$395,'Project Event Tree Input'!$D$48+1)=0,(BA$395/('Project Event Tree Input'!$D$48+1))+1,"-")),IF($E397="Transform",IF(BB381="-",1,IF(BB381="+",BA397+1,"-")),BB396)))</f>
        <v>-</v>
      </c>
      <c r="BC397" s="51" t="str">
        <f>IF(ISNUMBER($M397),IF($E397="Operational Performance",IF(BC$395&gt;=MAX($Q$396:$T$401),"-",IF(MOD(BB$395,'Project Event Tree Input'!$D$48+1)=0,(BB$395/('Project Event Tree Input'!$D$48+1))+1,"-")),IF($E397="Transform",IF(BC381="-",1,IF(BC381="+",BB397+1,"-")),BC396)))</f>
        <v>-</v>
      </c>
      <c r="BD397" s="51" t="str">
        <f>IF(ISNUMBER($M397),IF($E397="Operational Performance",IF(BD$395&gt;=MAX($Q$396:$T$401),"-",IF(MOD(BC$395,'Project Event Tree Input'!$D$48+1)=0,(BC$395/('Project Event Tree Input'!$D$48+1))+1,"-")),IF($E397="Transform",IF(BD381="-",1,IF(BD381="+",BC397+1,"-")),BD396)))</f>
        <v>-</v>
      </c>
      <c r="BE397" s="51" t="str">
        <f>IF(ISNUMBER($M397),IF($E397="Operational Performance",IF(BE$395&gt;=MAX($Q$396:$T$401),"-",IF(MOD(BD$395,'Project Event Tree Input'!$D$48+1)=0,(BD$395/('Project Event Tree Input'!$D$48+1))+1,"-")),IF($E397="Transform",IF(BE381="-",1,IF(BE381="+",BD397+1,"-")),BE396)))</f>
        <v>-</v>
      </c>
      <c r="BF397" s="51" t="str">
        <f>IF(ISNUMBER($M397),IF($E397="Operational Performance",IF(BF$395&gt;=MAX($Q$396:$T$401),"-",IF(MOD(BE$395,'Project Event Tree Input'!$D$48+1)=0,(BE$395/('Project Event Tree Input'!$D$48+1))+1,"-")),IF($E397="Transform",IF(BF381="-",1,IF(BF381="+",BE397+1,"-")),BF396)))</f>
        <v>-</v>
      </c>
      <c r="BG397" s="51" t="str">
        <f>IF(ISNUMBER($M397),IF($E397="Operational Performance",IF(BG$395&gt;=MAX($Q$396:$T$401),"-",IF(MOD(BF$395,'Project Event Tree Input'!$D$48+1)=0,(BF$395/('Project Event Tree Input'!$D$48+1))+1,"-")),IF($E397="Transform",IF(BG381="-",1,IF(BG381="+",BF397+1,"-")),BG396)))</f>
        <v>-</v>
      </c>
      <c r="BH397" s="51" t="str">
        <f>IF(ISNUMBER($M397),IF($E397="Operational Performance",IF(BH$395&gt;=MAX($Q$396:$T$401),"-",IF(MOD(BG$395,'Project Event Tree Input'!$D$48+1)=0,(BG$395/('Project Event Tree Input'!$D$48+1))+1,"-")),IF($E397="Transform",IF(BH381="-",1,IF(BH381="+",BG397+1,"-")),BH396)))</f>
        <v>-</v>
      </c>
      <c r="BI397" s="51" t="str">
        <f>IF(ISNUMBER($M397),IF($E397="Operational Performance",IF(BI$395&gt;=MAX($Q$396:$T$401),"-",IF(MOD(BH$395,'Project Event Tree Input'!$D$48+1)=0,(BH$395/('Project Event Tree Input'!$D$48+1))+1,"-")),IF($E397="Transform",IF(BI381="-",1,IF(BI381="+",BH397+1,"-")),BI396)))</f>
        <v>-</v>
      </c>
      <c r="BJ397" s="51" t="str">
        <f>IF(ISNUMBER($M397),IF($E397="Operational Performance",IF(BJ$395&gt;=MAX($Q$396:$T$401),"-",IF(MOD(BI$395,'Project Event Tree Input'!$D$48+1)=0,(BI$395/('Project Event Tree Input'!$D$48+1))+1,"-")),IF($E397="Transform",IF(BJ381="-",1,IF(BJ381="+",BI397+1,"-")),BJ396)))</f>
        <v>-</v>
      </c>
      <c r="BK397" s="51" t="str">
        <f>IF(ISNUMBER($M397),IF($E397="Operational Performance",IF(BK$395&gt;=MAX($Q$396:$T$401),"-",IF(MOD(BJ$395,'Project Event Tree Input'!$D$48+1)=0,(BJ$395/('Project Event Tree Input'!$D$48+1))+1,"-")),IF($E397="Transform",IF(BK381="-",1,IF(BK381="+",BJ397+1,"-")),BK396)))</f>
        <v>-</v>
      </c>
      <c r="BL397" s="51" t="str">
        <f>IF(ISNUMBER($M397),IF($E397="Operational Performance",IF(BL$395&gt;=MAX($Q$396:$T$401),"-",IF(MOD(BK$395,'Project Event Tree Input'!$D$48+1)=0,(BK$395/('Project Event Tree Input'!$D$48+1))+1,"-")),IF($E397="Transform",IF(BL381="-",1,IF(BL381="+",BK397+1,"-")),BL396)))</f>
        <v>-</v>
      </c>
      <c r="BM397" s="51" t="str">
        <f>IF(ISNUMBER($M397),IF($E397="Operational Performance",IF(BM$395&gt;=MAX($Q$396:$T$401),"-",IF(MOD(BL$395,'Project Event Tree Input'!$D$48+1)=0,(BL$395/('Project Event Tree Input'!$D$48+1))+1,"-")),IF($E397="Transform",IF(BM381="-",1,IF(BM381="+",BL397+1,"-")),BM396)))</f>
        <v>-</v>
      </c>
      <c r="BN397" s="51" t="str">
        <f>IF(ISNUMBER($M397),IF($E397="Operational Performance",IF(BN$395&gt;=MAX($Q$396:$T$401),"-",IF(MOD(BM$395,'Project Event Tree Input'!$D$48+1)=0,(BM$395/('Project Event Tree Input'!$D$48+1))+1,"-")),IF($E397="Transform",IF(BN381="-",1,IF(BN381="+",BM397+1,"-")),BN396)))</f>
        <v>-</v>
      </c>
      <c r="BO397" s="51" t="str">
        <f>IF(ISNUMBER($M397),IF($E397="Operational Performance",IF(BO$395&gt;=MAX($Q$396:$T$401),"-",IF(MOD(BN$395,'Project Event Tree Input'!$D$48+1)=0,(BN$395/('Project Event Tree Input'!$D$48+1))+1,"-")),IF($E397="Transform",IF(BO381="-",1,IF(BO381="+",BN397+1,"-")),BO396)))</f>
        <v>-</v>
      </c>
      <c r="BP397" s="51" t="str">
        <f>IF(ISNUMBER($M397),IF($E397="Operational Performance",IF(BP$395&gt;=MAX($Q$396:$T$401),"-",IF(MOD(BO$395,'Project Event Tree Input'!$D$48+1)=0,(BO$395/('Project Event Tree Input'!$D$48+1))+1,"-")),IF($E397="Transform",IF(BP381="-",1,IF(BP381="+",BO397+1,"-")),BP396)))</f>
        <v>-</v>
      </c>
      <c r="BQ397" s="51" t="str">
        <f>IF(ISNUMBER($M397),IF($E397="Operational Performance",IF(BQ$395&gt;=MAX($Q$396:$T$401),"-",IF(MOD(BP$395,'Project Event Tree Input'!$D$48+1)=0,(BP$395/('Project Event Tree Input'!$D$48+1))+1,"-")),IF($E397="Transform",IF(BQ381="-",1,IF(BQ381="+",BP397+1,"-")),BQ396)))</f>
        <v>-</v>
      </c>
      <c r="BR397" s="51" t="str">
        <f>IF(ISNUMBER($M397),IF($E397="Operational Performance",IF(BR$395&gt;=MAX($Q$396:$T$401),"-",IF(MOD(BQ$395,'Project Event Tree Input'!$D$48+1)=0,(BQ$395/('Project Event Tree Input'!$D$48+1))+1,"-")),IF($E397="Transform",IF(BR381="-",1,IF(BR381="+",BQ397+1,"-")),BR396)))</f>
        <v>-</v>
      </c>
      <c r="BS397" s="51" t="str">
        <f>IF(ISNUMBER($M397),IF($E397="Operational Performance",IF(BS$395&gt;=MAX($Q$396:$T$401),"-",IF(MOD(BR$395,'Project Event Tree Input'!$D$48+1)=0,(BR$395/('Project Event Tree Input'!$D$48+1))+1,"-")),IF($E397="Transform",IF(BS381="-",1,IF(BS381="+",BR397+1,"-")),BS396)))</f>
        <v>-</v>
      </c>
      <c r="BT397" s="51" t="str">
        <f>IF(ISNUMBER($M397),IF($E397="Operational Performance",IF(BT$395&gt;=MAX($Q$396:$T$401),"-",IF(MOD(BS$395,'Project Event Tree Input'!$D$48+1)=0,(BS$395/('Project Event Tree Input'!$D$48+1))+1,"-")),IF($E397="Transform",IF(BT381="-",1,IF(BT381="+",BS397+1,"-")),BT396)))</f>
        <v>-</v>
      </c>
      <c r="BU397" s="51" t="str">
        <f>IF(ISNUMBER($M397),IF($E397="Operational Performance",IF(BU$395&gt;=MAX($Q$396:$T$401),"-",IF(MOD(BT$395,'Project Event Tree Input'!$D$48+1)=0,(BT$395/('Project Event Tree Input'!$D$48+1))+1,"-")),IF($E397="Transform",IF(BU381="-",1,IF(BU381="+",BT397+1,"-")),BU396)))</f>
        <v>-</v>
      </c>
      <c r="BV397" s="51" t="str">
        <f>IF(ISNUMBER($M397),IF($E397="Operational Performance",IF(BV$395&gt;=MAX($Q$396:$T$401),"-",IF(MOD(BU$395,'Project Event Tree Input'!$D$48+1)=0,(BU$395/('Project Event Tree Input'!$D$48+1))+1,"-")),IF($E397="Transform",IF(BV381="-",1,IF(BV381="+",BU397+1,"-")),BV396)))</f>
        <v>-</v>
      </c>
      <c r="BW397" s="51" t="str">
        <f>IF(ISNUMBER($M397),IF($E397="Operational Performance",IF(BW$395&gt;=MAX($Q$396:$T$401),"-",IF(MOD(BV$395,'Project Event Tree Input'!$D$48+1)=0,(BV$395/('Project Event Tree Input'!$D$48+1))+1,"-")),IF($E397="Transform",IF(BW381="-",1,IF(BW381="+",BV397+1,"-")),BW396)))</f>
        <v>-</v>
      </c>
      <c r="BX397" s="49"/>
      <c r="BY397" s="49"/>
      <c r="BZ397" s="49"/>
      <c r="CA397" s="49"/>
      <c r="CB397" s="49"/>
    </row>
    <row r="398" spans="2:80" ht="15" customHeight="1" x14ac:dyDescent="0.2">
      <c r="B398" s="214">
        <v>3</v>
      </c>
      <c r="C398" s="214"/>
      <c r="D398" s="214"/>
      <c r="E398" s="218" t="str">
        <f>$E$327</f>
        <v>Transform</v>
      </c>
      <c r="F398" s="218"/>
      <c r="G398" s="218"/>
      <c r="H398" s="218"/>
      <c r="I398" s="218"/>
      <c r="J398" s="218"/>
      <c r="K398" s="218"/>
      <c r="L398" s="218"/>
      <c r="M398" s="220">
        <f>$M$327</f>
        <v>3</v>
      </c>
      <c r="N398" s="220"/>
      <c r="O398" s="220"/>
      <c r="P398" s="220"/>
      <c r="Q398" s="220">
        <f>$Q$327</f>
        <v>9</v>
      </c>
      <c r="R398" s="220"/>
      <c r="S398" s="220"/>
      <c r="T398" s="220"/>
      <c r="U398" s="51">
        <f t="shared" si="1939"/>
        <v>1</v>
      </c>
      <c r="V398" s="51">
        <f>IF(ISNUMBER($M398),IF($E398="Operational Performance",IF(V$395&gt;=MAX($Q$396:$T$401),"-",IF(MOD(U$395,'Project Event Tree Input'!$D$48+1)=0,(U$395/('Project Event Tree Input'!$D$48+1))+1,"-")),IF($E398="Transform",IF(V382="-",1,IF(V382="+",U398+1,"-")),V397)))</f>
        <v>2</v>
      </c>
      <c r="W398" s="51">
        <f>IF(ISNUMBER($M398),IF($E398="Operational Performance",IF(W$395&gt;=MAX($Q$396:$T$401),"-",IF(MOD(V$395,'Project Event Tree Input'!$D$48+1)=0,(V$395/('Project Event Tree Input'!$D$48+1))+1,"-")),IF($E398="Transform",IF(W382="-",1,IF(W382="+",V398+1,"-")),W397)))</f>
        <v>3</v>
      </c>
      <c r="X398" s="51" t="str">
        <f>IF(ISNUMBER($M398),IF($E398="Operational Performance",IF(X$395&gt;=MAX($Q$396:$T$401),"-",IF(MOD(W$395,'Project Event Tree Input'!$D$48+1)=0,(W$395/('Project Event Tree Input'!$D$48+1))+1,"-")),IF($E398="Transform",IF(X382="-",1,IF(X382="+",W398+1,"-")),X397)))</f>
        <v>-</v>
      </c>
      <c r="Y398" s="51" t="str">
        <f>IF(ISNUMBER($M398),IF($E398="Operational Performance",IF(Y$395&gt;=MAX($Q$396:$T$401),"-",IF(MOD(X$395,'Project Event Tree Input'!$D$48+1)=0,(X$395/('Project Event Tree Input'!$D$48+1))+1,"-")),IF($E398="Transform",IF(Y382="-",1,IF(Y382="+",X398+1,"-")),Y397)))</f>
        <v>-</v>
      </c>
      <c r="Z398" s="51" t="str">
        <f>IF(ISNUMBER($M398),IF($E398="Operational Performance",IF(Z$395&gt;=MAX($Q$396:$T$401),"-",IF(MOD(Y$395,'Project Event Tree Input'!$D$48+1)=0,(Y$395/('Project Event Tree Input'!$D$48+1))+1,"-")),IF($E398="Transform",IF(Z382="-",1,IF(Z382="+",Y398+1,"-")),Z397)))</f>
        <v>-</v>
      </c>
      <c r="AA398" s="51" t="str">
        <f>IF(ISNUMBER($M398),IF($E398="Operational Performance",IF(AA$395&gt;=MAX($Q$396:$T$401),"-",IF(MOD(Z$395,'Project Event Tree Input'!$D$48+1)=0,(Z$395/('Project Event Tree Input'!$D$48+1))+1,"-")),IF($E398="Transform",IF(AA382="-",1,IF(AA382="+",Z398+1,"-")),AA397)))</f>
        <v>-</v>
      </c>
      <c r="AB398" s="51" t="str">
        <f>IF(ISNUMBER($M398),IF($E398="Operational Performance",IF(AB$395&gt;=MAX($Q$396:$T$401),"-",IF(MOD(AA$395,'Project Event Tree Input'!$D$48+1)=0,(AA$395/('Project Event Tree Input'!$D$48+1))+1,"-")),IF($E398="Transform",IF(AB382="-",1,IF(AB382="+",AA398+1,"-")),AB397)))</f>
        <v>-</v>
      </c>
      <c r="AC398" s="51" t="str">
        <f>IF(ISNUMBER($M398),IF($E398="Operational Performance",IF(AC$395&gt;=MAX($Q$396:$T$401),"-",IF(MOD(AB$395,'Project Event Tree Input'!$D$48+1)=0,(AB$395/('Project Event Tree Input'!$D$48+1))+1,"-")),IF($E398="Transform",IF(AC382="-",1,IF(AC382="+",AB398+1,"-")),AC397)))</f>
        <v>-</v>
      </c>
      <c r="AD398" s="51" t="str">
        <f>IF(ISNUMBER($M398),IF($E398="Operational Performance",IF(AD$395&gt;=MAX($Q$396:$T$401),"-",IF(MOD(AC$395,'Project Event Tree Input'!$D$48+1)=0,(AC$395/('Project Event Tree Input'!$D$48+1))+1,"-")),IF($E398="Transform",IF(AD382="-",1,IF(AD382="+",AC398+1,"-")),AD397)))</f>
        <v>-</v>
      </c>
      <c r="AE398" s="51" t="str">
        <f>IF(ISNUMBER($M398),IF($E398="Operational Performance",IF(AE$395&gt;=MAX($Q$396:$T$401),"-",IF(MOD(AD$395,'Project Event Tree Input'!$D$48+1)=0,(AD$395/('Project Event Tree Input'!$D$48+1))+1,"-")),IF($E398="Transform",IF(AE382="-",1,IF(AE382="+",AD398+1,"-")),AE397)))</f>
        <v>-</v>
      </c>
      <c r="AF398" s="51" t="str">
        <f>IF(ISNUMBER($M398),IF($E398="Operational Performance",IF(AF$395&gt;=MAX($Q$396:$T$401),"-",IF(MOD(AE$395,'Project Event Tree Input'!$D$48+1)=0,(AE$395/('Project Event Tree Input'!$D$48+1))+1,"-")),IF($E398="Transform",IF(AF382="-",1,IF(AF382="+",AE398+1,"-")),AF397)))</f>
        <v>-</v>
      </c>
      <c r="AG398" s="51" t="str">
        <f>IF(ISNUMBER($M398),IF($E398="Operational Performance",IF(AG$395&gt;=MAX($Q$396:$T$401),"-",IF(MOD(AF$395,'Project Event Tree Input'!$D$48+1)=0,(AF$395/('Project Event Tree Input'!$D$48+1))+1,"-")),IF($E398="Transform",IF(AG382="-",1,IF(AG382="+",AF398+1,"-")),AG397)))</f>
        <v>-</v>
      </c>
      <c r="AH398" s="51" t="str">
        <f>IF(ISNUMBER($M398),IF($E398="Operational Performance",IF(AH$395&gt;=MAX($Q$396:$T$401),"-",IF(MOD(AG$395,'Project Event Tree Input'!$D$48+1)=0,(AG$395/('Project Event Tree Input'!$D$48+1))+1,"-")),IF($E398="Transform",IF(AH382="-",1,IF(AH382="+",AG398+1,"-")),AH397)))</f>
        <v>-</v>
      </c>
      <c r="AI398" s="51" t="str">
        <f>IF(ISNUMBER($M398),IF($E398="Operational Performance",IF(AI$395&gt;=MAX($Q$396:$T$401),"-",IF(MOD(AH$395,'Project Event Tree Input'!$D$48+1)=0,(AH$395/('Project Event Tree Input'!$D$48+1))+1,"-")),IF($E398="Transform",IF(AI382="-",1,IF(AI382="+",AH398+1,"-")),AI397)))</f>
        <v>-</v>
      </c>
      <c r="AJ398" s="51" t="str">
        <f>IF(ISNUMBER($M398),IF($E398="Operational Performance",IF(AJ$395&gt;=MAX($Q$396:$T$401),"-",IF(MOD(AI$395,'Project Event Tree Input'!$D$48+1)=0,(AI$395/('Project Event Tree Input'!$D$48+1))+1,"-")),IF($E398="Transform",IF(AJ382="-",1,IF(AJ382="+",AI398+1,"-")),AJ397)))</f>
        <v>-</v>
      </c>
      <c r="AK398" s="51" t="str">
        <f>IF(ISNUMBER($M398),IF($E398="Operational Performance",IF(AK$395&gt;=MAX($Q$396:$T$401),"-",IF(MOD(AJ$395,'Project Event Tree Input'!$D$48+1)=0,(AJ$395/('Project Event Tree Input'!$D$48+1))+1,"-")),IF($E398="Transform",IF(AK382="-",1,IF(AK382="+",AJ398+1,"-")),AK397)))</f>
        <v>-</v>
      </c>
      <c r="AL398" s="51" t="str">
        <f>IF(ISNUMBER($M398),IF($E398="Operational Performance",IF(AL$395&gt;=MAX($Q$396:$T$401),"-",IF(MOD(AK$395,'Project Event Tree Input'!$D$48+1)=0,(AK$395/('Project Event Tree Input'!$D$48+1))+1,"-")),IF($E398="Transform",IF(AL382="-",1,IF(AL382="+",AK398+1,"-")),AL397)))</f>
        <v>-</v>
      </c>
      <c r="AM398" s="51" t="str">
        <f>IF(ISNUMBER($M398),IF($E398="Operational Performance",IF(AM$395&gt;=MAX($Q$396:$T$401),"-",IF(MOD(AL$395,'Project Event Tree Input'!$D$48+1)=0,(AL$395/('Project Event Tree Input'!$D$48+1))+1,"-")),IF($E398="Transform",IF(AM382="-",1,IF(AM382="+",AL398+1,"-")),AM397)))</f>
        <v>-</v>
      </c>
      <c r="AN398" s="51" t="str">
        <f>IF(ISNUMBER($M398),IF($E398="Operational Performance",IF(AN$395&gt;=MAX($Q$396:$T$401),"-",IF(MOD(AM$395,'Project Event Tree Input'!$D$48+1)=0,(AM$395/('Project Event Tree Input'!$D$48+1))+1,"-")),IF($E398="Transform",IF(AN382="-",1,IF(AN382="+",AM398+1,"-")),AN397)))</f>
        <v>-</v>
      </c>
      <c r="AO398" s="51" t="str">
        <f>IF(ISNUMBER($M398),IF($E398="Operational Performance",IF(AO$395&gt;=MAX($Q$396:$T$401),"-",IF(MOD(AN$395,'Project Event Tree Input'!$D$48+1)=0,(AN$395/('Project Event Tree Input'!$D$48+1))+1,"-")),IF($E398="Transform",IF(AO382="-",1,IF(AO382="+",AN398+1,"-")),AO397)))</f>
        <v>-</v>
      </c>
      <c r="AP398" s="51" t="str">
        <f>IF(ISNUMBER($M398),IF($E398="Operational Performance",IF(AP$395&gt;=MAX($Q$396:$T$401),"-",IF(MOD(AO$395,'Project Event Tree Input'!$D$48+1)=0,(AO$395/('Project Event Tree Input'!$D$48+1))+1,"-")),IF($E398="Transform",IF(AP382="-",1,IF(AP382="+",AO398+1,"-")),AP397)))</f>
        <v>-</v>
      </c>
      <c r="AQ398" s="51" t="str">
        <f>IF(ISNUMBER($M398),IF($E398="Operational Performance",IF(AQ$395&gt;=MAX($Q$396:$T$401),"-",IF(MOD(AP$395,'Project Event Tree Input'!$D$48+1)=0,(AP$395/('Project Event Tree Input'!$D$48+1))+1,"-")),IF($E398="Transform",IF(AQ382="-",1,IF(AQ382="+",AP398+1,"-")),AQ397)))</f>
        <v>-</v>
      </c>
      <c r="AR398" s="51" t="str">
        <f>IF(ISNUMBER($M398),IF($E398="Operational Performance",IF(AR$395&gt;=MAX($Q$396:$T$401),"-",IF(MOD(AQ$395,'Project Event Tree Input'!$D$48+1)=0,(AQ$395/('Project Event Tree Input'!$D$48+1))+1,"-")),IF($E398="Transform",IF(AR382="-",1,IF(AR382="+",AQ398+1,"-")),AR397)))</f>
        <v>-</v>
      </c>
      <c r="AS398" s="51" t="str">
        <f>IF(ISNUMBER($M398),IF($E398="Operational Performance",IF(AS$395&gt;=MAX($Q$396:$T$401),"-",IF(MOD(AR$395,'Project Event Tree Input'!$D$48+1)=0,(AR$395/('Project Event Tree Input'!$D$48+1))+1,"-")),IF($E398="Transform",IF(AS382="-",1,IF(AS382="+",AR398+1,"-")),AS397)))</f>
        <v>-</v>
      </c>
      <c r="AT398" s="51" t="str">
        <f>IF(ISNUMBER($M398),IF($E398="Operational Performance",IF(AT$395&gt;=MAX($Q$396:$T$401),"-",IF(MOD(AS$395,'Project Event Tree Input'!$D$48+1)=0,(AS$395/('Project Event Tree Input'!$D$48+1))+1,"-")),IF($E398="Transform",IF(AT382="-",1,IF(AT382="+",AS398+1,"-")),AT397)))</f>
        <v>-</v>
      </c>
      <c r="AU398" s="51" t="str">
        <f>IF(ISNUMBER($M398),IF($E398="Operational Performance",IF(AU$395&gt;=MAX($Q$396:$T$401),"-",IF(MOD(AT$395,'Project Event Tree Input'!$D$48+1)=0,(AT$395/('Project Event Tree Input'!$D$48+1))+1,"-")),IF($E398="Transform",IF(AU382="-",1,IF(AU382="+",AT398+1,"-")),AU397)))</f>
        <v>-</v>
      </c>
      <c r="AV398" s="51" t="str">
        <f>IF(ISNUMBER($M398),IF($E398="Operational Performance",IF(AV$395&gt;=MAX($Q$396:$T$401),"-",IF(MOD(AU$395,'Project Event Tree Input'!$D$48+1)=0,(AU$395/('Project Event Tree Input'!$D$48+1))+1,"-")),IF($E398="Transform",IF(AV382="-",1,IF(AV382="+",AU398+1,"-")),AV397)))</f>
        <v>-</v>
      </c>
      <c r="AW398" s="51" t="str">
        <f>IF(ISNUMBER($M398),IF($E398="Operational Performance",IF(AW$395&gt;=MAX($Q$396:$T$401),"-",IF(MOD(AV$395,'Project Event Tree Input'!$D$48+1)=0,(AV$395/('Project Event Tree Input'!$D$48+1))+1,"-")),IF($E398="Transform",IF(AW382="-",1,IF(AW382="+",AV398+1,"-")),AW397)))</f>
        <v>-</v>
      </c>
      <c r="AX398" s="51" t="str">
        <f>IF(ISNUMBER($M398),IF($E398="Operational Performance",IF(AX$395&gt;=MAX($Q$396:$T$401),"-",IF(MOD(AW$395,'Project Event Tree Input'!$D$48+1)=0,(AW$395/('Project Event Tree Input'!$D$48+1))+1,"-")),IF($E398="Transform",IF(AX382="-",1,IF(AX382="+",AW398+1,"-")),AX397)))</f>
        <v>-</v>
      </c>
      <c r="AY398" s="51" t="str">
        <f>IF(ISNUMBER($M398),IF($E398="Operational Performance",IF(AY$395&gt;=MAX($Q$396:$T$401),"-",IF(MOD(AX$395,'Project Event Tree Input'!$D$48+1)=0,(AX$395/('Project Event Tree Input'!$D$48+1))+1,"-")),IF($E398="Transform",IF(AY382="-",1,IF(AY382="+",AX398+1,"-")),AY397)))</f>
        <v>-</v>
      </c>
      <c r="AZ398" s="51" t="str">
        <f>IF(ISNUMBER($M398),IF($E398="Operational Performance",IF(AZ$395&gt;=MAX($Q$396:$T$401),"-",IF(MOD(AY$395,'Project Event Tree Input'!$D$48+1)=0,(AY$395/('Project Event Tree Input'!$D$48+1))+1,"-")),IF($E398="Transform",IF(AZ382="-",1,IF(AZ382="+",AY398+1,"-")),AZ397)))</f>
        <v>-</v>
      </c>
      <c r="BA398" s="51" t="str">
        <f>IF(ISNUMBER($M398),IF($E398="Operational Performance",IF(BA$395&gt;=MAX($Q$396:$T$401),"-",IF(MOD(AZ$395,'Project Event Tree Input'!$D$48+1)=0,(AZ$395/('Project Event Tree Input'!$D$48+1))+1,"-")),IF($E398="Transform",IF(BA382="-",1,IF(BA382="+",AZ398+1,"-")),BA397)))</f>
        <v>-</v>
      </c>
      <c r="BB398" s="51" t="str">
        <f>IF(ISNUMBER($M398),IF($E398="Operational Performance",IF(BB$395&gt;=MAX($Q$396:$T$401),"-",IF(MOD(BA$395,'Project Event Tree Input'!$D$48+1)=0,(BA$395/('Project Event Tree Input'!$D$48+1))+1,"-")),IF($E398="Transform",IF(BB382="-",1,IF(BB382="+",BA398+1,"-")),BB397)))</f>
        <v>-</v>
      </c>
      <c r="BC398" s="51" t="str">
        <f>IF(ISNUMBER($M398),IF($E398="Operational Performance",IF(BC$395&gt;=MAX($Q$396:$T$401),"-",IF(MOD(BB$395,'Project Event Tree Input'!$D$48+1)=0,(BB$395/('Project Event Tree Input'!$D$48+1))+1,"-")),IF($E398="Transform",IF(BC382="-",1,IF(BC382="+",BB398+1,"-")),BC397)))</f>
        <v>-</v>
      </c>
      <c r="BD398" s="51" t="str">
        <f>IF(ISNUMBER($M398),IF($E398="Operational Performance",IF(BD$395&gt;=MAX($Q$396:$T$401),"-",IF(MOD(BC$395,'Project Event Tree Input'!$D$48+1)=0,(BC$395/('Project Event Tree Input'!$D$48+1))+1,"-")),IF($E398="Transform",IF(BD382="-",1,IF(BD382="+",BC398+1,"-")),BD397)))</f>
        <v>-</v>
      </c>
      <c r="BE398" s="51" t="str">
        <f>IF(ISNUMBER($M398),IF($E398="Operational Performance",IF(BE$395&gt;=MAX($Q$396:$T$401),"-",IF(MOD(BD$395,'Project Event Tree Input'!$D$48+1)=0,(BD$395/('Project Event Tree Input'!$D$48+1))+1,"-")),IF($E398="Transform",IF(BE382="-",1,IF(BE382="+",BD398+1,"-")),BE397)))</f>
        <v>-</v>
      </c>
      <c r="BF398" s="51" t="str">
        <f>IF(ISNUMBER($M398),IF($E398="Operational Performance",IF(BF$395&gt;=MAX($Q$396:$T$401),"-",IF(MOD(BE$395,'Project Event Tree Input'!$D$48+1)=0,(BE$395/('Project Event Tree Input'!$D$48+1))+1,"-")),IF($E398="Transform",IF(BF382="-",1,IF(BF382="+",BE398+1,"-")),BF397)))</f>
        <v>-</v>
      </c>
      <c r="BG398" s="51" t="str">
        <f>IF(ISNUMBER($M398),IF($E398="Operational Performance",IF(BG$395&gt;=MAX($Q$396:$T$401),"-",IF(MOD(BF$395,'Project Event Tree Input'!$D$48+1)=0,(BF$395/('Project Event Tree Input'!$D$48+1))+1,"-")),IF($E398="Transform",IF(BG382="-",1,IF(BG382="+",BF398+1,"-")),BG397)))</f>
        <v>-</v>
      </c>
      <c r="BH398" s="51" t="str">
        <f>IF(ISNUMBER($M398),IF($E398="Operational Performance",IF(BH$395&gt;=MAX($Q$396:$T$401),"-",IF(MOD(BG$395,'Project Event Tree Input'!$D$48+1)=0,(BG$395/('Project Event Tree Input'!$D$48+1))+1,"-")),IF($E398="Transform",IF(BH382="-",1,IF(BH382="+",BG398+1,"-")),BH397)))</f>
        <v>-</v>
      </c>
      <c r="BI398" s="51" t="str">
        <f>IF(ISNUMBER($M398),IF($E398="Operational Performance",IF(BI$395&gt;=MAX($Q$396:$T$401),"-",IF(MOD(BH$395,'Project Event Tree Input'!$D$48+1)=0,(BH$395/('Project Event Tree Input'!$D$48+1))+1,"-")),IF($E398="Transform",IF(BI382="-",1,IF(BI382="+",BH398+1,"-")),BI397)))</f>
        <v>-</v>
      </c>
      <c r="BJ398" s="51" t="str">
        <f>IF(ISNUMBER($M398),IF($E398="Operational Performance",IF(BJ$395&gt;=MAX($Q$396:$T$401),"-",IF(MOD(BI$395,'Project Event Tree Input'!$D$48+1)=0,(BI$395/('Project Event Tree Input'!$D$48+1))+1,"-")),IF($E398="Transform",IF(BJ382="-",1,IF(BJ382="+",BI398+1,"-")),BJ397)))</f>
        <v>-</v>
      </c>
      <c r="BK398" s="51" t="str">
        <f>IF(ISNUMBER($M398),IF($E398="Operational Performance",IF(BK$395&gt;=MAX($Q$396:$T$401),"-",IF(MOD(BJ$395,'Project Event Tree Input'!$D$48+1)=0,(BJ$395/('Project Event Tree Input'!$D$48+1))+1,"-")),IF($E398="Transform",IF(BK382="-",1,IF(BK382="+",BJ398+1,"-")),BK397)))</f>
        <v>-</v>
      </c>
      <c r="BL398" s="51" t="str">
        <f>IF(ISNUMBER($M398),IF($E398="Operational Performance",IF(BL$395&gt;=MAX($Q$396:$T$401),"-",IF(MOD(BK$395,'Project Event Tree Input'!$D$48+1)=0,(BK$395/('Project Event Tree Input'!$D$48+1))+1,"-")),IF($E398="Transform",IF(BL382="-",1,IF(BL382="+",BK398+1,"-")),BL397)))</f>
        <v>-</v>
      </c>
      <c r="BM398" s="51" t="str">
        <f>IF(ISNUMBER($M398),IF($E398="Operational Performance",IF(BM$395&gt;=MAX($Q$396:$T$401),"-",IF(MOD(BL$395,'Project Event Tree Input'!$D$48+1)=0,(BL$395/('Project Event Tree Input'!$D$48+1))+1,"-")),IF($E398="Transform",IF(BM382="-",1,IF(BM382="+",BL398+1,"-")),BM397)))</f>
        <v>-</v>
      </c>
      <c r="BN398" s="51" t="str">
        <f>IF(ISNUMBER($M398),IF($E398="Operational Performance",IF(BN$395&gt;=MAX($Q$396:$T$401),"-",IF(MOD(BM$395,'Project Event Tree Input'!$D$48+1)=0,(BM$395/('Project Event Tree Input'!$D$48+1))+1,"-")),IF($E398="Transform",IF(BN382="-",1,IF(BN382="+",BM398+1,"-")),BN397)))</f>
        <v>-</v>
      </c>
      <c r="BO398" s="51" t="str">
        <f>IF(ISNUMBER($M398),IF($E398="Operational Performance",IF(BO$395&gt;=MAX($Q$396:$T$401),"-",IF(MOD(BN$395,'Project Event Tree Input'!$D$48+1)=0,(BN$395/('Project Event Tree Input'!$D$48+1))+1,"-")),IF($E398="Transform",IF(BO382="-",1,IF(BO382="+",BN398+1,"-")),BO397)))</f>
        <v>-</v>
      </c>
      <c r="BP398" s="51" t="str">
        <f>IF(ISNUMBER($M398),IF($E398="Operational Performance",IF(BP$395&gt;=MAX($Q$396:$T$401),"-",IF(MOD(BO$395,'Project Event Tree Input'!$D$48+1)=0,(BO$395/('Project Event Tree Input'!$D$48+1))+1,"-")),IF($E398="Transform",IF(BP382="-",1,IF(BP382="+",BO398+1,"-")),BP397)))</f>
        <v>-</v>
      </c>
      <c r="BQ398" s="51" t="str">
        <f>IF(ISNUMBER($M398),IF($E398="Operational Performance",IF(BQ$395&gt;=MAX($Q$396:$T$401),"-",IF(MOD(BP$395,'Project Event Tree Input'!$D$48+1)=0,(BP$395/('Project Event Tree Input'!$D$48+1))+1,"-")),IF($E398="Transform",IF(BQ382="-",1,IF(BQ382="+",BP398+1,"-")),BQ397)))</f>
        <v>-</v>
      </c>
      <c r="BR398" s="51" t="str">
        <f>IF(ISNUMBER($M398),IF($E398="Operational Performance",IF(BR$395&gt;=MAX($Q$396:$T$401),"-",IF(MOD(BQ$395,'Project Event Tree Input'!$D$48+1)=0,(BQ$395/('Project Event Tree Input'!$D$48+1))+1,"-")),IF($E398="Transform",IF(BR382="-",1,IF(BR382="+",BQ398+1,"-")),BR397)))</f>
        <v>-</v>
      </c>
      <c r="BS398" s="51" t="str">
        <f>IF(ISNUMBER($M398),IF($E398="Operational Performance",IF(BS$395&gt;=MAX($Q$396:$T$401),"-",IF(MOD(BR$395,'Project Event Tree Input'!$D$48+1)=0,(BR$395/('Project Event Tree Input'!$D$48+1))+1,"-")),IF($E398="Transform",IF(BS382="-",1,IF(BS382="+",BR398+1,"-")),BS397)))</f>
        <v>-</v>
      </c>
      <c r="BT398" s="51" t="str">
        <f>IF(ISNUMBER($M398),IF($E398="Operational Performance",IF(BT$395&gt;=MAX($Q$396:$T$401),"-",IF(MOD(BS$395,'Project Event Tree Input'!$D$48+1)=0,(BS$395/('Project Event Tree Input'!$D$48+1))+1,"-")),IF($E398="Transform",IF(BT382="-",1,IF(BT382="+",BS398+1,"-")),BT397)))</f>
        <v>-</v>
      </c>
      <c r="BU398" s="51" t="str">
        <f>IF(ISNUMBER($M398),IF($E398="Operational Performance",IF(BU$395&gt;=MAX($Q$396:$T$401),"-",IF(MOD(BT$395,'Project Event Tree Input'!$D$48+1)=0,(BT$395/('Project Event Tree Input'!$D$48+1))+1,"-")),IF($E398="Transform",IF(BU382="-",1,IF(BU382="+",BT398+1,"-")),BU397)))</f>
        <v>-</v>
      </c>
      <c r="BV398" s="51" t="str">
        <f>IF(ISNUMBER($M398),IF($E398="Operational Performance",IF(BV$395&gt;=MAX($Q$396:$T$401),"-",IF(MOD(BU$395,'Project Event Tree Input'!$D$48+1)=0,(BU$395/('Project Event Tree Input'!$D$48+1))+1,"-")),IF($E398="Transform",IF(BV382="-",1,IF(BV382="+",BU398+1,"-")),BV397)))</f>
        <v>-</v>
      </c>
      <c r="BW398" s="51" t="str">
        <f>IF(ISNUMBER($M398),IF($E398="Operational Performance",IF(BW$395&gt;=MAX($Q$396:$T$401),"-",IF(MOD(BV$395,'Project Event Tree Input'!$D$48+1)=0,(BV$395/('Project Event Tree Input'!$D$48+1))+1,"-")),IF($E398="Transform",IF(BW382="-",1,IF(BW382="+",BV398+1,"-")),BW397)))</f>
        <v>-</v>
      </c>
      <c r="BX398" s="49"/>
      <c r="BY398" s="49"/>
      <c r="BZ398" s="49"/>
      <c r="CA398" s="49"/>
      <c r="CB398" s="49"/>
    </row>
    <row r="399" spans="2:80" ht="15" customHeight="1" x14ac:dyDescent="0.2">
      <c r="B399" s="214">
        <v>4</v>
      </c>
      <c r="C399" s="214"/>
      <c r="D399" s="214"/>
      <c r="E399" s="218" t="str">
        <f>$E$328</f>
        <v>System Response</v>
      </c>
      <c r="F399" s="218"/>
      <c r="G399" s="218"/>
      <c r="H399" s="218"/>
      <c r="I399" s="218"/>
      <c r="J399" s="218"/>
      <c r="K399" s="218"/>
      <c r="L399" s="218"/>
      <c r="M399" s="220">
        <f>$M$328</f>
        <v>1</v>
      </c>
      <c r="N399" s="220"/>
      <c r="O399" s="220"/>
      <c r="P399" s="220"/>
      <c r="Q399" s="220">
        <f>$Q$328</f>
        <v>9</v>
      </c>
      <c r="R399" s="220"/>
      <c r="S399" s="220"/>
      <c r="T399" s="220"/>
      <c r="U399" s="51">
        <f t="shared" si="1939"/>
        <v>1</v>
      </c>
      <c r="V399" s="51">
        <f>IF(ISNUMBER($M399),IF($E399="Operational Performance",IF(V$395&gt;=MAX($Q$396:$T$401),"-",IF(MOD(U$395,'Project Event Tree Input'!$D$48+1)=0,(U$395/('Project Event Tree Input'!$D$48+1))+1,"-")),IF($E399="Transform",IF(V383="-",1,IF(V383="+",U399+1,"-")),V398)))</f>
        <v>2</v>
      </c>
      <c r="W399" s="51">
        <f>IF(ISNUMBER($M399),IF($E399="Operational Performance",IF(W$395&gt;=MAX($Q$396:$T$401),"-",IF(MOD(V$395,'Project Event Tree Input'!$D$48+1)=0,(V$395/('Project Event Tree Input'!$D$48+1))+1,"-")),IF($E399="Transform",IF(W383="-",1,IF(W383="+",V399+1,"-")),W398)))</f>
        <v>3</v>
      </c>
      <c r="X399" s="51" t="str">
        <f>IF(ISNUMBER($M399),IF($E399="Operational Performance",IF(X$395&gt;=MAX($Q$396:$T$401),"-",IF(MOD(W$395,'Project Event Tree Input'!$D$48+1)=0,(W$395/('Project Event Tree Input'!$D$48+1))+1,"-")),IF($E399="Transform",IF(X383="-",1,IF(X383="+",W399+1,"-")),X398)))</f>
        <v>-</v>
      </c>
      <c r="Y399" s="51" t="str">
        <f>IF(ISNUMBER($M399),IF($E399="Operational Performance",IF(Y$395&gt;=MAX($Q$396:$T$401),"-",IF(MOD(X$395,'Project Event Tree Input'!$D$48+1)=0,(X$395/('Project Event Tree Input'!$D$48+1))+1,"-")),IF($E399="Transform",IF(Y383="-",1,IF(Y383="+",X399+1,"-")),Y398)))</f>
        <v>-</v>
      </c>
      <c r="Z399" s="51" t="str">
        <f>IF(ISNUMBER($M399),IF($E399="Operational Performance",IF(Z$395&gt;=MAX($Q$396:$T$401),"-",IF(MOD(Y$395,'Project Event Tree Input'!$D$48+1)=0,(Y$395/('Project Event Tree Input'!$D$48+1))+1,"-")),IF($E399="Transform",IF(Z383="-",1,IF(Z383="+",Y399+1,"-")),Z398)))</f>
        <v>-</v>
      </c>
      <c r="AA399" s="51" t="str">
        <f>IF(ISNUMBER($M399),IF($E399="Operational Performance",IF(AA$395&gt;=MAX($Q$396:$T$401),"-",IF(MOD(Z$395,'Project Event Tree Input'!$D$48+1)=0,(Z$395/('Project Event Tree Input'!$D$48+1))+1,"-")),IF($E399="Transform",IF(AA383="-",1,IF(AA383="+",Z399+1,"-")),AA398)))</f>
        <v>-</v>
      </c>
      <c r="AB399" s="51" t="str">
        <f>IF(ISNUMBER($M399),IF($E399="Operational Performance",IF(AB$395&gt;=MAX($Q$396:$T$401),"-",IF(MOD(AA$395,'Project Event Tree Input'!$D$48+1)=0,(AA$395/('Project Event Tree Input'!$D$48+1))+1,"-")),IF($E399="Transform",IF(AB383="-",1,IF(AB383="+",AA399+1,"-")),AB398)))</f>
        <v>-</v>
      </c>
      <c r="AC399" s="51" t="str">
        <f>IF(ISNUMBER($M399),IF($E399="Operational Performance",IF(AC$395&gt;=MAX($Q$396:$T$401),"-",IF(MOD(AB$395,'Project Event Tree Input'!$D$48+1)=0,(AB$395/('Project Event Tree Input'!$D$48+1))+1,"-")),IF($E399="Transform",IF(AC383="-",1,IF(AC383="+",AB399+1,"-")),AC398)))</f>
        <v>-</v>
      </c>
      <c r="AD399" s="51" t="str">
        <f>IF(ISNUMBER($M399),IF($E399="Operational Performance",IF(AD$395&gt;=MAX($Q$396:$T$401),"-",IF(MOD(AC$395,'Project Event Tree Input'!$D$48+1)=0,(AC$395/('Project Event Tree Input'!$D$48+1))+1,"-")),IF($E399="Transform",IF(AD383="-",1,IF(AD383="+",AC399+1,"-")),AD398)))</f>
        <v>-</v>
      </c>
      <c r="AE399" s="51" t="str">
        <f>IF(ISNUMBER($M399),IF($E399="Operational Performance",IF(AE$395&gt;=MAX($Q$396:$T$401),"-",IF(MOD(AD$395,'Project Event Tree Input'!$D$48+1)=0,(AD$395/('Project Event Tree Input'!$D$48+1))+1,"-")),IF($E399="Transform",IF(AE383="-",1,IF(AE383="+",AD399+1,"-")),AE398)))</f>
        <v>-</v>
      </c>
      <c r="AF399" s="51" t="str">
        <f>IF(ISNUMBER($M399),IF($E399="Operational Performance",IF(AF$395&gt;=MAX($Q$396:$T$401),"-",IF(MOD(AE$395,'Project Event Tree Input'!$D$48+1)=0,(AE$395/('Project Event Tree Input'!$D$48+1))+1,"-")),IF($E399="Transform",IF(AF383="-",1,IF(AF383="+",AE399+1,"-")),AF398)))</f>
        <v>-</v>
      </c>
      <c r="AG399" s="51" t="str">
        <f>IF(ISNUMBER($M399),IF($E399="Operational Performance",IF(AG$395&gt;=MAX($Q$396:$T$401),"-",IF(MOD(AF$395,'Project Event Tree Input'!$D$48+1)=0,(AF$395/('Project Event Tree Input'!$D$48+1))+1,"-")),IF($E399="Transform",IF(AG383="-",1,IF(AG383="+",AF399+1,"-")),AG398)))</f>
        <v>-</v>
      </c>
      <c r="AH399" s="51" t="str">
        <f>IF(ISNUMBER($M399),IF($E399="Operational Performance",IF(AH$395&gt;=MAX($Q$396:$T$401),"-",IF(MOD(AG$395,'Project Event Tree Input'!$D$48+1)=0,(AG$395/('Project Event Tree Input'!$D$48+1))+1,"-")),IF($E399="Transform",IF(AH383="-",1,IF(AH383="+",AG399+1,"-")),AH398)))</f>
        <v>-</v>
      </c>
      <c r="AI399" s="51" t="str">
        <f>IF(ISNUMBER($M399),IF($E399="Operational Performance",IF(AI$395&gt;=MAX($Q$396:$T$401),"-",IF(MOD(AH$395,'Project Event Tree Input'!$D$48+1)=0,(AH$395/('Project Event Tree Input'!$D$48+1))+1,"-")),IF($E399="Transform",IF(AI383="-",1,IF(AI383="+",AH399+1,"-")),AI398)))</f>
        <v>-</v>
      </c>
      <c r="AJ399" s="51" t="str">
        <f>IF(ISNUMBER($M399),IF($E399="Operational Performance",IF(AJ$395&gt;=MAX($Q$396:$T$401),"-",IF(MOD(AI$395,'Project Event Tree Input'!$D$48+1)=0,(AI$395/('Project Event Tree Input'!$D$48+1))+1,"-")),IF($E399="Transform",IF(AJ383="-",1,IF(AJ383="+",AI399+1,"-")),AJ398)))</f>
        <v>-</v>
      </c>
      <c r="AK399" s="51" t="str">
        <f>IF(ISNUMBER($M399),IF($E399="Operational Performance",IF(AK$395&gt;=MAX($Q$396:$T$401),"-",IF(MOD(AJ$395,'Project Event Tree Input'!$D$48+1)=0,(AJ$395/('Project Event Tree Input'!$D$48+1))+1,"-")),IF($E399="Transform",IF(AK383="-",1,IF(AK383="+",AJ399+1,"-")),AK398)))</f>
        <v>-</v>
      </c>
      <c r="AL399" s="51" t="str">
        <f>IF(ISNUMBER($M399),IF($E399="Operational Performance",IF(AL$395&gt;=MAX($Q$396:$T$401),"-",IF(MOD(AK$395,'Project Event Tree Input'!$D$48+1)=0,(AK$395/('Project Event Tree Input'!$D$48+1))+1,"-")),IF($E399="Transform",IF(AL383="-",1,IF(AL383="+",AK399+1,"-")),AL398)))</f>
        <v>-</v>
      </c>
      <c r="AM399" s="51" t="str">
        <f>IF(ISNUMBER($M399),IF($E399="Operational Performance",IF(AM$395&gt;=MAX($Q$396:$T$401),"-",IF(MOD(AL$395,'Project Event Tree Input'!$D$48+1)=0,(AL$395/('Project Event Tree Input'!$D$48+1))+1,"-")),IF($E399="Transform",IF(AM383="-",1,IF(AM383="+",AL399+1,"-")),AM398)))</f>
        <v>-</v>
      </c>
      <c r="AN399" s="51" t="str">
        <f>IF(ISNUMBER($M399),IF($E399="Operational Performance",IF(AN$395&gt;=MAX($Q$396:$T$401),"-",IF(MOD(AM$395,'Project Event Tree Input'!$D$48+1)=0,(AM$395/('Project Event Tree Input'!$D$48+1))+1,"-")),IF($E399="Transform",IF(AN383="-",1,IF(AN383="+",AM399+1,"-")),AN398)))</f>
        <v>-</v>
      </c>
      <c r="AO399" s="51" t="str">
        <f>IF(ISNUMBER($M399),IF($E399="Operational Performance",IF(AO$395&gt;=MAX($Q$396:$T$401),"-",IF(MOD(AN$395,'Project Event Tree Input'!$D$48+1)=0,(AN$395/('Project Event Tree Input'!$D$48+1))+1,"-")),IF($E399="Transform",IF(AO383="-",1,IF(AO383="+",AN399+1,"-")),AO398)))</f>
        <v>-</v>
      </c>
      <c r="AP399" s="51" t="str">
        <f>IF(ISNUMBER($M399),IF($E399="Operational Performance",IF(AP$395&gt;=MAX($Q$396:$T$401),"-",IF(MOD(AO$395,'Project Event Tree Input'!$D$48+1)=0,(AO$395/('Project Event Tree Input'!$D$48+1))+1,"-")),IF($E399="Transform",IF(AP383="-",1,IF(AP383="+",AO399+1,"-")),AP398)))</f>
        <v>-</v>
      </c>
      <c r="AQ399" s="51" t="str">
        <f>IF(ISNUMBER($M399),IF($E399="Operational Performance",IF(AQ$395&gt;=MAX($Q$396:$T$401),"-",IF(MOD(AP$395,'Project Event Tree Input'!$D$48+1)=0,(AP$395/('Project Event Tree Input'!$D$48+1))+1,"-")),IF($E399="Transform",IF(AQ383="-",1,IF(AQ383="+",AP399+1,"-")),AQ398)))</f>
        <v>-</v>
      </c>
      <c r="AR399" s="51" t="str">
        <f>IF(ISNUMBER($M399),IF($E399="Operational Performance",IF(AR$395&gt;=MAX($Q$396:$T$401),"-",IF(MOD(AQ$395,'Project Event Tree Input'!$D$48+1)=0,(AQ$395/('Project Event Tree Input'!$D$48+1))+1,"-")),IF($E399="Transform",IF(AR383="-",1,IF(AR383="+",AQ399+1,"-")),AR398)))</f>
        <v>-</v>
      </c>
      <c r="AS399" s="51" t="str">
        <f>IF(ISNUMBER($M399),IF($E399="Operational Performance",IF(AS$395&gt;=MAX($Q$396:$T$401),"-",IF(MOD(AR$395,'Project Event Tree Input'!$D$48+1)=0,(AR$395/('Project Event Tree Input'!$D$48+1))+1,"-")),IF($E399="Transform",IF(AS383="-",1,IF(AS383="+",AR399+1,"-")),AS398)))</f>
        <v>-</v>
      </c>
      <c r="AT399" s="51" t="str">
        <f>IF(ISNUMBER($M399),IF($E399="Operational Performance",IF(AT$395&gt;=MAX($Q$396:$T$401),"-",IF(MOD(AS$395,'Project Event Tree Input'!$D$48+1)=0,(AS$395/('Project Event Tree Input'!$D$48+1))+1,"-")),IF($E399="Transform",IF(AT383="-",1,IF(AT383="+",AS399+1,"-")),AT398)))</f>
        <v>-</v>
      </c>
      <c r="AU399" s="51" t="str">
        <f>IF(ISNUMBER($M399),IF($E399="Operational Performance",IF(AU$395&gt;=MAX($Q$396:$T$401),"-",IF(MOD(AT$395,'Project Event Tree Input'!$D$48+1)=0,(AT$395/('Project Event Tree Input'!$D$48+1))+1,"-")),IF($E399="Transform",IF(AU383="-",1,IF(AU383="+",AT399+1,"-")),AU398)))</f>
        <v>-</v>
      </c>
      <c r="AV399" s="51" t="str">
        <f>IF(ISNUMBER($M399),IF($E399="Operational Performance",IF(AV$395&gt;=MAX($Q$396:$T$401),"-",IF(MOD(AU$395,'Project Event Tree Input'!$D$48+1)=0,(AU$395/('Project Event Tree Input'!$D$48+1))+1,"-")),IF($E399="Transform",IF(AV383="-",1,IF(AV383="+",AU399+1,"-")),AV398)))</f>
        <v>-</v>
      </c>
      <c r="AW399" s="51" t="str">
        <f>IF(ISNUMBER($M399),IF($E399="Operational Performance",IF(AW$395&gt;=MAX($Q$396:$T$401),"-",IF(MOD(AV$395,'Project Event Tree Input'!$D$48+1)=0,(AV$395/('Project Event Tree Input'!$D$48+1))+1,"-")),IF($E399="Transform",IF(AW383="-",1,IF(AW383="+",AV399+1,"-")),AW398)))</f>
        <v>-</v>
      </c>
      <c r="AX399" s="51" t="str">
        <f>IF(ISNUMBER($M399),IF($E399="Operational Performance",IF(AX$395&gt;=MAX($Q$396:$T$401),"-",IF(MOD(AW$395,'Project Event Tree Input'!$D$48+1)=0,(AW$395/('Project Event Tree Input'!$D$48+1))+1,"-")),IF($E399="Transform",IF(AX383="-",1,IF(AX383="+",AW399+1,"-")),AX398)))</f>
        <v>-</v>
      </c>
      <c r="AY399" s="51" t="str">
        <f>IF(ISNUMBER($M399),IF($E399="Operational Performance",IF(AY$395&gt;=MAX($Q$396:$T$401),"-",IF(MOD(AX$395,'Project Event Tree Input'!$D$48+1)=0,(AX$395/('Project Event Tree Input'!$D$48+1))+1,"-")),IF($E399="Transform",IF(AY383="-",1,IF(AY383="+",AX399+1,"-")),AY398)))</f>
        <v>-</v>
      </c>
      <c r="AZ399" s="51" t="str">
        <f>IF(ISNUMBER($M399),IF($E399="Operational Performance",IF(AZ$395&gt;=MAX($Q$396:$T$401),"-",IF(MOD(AY$395,'Project Event Tree Input'!$D$48+1)=0,(AY$395/('Project Event Tree Input'!$D$48+1))+1,"-")),IF($E399="Transform",IF(AZ383="-",1,IF(AZ383="+",AY399+1,"-")),AZ398)))</f>
        <v>-</v>
      </c>
      <c r="BA399" s="51" t="str">
        <f>IF(ISNUMBER($M399),IF($E399="Operational Performance",IF(BA$395&gt;=MAX($Q$396:$T$401),"-",IF(MOD(AZ$395,'Project Event Tree Input'!$D$48+1)=0,(AZ$395/('Project Event Tree Input'!$D$48+1))+1,"-")),IF($E399="Transform",IF(BA383="-",1,IF(BA383="+",AZ399+1,"-")),BA398)))</f>
        <v>-</v>
      </c>
      <c r="BB399" s="51" t="str">
        <f>IF(ISNUMBER($M399),IF($E399="Operational Performance",IF(BB$395&gt;=MAX($Q$396:$T$401),"-",IF(MOD(BA$395,'Project Event Tree Input'!$D$48+1)=0,(BA$395/('Project Event Tree Input'!$D$48+1))+1,"-")),IF($E399="Transform",IF(BB383="-",1,IF(BB383="+",BA399+1,"-")),BB398)))</f>
        <v>-</v>
      </c>
      <c r="BC399" s="51" t="str">
        <f>IF(ISNUMBER($M399),IF($E399="Operational Performance",IF(BC$395&gt;=MAX($Q$396:$T$401),"-",IF(MOD(BB$395,'Project Event Tree Input'!$D$48+1)=0,(BB$395/('Project Event Tree Input'!$D$48+1))+1,"-")),IF($E399="Transform",IF(BC383="-",1,IF(BC383="+",BB399+1,"-")),BC398)))</f>
        <v>-</v>
      </c>
      <c r="BD399" s="51" t="str">
        <f>IF(ISNUMBER($M399),IF($E399="Operational Performance",IF(BD$395&gt;=MAX($Q$396:$T$401),"-",IF(MOD(BC$395,'Project Event Tree Input'!$D$48+1)=0,(BC$395/('Project Event Tree Input'!$D$48+1))+1,"-")),IF($E399="Transform",IF(BD383="-",1,IF(BD383="+",BC399+1,"-")),BD398)))</f>
        <v>-</v>
      </c>
      <c r="BE399" s="51" t="str">
        <f>IF(ISNUMBER($M399),IF($E399="Operational Performance",IF(BE$395&gt;=MAX($Q$396:$T$401),"-",IF(MOD(BD$395,'Project Event Tree Input'!$D$48+1)=0,(BD$395/('Project Event Tree Input'!$D$48+1))+1,"-")),IF($E399="Transform",IF(BE383="-",1,IF(BE383="+",BD399+1,"-")),BE398)))</f>
        <v>-</v>
      </c>
      <c r="BF399" s="51" t="str">
        <f>IF(ISNUMBER($M399),IF($E399="Operational Performance",IF(BF$395&gt;=MAX($Q$396:$T$401),"-",IF(MOD(BE$395,'Project Event Tree Input'!$D$48+1)=0,(BE$395/('Project Event Tree Input'!$D$48+1))+1,"-")),IF($E399="Transform",IF(BF383="-",1,IF(BF383="+",BE399+1,"-")),BF398)))</f>
        <v>-</v>
      </c>
      <c r="BG399" s="51" t="str">
        <f>IF(ISNUMBER($M399),IF($E399="Operational Performance",IF(BG$395&gt;=MAX($Q$396:$T$401),"-",IF(MOD(BF$395,'Project Event Tree Input'!$D$48+1)=0,(BF$395/('Project Event Tree Input'!$D$48+1))+1,"-")),IF($E399="Transform",IF(BG383="-",1,IF(BG383="+",BF399+1,"-")),BG398)))</f>
        <v>-</v>
      </c>
      <c r="BH399" s="51" t="str">
        <f>IF(ISNUMBER($M399),IF($E399="Operational Performance",IF(BH$395&gt;=MAX($Q$396:$T$401),"-",IF(MOD(BG$395,'Project Event Tree Input'!$D$48+1)=0,(BG$395/('Project Event Tree Input'!$D$48+1))+1,"-")),IF($E399="Transform",IF(BH383="-",1,IF(BH383="+",BG399+1,"-")),BH398)))</f>
        <v>-</v>
      </c>
      <c r="BI399" s="51" t="str">
        <f>IF(ISNUMBER($M399),IF($E399="Operational Performance",IF(BI$395&gt;=MAX($Q$396:$T$401),"-",IF(MOD(BH$395,'Project Event Tree Input'!$D$48+1)=0,(BH$395/('Project Event Tree Input'!$D$48+1))+1,"-")),IF($E399="Transform",IF(BI383="-",1,IF(BI383="+",BH399+1,"-")),BI398)))</f>
        <v>-</v>
      </c>
      <c r="BJ399" s="51" t="str">
        <f>IF(ISNUMBER($M399),IF($E399="Operational Performance",IF(BJ$395&gt;=MAX($Q$396:$T$401),"-",IF(MOD(BI$395,'Project Event Tree Input'!$D$48+1)=0,(BI$395/('Project Event Tree Input'!$D$48+1))+1,"-")),IF($E399="Transform",IF(BJ383="-",1,IF(BJ383="+",BI399+1,"-")),BJ398)))</f>
        <v>-</v>
      </c>
      <c r="BK399" s="51" t="str">
        <f>IF(ISNUMBER($M399),IF($E399="Operational Performance",IF(BK$395&gt;=MAX($Q$396:$T$401),"-",IF(MOD(BJ$395,'Project Event Tree Input'!$D$48+1)=0,(BJ$395/('Project Event Tree Input'!$D$48+1))+1,"-")),IF($E399="Transform",IF(BK383="-",1,IF(BK383="+",BJ399+1,"-")),BK398)))</f>
        <v>-</v>
      </c>
      <c r="BL399" s="51" t="str">
        <f>IF(ISNUMBER($M399),IF($E399="Operational Performance",IF(BL$395&gt;=MAX($Q$396:$T$401),"-",IF(MOD(BK$395,'Project Event Tree Input'!$D$48+1)=0,(BK$395/('Project Event Tree Input'!$D$48+1))+1,"-")),IF($E399="Transform",IF(BL383="-",1,IF(BL383="+",BK399+1,"-")),BL398)))</f>
        <v>-</v>
      </c>
      <c r="BM399" s="51" t="str">
        <f>IF(ISNUMBER($M399),IF($E399="Operational Performance",IF(BM$395&gt;=MAX($Q$396:$T$401),"-",IF(MOD(BL$395,'Project Event Tree Input'!$D$48+1)=0,(BL$395/('Project Event Tree Input'!$D$48+1))+1,"-")),IF($E399="Transform",IF(BM383="-",1,IF(BM383="+",BL399+1,"-")),BM398)))</f>
        <v>-</v>
      </c>
      <c r="BN399" s="51" t="str">
        <f>IF(ISNUMBER($M399),IF($E399="Operational Performance",IF(BN$395&gt;=MAX($Q$396:$T$401),"-",IF(MOD(BM$395,'Project Event Tree Input'!$D$48+1)=0,(BM$395/('Project Event Tree Input'!$D$48+1))+1,"-")),IF($E399="Transform",IF(BN383="-",1,IF(BN383="+",BM399+1,"-")),BN398)))</f>
        <v>-</v>
      </c>
      <c r="BO399" s="51" t="str">
        <f>IF(ISNUMBER($M399),IF($E399="Operational Performance",IF(BO$395&gt;=MAX($Q$396:$T$401),"-",IF(MOD(BN$395,'Project Event Tree Input'!$D$48+1)=0,(BN$395/('Project Event Tree Input'!$D$48+1))+1,"-")),IF($E399="Transform",IF(BO383="-",1,IF(BO383="+",BN399+1,"-")),BO398)))</f>
        <v>-</v>
      </c>
      <c r="BP399" s="51" t="str">
        <f>IF(ISNUMBER($M399),IF($E399="Operational Performance",IF(BP$395&gt;=MAX($Q$396:$T$401),"-",IF(MOD(BO$395,'Project Event Tree Input'!$D$48+1)=0,(BO$395/('Project Event Tree Input'!$D$48+1))+1,"-")),IF($E399="Transform",IF(BP383="-",1,IF(BP383="+",BO399+1,"-")),BP398)))</f>
        <v>-</v>
      </c>
      <c r="BQ399" s="51" t="str">
        <f>IF(ISNUMBER($M399),IF($E399="Operational Performance",IF(BQ$395&gt;=MAX($Q$396:$T$401),"-",IF(MOD(BP$395,'Project Event Tree Input'!$D$48+1)=0,(BP$395/('Project Event Tree Input'!$D$48+1))+1,"-")),IF($E399="Transform",IF(BQ383="-",1,IF(BQ383="+",BP399+1,"-")),BQ398)))</f>
        <v>-</v>
      </c>
      <c r="BR399" s="51" t="str">
        <f>IF(ISNUMBER($M399),IF($E399="Operational Performance",IF(BR$395&gt;=MAX($Q$396:$T$401),"-",IF(MOD(BQ$395,'Project Event Tree Input'!$D$48+1)=0,(BQ$395/('Project Event Tree Input'!$D$48+1))+1,"-")),IF($E399="Transform",IF(BR383="-",1,IF(BR383="+",BQ399+1,"-")),BR398)))</f>
        <v>-</v>
      </c>
      <c r="BS399" s="51" t="str">
        <f>IF(ISNUMBER($M399),IF($E399="Operational Performance",IF(BS$395&gt;=MAX($Q$396:$T$401),"-",IF(MOD(BR$395,'Project Event Tree Input'!$D$48+1)=0,(BR$395/('Project Event Tree Input'!$D$48+1))+1,"-")),IF($E399="Transform",IF(BS383="-",1,IF(BS383="+",BR399+1,"-")),BS398)))</f>
        <v>-</v>
      </c>
      <c r="BT399" s="51" t="str">
        <f>IF(ISNUMBER($M399),IF($E399="Operational Performance",IF(BT$395&gt;=MAX($Q$396:$T$401),"-",IF(MOD(BS$395,'Project Event Tree Input'!$D$48+1)=0,(BS$395/('Project Event Tree Input'!$D$48+1))+1,"-")),IF($E399="Transform",IF(BT383="-",1,IF(BT383="+",BS399+1,"-")),BT398)))</f>
        <v>-</v>
      </c>
      <c r="BU399" s="51" t="str">
        <f>IF(ISNUMBER($M399),IF($E399="Operational Performance",IF(BU$395&gt;=MAX($Q$396:$T$401),"-",IF(MOD(BT$395,'Project Event Tree Input'!$D$48+1)=0,(BT$395/('Project Event Tree Input'!$D$48+1))+1,"-")),IF($E399="Transform",IF(BU383="-",1,IF(BU383="+",BT399+1,"-")),BU398)))</f>
        <v>-</v>
      </c>
      <c r="BV399" s="51" t="str">
        <f>IF(ISNUMBER($M399),IF($E399="Operational Performance",IF(BV$395&gt;=MAX($Q$396:$T$401),"-",IF(MOD(BU$395,'Project Event Tree Input'!$D$48+1)=0,(BU$395/('Project Event Tree Input'!$D$48+1))+1,"-")),IF($E399="Transform",IF(BV383="-",1,IF(BV383="+",BU399+1,"-")),BV398)))</f>
        <v>-</v>
      </c>
      <c r="BW399" s="51" t="str">
        <f>IF(ISNUMBER($M399),IF($E399="Operational Performance",IF(BW$395&gt;=MAX($Q$396:$T$401),"-",IF(MOD(BV$395,'Project Event Tree Input'!$D$48+1)=0,(BV$395/('Project Event Tree Input'!$D$48+1))+1,"-")),IF($E399="Transform",IF(BW383="-",1,IF(BW383="+",BV399+1,"-")),BW398)))</f>
        <v>-</v>
      </c>
      <c r="BX399" s="49"/>
      <c r="BY399" s="49"/>
      <c r="BZ399" s="49"/>
      <c r="CA399" s="49"/>
      <c r="CB399" s="49"/>
    </row>
    <row r="400" spans="2:80" ht="15" customHeight="1" x14ac:dyDescent="0.2">
      <c r="B400" s="214">
        <v>5</v>
      </c>
      <c r="C400" s="214"/>
      <c r="D400" s="214"/>
      <c r="E400" s="218" t="str">
        <f>$E$329</f>
        <v>Life Loss</v>
      </c>
      <c r="F400" s="218"/>
      <c r="G400" s="218"/>
      <c r="H400" s="218"/>
      <c r="I400" s="218"/>
      <c r="J400" s="218"/>
      <c r="K400" s="218"/>
      <c r="L400" s="218"/>
      <c r="M400" s="220">
        <f>$M$329</f>
        <v>1</v>
      </c>
      <c r="N400" s="220"/>
      <c r="O400" s="220"/>
      <c r="P400" s="220"/>
      <c r="Q400" s="220">
        <f>$Q$329</f>
        <v>9</v>
      </c>
      <c r="R400" s="220"/>
      <c r="S400" s="220"/>
      <c r="T400" s="220"/>
      <c r="U400" s="51">
        <f t="shared" si="1939"/>
        <v>1</v>
      </c>
      <c r="V400" s="51">
        <f>IF(ISNUMBER($M400),IF($E400="Operational Performance",IF(V$395&gt;=MAX($Q$396:$T$401),"-",IF(MOD(U$395,'Project Event Tree Input'!$D$48+1)=0,(U$395/('Project Event Tree Input'!$D$48+1))+1,"-")),IF($E400="Transform",IF(V384="-",1,IF(V384="+",U400+1,"-")),V399)))</f>
        <v>2</v>
      </c>
      <c r="W400" s="51">
        <f>IF(ISNUMBER($M400),IF($E400="Operational Performance",IF(W$395&gt;=MAX($Q$396:$T$401),"-",IF(MOD(V$395,'Project Event Tree Input'!$D$48+1)=0,(V$395/('Project Event Tree Input'!$D$48+1))+1,"-")),IF($E400="Transform",IF(W384="-",1,IF(W384="+",V400+1,"-")),W399)))</f>
        <v>3</v>
      </c>
      <c r="X400" s="51" t="str">
        <f>IF(ISNUMBER($M400),IF($E400="Operational Performance",IF(X$395&gt;=MAX($Q$396:$T$401),"-",IF(MOD(W$395,'Project Event Tree Input'!$D$48+1)=0,(W$395/('Project Event Tree Input'!$D$48+1))+1,"-")),IF($E400="Transform",IF(X384="-",1,IF(X384="+",W400+1,"-")),X399)))</f>
        <v>-</v>
      </c>
      <c r="Y400" s="51" t="str">
        <f>IF(ISNUMBER($M400),IF($E400="Operational Performance",IF(Y$395&gt;=MAX($Q$396:$T$401),"-",IF(MOD(X$395,'Project Event Tree Input'!$D$48+1)=0,(X$395/('Project Event Tree Input'!$D$48+1))+1,"-")),IF($E400="Transform",IF(Y384="-",1,IF(Y384="+",X400+1,"-")),Y399)))</f>
        <v>-</v>
      </c>
      <c r="Z400" s="51" t="str">
        <f>IF(ISNUMBER($M400),IF($E400="Operational Performance",IF(Z$395&gt;=MAX($Q$396:$T$401),"-",IF(MOD(Y$395,'Project Event Tree Input'!$D$48+1)=0,(Y$395/('Project Event Tree Input'!$D$48+1))+1,"-")),IF($E400="Transform",IF(Z384="-",1,IF(Z384="+",Y400+1,"-")),Z399)))</f>
        <v>-</v>
      </c>
      <c r="AA400" s="51" t="str">
        <f>IF(ISNUMBER($M400),IF($E400="Operational Performance",IF(AA$395&gt;=MAX($Q$396:$T$401),"-",IF(MOD(Z$395,'Project Event Tree Input'!$D$48+1)=0,(Z$395/('Project Event Tree Input'!$D$48+1))+1,"-")),IF($E400="Transform",IF(AA384="-",1,IF(AA384="+",Z400+1,"-")),AA399)))</f>
        <v>-</v>
      </c>
      <c r="AB400" s="51" t="str">
        <f>IF(ISNUMBER($M400),IF($E400="Operational Performance",IF(AB$395&gt;=MAX($Q$396:$T$401),"-",IF(MOD(AA$395,'Project Event Tree Input'!$D$48+1)=0,(AA$395/('Project Event Tree Input'!$D$48+1))+1,"-")),IF($E400="Transform",IF(AB384="-",1,IF(AB384="+",AA400+1,"-")),AB399)))</f>
        <v>-</v>
      </c>
      <c r="AC400" s="51" t="str">
        <f>IF(ISNUMBER($M400),IF($E400="Operational Performance",IF(AC$395&gt;=MAX($Q$396:$T$401),"-",IF(MOD(AB$395,'Project Event Tree Input'!$D$48+1)=0,(AB$395/('Project Event Tree Input'!$D$48+1))+1,"-")),IF($E400="Transform",IF(AC384="-",1,IF(AC384="+",AB400+1,"-")),AC399)))</f>
        <v>-</v>
      </c>
      <c r="AD400" s="51" t="str">
        <f>IF(ISNUMBER($M400),IF($E400="Operational Performance",IF(AD$395&gt;=MAX($Q$396:$T$401),"-",IF(MOD(AC$395,'Project Event Tree Input'!$D$48+1)=0,(AC$395/('Project Event Tree Input'!$D$48+1))+1,"-")),IF($E400="Transform",IF(AD384="-",1,IF(AD384="+",AC400+1,"-")),AD399)))</f>
        <v>-</v>
      </c>
      <c r="AE400" s="51" t="str">
        <f>IF(ISNUMBER($M400),IF($E400="Operational Performance",IF(AE$395&gt;=MAX($Q$396:$T$401),"-",IF(MOD(AD$395,'Project Event Tree Input'!$D$48+1)=0,(AD$395/('Project Event Tree Input'!$D$48+1))+1,"-")),IF($E400="Transform",IF(AE384="-",1,IF(AE384="+",AD400+1,"-")),AE399)))</f>
        <v>-</v>
      </c>
      <c r="AF400" s="51" t="str">
        <f>IF(ISNUMBER($M400),IF($E400="Operational Performance",IF(AF$395&gt;=MAX($Q$396:$T$401),"-",IF(MOD(AE$395,'Project Event Tree Input'!$D$48+1)=0,(AE$395/('Project Event Tree Input'!$D$48+1))+1,"-")),IF($E400="Transform",IF(AF384="-",1,IF(AF384="+",AE400+1,"-")),AF399)))</f>
        <v>-</v>
      </c>
      <c r="AG400" s="51" t="str">
        <f>IF(ISNUMBER($M400),IF($E400="Operational Performance",IF(AG$395&gt;=MAX($Q$396:$T$401),"-",IF(MOD(AF$395,'Project Event Tree Input'!$D$48+1)=0,(AF$395/('Project Event Tree Input'!$D$48+1))+1,"-")),IF($E400="Transform",IF(AG384="-",1,IF(AG384="+",AF400+1,"-")),AG399)))</f>
        <v>-</v>
      </c>
      <c r="AH400" s="51" t="str">
        <f>IF(ISNUMBER($M400),IF($E400="Operational Performance",IF(AH$395&gt;=MAX($Q$396:$T$401),"-",IF(MOD(AG$395,'Project Event Tree Input'!$D$48+1)=0,(AG$395/('Project Event Tree Input'!$D$48+1))+1,"-")),IF($E400="Transform",IF(AH384="-",1,IF(AH384="+",AG400+1,"-")),AH399)))</f>
        <v>-</v>
      </c>
      <c r="AI400" s="51" t="str">
        <f>IF(ISNUMBER($M400),IF($E400="Operational Performance",IF(AI$395&gt;=MAX($Q$396:$T$401),"-",IF(MOD(AH$395,'Project Event Tree Input'!$D$48+1)=0,(AH$395/('Project Event Tree Input'!$D$48+1))+1,"-")),IF($E400="Transform",IF(AI384="-",1,IF(AI384="+",AH400+1,"-")),AI399)))</f>
        <v>-</v>
      </c>
      <c r="AJ400" s="51" t="str">
        <f>IF(ISNUMBER($M400),IF($E400="Operational Performance",IF(AJ$395&gt;=MAX($Q$396:$T$401),"-",IF(MOD(AI$395,'Project Event Tree Input'!$D$48+1)=0,(AI$395/('Project Event Tree Input'!$D$48+1))+1,"-")),IF($E400="Transform",IF(AJ384="-",1,IF(AJ384="+",AI400+1,"-")),AJ399)))</f>
        <v>-</v>
      </c>
      <c r="AK400" s="51" t="str">
        <f>IF(ISNUMBER($M400),IF($E400="Operational Performance",IF(AK$395&gt;=MAX($Q$396:$T$401),"-",IF(MOD(AJ$395,'Project Event Tree Input'!$D$48+1)=0,(AJ$395/('Project Event Tree Input'!$D$48+1))+1,"-")),IF($E400="Transform",IF(AK384="-",1,IF(AK384="+",AJ400+1,"-")),AK399)))</f>
        <v>-</v>
      </c>
      <c r="AL400" s="51" t="str">
        <f>IF(ISNUMBER($M400),IF($E400="Operational Performance",IF(AL$395&gt;=MAX($Q$396:$T$401),"-",IF(MOD(AK$395,'Project Event Tree Input'!$D$48+1)=0,(AK$395/('Project Event Tree Input'!$D$48+1))+1,"-")),IF($E400="Transform",IF(AL384="-",1,IF(AL384="+",AK400+1,"-")),AL399)))</f>
        <v>-</v>
      </c>
      <c r="AM400" s="51" t="str">
        <f>IF(ISNUMBER($M400),IF($E400="Operational Performance",IF(AM$395&gt;=MAX($Q$396:$T$401),"-",IF(MOD(AL$395,'Project Event Tree Input'!$D$48+1)=0,(AL$395/('Project Event Tree Input'!$D$48+1))+1,"-")),IF($E400="Transform",IF(AM384="-",1,IF(AM384="+",AL400+1,"-")),AM399)))</f>
        <v>-</v>
      </c>
      <c r="AN400" s="51" t="str">
        <f>IF(ISNUMBER($M400),IF($E400="Operational Performance",IF(AN$395&gt;=MAX($Q$396:$T$401),"-",IF(MOD(AM$395,'Project Event Tree Input'!$D$48+1)=0,(AM$395/('Project Event Tree Input'!$D$48+1))+1,"-")),IF($E400="Transform",IF(AN384="-",1,IF(AN384="+",AM400+1,"-")),AN399)))</f>
        <v>-</v>
      </c>
      <c r="AO400" s="51" t="str">
        <f>IF(ISNUMBER($M400),IF($E400="Operational Performance",IF(AO$395&gt;=MAX($Q$396:$T$401),"-",IF(MOD(AN$395,'Project Event Tree Input'!$D$48+1)=0,(AN$395/('Project Event Tree Input'!$D$48+1))+1,"-")),IF($E400="Transform",IF(AO384="-",1,IF(AO384="+",AN400+1,"-")),AO399)))</f>
        <v>-</v>
      </c>
      <c r="AP400" s="51" t="str">
        <f>IF(ISNUMBER($M400),IF($E400="Operational Performance",IF(AP$395&gt;=MAX($Q$396:$T$401),"-",IF(MOD(AO$395,'Project Event Tree Input'!$D$48+1)=0,(AO$395/('Project Event Tree Input'!$D$48+1))+1,"-")),IF($E400="Transform",IF(AP384="-",1,IF(AP384="+",AO400+1,"-")),AP399)))</f>
        <v>-</v>
      </c>
      <c r="AQ400" s="51" t="str">
        <f>IF(ISNUMBER($M400),IF($E400="Operational Performance",IF(AQ$395&gt;=MAX($Q$396:$T$401),"-",IF(MOD(AP$395,'Project Event Tree Input'!$D$48+1)=0,(AP$395/('Project Event Tree Input'!$D$48+1))+1,"-")),IF($E400="Transform",IF(AQ384="-",1,IF(AQ384="+",AP400+1,"-")),AQ399)))</f>
        <v>-</v>
      </c>
      <c r="AR400" s="51" t="str">
        <f>IF(ISNUMBER($M400),IF($E400="Operational Performance",IF(AR$395&gt;=MAX($Q$396:$T$401),"-",IF(MOD(AQ$395,'Project Event Tree Input'!$D$48+1)=0,(AQ$395/('Project Event Tree Input'!$D$48+1))+1,"-")),IF($E400="Transform",IF(AR384="-",1,IF(AR384="+",AQ400+1,"-")),AR399)))</f>
        <v>-</v>
      </c>
      <c r="AS400" s="51" t="str">
        <f>IF(ISNUMBER($M400),IF($E400="Operational Performance",IF(AS$395&gt;=MAX($Q$396:$T$401),"-",IF(MOD(AR$395,'Project Event Tree Input'!$D$48+1)=0,(AR$395/('Project Event Tree Input'!$D$48+1))+1,"-")),IF($E400="Transform",IF(AS384="-",1,IF(AS384="+",AR400+1,"-")),AS399)))</f>
        <v>-</v>
      </c>
      <c r="AT400" s="51" t="str">
        <f>IF(ISNUMBER($M400),IF($E400="Operational Performance",IF(AT$395&gt;=MAX($Q$396:$T$401),"-",IF(MOD(AS$395,'Project Event Tree Input'!$D$48+1)=0,(AS$395/('Project Event Tree Input'!$D$48+1))+1,"-")),IF($E400="Transform",IF(AT384="-",1,IF(AT384="+",AS400+1,"-")),AT399)))</f>
        <v>-</v>
      </c>
      <c r="AU400" s="51" t="str">
        <f>IF(ISNUMBER($M400),IF($E400="Operational Performance",IF(AU$395&gt;=MAX($Q$396:$T$401),"-",IF(MOD(AT$395,'Project Event Tree Input'!$D$48+1)=0,(AT$395/('Project Event Tree Input'!$D$48+1))+1,"-")),IF($E400="Transform",IF(AU384="-",1,IF(AU384="+",AT400+1,"-")),AU399)))</f>
        <v>-</v>
      </c>
      <c r="AV400" s="51" t="str">
        <f>IF(ISNUMBER($M400),IF($E400="Operational Performance",IF(AV$395&gt;=MAX($Q$396:$T$401),"-",IF(MOD(AU$395,'Project Event Tree Input'!$D$48+1)=0,(AU$395/('Project Event Tree Input'!$D$48+1))+1,"-")),IF($E400="Transform",IF(AV384="-",1,IF(AV384="+",AU400+1,"-")),AV399)))</f>
        <v>-</v>
      </c>
      <c r="AW400" s="51" t="str">
        <f>IF(ISNUMBER($M400),IF($E400="Operational Performance",IF(AW$395&gt;=MAX($Q$396:$T$401),"-",IF(MOD(AV$395,'Project Event Tree Input'!$D$48+1)=0,(AV$395/('Project Event Tree Input'!$D$48+1))+1,"-")),IF($E400="Transform",IF(AW384="-",1,IF(AW384="+",AV400+1,"-")),AW399)))</f>
        <v>-</v>
      </c>
      <c r="AX400" s="51" t="str">
        <f>IF(ISNUMBER($M400),IF($E400="Operational Performance",IF(AX$395&gt;=MAX($Q$396:$T$401),"-",IF(MOD(AW$395,'Project Event Tree Input'!$D$48+1)=0,(AW$395/('Project Event Tree Input'!$D$48+1))+1,"-")),IF($E400="Transform",IF(AX384="-",1,IF(AX384="+",AW400+1,"-")),AX399)))</f>
        <v>-</v>
      </c>
      <c r="AY400" s="51" t="str">
        <f>IF(ISNUMBER($M400),IF($E400="Operational Performance",IF(AY$395&gt;=MAX($Q$396:$T$401),"-",IF(MOD(AX$395,'Project Event Tree Input'!$D$48+1)=0,(AX$395/('Project Event Tree Input'!$D$48+1))+1,"-")),IF($E400="Transform",IF(AY384="-",1,IF(AY384="+",AX400+1,"-")),AY399)))</f>
        <v>-</v>
      </c>
      <c r="AZ400" s="51" t="str">
        <f>IF(ISNUMBER($M400),IF($E400="Operational Performance",IF(AZ$395&gt;=MAX($Q$396:$T$401),"-",IF(MOD(AY$395,'Project Event Tree Input'!$D$48+1)=0,(AY$395/('Project Event Tree Input'!$D$48+1))+1,"-")),IF($E400="Transform",IF(AZ384="-",1,IF(AZ384="+",AY400+1,"-")),AZ399)))</f>
        <v>-</v>
      </c>
      <c r="BA400" s="51" t="str">
        <f>IF(ISNUMBER($M400),IF($E400="Operational Performance",IF(BA$395&gt;=MAX($Q$396:$T$401),"-",IF(MOD(AZ$395,'Project Event Tree Input'!$D$48+1)=0,(AZ$395/('Project Event Tree Input'!$D$48+1))+1,"-")),IF($E400="Transform",IF(BA384="-",1,IF(BA384="+",AZ400+1,"-")),BA399)))</f>
        <v>-</v>
      </c>
      <c r="BB400" s="51" t="str">
        <f>IF(ISNUMBER($M400),IF($E400="Operational Performance",IF(BB$395&gt;=MAX($Q$396:$T$401),"-",IF(MOD(BA$395,'Project Event Tree Input'!$D$48+1)=0,(BA$395/('Project Event Tree Input'!$D$48+1))+1,"-")),IF($E400="Transform",IF(BB384="-",1,IF(BB384="+",BA400+1,"-")),BB399)))</f>
        <v>-</v>
      </c>
      <c r="BC400" s="51" t="str">
        <f>IF(ISNUMBER($M400),IF($E400="Operational Performance",IF(BC$395&gt;=MAX($Q$396:$T$401),"-",IF(MOD(BB$395,'Project Event Tree Input'!$D$48+1)=0,(BB$395/('Project Event Tree Input'!$D$48+1))+1,"-")),IF($E400="Transform",IF(BC384="-",1,IF(BC384="+",BB400+1,"-")),BC399)))</f>
        <v>-</v>
      </c>
      <c r="BD400" s="51" t="str">
        <f>IF(ISNUMBER($M400),IF($E400="Operational Performance",IF(BD$395&gt;=MAX($Q$396:$T$401),"-",IF(MOD(BC$395,'Project Event Tree Input'!$D$48+1)=0,(BC$395/('Project Event Tree Input'!$D$48+1))+1,"-")),IF($E400="Transform",IF(BD384="-",1,IF(BD384="+",BC400+1,"-")),BD399)))</f>
        <v>-</v>
      </c>
      <c r="BE400" s="51" t="str">
        <f>IF(ISNUMBER($M400),IF($E400="Operational Performance",IF(BE$395&gt;=MAX($Q$396:$T$401),"-",IF(MOD(BD$395,'Project Event Tree Input'!$D$48+1)=0,(BD$395/('Project Event Tree Input'!$D$48+1))+1,"-")),IF($E400="Transform",IF(BE384="-",1,IF(BE384="+",BD400+1,"-")),BE399)))</f>
        <v>-</v>
      </c>
      <c r="BF400" s="51" t="str">
        <f>IF(ISNUMBER($M400),IF($E400="Operational Performance",IF(BF$395&gt;=MAX($Q$396:$T$401),"-",IF(MOD(BE$395,'Project Event Tree Input'!$D$48+1)=0,(BE$395/('Project Event Tree Input'!$D$48+1))+1,"-")),IF($E400="Transform",IF(BF384="-",1,IF(BF384="+",BE400+1,"-")),BF399)))</f>
        <v>-</v>
      </c>
      <c r="BG400" s="51" t="str">
        <f>IF(ISNUMBER($M400),IF($E400="Operational Performance",IF(BG$395&gt;=MAX($Q$396:$T$401),"-",IF(MOD(BF$395,'Project Event Tree Input'!$D$48+1)=0,(BF$395/('Project Event Tree Input'!$D$48+1))+1,"-")),IF($E400="Transform",IF(BG384="-",1,IF(BG384="+",BF400+1,"-")),BG399)))</f>
        <v>-</v>
      </c>
      <c r="BH400" s="51" t="str">
        <f>IF(ISNUMBER($M400),IF($E400="Operational Performance",IF(BH$395&gt;=MAX($Q$396:$T$401),"-",IF(MOD(BG$395,'Project Event Tree Input'!$D$48+1)=0,(BG$395/('Project Event Tree Input'!$D$48+1))+1,"-")),IF($E400="Transform",IF(BH384="-",1,IF(BH384="+",BG400+1,"-")),BH399)))</f>
        <v>-</v>
      </c>
      <c r="BI400" s="51" t="str">
        <f>IF(ISNUMBER($M400),IF($E400="Operational Performance",IF(BI$395&gt;=MAX($Q$396:$T$401),"-",IF(MOD(BH$395,'Project Event Tree Input'!$D$48+1)=0,(BH$395/('Project Event Tree Input'!$D$48+1))+1,"-")),IF($E400="Transform",IF(BI384="-",1,IF(BI384="+",BH400+1,"-")),BI399)))</f>
        <v>-</v>
      </c>
      <c r="BJ400" s="51" t="str">
        <f>IF(ISNUMBER($M400),IF($E400="Operational Performance",IF(BJ$395&gt;=MAX($Q$396:$T$401),"-",IF(MOD(BI$395,'Project Event Tree Input'!$D$48+1)=0,(BI$395/('Project Event Tree Input'!$D$48+1))+1,"-")),IF($E400="Transform",IF(BJ384="-",1,IF(BJ384="+",BI400+1,"-")),BJ399)))</f>
        <v>-</v>
      </c>
      <c r="BK400" s="51" t="str">
        <f>IF(ISNUMBER($M400),IF($E400="Operational Performance",IF(BK$395&gt;=MAX($Q$396:$T$401),"-",IF(MOD(BJ$395,'Project Event Tree Input'!$D$48+1)=0,(BJ$395/('Project Event Tree Input'!$D$48+1))+1,"-")),IF($E400="Transform",IF(BK384="-",1,IF(BK384="+",BJ400+1,"-")),BK399)))</f>
        <v>-</v>
      </c>
      <c r="BL400" s="51" t="str">
        <f>IF(ISNUMBER($M400),IF($E400="Operational Performance",IF(BL$395&gt;=MAX($Q$396:$T$401),"-",IF(MOD(BK$395,'Project Event Tree Input'!$D$48+1)=0,(BK$395/('Project Event Tree Input'!$D$48+1))+1,"-")),IF($E400="Transform",IF(BL384="-",1,IF(BL384="+",BK400+1,"-")),BL399)))</f>
        <v>-</v>
      </c>
      <c r="BM400" s="51" t="str">
        <f>IF(ISNUMBER($M400),IF($E400="Operational Performance",IF(BM$395&gt;=MAX($Q$396:$T$401),"-",IF(MOD(BL$395,'Project Event Tree Input'!$D$48+1)=0,(BL$395/('Project Event Tree Input'!$D$48+1))+1,"-")),IF($E400="Transform",IF(BM384="-",1,IF(BM384="+",BL400+1,"-")),BM399)))</f>
        <v>-</v>
      </c>
      <c r="BN400" s="51" t="str">
        <f>IF(ISNUMBER($M400),IF($E400="Operational Performance",IF(BN$395&gt;=MAX($Q$396:$T$401),"-",IF(MOD(BM$395,'Project Event Tree Input'!$D$48+1)=0,(BM$395/('Project Event Tree Input'!$D$48+1))+1,"-")),IF($E400="Transform",IF(BN384="-",1,IF(BN384="+",BM400+1,"-")),BN399)))</f>
        <v>-</v>
      </c>
      <c r="BO400" s="51" t="str">
        <f>IF(ISNUMBER($M400),IF($E400="Operational Performance",IF(BO$395&gt;=MAX($Q$396:$T$401),"-",IF(MOD(BN$395,'Project Event Tree Input'!$D$48+1)=0,(BN$395/('Project Event Tree Input'!$D$48+1))+1,"-")),IF($E400="Transform",IF(BO384="-",1,IF(BO384="+",BN400+1,"-")),BO399)))</f>
        <v>-</v>
      </c>
      <c r="BP400" s="51" t="str">
        <f>IF(ISNUMBER($M400),IF($E400="Operational Performance",IF(BP$395&gt;=MAX($Q$396:$T$401),"-",IF(MOD(BO$395,'Project Event Tree Input'!$D$48+1)=0,(BO$395/('Project Event Tree Input'!$D$48+1))+1,"-")),IF($E400="Transform",IF(BP384="-",1,IF(BP384="+",BO400+1,"-")),BP399)))</f>
        <v>-</v>
      </c>
      <c r="BQ400" s="51" t="str">
        <f>IF(ISNUMBER($M400),IF($E400="Operational Performance",IF(BQ$395&gt;=MAX($Q$396:$T$401),"-",IF(MOD(BP$395,'Project Event Tree Input'!$D$48+1)=0,(BP$395/('Project Event Tree Input'!$D$48+1))+1,"-")),IF($E400="Transform",IF(BQ384="-",1,IF(BQ384="+",BP400+1,"-")),BQ399)))</f>
        <v>-</v>
      </c>
      <c r="BR400" s="51" t="str">
        <f>IF(ISNUMBER($M400),IF($E400="Operational Performance",IF(BR$395&gt;=MAX($Q$396:$T$401),"-",IF(MOD(BQ$395,'Project Event Tree Input'!$D$48+1)=0,(BQ$395/('Project Event Tree Input'!$D$48+1))+1,"-")),IF($E400="Transform",IF(BR384="-",1,IF(BR384="+",BQ400+1,"-")),BR399)))</f>
        <v>-</v>
      </c>
      <c r="BS400" s="51" t="str">
        <f>IF(ISNUMBER($M400),IF($E400="Operational Performance",IF(BS$395&gt;=MAX($Q$396:$T$401),"-",IF(MOD(BR$395,'Project Event Tree Input'!$D$48+1)=0,(BR$395/('Project Event Tree Input'!$D$48+1))+1,"-")),IF($E400="Transform",IF(BS384="-",1,IF(BS384="+",BR400+1,"-")),BS399)))</f>
        <v>-</v>
      </c>
      <c r="BT400" s="51" t="str">
        <f>IF(ISNUMBER($M400),IF($E400="Operational Performance",IF(BT$395&gt;=MAX($Q$396:$T$401),"-",IF(MOD(BS$395,'Project Event Tree Input'!$D$48+1)=0,(BS$395/('Project Event Tree Input'!$D$48+1))+1,"-")),IF($E400="Transform",IF(BT384="-",1,IF(BT384="+",BS400+1,"-")),BT399)))</f>
        <v>-</v>
      </c>
      <c r="BU400" s="51" t="str">
        <f>IF(ISNUMBER($M400),IF($E400="Operational Performance",IF(BU$395&gt;=MAX($Q$396:$T$401),"-",IF(MOD(BT$395,'Project Event Tree Input'!$D$48+1)=0,(BT$395/('Project Event Tree Input'!$D$48+1))+1,"-")),IF($E400="Transform",IF(BU384="-",1,IF(BU384="+",BT400+1,"-")),BU399)))</f>
        <v>-</v>
      </c>
      <c r="BV400" s="51" t="str">
        <f>IF(ISNUMBER($M400),IF($E400="Operational Performance",IF(BV$395&gt;=MAX($Q$396:$T$401),"-",IF(MOD(BU$395,'Project Event Tree Input'!$D$48+1)=0,(BU$395/('Project Event Tree Input'!$D$48+1))+1,"-")),IF($E400="Transform",IF(BV384="-",1,IF(BV384="+",BU400+1,"-")),BV399)))</f>
        <v>-</v>
      </c>
      <c r="BW400" s="51" t="str">
        <f>IF(ISNUMBER($M400),IF($E400="Operational Performance",IF(BW$395&gt;=MAX($Q$396:$T$401),"-",IF(MOD(BV$395,'Project Event Tree Input'!$D$48+1)=0,(BV$395/('Project Event Tree Input'!$D$48+1))+1,"-")),IF($E400="Transform",IF(BW384="-",1,IF(BW384="+",BV400+1,"-")),BW399)))</f>
        <v>-</v>
      </c>
      <c r="BX400" s="49"/>
      <c r="BY400" s="49"/>
      <c r="BZ400" s="49"/>
      <c r="CA400" s="49"/>
      <c r="CB400" s="49"/>
    </row>
    <row r="401" spans="2:80" ht="15" customHeight="1" x14ac:dyDescent="0.2">
      <c r="B401" s="214">
        <v>6</v>
      </c>
      <c r="C401" s="214"/>
      <c r="D401" s="214"/>
      <c r="E401" s="218" t="str">
        <f>$E$330</f>
        <v>Economic Cost</v>
      </c>
      <c r="F401" s="218"/>
      <c r="G401" s="218"/>
      <c r="H401" s="218"/>
      <c r="I401" s="218"/>
      <c r="J401" s="218"/>
      <c r="K401" s="218"/>
      <c r="L401" s="218"/>
      <c r="M401" s="220">
        <f>$M$330</f>
        <v>1</v>
      </c>
      <c r="N401" s="220"/>
      <c r="O401" s="220"/>
      <c r="P401" s="220"/>
      <c r="Q401" s="220">
        <f>$Q$330</f>
        <v>9</v>
      </c>
      <c r="R401" s="220"/>
      <c r="S401" s="220"/>
      <c r="T401" s="220"/>
      <c r="U401" s="51">
        <f t="shared" si="1939"/>
        <v>1</v>
      </c>
      <c r="V401" s="51">
        <f>IF(ISNUMBER($M401),IF($E401="Operational Performance",IF(V$395&gt;=MAX($Q$396:$T$401),"-",IF(MOD(U$395,'Project Event Tree Input'!$D$48+1)=0,(U$395/('Project Event Tree Input'!$D$48+1))+1,"-")),IF($E401="Transform",IF(V385="-",1,IF(V385="+",U401+1,"-")),V400)))</f>
        <v>2</v>
      </c>
      <c r="W401" s="51">
        <f>IF(ISNUMBER($M401),IF($E401="Operational Performance",IF(W$395&gt;=MAX($Q$396:$T$401),"-",IF(MOD(V$395,'Project Event Tree Input'!$D$48+1)=0,(V$395/('Project Event Tree Input'!$D$48+1))+1,"-")),IF($E401="Transform",IF(W385="-",1,IF(W385="+",V401+1,"-")),W400)))</f>
        <v>3</v>
      </c>
      <c r="X401" s="51" t="str">
        <f>IF(ISNUMBER($M401),IF($E401="Operational Performance",IF(X$395&gt;=MAX($Q$396:$T$401),"-",IF(MOD(W$395,'Project Event Tree Input'!$D$48+1)=0,(W$395/('Project Event Tree Input'!$D$48+1))+1,"-")),IF($E401="Transform",IF(X385="-",1,IF(X385="+",W401+1,"-")),X400)))</f>
        <v>-</v>
      </c>
      <c r="Y401" s="51" t="str">
        <f>IF(ISNUMBER($M401),IF($E401="Operational Performance",IF(Y$395&gt;=MAX($Q$396:$T$401),"-",IF(MOD(X$395,'Project Event Tree Input'!$D$48+1)=0,(X$395/('Project Event Tree Input'!$D$48+1))+1,"-")),IF($E401="Transform",IF(Y385="-",1,IF(Y385="+",X401+1,"-")),Y400)))</f>
        <v>-</v>
      </c>
      <c r="Z401" s="51" t="str">
        <f>IF(ISNUMBER($M401),IF($E401="Operational Performance",IF(Z$395&gt;=MAX($Q$396:$T$401),"-",IF(MOD(Y$395,'Project Event Tree Input'!$D$48+1)=0,(Y$395/('Project Event Tree Input'!$D$48+1))+1,"-")),IF($E401="Transform",IF(Z385="-",1,IF(Z385="+",Y401+1,"-")),Z400)))</f>
        <v>-</v>
      </c>
      <c r="AA401" s="51" t="str">
        <f>IF(ISNUMBER($M401),IF($E401="Operational Performance",IF(AA$395&gt;=MAX($Q$396:$T$401),"-",IF(MOD(Z$395,'Project Event Tree Input'!$D$48+1)=0,(Z$395/('Project Event Tree Input'!$D$48+1))+1,"-")),IF($E401="Transform",IF(AA385="-",1,IF(AA385="+",Z401+1,"-")),AA400)))</f>
        <v>-</v>
      </c>
      <c r="AB401" s="51" t="str">
        <f>IF(ISNUMBER($M401),IF($E401="Operational Performance",IF(AB$395&gt;=MAX($Q$396:$T$401),"-",IF(MOD(AA$395,'Project Event Tree Input'!$D$48+1)=0,(AA$395/('Project Event Tree Input'!$D$48+1))+1,"-")),IF($E401="Transform",IF(AB385="-",1,IF(AB385="+",AA401+1,"-")),AB400)))</f>
        <v>-</v>
      </c>
      <c r="AC401" s="51" t="str">
        <f>IF(ISNUMBER($M401),IF($E401="Operational Performance",IF(AC$395&gt;=MAX($Q$396:$T$401),"-",IF(MOD(AB$395,'Project Event Tree Input'!$D$48+1)=0,(AB$395/('Project Event Tree Input'!$D$48+1))+1,"-")),IF($E401="Transform",IF(AC385="-",1,IF(AC385="+",AB401+1,"-")),AC400)))</f>
        <v>-</v>
      </c>
      <c r="AD401" s="51" t="str">
        <f>IF(ISNUMBER($M401),IF($E401="Operational Performance",IF(AD$395&gt;=MAX($Q$396:$T$401),"-",IF(MOD(AC$395,'Project Event Tree Input'!$D$48+1)=0,(AC$395/('Project Event Tree Input'!$D$48+1))+1,"-")),IF($E401="Transform",IF(AD385="-",1,IF(AD385="+",AC401+1,"-")),AD400)))</f>
        <v>-</v>
      </c>
      <c r="AE401" s="51" t="str">
        <f>IF(ISNUMBER($M401),IF($E401="Operational Performance",IF(AE$395&gt;=MAX($Q$396:$T$401),"-",IF(MOD(AD$395,'Project Event Tree Input'!$D$48+1)=0,(AD$395/('Project Event Tree Input'!$D$48+1))+1,"-")),IF($E401="Transform",IF(AE385="-",1,IF(AE385="+",AD401+1,"-")),AE400)))</f>
        <v>-</v>
      </c>
      <c r="AF401" s="51" t="str">
        <f>IF(ISNUMBER($M401),IF($E401="Operational Performance",IF(AF$395&gt;=MAX($Q$396:$T$401),"-",IF(MOD(AE$395,'Project Event Tree Input'!$D$48+1)=0,(AE$395/('Project Event Tree Input'!$D$48+1))+1,"-")),IF($E401="Transform",IF(AF385="-",1,IF(AF385="+",AE401+1,"-")),AF400)))</f>
        <v>-</v>
      </c>
      <c r="AG401" s="51" t="str">
        <f>IF(ISNUMBER($M401),IF($E401="Operational Performance",IF(AG$395&gt;=MAX($Q$396:$T$401),"-",IF(MOD(AF$395,'Project Event Tree Input'!$D$48+1)=0,(AF$395/('Project Event Tree Input'!$D$48+1))+1,"-")),IF($E401="Transform",IF(AG385="-",1,IF(AG385="+",AF401+1,"-")),AG400)))</f>
        <v>-</v>
      </c>
      <c r="AH401" s="51" t="str">
        <f>IF(ISNUMBER($M401),IF($E401="Operational Performance",IF(AH$395&gt;=MAX($Q$396:$T$401),"-",IF(MOD(AG$395,'Project Event Tree Input'!$D$48+1)=0,(AG$395/('Project Event Tree Input'!$D$48+1))+1,"-")),IF($E401="Transform",IF(AH385="-",1,IF(AH385="+",AG401+1,"-")),AH400)))</f>
        <v>-</v>
      </c>
      <c r="AI401" s="51" t="str">
        <f>IF(ISNUMBER($M401),IF($E401="Operational Performance",IF(AI$395&gt;=MAX($Q$396:$T$401),"-",IF(MOD(AH$395,'Project Event Tree Input'!$D$48+1)=0,(AH$395/('Project Event Tree Input'!$D$48+1))+1,"-")),IF($E401="Transform",IF(AI385="-",1,IF(AI385="+",AH401+1,"-")),AI400)))</f>
        <v>-</v>
      </c>
      <c r="AJ401" s="51" t="str">
        <f>IF(ISNUMBER($M401),IF($E401="Operational Performance",IF(AJ$395&gt;=MAX($Q$396:$T$401),"-",IF(MOD(AI$395,'Project Event Tree Input'!$D$48+1)=0,(AI$395/('Project Event Tree Input'!$D$48+1))+1,"-")),IF($E401="Transform",IF(AJ385="-",1,IF(AJ385="+",AI401+1,"-")),AJ400)))</f>
        <v>-</v>
      </c>
      <c r="AK401" s="51" t="str">
        <f>IF(ISNUMBER($M401),IF($E401="Operational Performance",IF(AK$395&gt;=MAX($Q$396:$T$401),"-",IF(MOD(AJ$395,'Project Event Tree Input'!$D$48+1)=0,(AJ$395/('Project Event Tree Input'!$D$48+1))+1,"-")),IF($E401="Transform",IF(AK385="-",1,IF(AK385="+",AJ401+1,"-")),AK400)))</f>
        <v>-</v>
      </c>
      <c r="AL401" s="51" t="str">
        <f>IF(ISNUMBER($M401),IF($E401="Operational Performance",IF(AL$395&gt;=MAX($Q$396:$T$401),"-",IF(MOD(AK$395,'Project Event Tree Input'!$D$48+1)=0,(AK$395/('Project Event Tree Input'!$D$48+1))+1,"-")),IF($E401="Transform",IF(AL385="-",1,IF(AL385="+",AK401+1,"-")),AL400)))</f>
        <v>-</v>
      </c>
      <c r="AM401" s="51" t="str">
        <f>IF(ISNUMBER($M401),IF($E401="Operational Performance",IF(AM$395&gt;=MAX($Q$396:$T$401),"-",IF(MOD(AL$395,'Project Event Tree Input'!$D$48+1)=0,(AL$395/('Project Event Tree Input'!$D$48+1))+1,"-")),IF($E401="Transform",IF(AM385="-",1,IF(AM385="+",AL401+1,"-")),AM400)))</f>
        <v>-</v>
      </c>
      <c r="AN401" s="51" t="str">
        <f>IF(ISNUMBER($M401),IF($E401="Operational Performance",IF(AN$395&gt;=MAX($Q$396:$T$401),"-",IF(MOD(AM$395,'Project Event Tree Input'!$D$48+1)=0,(AM$395/('Project Event Tree Input'!$D$48+1))+1,"-")),IF($E401="Transform",IF(AN385="-",1,IF(AN385="+",AM401+1,"-")),AN400)))</f>
        <v>-</v>
      </c>
      <c r="AO401" s="51" t="str">
        <f>IF(ISNUMBER($M401),IF($E401="Operational Performance",IF(AO$395&gt;=MAX($Q$396:$T$401),"-",IF(MOD(AN$395,'Project Event Tree Input'!$D$48+1)=0,(AN$395/('Project Event Tree Input'!$D$48+1))+1,"-")),IF($E401="Transform",IF(AO385="-",1,IF(AO385="+",AN401+1,"-")),AO400)))</f>
        <v>-</v>
      </c>
      <c r="AP401" s="51" t="str">
        <f>IF(ISNUMBER($M401),IF($E401="Operational Performance",IF(AP$395&gt;=MAX($Q$396:$T$401),"-",IF(MOD(AO$395,'Project Event Tree Input'!$D$48+1)=0,(AO$395/('Project Event Tree Input'!$D$48+1))+1,"-")),IF($E401="Transform",IF(AP385="-",1,IF(AP385="+",AO401+1,"-")),AP400)))</f>
        <v>-</v>
      </c>
      <c r="AQ401" s="51" t="str">
        <f>IF(ISNUMBER($M401),IF($E401="Operational Performance",IF(AQ$395&gt;=MAX($Q$396:$T$401),"-",IF(MOD(AP$395,'Project Event Tree Input'!$D$48+1)=0,(AP$395/('Project Event Tree Input'!$D$48+1))+1,"-")),IF($E401="Transform",IF(AQ385="-",1,IF(AQ385="+",AP401+1,"-")),AQ400)))</f>
        <v>-</v>
      </c>
      <c r="AR401" s="51" t="str">
        <f>IF(ISNUMBER($M401),IF($E401="Operational Performance",IF(AR$395&gt;=MAX($Q$396:$T$401),"-",IF(MOD(AQ$395,'Project Event Tree Input'!$D$48+1)=0,(AQ$395/('Project Event Tree Input'!$D$48+1))+1,"-")),IF($E401="Transform",IF(AR385="-",1,IF(AR385="+",AQ401+1,"-")),AR400)))</f>
        <v>-</v>
      </c>
      <c r="AS401" s="51" t="str">
        <f>IF(ISNUMBER($M401),IF($E401="Operational Performance",IF(AS$395&gt;=MAX($Q$396:$T$401),"-",IF(MOD(AR$395,'Project Event Tree Input'!$D$48+1)=0,(AR$395/('Project Event Tree Input'!$D$48+1))+1,"-")),IF($E401="Transform",IF(AS385="-",1,IF(AS385="+",AR401+1,"-")),AS400)))</f>
        <v>-</v>
      </c>
      <c r="AT401" s="51" t="str">
        <f>IF(ISNUMBER($M401),IF($E401="Operational Performance",IF(AT$395&gt;=MAX($Q$396:$T$401),"-",IF(MOD(AS$395,'Project Event Tree Input'!$D$48+1)=0,(AS$395/('Project Event Tree Input'!$D$48+1))+1,"-")),IF($E401="Transform",IF(AT385="-",1,IF(AT385="+",AS401+1,"-")),AT400)))</f>
        <v>-</v>
      </c>
      <c r="AU401" s="51" t="str">
        <f>IF(ISNUMBER($M401),IF($E401="Operational Performance",IF(AU$395&gt;=MAX($Q$396:$T$401),"-",IF(MOD(AT$395,'Project Event Tree Input'!$D$48+1)=0,(AT$395/('Project Event Tree Input'!$D$48+1))+1,"-")),IF($E401="Transform",IF(AU385="-",1,IF(AU385="+",AT401+1,"-")),AU400)))</f>
        <v>-</v>
      </c>
      <c r="AV401" s="51" t="str">
        <f>IF(ISNUMBER($M401),IF($E401="Operational Performance",IF(AV$395&gt;=MAX($Q$396:$T$401),"-",IF(MOD(AU$395,'Project Event Tree Input'!$D$48+1)=0,(AU$395/('Project Event Tree Input'!$D$48+1))+1,"-")),IF($E401="Transform",IF(AV385="-",1,IF(AV385="+",AU401+1,"-")),AV400)))</f>
        <v>-</v>
      </c>
      <c r="AW401" s="51" t="str">
        <f>IF(ISNUMBER($M401),IF($E401="Operational Performance",IF(AW$395&gt;=MAX($Q$396:$T$401),"-",IF(MOD(AV$395,'Project Event Tree Input'!$D$48+1)=0,(AV$395/('Project Event Tree Input'!$D$48+1))+1,"-")),IF($E401="Transform",IF(AW385="-",1,IF(AW385="+",AV401+1,"-")),AW400)))</f>
        <v>-</v>
      </c>
      <c r="AX401" s="51" t="str">
        <f>IF(ISNUMBER($M401),IF($E401="Operational Performance",IF(AX$395&gt;=MAX($Q$396:$T$401),"-",IF(MOD(AW$395,'Project Event Tree Input'!$D$48+1)=0,(AW$395/('Project Event Tree Input'!$D$48+1))+1,"-")),IF($E401="Transform",IF(AX385="-",1,IF(AX385="+",AW401+1,"-")),AX400)))</f>
        <v>-</v>
      </c>
      <c r="AY401" s="51" t="str">
        <f>IF(ISNUMBER($M401),IF($E401="Operational Performance",IF(AY$395&gt;=MAX($Q$396:$T$401),"-",IF(MOD(AX$395,'Project Event Tree Input'!$D$48+1)=0,(AX$395/('Project Event Tree Input'!$D$48+1))+1,"-")),IF($E401="Transform",IF(AY385="-",1,IF(AY385="+",AX401+1,"-")),AY400)))</f>
        <v>-</v>
      </c>
      <c r="AZ401" s="51" t="str">
        <f>IF(ISNUMBER($M401),IF($E401="Operational Performance",IF(AZ$395&gt;=MAX($Q$396:$T$401),"-",IF(MOD(AY$395,'Project Event Tree Input'!$D$48+1)=0,(AY$395/('Project Event Tree Input'!$D$48+1))+1,"-")),IF($E401="Transform",IF(AZ385="-",1,IF(AZ385="+",AY401+1,"-")),AZ400)))</f>
        <v>-</v>
      </c>
      <c r="BA401" s="51" t="str">
        <f>IF(ISNUMBER($M401),IF($E401="Operational Performance",IF(BA$395&gt;=MAX($Q$396:$T$401),"-",IF(MOD(AZ$395,'Project Event Tree Input'!$D$48+1)=0,(AZ$395/('Project Event Tree Input'!$D$48+1))+1,"-")),IF($E401="Transform",IF(BA385="-",1,IF(BA385="+",AZ401+1,"-")),BA400)))</f>
        <v>-</v>
      </c>
      <c r="BB401" s="51" t="str">
        <f>IF(ISNUMBER($M401),IF($E401="Operational Performance",IF(BB$395&gt;=MAX($Q$396:$T$401),"-",IF(MOD(BA$395,'Project Event Tree Input'!$D$48+1)=0,(BA$395/('Project Event Tree Input'!$D$48+1))+1,"-")),IF($E401="Transform",IF(BB385="-",1,IF(BB385="+",BA401+1,"-")),BB400)))</f>
        <v>-</v>
      </c>
      <c r="BC401" s="51" t="str">
        <f>IF(ISNUMBER($M401),IF($E401="Operational Performance",IF(BC$395&gt;=MAX($Q$396:$T$401),"-",IF(MOD(BB$395,'Project Event Tree Input'!$D$48+1)=0,(BB$395/('Project Event Tree Input'!$D$48+1))+1,"-")),IF($E401="Transform",IF(BC385="-",1,IF(BC385="+",BB401+1,"-")),BC400)))</f>
        <v>-</v>
      </c>
      <c r="BD401" s="51" t="str">
        <f>IF(ISNUMBER($M401),IF($E401="Operational Performance",IF(BD$395&gt;=MAX($Q$396:$T$401),"-",IF(MOD(BC$395,'Project Event Tree Input'!$D$48+1)=0,(BC$395/('Project Event Tree Input'!$D$48+1))+1,"-")),IF($E401="Transform",IF(BD385="-",1,IF(BD385="+",BC401+1,"-")),BD400)))</f>
        <v>-</v>
      </c>
      <c r="BE401" s="51" t="str">
        <f>IF(ISNUMBER($M401),IF($E401="Operational Performance",IF(BE$395&gt;=MAX($Q$396:$T$401),"-",IF(MOD(BD$395,'Project Event Tree Input'!$D$48+1)=0,(BD$395/('Project Event Tree Input'!$D$48+1))+1,"-")),IF($E401="Transform",IF(BE385="-",1,IF(BE385="+",BD401+1,"-")),BE400)))</f>
        <v>-</v>
      </c>
      <c r="BF401" s="51" t="str">
        <f>IF(ISNUMBER($M401),IF($E401="Operational Performance",IF(BF$395&gt;=MAX($Q$396:$T$401),"-",IF(MOD(BE$395,'Project Event Tree Input'!$D$48+1)=0,(BE$395/('Project Event Tree Input'!$D$48+1))+1,"-")),IF($E401="Transform",IF(BF385="-",1,IF(BF385="+",BE401+1,"-")),BF400)))</f>
        <v>-</v>
      </c>
      <c r="BG401" s="51" t="str">
        <f>IF(ISNUMBER($M401),IF($E401="Operational Performance",IF(BG$395&gt;=MAX($Q$396:$T$401),"-",IF(MOD(BF$395,'Project Event Tree Input'!$D$48+1)=0,(BF$395/('Project Event Tree Input'!$D$48+1))+1,"-")),IF($E401="Transform",IF(BG385="-",1,IF(BG385="+",BF401+1,"-")),BG400)))</f>
        <v>-</v>
      </c>
      <c r="BH401" s="51" t="str">
        <f>IF(ISNUMBER($M401),IF($E401="Operational Performance",IF(BH$395&gt;=MAX($Q$396:$T$401),"-",IF(MOD(BG$395,'Project Event Tree Input'!$D$48+1)=0,(BG$395/('Project Event Tree Input'!$D$48+1))+1,"-")),IF($E401="Transform",IF(BH385="-",1,IF(BH385="+",BG401+1,"-")),BH400)))</f>
        <v>-</v>
      </c>
      <c r="BI401" s="51" t="str">
        <f>IF(ISNUMBER($M401),IF($E401="Operational Performance",IF(BI$395&gt;=MAX($Q$396:$T$401),"-",IF(MOD(BH$395,'Project Event Tree Input'!$D$48+1)=0,(BH$395/('Project Event Tree Input'!$D$48+1))+1,"-")),IF($E401="Transform",IF(BI385="-",1,IF(BI385="+",BH401+1,"-")),BI400)))</f>
        <v>-</v>
      </c>
      <c r="BJ401" s="51" t="str">
        <f>IF(ISNUMBER($M401),IF($E401="Operational Performance",IF(BJ$395&gt;=MAX($Q$396:$T$401),"-",IF(MOD(BI$395,'Project Event Tree Input'!$D$48+1)=0,(BI$395/('Project Event Tree Input'!$D$48+1))+1,"-")),IF($E401="Transform",IF(BJ385="-",1,IF(BJ385="+",BI401+1,"-")),BJ400)))</f>
        <v>-</v>
      </c>
      <c r="BK401" s="51" t="str">
        <f>IF(ISNUMBER($M401),IF($E401="Operational Performance",IF(BK$395&gt;=MAX($Q$396:$T$401),"-",IF(MOD(BJ$395,'Project Event Tree Input'!$D$48+1)=0,(BJ$395/('Project Event Tree Input'!$D$48+1))+1,"-")),IF($E401="Transform",IF(BK385="-",1,IF(BK385="+",BJ401+1,"-")),BK400)))</f>
        <v>-</v>
      </c>
      <c r="BL401" s="51" t="str">
        <f>IF(ISNUMBER($M401),IF($E401="Operational Performance",IF(BL$395&gt;=MAX($Q$396:$T$401),"-",IF(MOD(BK$395,'Project Event Tree Input'!$D$48+1)=0,(BK$395/('Project Event Tree Input'!$D$48+1))+1,"-")),IF($E401="Transform",IF(BL385="-",1,IF(BL385="+",BK401+1,"-")),BL400)))</f>
        <v>-</v>
      </c>
      <c r="BM401" s="51" t="str">
        <f>IF(ISNUMBER($M401),IF($E401="Operational Performance",IF(BM$395&gt;=MAX($Q$396:$T$401),"-",IF(MOD(BL$395,'Project Event Tree Input'!$D$48+1)=0,(BL$395/('Project Event Tree Input'!$D$48+1))+1,"-")),IF($E401="Transform",IF(BM385="-",1,IF(BM385="+",BL401+1,"-")),BM400)))</f>
        <v>-</v>
      </c>
      <c r="BN401" s="51" t="str">
        <f>IF(ISNUMBER($M401),IF($E401="Operational Performance",IF(BN$395&gt;=MAX($Q$396:$T$401),"-",IF(MOD(BM$395,'Project Event Tree Input'!$D$48+1)=0,(BM$395/('Project Event Tree Input'!$D$48+1))+1,"-")),IF($E401="Transform",IF(BN385="-",1,IF(BN385="+",BM401+1,"-")),BN400)))</f>
        <v>-</v>
      </c>
      <c r="BO401" s="51" t="str">
        <f>IF(ISNUMBER($M401),IF($E401="Operational Performance",IF(BO$395&gt;=MAX($Q$396:$T$401),"-",IF(MOD(BN$395,'Project Event Tree Input'!$D$48+1)=0,(BN$395/('Project Event Tree Input'!$D$48+1))+1,"-")),IF($E401="Transform",IF(BO385="-",1,IF(BO385="+",BN401+1,"-")),BO400)))</f>
        <v>-</v>
      </c>
      <c r="BP401" s="51" t="str">
        <f>IF(ISNUMBER($M401),IF($E401="Operational Performance",IF(BP$395&gt;=MAX($Q$396:$T$401),"-",IF(MOD(BO$395,'Project Event Tree Input'!$D$48+1)=0,(BO$395/('Project Event Tree Input'!$D$48+1))+1,"-")),IF($E401="Transform",IF(BP385="-",1,IF(BP385="+",BO401+1,"-")),BP400)))</f>
        <v>-</v>
      </c>
      <c r="BQ401" s="51" t="str">
        <f>IF(ISNUMBER($M401),IF($E401="Operational Performance",IF(BQ$395&gt;=MAX($Q$396:$T$401),"-",IF(MOD(BP$395,'Project Event Tree Input'!$D$48+1)=0,(BP$395/('Project Event Tree Input'!$D$48+1))+1,"-")),IF($E401="Transform",IF(BQ385="-",1,IF(BQ385="+",BP401+1,"-")),BQ400)))</f>
        <v>-</v>
      </c>
      <c r="BR401" s="51" t="str">
        <f>IF(ISNUMBER($M401),IF($E401="Operational Performance",IF(BR$395&gt;=MAX($Q$396:$T$401),"-",IF(MOD(BQ$395,'Project Event Tree Input'!$D$48+1)=0,(BQ$395/('Project Event Tree Input'!$D$48+1))+1,"-")),IF($E401="Transform",IF(BR385="-",1,IF(BR385="+",BQ401+1,"-")),BR400)))</f>
        <v>-</v>
      </c>
      <c r="BS401" s="51" t="str">
        <f>IF(ISNUMBER($M401),IF($E401="Operational Performance",IF(BS$395&gt;=MAX($Q$396:$T$401),"-",IF(MOD(BR$395,'Project Event Tree Input'!$D$48+1)=0,(BR$395/('Project Event Tree Input'!$D$48+1))+1,"-")),IF($E401="Transform",IF(BS385="-",1,IF(BS385="+",BR401+1,"-")),BS400)))</f>
        <v>-</v>
      </c>
      <c r="BT401" s="51" t="str">
        <f>IF(ISNUMBER($M401),IF($E401="Operational Performance",IF(BT$395&gt;=MAX($Q$396:$T$401),"-",IF(MOD(BS$395,'Project Event Tree Input'!$D$48+1)=0,(BS$395/('Project Event Tree Input'!$D$48+1))+1,"-")),IF($E401="Transform",IF(BT385="-",1,IF(BT385="+",BS401+1,"-")),BT400)))</f>
        <v>-</v>
      </c>
      <c r="BU401" s="51" t="str">
        <f>IF(ISNUMBER($M401),IF($E401="Operational Performance",IF(BU$395&gt;=MAX($Q$396:$T$401),"-",IF(MOD(BT$395,'Project Event Tree Input'!$D$48+1)=0,(BT$395/('Project Event Tree Input'!$D$48+1))+1,"-")),IF($E401="Transform",IF(BU385="-",1,IF(BU385="+",BT401+1,"-")),BU400)))</f>
        <v>-</v>
      </c>
      <c r="BV401" s="51" t="str">
        <f>IF(ISNUMBER($M401),IF($E401="Operational Performance",IF(BV$395&gt;=MAX($Q$396:$T$401),"-",IF(MOD(BU$395,'Project Event Tree Input'!$D$48+1)=0,(BU$395/('Project Event Tree Input'!$D$48+1))+1,"-")),IF($E401="Transform",IF(BV385="-",1,IF(BV385="+",BU401+1,"-")),BV400)))</f>
        <v>-</v>
      </c>
      <c r="BW401" s="51" t="str">
        <f>IF(ISNUMBER($M401),IF($E401="Operational Performance",IF(BW$395&gt;=MAX($Q$396:$T$401),"-",IF(MOD(BV$395,'Project Event Tree Input'!$D$48+1)=0,(BV$395/('Project Event Tree Input'!$D$48+1))+1,"-")),IF($E401="Transform",IF(BW385="-",1,IF(BW385="+",BV401+1,"-")),BW400)))</f>
        <v>-</v>
      </c>
      <c r="BX401" s="49"/>
      <c r="BY401" s="49"/>
      <c r="BZ401" s="49"/>
      <c r="CA401" s="49"/>
      <c r="CB401" s="49"/>
    </row>
    <row r="402" spans="2:80" ht="15" customHeight="1" x14ac:dyDescent="0.2"/>
    <row r="403" spans="2:80" ht="15" customHeight="1" x14ac:dyDescent="0.2">
      <c r="B403" s="219" t="s">
        <v>188</v>
      </c>
      <c r="C403" s="219"/>
      <c r="D403" s="219"/>
      <c r="E403" s="219"/>
      <c r="F403" s="219"/>
      <c r="G403" s="219"/>
      <c r="H403" s="219"/>
      <c r="I403" s="219"/>
      <c r="J403" s="219" t="str">
        <f>IF(OR($E$325="-",ISBLANK('Project Event Tree Input'!$D$13)),"-",'Project Event Tree Input'!$D$13)</f>
        <v>Stage-Frequency</v>
      </c>
      <c r="K403" s="219"/>
      <c r="L403" s="219"/>
      <c r="M403" s="219"/>
      <c r="N403" s="219"/>
      <c r="O403" s="219"/>
      <c r="P403" s="219"/>
      <c r="Q403" s="219"/>
      <c r="R403" s="219"/>
      <c r="U403" s="218" t="s">
        <v>250</v>
      </c>
      <c r="V403" s="218"/>
      <c r="W403" s="218"/>
      <c r="X403" s="218"/>
      <c r="Y403" s="218"/>
      <c r="Z403" s="218"/>
      <c r="AA403" s="218"/>
      <c r="AB403" s="218"/>
      <c r="AE403" s="51" t="s">
        <v>192</v>
      </c>
      <c r="AF403" s="218" t="s">
        <v>190</v>
      </c>
      <c r="AG403" s="218"/>
      <c r="AH403" s="218"/>
      <c r="AI403" s="219" t="s">
        <v>178</v>
      </c>
      <c r="AJ403" s="219"/>
      <c r="AK403" s="219"/>
      <c r="AL403" s="219"/>
      <c r="AM403" s="219"/>
      <c r="AN403" s="219"/>
      <c r="AO403" s="219"/>
      <c r="AP403" s="219"/>
      <c r="AQ403" s="219"/>
      <c r="AR403" s="219"/>
      <c r="AS403" s="219"/>
      <c r="AT403" s="219"/>
      <c r="AU403" s="219"/>
      <c r="AV403" s="219"/>
      <c r="AW403" s="219"/>
      <c r="AX403" s="218" t="s">
        <v>146</v>
      </c>
      <c r="AY403" s="218"/>
      <c r="AZ403" s="218"/>
      <c r="BA403" s="218"/>
      <c r="BB403" s="218"/>
      <c r="BC403" s="218"/>
      <c r="BD403" s="218"/>
      <c r="BE403" s="218"/>
      <c r="BF403" s="218"/>
      <c r="BG403" s="218"/>
      <c r="BH403" s="218"/>
    </row>
    <row r="404" spans="2:80" ht="15" customHeight="1" x14ac:dyDescent="0.2">
      <c r="B404" s="219" t="s">
        <v>189</v>
      </c>
      <c r="C404" s="219"/>
      <c r="D404" s="219"/>
      <c r="E404" s="219"/>
      <c r="F404" s="219"/>
      <c r="G404" s="219"/>
      <c r="H404" s="219"/>
      <c r="I404" s="219"/>
      <c r="J404" s="219" t="str">
        <f>IF($E$326&lt;&gt;"Secondary Hazard","-",IF(ISBLANK('Project Event Tree Input'!D18),"-",'Project Event Tree Input'!D18))</f>
        <v>-</v>
      </c>
      <c r="K404" s="219"/>
      <c r="L404" s="219"/>
      <c r="M404" s="219"/>
      <c r="N404" s="219"/>
      <c r="O404" s="219"/>
      <c r="P404" s="219"/>
      <c r="Q404" s="219"/>
      <c r="R404" s="219"/>
      <c r="U404" s="51" t="s">
        <v>318</v>
      </c>
      <c r="V404" s="219" t="str">
        <f>IF('Project Event Tree Input'!D24="None","",IF('Project Event Tree Input'!D24="Gate Inoperability","100% Reliable ","0% Debris Blockage "))</f>
        <v xml:space="preserve">100% Reliable </v>
      </c>
      <c r="W404" s="219"/>
      <c r="X404" s="219"/>
      <c r="Y404" s="219"/>
      <c r="Z404" s="219"/>
      <c r="AA404" s="219"/>
      <c r="AB404" s="219"/>
      <c r="AE404" s="51">
        <v>1</v>
      </c>
      <c r="AF404" s="219" t="s">
        <v>191</v>
      </c>
      <c r="AG404" s="219"/>
      <c r="AH404" s="219"/>
      <c r="AI404" s="219" t="str">
        <f>IF(OR(ISBLANK('Project Event Tree Input'!$D$48),'Project Event Tree Input'!$D$48&lt;AE404-1,ISBLANK('Project Event Tree Input'!B52)),"-",'Project Event Tree Input'!B52)</f>
        <v>Non-Fail</v>
      </c>
      <c r="AJ404" s="219"/>
      <c r="AK404" s="219"/>
      <c r="AL404" s="219"/>
      <c r="AM404" s="219"/>
      <c r="AN404" s="219"/>
      <c r="AO404" s="219"/>
      <c r="AP404" s="219"/>
      <c r="AQ404" s="219"/>
      <c r="AR404" s="219"/>
      <c r="AS404" s="219"/>
      <c r="AT404" s="219"/>
      <c r="AU404" s="219"/>
      <c r="AV404" s="219"/>
      <c r="AW404" s="219"/>
      <c r="AX404" s="219" t="str">
        <f>IF(OR($E$325="-",ISBLANK('Project Event Tree Input'!$D$14),ISBLANK('Project Event Tree Input'!E52)),"-",IF('Project Event Tree Input'!$D$14='Project Event Tree Input'!E52,IF($V$404="","None",$V$404 &amp; 'Project Event Tree Input'!$D$14 &amp; " to " &amp; $V$405 &amp; 'Project Event Tree Input'!E52),IF('Project Event Tree Input'!$H$87=TRUE,'Project Event Tree Input'!$D$14&amp;" to "&amp;'Project Event Tree Input'!E52&amp;" (Composite)",'Project Event Tree Input'!$D$14&amp;" to "&amp;'Project Event Tree Input'!E52)))</f>
        <v>100% Reliable Stage to Gates Inoperable Stage</v>
      </c>
      <c r="AY404" s="219"/>
      <c r="AZ404" s="219"/>
      <c r="BA404" s="219"/>
      <c r="BB404" s="219"/>
      <c r="BC404" s="219"/>
      <c r="BD404" s="219"/>
      <c r="BE404" s="219"/>
      <c r="BF404" s="219"/>
      <c r="BG404" s="219"/>
      <c r="BH404" s="219"/>
    </row>
    <row r="405" spans="2:80" ht="15" customHeight="1" x14ac:dyDescent="0.2">
      <c r="B405" s="49"/>
      <c r="C405" s="49"/>
      <c r="D405" s="49"/>
      <c r="E405" s="49"/>
      <c r="F405" s="49"/>
      <c r="G405" s="49"/>
      <c r="H405" s="49"/>
      <c r="I405" s="49"/>
      <c r="J405" s="49"/>
      <c r="U405" s="51" t="s">
        <v>319</v>
      </c>
      <c r="V405" s="219" t="str">
        <f>IF(V404="None","",IF(V404="100% Reliable ","Gates Inoperable ","Debris Blockage "))</f>
        <v xml:space="preserve">Gates Inoperable </v>
      </c>
      <c r="W405" s="219"/>
      <c r="X405" s="219"/>
      <c r="Y405" s="219"/>
      <c r="Z405" s="219"/>
      <c r="AA405" s="219"/>
      <c r="AB405" s="219"/>
      <c r="AE405" s="51">
        <v>2</v>
      </c>
      <c r="AF405" s="219" t="str">
        <f>'Project Event Tree Input'!A53</f>
        <v>PFM 1</v>
      </c>
      <c r="AG405" s="219"/>
      <c r="AH405" s="219"/>
      <c r="AI405" s="219" t="str">
        <f>IF(OR(ISBLANK('Project Event Tree Input'!$D$48),'Project Event Tree Input'!$D$48&lt;AE405-1,ISBLANK('Project Event Tree Input'!B53)),"-",IF(OR('Project Event Tree Input'!$H$87=FALSE,'Project Event Tree Input'!H88=FALSE),AF405&amp; CHAR(10) &amp;'Project Event Tree Input'!B53,AF405&amp; CHAR(10) &amp;'Project Event Tree Input'!B53 &amp; " (Composite)"))</f>
        <v>PFM 1
Overtopping</v>
      </c>
      <c r="AJ405" s="219"/>
      <c r="AK405" s="219"/>
      <c r="AL405" s="219"/>
      <c r="AM405" s="219"/>
      <c r="AN405" s="219"/>
      <c r="AO405" s="219"/>
      <c r="AP405" s="219"/>
      <c r="AQ405" s="219"/>
      <c r="AR405" s="219"/>
      <c r="AS405" s="219"/>
      <c r="AT405" s="219"/>
      <c r="AU405" s="219"/>
      <c r="AV405" s="219"/>
      <c r="AW405" s="219"/>
      <c r="AX405" s="219" t="str">
        <f>IF('Project Event Tree Input'!$D$9="Hydrologic Hazard",IF(OR('Project Event Tree Input'!$D$13 = "",'Project Event Tree Input'!$D$14 = "",'Project Event Tree Input'!B53="",'Project Event Tree Input'!E53=""),"-",IF('Project Event Tree Input'!$D$14='Project Event Tree Input'!E53,IF($V$404="","None",$V$404 &amp; 'Project Event Tree Input'!$D$14 &amp; " to " &amp; $V$405 &amp; 'Project Event Tree Input'!$E53),$V$404 &amp; 'Project Event Tree Input'!$D$14 &amp; " to " &amp; $V$405 &amp; 'Project Event Tree Input'!E53)),IF(OR('Project Event Tree Input'!$D$13="",'Project Event Tree Input'!$D$14="",'Project Event Tree Input'!$D$19="",'Project Event Tree Input'!B53="",'Project Event Tree Input'!E53="",'Project Event Tree Input'!G53=""),"-",IF(OR('Project Event Tree Input'!$D$14&lt;&gt;'Project Event Tree Input'!E53,'Project Event Tree Input'!$D$19&lt;&gt;'Project Event Tree Input'!G53),IF(AND('Project Event Tree Input'!$D$14&lt;&gt;'Project Event Tree Input'!E53,'Project Event Tree Input'!$D$19='Project Event Tree Input'!G53),'Project Event Tree Input'!$D$14 &amp; " to " &amp; 'Project Event Tree Input'!E53,IF(AND('Project Event Tree Input'!$D$14='Project Event Tree Input'!E53,'Project Event Tree Input'!$D$19&lt;&gt;'Project Event Tree Input'!G53),'Project Event Tree Input'!$D$19 &amp; " to " &amp; 'Project Event Tree Input'!G53,'Project Event Tree Input'!$D$14 &amp; " to " &amp; 'Project Event Tree Input'!E53 &amp; CHAR(10) &amp; 'Project Event Tree Input'!$D$19 &amp; " to " &amp; 'Project Event Tree Input'!G53)),"None")))</f>
        <v>100% Reliable Stage to Gates Inoperable Overtopping Depth</v>
      </c>
      <c r="AY405" s="219"/>
      <c r="AZ405" s="219"/>
      <c r="BA405" s="219"/>
      <c r="BB405" s="219"/>
      <c r="BC405" s="219"/>
      <c r="BD405" s="219"/>
      <c r="BE405" s="219"/>
      <c r="BF405" s="219"/>
      <c r="BG405" s="219"/>
      <c r="BH405" s="219"/>
    </row>
    <row r="406" spans="2:80" ht="15" customHeight="1" x14ac:dyDescent="0.2">
      <c r="B406" s="219" t="s">
        <v>193</v>
      </c>
      <c r="C406" s="219"/>
      <c r="D406" s="219"/>
      <c r="E406" s="219"/>
      <c r="F406" s="219"/>
      <c r="G406" s="219" t="s">
        <v>243</v>
      </c>
      <c r="H406" s="219"/>
      <c r="I406" s="219"/>
      <c r="J406" s="219"/>
      <c r="K406" s="219"/>
      <c r="L406" s="219"/>
      <c r="M406" s="219"/>
      <c r="N406" s="219"/>
      <c r="O406" s="219"/>
      <c r="P406" s="219"/>
      <c r="Q406" s="219"/>
      <c r="U406" s="51">
        <v>1</v>
      </c>
      <c r="V406" s="219" t="str">
        <f>IF(ISBLANK('Project Event Tree Input'!B29),"-",'Project Event Tree Input'!B29)</f>
        <v>0 Spillway Gates Inoperable</v>
      </c>
      <c r="W406" s="219"/>
      <c r="X406" s="219"/>
      <c r="Y406" s="219"/>
      <c r="Z406" s="219"/>
      <c r="AA406" s="219"/>
      <c r="AB406" s="219"/>
      <c r="AE406" s="51">
        <v>3</v>
      </c>
      <c r="AF406" s="219" t="str">
        <f>'Project Event Tree Input'!A54</f>
        <v>PFM 2</v>
      </c>
      <c r="AG406" s="219"/>
      <c r="AH406" s="219"/>
      <c r="AI406" s="219" t="str">
        <f>IF(OR(ISBLANK('Project Event Tree Input'!$D$48),'Project Event Tree Input'!$D$48&lt;AE406-1,ISBLANK('Project Event Tree Input'!B54)),"-",IF(OR('Project Event Tree Input'!$H$87=FALSE,'Project Event Tree Input'!H89=FALSE),AF406&amp; CHAR(10) &amp;'Project Event Tree Input'!B54,AF406&amp; CHAR(10) &amp;'Project Event Tree Input'!B54 &amp; " (Composite)"))</f>
        <v>PFM 2
Backward Erosion Piping</v>
      </c>
      <c r="AJ406" s="219"/>
      <c r="AK406" s="219"/>
      <c r="AL406" s="219"/>
      <c r="AM406" s="219"/>
      <c r="AN406" s="219"/>
      <c r="AO406" s="219"/>
      <c r="AP406" s="219"/>
      <c r="AQ406" s="219"/>
      <c r="AR406" s="219"/>
      <c r="AS406" s="219"/>
      <c r="AT406" s="219"/>
      <c r="AU406" s="219"/>
      <c r="AV406" s="219"/>
      <c r="AW406" s="219"/>
      <c r="AX406" s="219" t="str">
        <f>IF('Project Event Tree Input'!$D$9="Hydrologic Hazard",IF(OR('Project Event Tree Input'!$D$13 = "",'Project Event Tree Input'!$D$14 = "",'Project Event Tree Input'!B54="",'Project Event Tree Input'!E54=""),"-",IF('Project Event Tree Input'!$D$14='Project Event Tree Input'!E54,IF($V$404="","None",$V$404 &amp; 'Project Event Tree Input'!$D$14 &amp; " to " &amp; $V$405 &amp; 'Project Event Tree Input'!$E54),$V$404 &amp; 'Project Event Tree Input'!$D$14 &amp; " to " &amp; $V$405 &amp; 'Project Event Tree Input'!E54)),IF(OR('Project Event Tree Input'!$D$13="",'Project Event Tree Input'!$D$14="",'Project Event Tree Input'!$D$19="",'Project Event Tree Input'!B54="",'Project Event Tree Input'!E54="",'Project Event Tree Input'!G54=""),"-",IF(OR('Project Event Tree Input'!$D$14&lt;&gt;'Project Event Tree Input'!E54,'Project Event Tree Input'!$D$19&lt;&gt;'Project Event Tree Input'!G54),IF(AND('Project Event Tree Input'!$D$14&lt;&gt;'Project Event Tree Input'!E54,'Project Event Tree Input'!$D$19='Project Event Tree Input'!G54),'Project Event Tree Input'!$D$14 &amp; " to " &amp; 'Project Event Tree Input'!E54,IF(AND('Project Event Tree Input'!$D$14='Project Event Tree Input'!E54,'Project Event Tree Input'!$D$19&lt;&gt;'Project Event Tree Input'!G54),'Project Event Tree Input'!$D$19 &amp; " to " &amp; 'Project Event Tree Input'!G54,'Project Event Tree Input'!$D$14 &amp; " to " &amp; 'Project Event Tree Input'!E54 &amp; CHAR(10) &amp; 'Project Event Tree Input'!$D$19 &amp; " to " &amp; 'Project Event Tree Input'!G54)),"None")))</f>
        <v>100% Reliable Stage to Gates Inoperable Stage</v>
      </c>
      <c r="AY406" s="219"/>
      <c r="AZ406" s="219"/>
      <c r="BA406" s="219"/>
      <c r="BB406" s="219"/>
      <c r="BC406" s="219"/>
      <c r="BD406" s="219"/>
      <c r="BE406" s="219"/>
      <c r="BF406" s="219"/>
      <c r="BG406" s="219"/>
      <c r="BH406" s="219"/>
    </row>
    <row r="407" spans="2:80" ht="15" customHeight="1" x14ac:dyDescent="0.2">
      <c r="B407" s="219" t="s">
        <v>194</v>
      </c>
      <c r="C407" s="219"/>
      <c r="D407" s="219"/>
      <c r="E407" s="219"/>
      <c r="F407" s="219"/>
      <c r="G407" s="219" t="s">
        <v>214</v>
      </c>
      <c r="H407" s="219"/>
      <c r="I407" s="219"/>
      <c r="J407" s="219"/>
      <c r="K407" s="219"/>
      <c r="L407" s="219"/>
      <c r="M407" s="219"/>
      <c r="N407" s="219"/>
      <c r="O407" s="219"/>
      <c r="P407" s="219"/>
      <c r="Q407" s="219"/>
      <c r="U407" s="51">
        <v>2</v>
      </c>
      <c r="V407" s="56" t="str">
        <f>IF(ISBLANK('Project Event Tree Input'!B30),"-",'Project Event Tree Input'!B30)</f>
        <v>1 Spillway Gate Inoperable</v>
      </c>
      <c r="W407" s="56"/>
      <c r="X407" s="56"/>
      <c r="Y407" s="56"/>
      <c r="Z407" s="56"/>
      <c r="AA407" s="56"/>
      <c r="AB407" s="56"/>
      <c r="AE407" s="51">
        <v>4</v>
      </c>
      <c r="AF407" s="219" t="str">
        <f>'Project Event Tree Input'!A55</f>
        <v>PFM 3</v>
      </c>
      <c r="AG407" s="219"/>
      <c r="AH407" s="219"/>
      <c r="AI407" s="219" t="str">
        <f>IF(OR(ISBLANK('Project Event Tree Input'!$D$48),'Project Event Tree Input'!$D$48&lt;AE407-1,ISBLANK('Project Event Tree Input'!B55)),"-",IF(OR('Project Event Tree Input'!$H$87=FALSE,'Project Event Tree Input'!H90=FALSE),AF407&amp; CHAR(10) &amp;'Project Event Tree Input'!B55,AF407&amp; CHAR(10) &amp;'Project Event Tree Input'!B55 &amp; " (Composite)"))</f>
        <v>-</v>
      </c>
      <c r="AJ407" s="219"/>
      <c r="AK407" s="219"/>
      <c r="AL407" s="219"/>
      <c r="AM407" s="219"/>
      <c r="AN407" s="219"/>
      <c r="AO407" s="219"/>
      <c r="AP407" s="219"/>
      <c r="AQ407" s="219"/>
      <c r="AR407" s="219"/>
      <c r="AS407" s="219"/>
      <c r="AT407" s="219"/>
      <c r="AU407" s="219"/>
      <c r="AV407" s="219"/>
      <c r="AW407" s="219"/>
      <c r="AX407" s="219" t="str">
        <f>IF('Project Event Tree Input'!$D$9="Hydrologic Hazard",IF(OR('Project Event Tree Input'!$D$13 = "",'Project Event Tree Input'!$D$14 = "",'Project Event Tree Input'!B55="",'Project Event Tree Input'!E55=""),"-",IF('Project Event Tree Input'!$D$14='Project Event Tree Input'!E55,IF($V$404="","None",$V$404 &amp; 'Project Event Tree Input'!$D$14 &amp; " to " &amp; $V$405 &amp; 'Project Event Tree Input'!$E55),$V$404 &amp; 'Project Event Tree Input'!$D$14 &amp; " to " &amp; $V$405 &amp; 'Project Event Tree Input'!E55)),IF(OR('Project Event Tree Input'!$D$13="",'Project Event Tree Input'!$D$14="",'Project Event Tree Input'!$D$19="",'Project Event Tree Input'!B55="",'Project Event Tree Input'!E55="",'Project Event Tree Input'!G55=""),"-",IF(OR('Project Event Tree Input'!$D$14&lt;&gt;'Project Event Tree Input'!E55,'Project Event Tree Input'!$D$19&lt;&gt;'Project Event Tree Input'!G55),IF(AND('Project Event Tree Input'!$D$14&lt;&gt;'Project Event Tree Input'!E55,'Project Event Tree Input'!$D$19='Project Event Tree Input'!G55),'Project Event Tree Input'!$D$14 &amp; " to " &amp; 'Project Event Tree Input'!E55,IF(AND('Project Event Tree Input'!$D$14='Project Event Tree Input'!E55,'Project Event Tree Input'!$D$19&lt;&gt;'Project Event Tree Input'!G55),'Project Event Tree Input'!$D$19 &amp; " to " &amp; 'Project Event Tree Input'!G55,'Project Event Tree Input'!$D$14 &amp; " to " &amp; 'Project Event Tree Input'!E55 &amp; CHAR(10) &amp; 'Project Event Tree Input'!$D$19 &amp; " to " &amp; 'Project Event Tree Input'!G55)),"None")))</f>
        <v>-</v>
      </c>
      <c r="AY407" s="219"/>
      <c r="AZ407" s="219"/>
      <c r="BA407" s="219"/>
      <c r="BB407" s="219"/>
      <c r="BC407" s="219"/>
      <c r="BD407" s="219"/>
      <c r="BE407" s="219"/>
      <c r="BF407" s="219"/>
      <c r="BG407" s="219"/>
      <c r="BH407" s="219"/>
    </row>
    <row r="408" spans="2:80" ht="15" customHeight="1" x14ac:dyDescent="0.2">
      <c r="U408" s="51">
        <v>3</v>
      </c>
      <c r="V408" s="56" t="str">
        <f>IF(ISBLANK('Project Event Tree Input'!B31),"-",'Project Event Tree Input'!B31)</f>
        <v>2 Spillway Gates Inoperable</v>
      </c>
      <c r="W408" s="56"/>
      <c r="X408" s="56"/>
      <c r="Y408" s="56"/>
      <c r="Z408" s="56"/>
      <c r="AA408" s="56"/>
      <c r="AB408" s="56"/>
      <c r="AE408" s="51">
        <v>5</v>
      </c>
      <c r="AF408" s="219" t="str">
        <f>'Project Event Tree Input'!A56</f>
        <v>PFM 4</v>
      </c>
      <c r="AG408" s="219"/>
      <c r="AH408" s="219"/>
      <c r="AI408" s="219" t="str">
        <f>IF(OR(ISBLANK('Project Event Tree Input'!$D$48),'Project Event Tree Input'!$D$48&lt;AE408-1,ISBLANK('Project Event Tree Input'!B56)),"-",IF(OR('Project Event Tree Input'!$H$87=FALSE,'Project Event Tree Input'!H91=FALSE),AF408&amp; CHAR(10) &amp;'Project Event Tree Input'!B56,AF408&amp; CHAR(10) &amp;'Project Event Tree Input'!B56 &amp; " (Composite)"))</f>
        <v>-</v>
      </c>
      <c r="AJ408" s="219"/>
      <c r="AK408" s="219"/>
      <c r="AL408" s="219"/>
      <c r="AM408" s="219"/>
      <c r="AN408" s="219"/>
      <c r="AO408" s="219"/>
      <c r="AP408" s="219"/>
      <c r="AQ408" s="219"/>
      <c r="AR408" s="219"/>
      <c r="AS408" s="219"/>
      <c r="AT408" s="219"/>
      <c r="AU408" s="219"/>
      <c r="AV408" s="219"/>
      <c r="AW408" s="219"/>
      <c r="AX408" s="219" t="str">
        <f>IF('Project Event Tree Input'!$D$9="Hydrologic Hazard",IF(OR('Project Event Tree Input'!$D$13 = "",'Project Event Tree Input'!$D$14 = "",'Project Event Tree Input'!B56="",'Project Event Tree Input'!E56=""),"-",IF('Project Event Tree Input'!$D$14='Project Event Tree Input'!E56,IF($V$404="","None",$V$404 &amp; 'Project Event Tree Input'!$D$14 &amp; " to " &amp; $V$405 &amp; 'Project Event Tree Input'!$E56),$V$404 &amp; 'Project Event Tree Input'!$D$14 &amp; " to " &amp; $V$405 &amp; 'Project Event Tree Input'!E56)),IF(OR('Project Event Tree Input'!$D$13="",'Project Event Tree Input'!$D$14="",'Project Event Tree Input'!$D$19="",'Project Event Tree Input'!B56="",'Project Event Tree Input'!E56="",'Project Event Tree Input'!G56=""),"-",IF(OR('Project Event Tree Input'!$D$14&lt;&gt;'Project Event Tree Input'!E56,'Project Event Tree Input'!$D$19&lt;&gt;'Project Event Tree Input'!G56),IF(AND('Project Event Tree Input'!$D$14&lt;&gt;'Project Event Tree Input'!E56,'Project Event Tree Input'!$D$19='Project Event Tree Input'!G56),'Project Event Tree Input'!$D$14 &amp; " to " &amp; 'Project Event Tree Input'!E56,IF(AND('Project Event Tree Input'!$D$14='Project Event Tree Input'!E56,'Project Event Tree Input'!$D$19&lt;&gt;'Project Event Tree Input'!G56),'Project Event Tree Input'!$D$19 &amp; " to " &amp; 'Project Event Tree Input'!G56,'Project Event Tree Input'!$D$14 &amp; " to " &amp; 'Project Event Tree Input'!E56 &amp; CHAR(10) &amp; 'Project Event Tree Input'!$D$19 &amp; " to " &amp; 'Project Event Tree Input'!G56)),"None")))</f>
        <v>-</v>
      </c>
      <c r="AY408" s="219"/>
      <c r="AZ408" s="219"/>
      <c r="BA408" s="219"/>
      <c r="BB408" s="219"/>
      <c r="BC408" s="219"/>
      <c r="BD408" s="219"/>
      <c r="BE408" s="219"/>
      <c r="BF408" s="219"/>
      <c r="BG408" s="219"/>
      <c r="BH408" s="219"/>
    </row>
    <row r="409" spans="2:80" ht="15" customHeight="1" x14ac:dyDescent="0.2">
      <c r="B409" s="219" t="s">
        <v>193</v>
      </c>
      <c r="C409" s="219"/>
      <c r="D409" s="219"/>
      <c r="E409" s="219"/>
      <c r="F409" s="219"/>
      <c r="G409" s="219" t="s">
        <v>215</v>
      </c>
      <c r="H409" s="219"/>
      <c r="I409" s="219"/>
      <c r="J409" s="219"/>
      <c r="K409" s="219"/>
      <c r="L409" s="219"/>
      <c r="M409" s="219"/>
      <c r="N409" s="219"/>
      <c r="O409" s="219"/>
      <c r="P409" s="219"/>
      <c r="Q409" s="219"/>
      <c r="U409" s="51">
        <v>4</v>
      </c>
      <c r="V409" s="56" t="str">
        <f>IF(ISBLANK('Project Event Tree Input'!B32),"-",'Project Event Tree Input'!B32)</f>
        <v>-</v>
      </c>
      <c r="W409" s="56"/>
      <c r="X409" s="56"/>
      <c r="Y409" s="56"/>
      <c r="Z409" s="56"/>
      <c r="AA409" s="56"/>
      <c r="AB409" s="56"/>
      <c r="AE409" s="51">
        <v>6</v>
      </c>
      <c r="AF409" s="219" t="str">
        <f>'Project Event Tree Input'!A57</f>
        <v>PFM 5</v>
      </c>
      <c r="AG409" s="219"/>
      <c r="AH409" s="219"/>
      <c r="AI409" s="219" t="str">
        <f>IF(OR(ISBLANK('Project Event Tree Input'!$D$48),'Project Event Tree Input'!$D$48&lt;AE409-1,ISBLANK('Project Event Tree Input'!B57)),"-",IF(OR('Project Event Tree Input'!$H$87=FALSE,'Project Event Tree Input'!H92=FALSE),AF409&amp; CHAR(10) &amp;'Project Event Tree Input'!B57,AF409&amp; CHAR(10) &amp;'Project Event Tree Input'!B57 &amp; " (Composite)"))</f>
        <v>-</v>
      </c>
      <c r="AJ409" s="219"/>
      <c r="AK409" s="219"/>
      <c r="AL409" s="219"/>
      <c r="AM409" s="219"/>
      <c r="AN409" s="219"/>
      <c r="AO409" s="219"/>
      <c r="AP409" s="219"/>
      <c r="AQ409" s="219"/>
      <c r="AR409" s="219"/>
      <c r="AS409" s="219"/>
      <c r="AT409" s="219"/>
      <c r="AU409" s="219"/>
      <c r="AV409" s="219"/>
      <c r="AW409" s="219"/>
      <c r="AX409" s="219" t="str">
        <f>IF('Project Event Tree Input'!$D$9="Hydrologic Hazard",IF(OR('Project Event Tree Input'!$D$13 = "",'Project Event Tree Input'!$D$14 = "",'Project Event Tree Input'!B57="",'Project Event Tree Input'!E57=""),"-",IF('Project Event Tree Input'!$D$14='Project Event Tree Input'!E57,IF($V$404="","None",$V$404 &amp; 'Project Event Tree Input'!$D$14 &amp; " to " &amp; $V$405 &amp; 'Project Event Tree Input'!$E57),$V$404 &amp; 'Project Event Tree Input'!$D$14 &amp; " to " &amp; $V$405 &amp; 'Project Event Tree Input'!E57)),IF(OR('Project Event Tree Input'!$D$13="",'Project Event Tree Input'!$D$14="",'Project Event Tree Input'!$D$19="",'Project Event Tree Input'!B57="",'Project Event Tree Input'!E57="",'Project Event Tree Input'!G57=""),"-",IF(OR('Project Event Tree Input'!$D$14&lt;&gt;'Project Event Tree Input'!E57,'Project Event Tree Input'!$D$19&lt;&gt;'Project Event Tree Input'!G57),IF(AND('Project Event Tree Input'!$D$14&lt;&gt;'Project Event Tree Input'!E57,'Project Event Tree Input'!$D$19='Project Event Tree Input'!G57),'Project Event Tree Input'!$D$14 &amp; " to " &amp; 'Project Event Tree Input'!E57,IF(AND('Project Event Tree Input'!$D$14='Project Event Tree Input'!E57,'Project Event Tree Input'!$D$19&lt;&gt;'Project Event Tree Input'!G57),'Project Event Tree Input'!$D$19 &amp; " to " &amp; 'Project Event Tree Input'!G57,'Project Event Tree Input'!$D$14 &amp; " to " &amp; 'Project Event Tree Input'!E57 &amp; CHAR(10) &amp; 'Project Event Tree Input'!$D$19 &amp; " to " &amp; 'Project Event Tree Input'!G57)),"None")))</f>
        <v>-</v>
      </c>
      <c r="AY409" s="219"/>
      <c r="AZ409" s="219"/>
      <c r="BA409" s="219"/>
      <c r="BB409" s="219"/>
      <c r="BC409" s="219"/>
      <c r="BD409" s="219"/>
      <c r="BE409" s="219"/>
      <c r="BF409" s="219"/>
      <c r="BG409" s="219"/>
      <c r="BH409" s="219"/>
    </row>
    <row r="410" spans="2:80" ht="15" customHeight="1" x14ac:dyDescent="0.2">
      <c r="B410" s="219" t="s">
        <v>194</v>
      </c>
      <c r="C410" s="219"/>
      <c r="D410" s="219"/>
      <c r="E410" s="219"/>
      <c r="F410" s="219"/>
      <c r="G410" s="219" t="s">
        <v>215</v>
      </c>
      <c r="H410" s="219"/>
      <c r="I410" s="219"/>
      <c r="J410" s="219"/>
      <c r="K410" s="219"/>
      <c r="L410" s="219"/>
      <c r="M410" s="219"/>
      <c r="N410" s="219"/>
      <c r="O410" s="219"/>
      <c r="P410" s="219"/>
      <c r="Q410" s="219"/>
      <c r="U410" s="51">
        <v>5</v>
      </c>
      <c r="V410" s="56" t="str">
        <f>IF(ISBLANK('Project Event Tree Input'!B33),"-",'Project Event Tree Input'!B33)</f>
        <v>-</v>
      </c>
      <c r="W410" s="56"/>
      <c r="X410" s="56"/>
      <c r="Y410" s="56"/>
      <c r="Z410" s="56"/>
      <c r="AA410" s="56"/>
      <c r="AB410" s="56"/>
      <c r="AE410" s="51">
        <v>7</v>
      </c>
      <c r="AF410" s="219" t="str">
        <f>'Project Event Tree Input'!A58</f>
        <v>PFM 6</v>
      </c>
      <c r="AG410" s="219"/>
      <c r="AH410" s="219"/>
      <c r="AI410" s="219" t="str">
        <f>IF(OR(ISBLANK('Project Event Tree Input'!$D$48),'Project Event Tree Input'!$D$48&lt;AE410-1,ISBLANK('Project Event Tree Input'!B58)),"-",IF(OR('Project Event Tree Input'!$H$87=FALSE,'Project Event Tree Input'!H93=FALSE),AF410&amp; CHAR(10) &amp;'Project Event Tree Input'!B58,AF410&amp; CHAR(10) &amp;'Project Event Tree Input'!B58 &amp; " (Composite)"))</f>
        <v>-</v>
      </c>
      <c r="AJ410" s="219"/>
      <c r="AK410" s="219"/>
      <c r="AL410" s="219"/>
      <c r="AM410" s="219"/>
      <c r="AN410" s="219"/>
      <c r="AO410" s="219"/>
      <c r="AP410" s="219"/>
      <c r="AQ410" s="219"/>
      <c r="AR410" s="219"/>
      <c r="AS410" s="219"/>
      <c r="AT410" s="219"/>
      <c r="AU410" s="219"/>
      <c r="AV410" s="219"/>
      <c r="AW410" s="219"/>
      <c r="AX410" s="219" t="str">
        <f>IF('Project Event Tree Input'!$D$9="Hydrologic Hazard",IF(OR('Project Event Tree Input'!$D$13 = "",'Project Event Tree Input'!$D$14 = "",'Project Event Tree Input'!B58="",'Project Event Tree Input'!E58=""),"-",IF('Project Event Tree Input'!$D$14='Project Event Tree Input'!E58,IF($V$404="","None",$V$404 &amp; 'Project Event Tree Input'!$D$14 &amp; " to " &amp; $V$405 &amp; 'Project Event Tree Input'!$E58),$V$404 &amp; 'Project Event Tree Input'!$D$14 &amp; " to " &amp; $V$405 &amp; 'Project Event Tree Input'!E58)),IF(OR('Project Event Tree Input'!$D$13="",'Project Event Tree Input'!$D$14="",'Project Event Tree Input'!$D$19="",'Project Event Tree Input'!B58="",'Project Event Tree Input'!E58="",'Project Event Tree Input'!G58=""),"-",IF(OR('Project Event Tree Input'!$D$14&lt;&gt;'Project Event Tree Input'!E58,'Project Event Tree Input'!$D$19&lt;&gt;'Project Event Tree Input'!G58),IF(AND('Project Event Tree Input'!$D$14&lt;&gt;'Project Event Tree Input'!E58,'Project Event Tree Input'!$D$19='Project Event Tree Input'!G58),'Project Event Tree Input'!$D$14 &amp; " to " &amp; 'Project Event Tree Input'!E58,IF(AND('Project Event Tree Input'!$D$14='Project Event Tree Input'!E58,'Project Event Tree Input'!$D$19&lt;&gt;'Project Event Tree Input'!G58),'Project Event Tree Input'!$D$19 &amp; " to " &amp; 'Project Event Tree Input'!G58,'Project Event Tree Input'!$D$14 &amp; " to " &amp; 'Project Event Tree Input'!E58 &amp; CHAR(10) &amp; 'Project Event Tree Input'!$D$19 &amp; " to " &amp; 'Project Event Tree Input'!G58)),"None")))</f>
        <v>-</v>
      </c>
      <c r="AY410" s="219"/>
      <c r="AZ410" s="219"/>
      <c r="BA410" s="219"/>
      <c r="BB410" s="219"/>
      <c r="BC410" s="219"/>
      <c r="BD410" s="219"/>
      <c r="BE410" s="219"/>
      <c r="BF410" s="219"/>
      <c r="BG410" s="219"/>
      <c r="BH410" s="219"/>
    </row>
    <row r="411" spans="2:80" ht="15" customHeight="1" x14ac:dyDescent="0.2">
      <c r="AE411" s="51">
        <v>8</v>
      </c>
      <c r="AF411" s="219" t="str">
        <f>'Project Event Tree Input'!A59</f>
        <v>PFM 7</v>
      </c>
      <c r="AG411" s="219"/>
      <c r="AH411" s="219"/>
      <c r="AI411" s="219" t="str">
        <f>IF(OR(ISBLANK('Project Event Tree Input'!$D$48),'Project Event Tree Input'!$D$48&lt;AE411-1,ISBLANK('Project Event Tree Input'!B59)),"-",IF(OR('Project Event Tree Input'!$H$87=FALSE,'Project Event Tree Input'!H94=FALSE),AF411&amp; CHAR(10) &amp;'Project Event Tree Input'!B59,AF411&amp; CHAR(10) &amp;'Project Event Tree Input'!B59 &amp; " (Composite)"))</f>
        <v>-</v>
      </c>
      <c r="AJ411" s="219"/>
      <c r="AK411" s="219"/>
      <c r="AL411" s="219"/>
      <c r="AM411" s="219"/>
      <c r="AN411" s="219"/>
      <c r="AO411" s="219"/>
      <c r="AP411" s="219"/>
      <c r="AQ411" s="219"/>
      <c r="AR411" s="219"/>
      <c r="AS411" s="219"/>
      <c r="AT411" s="219"/>
      <c r="AU411" s="219"/>
      <c r="AV411" s="219"/>
      <c r="AW411" s="219"/>
      <c r="AX411" s="219" t="str">
        <f>IF('Project Event Tree Input'!$D$9="Hydrologic Hazard",IF(OR('Project Event Tree Input'!$D$13 = "",'Project Event Tree Input'!$D$14 = "",'Project Event Tree Input'!B59="",'Project Event Tree Input'!E59=""),"-",IF('Project Event Tree Input'!$D$14='Project Event Tree Input'!E59,IF($V$404="","None",$V$404 &amp; 'Project Event Tree Input'!$D$14 &amp; " to " &amp; $V$405 &amp; 'Project Event Tree Input'!$E59),$V$404 &amp; 'Project Event Tree Input'!$D$14 &amp; " to " &amp; $V$405 &amp; 'Project Event Tree Input'!E59)),IF(OR('Project Event Tree Input'!$D$13="",'Project Event Tree Input'!$D$14="",'Project Event Tree Input'!$D$19="",'Project Event Tree Input'!B59="",'Project Event Tree Input'!E59="",'Project Event Tree Input'!G59=""),"-",IF(OR('Project Event Tree Input'!$D$14&lt;&gt;'Project Event Tree Input'!E59,'Project Event Tree Input'!$D$19&lt;&gt;'Project Event Tree Input'!G59),IF(AND('Project Event Tree Input'!$D$14&lt;&gt;'Project Event Tree Input'!E59,'Project Event Tree Input'!$D$19='Project Event Tree Input'!G59),'Project Event Tree Input'!$D$14 &amp; " to " &amp; 'Project Event Tree Input'!E59,IF(AND('Project Event Tree Input'!$D$14='Project Event Tree Input'!E59,'Project Event Tree Input'!$D$19&lt;&gt;'Project Event Tree Input'!G59),'Project Event Tree Input'!$D$19 &amp; " to " &amp; 'Project Event Tree Input'!G59,'Project Event Tree Input'!$D$14 &amp; " to " &amp; 'Project Event Tree Input'!E59 &amp; CHAR(10) &amp; 'Project Event Tree Input'!$D$19 &amp; " to " &amp; 'Project Event Tree Input'!G59)),"None")))</f>
        <v>-</v>
      </c>
      <c r="AY411" s="219"/>
      <c r="AZ411" s="219"/>
      <c r="BA411" s="219"/>
      <c r="BB411" s="219"/>
      <c r="BC411" s="219"/>
      <c r="BD411" s="219"/>
      <c r="BE411" s="219"/>
      <c r="BF411" s="219"/>
      <c r="BG411" s="219"/>
      <c r="BH411" s="219"/>
    </row>
    <row r="412" spans="2:80" ht="15" customHeight="1" x14ac:dyDescent="0.2">
      <c r="AE412" s="51">
        <v>9</v>
      </c>
      <c r="AF412" s="219" t="str">
        <f>'Project Event Tree Input'!A60</f>
        <v>PFM 8</v>
      </c>
      <c r="AG412" s="219"/>
      <c r="AH412" s="219"/>
      <c r="AI412" s="219" t="str">
        <f>IF(OR(ISBLANK('Project Event Tree Input'!$D$48),'Project Event Tree Input'!$D$48&lt;AE412-1,ISBLANK('Project Event Tree Input'!B60)),"-",IF(OR('Project Event Tree Input'!$H$87=FALSE,'Project Event Tree Input'!H95=FALSE),AF412&amp; CHAR(10) &amp;'Project Event Tree Input'!B60,AF412&amp; CHAR(10) &amp;'Project Event Tree Input'!B60 &amp; " (Composite)"))</f>
        <v>-</v>
      </c>
      <c r="AJ412" s="219"/>
      <c r="AK412" s="219"/>
      <c r="AL412" s="219"/>
      <c r="AM412" s="219"/>
      <c r="AN412" s="219"/>
      <c r="AO412" s="219"/>
      <c r="AP412" s="219"/>
      <c r="AQ412" s="219"/>
      <c r="AR412" s="219"/>
      <c r="AS412" s="219"/>
      <c r="AT412" s="219"/>
      <c r="AU412" s="219"/>
      <c r="AV412" s="219"/>
      <c r="AW412" s="219"/>
      <c r="AX412" s="219" t="str">
        <f>IF('Project Event Tree Input'!$D$9="Hydrologic Hazard",IF(OR('Project Event Tree Input'!$D$13 = "",'Project Event Tree Input'!$D$14 = "",'Project Event Tree Input'!B60="",'Project Event Tree Input'!E60=""),"-",IF('Project Event Tree Input'!$D$14='Project Event Tree Input'!E60,IF($V$404="","None",$V$404 &amp; 'Project Event Tree Input'!$D$14 &amp; " to " &amp; $V$405 &amp; 'Project Event Tree Input'!$E60),$V$404 &amp; 'Project Event Tree Input'!$D$14 &amp; " to " &amp; $V$405 &amp; 'Project Event Tree Input'!E60)),IF(OR('Project Event Tree Input'!$D$13="",'Project Event Tree Input'!$D$14="",'Project Event Tree Input'!$D$19="",'Project Event Tree Input'!B60="",'Project Event Tree Input'!E60="",'Project Event Tree Input'!G60=""),"-",IF(OR('Project Event Tree Input'!$D$14&lt;&gt;'Project Event Tree Input'!E60,'Project Event Tree Input'!$D$19&lt;&gt;'Project Event Tree Input'!G60),IF(AND('Project Event Tree Input'!$D$14&lt;&gt;'Project Event Tree Input'!E60,'Project Event Tree Input'!$D$19='Project Event Tree Input'!G60),'Project Event Tree Input'!$D$14 &amp; " to " &amp; 'Project Event Tree Input'!E60,IF(AND('Project Event Tree Input'!$D$14='Project Event Tree Input'!E60,'Project Event Tree Input'!$D$19&lt;&gt;'Project Event Tree Input'!G60),'Project Event Tree Input'!$D$19 &amp; " to " &amp; 'Project Event Tree Input'!G60,'Project Event Tree Input'!$D$14 &amp; " to " &amp; 'Project Event Tree Input'!E60 &amp; CHAR(10) &amp; 'Project Event Tree Input'!$D$19 &amp; " to " &amp; 'Project Event Tree Input'!G60)),"None")))</f>
        <v>-</v>
      </c>
      <c r="AY412" s="219"/>
      <c r="AZ412" s="219"/>
      <c r="BA412" s="219"/>
      <c r="BB412" s="219"/>
      <c r="BC412" s="219"/>
      <c r="BD412" s="219"/>
      <c r="BE412" s="219"/>
      <c r="BF412" s="219"/>
      <c r="BG412" s="219"/>
      <c r="BH412" s="219"/>
    </row>
    <row r="413" spans="2:80" ht="15" customHeight="1" x14ac:dyDescent="0.2">
      <c r="AE413" s="51">
        <v>10</v>
      </c>
      <c r="AF413" s="219" t="str">
        <f>'Project Event Tree Input'!A61</f>
        <v>PFM 9</v>
      </c>
      <c r="AG413" s="219"/>
      <c r="AH413" s="219"/>
      <c r="AI413" s="219" t="str">
        <f>IF(OR(ISBLANK('Project Event Tree Input'!$D$48),'Project Event Tree Input'!$D$48&lt;AE413-1,ISBLANK('Project Event Tree Input'!B61)),"-",IF(OR('Project Event Tree Input'!$H$87=FALSE,'Project Event Tree Input'!H96=FALSE),AF413&amp; CHAR(10) &amp;'Project Event Tree Input'!B61,AF413&amp; CHAR(10) &amp;'Project Event Tree Input'!B61 &amp; " (Composite)"))</f>
        <v>-</v>
      </c>
      <c r="AJ413" s="219"/>
      <c r="AK413" s="219"/>
      <c r="AL413" s="219"/>
      <c r="AM413" s="219"/>
      <c r="AN413" s="219"/>
      <c r="AO413" s="219"/>
      <c r="AP413" s="219"/>
      <c r="AQ413" s="219"/>
      <c r="AR413" s="219"/>
      <c r="AS413" s="219"/>
      <c r="AT413" s="219"/>
      <c r="AU413" s="219"/>
      <c r="AV413" s="219"/>
      <c r="AW413" s="219"/>
      <c r="AX413" s="219" t="str">
        <f>IF('Project Event Tree Input'!$D$9="Hydrologic Hazard",IF(OR('Project Event Tree Input'!$D$13 = "",'Project Event Tree Input'!$D$14 = "",'Project Event Tree Input'!B61="",'Project Event Tree Input'!E61=""),"-",IF('Project Event Tree Input'!$D$14='Project Event Tree Input'!E61,IF($V$404="","None",$V$404 &amp; 'Project Event Tree Input'!$D$14 &amp; " to " &amp; $V$405 &amp; 'Project Event Tree Input'!$E61),$V$404 &amp; 'Project Event Tree Input'!$D$14 &amp; " to " &amp; $V$405 &amp; 'Project Event Tree Input'!E61)),IF(OR('Project Event Tree Input'!$D$13="",'Project Event Tree Input'!$D$14="",'Project Event Tree Input'!$D$19="",'Project Event Tree Input'!B61="",'Project Event Tree Input'!E61="",'Project Event Tree Input'!G61=""),"-",IF(OR('Project Event Tree Input'!$D$14&lt;&gt;'Project Event Tree Input'!E61,'Project Event Tree Input'!$D$19&lt;&gt;'Project Event Tree Input'!G61),IF(AND('Project Event Tree Input'!$D$14&lt;&gt;'Project Event Tree Input'!E61,'Project Event Tree Input'!$D$19='Project Event Tree Input'!G61),'Project Event Tree Input'!$D$14 &amp; " to " &amp; 'Project Event Tree Input'!E61,IF(AND('Project Event Tree Input'!$D$14='Project Event Tree Input'!E61,'Project Event Tree Input'!$D$19&lt;&gt;'Project Event Tree Input'!G61),'Project Event Tree Input'!$D$19 &amp; " to " &amp; 'Project Event Tree Input'!G61,'Project Event Tree Input'!$D$14 &amp; " to " &amp; 'Project Event Tree Input'!E61 &amp; CHAR(10) &amp; 'Project Event Tree Input'!$D$19 &amp; " to " &amp; 'Project Event Tree Input'!G61)),"None")))</f>
        <v>-</v>
      </c>
      <c r="AY413" s="219"/>
      <c r="AZ413" s="219"/>
      <c r="BA413" s="219"/>
      <c r="BB413" s="219"/>
      <c r="BC413" s="219"/>
      <c r="BD413" s="219"/>
      <c r="BE413" s="219"/>
      <c r="BF413" s="219"/>
      <c r="BG413" s="219"/>
      <c r="BH413" s="219"/>
    </row>
    <row r="414" spans="2:80" ht="15" customHeight="1" x14ac:dyDescent="0.2">
      <c r="AE414" s="51">
        <v>11</v>
      </c>
      <c r="AF414" s="219" t="str">
        <f>'Project Event Tree Input'!A62</f>
        <v>PFM 10</v>
      </c>
      <c r="AG414" s="219"/>
      <c r="AH414" s="219"/>
      <c r="AI414" s="219" t="str">
        <f>IF(OR(ISBLANK('Project Event Tree Input'!$D$48),'Project Event Tree Input'!$D$48&lt;AE414-1,ISBLANK('Project Event Tree Input'!B62)),"-",IF(OR('Project Event Tree Input'!$H$87=FALSE,'Project Event Tree Input'!H97=FALSE),AF414&amp; CHAR(10) &amp;'Project Event Tree Input'!B62,AF414&amp; CHAR(10) &amp;'Project Event Tree Input'!B62 &amp; " (Composite)"))</f>
        <v>-</v>
      </c>
      <c r="AJ414" s="219"/>
      <c r="AK414" s="219"/>
      <c r="AL414" s="219"/>
      <c r="AM414" s="219"/>
      <c r="AN414" s="219"/>
      <c r="AO414" s="219"/>
      <c r="AP414" s="219"/>
      <c r="AQ414" s="219"/>
      <c r="AR414" s="219"/>
      <c r="AS414" s="219"/>
      <c r="AT414" s="219"/>
      <c r="AU414" s="219"/>
      <c r="AV414" s="219"/>
      <c r="AW414" s="219"/>
      <c r="AX414" s="219" t="str">
        <f>IF('Project Event Tree Input'!$D$9="Hydrologic Hazard",IF(OR('Project Event Tree Input'!$D$13 = "",'Project Event Tree Input'!$D$14 = "",'Project Event Tree Input'!B62="",'Project Event Tree Input'!E62=""),"-",IF('Project Event Tree Input'!$D$14='Project Event Tree Input'!E62,IF($V$404="","None",$V$404 &amp; 'Project Event Tree Input'!$D$14 &amp; " to " &amp; $V$405 &amp; 'Project Event Tree Input'!$E62),$V$404 &amp; 'Project Event Tree Input'!$D$14 &amp; " to " &amp; $V$405 &amp; 'Project Event Tree Input'!E62)),IF(OR('Project Event Tree Input'!$D$13="",'Project Event Tree Input'!$D$14="",'Project Event Tree Input'!$D$19="",'Project Event Tree Input'!B62="",'Project Event Tree Input'!E62="",'Project Event Tree Input'!G62=""),"-",IF(OR('Project Event Tree Input'!$D$14&lt;&gt;'Project Event Tree Input'!E62,'Project Event Tree Input'!$D$19&lt;&gt;'Project Event Tree Input'!G62),IF(AND('Project Event Tree Input'!$D$14&lt;&gt;'Project Event Tree Input'!E62,'Project Event Tree Input'!$D$19='Project Event Tree Input'!G62),'Project Event Tree Input'!$D$14 &amp; " to " &amp; 'Project Event Tree Input'!E62,IF(AND('Project Event Tree Input'!$D$14='Project Event Tree Input'!E62,'Project Event Tree Input'!$D$19&lt;&gt;'Project Event Tree Input'!G62),'Project Event Tree Input'!$D$19 &amp; " to " &amp; 'Project Event Tree Input'!G62,'Project Event Tree Input'!$D$14 &amp; " to " &amp; 'Project Event Tree Input'!E62 &amp; CHAR(10) &amp; 'Project Event Tree Input'!$D$19 &amp; " to " &amp; 'Project Event Tree Input'!G62)),"None")))</f>
        <v>-</v>
      </c>
      <c r="AY414" s="219"/>
      <c r="AZ414" s="219"/>
      <c r="BA414" s="219"/>
      <c r="BB414" s="219"/>
      <c r="BC414" s="219"/>
      <c r="BD414" s="219"/>
      <c r="BE414" s="219"/>
      <c r="BF414" s="219"/>
      <c r="BG414" s="219"/>
      <c r="BH414" s="219"/>
    </row>
    <row r="415" spans="2:80" ht="15" customHeight="1" x14ac:dyDescent="0.2"/>
    <row r="416" spans="2:80" ht="15" customHeight="1" x14ac:dyDescent="0.2">
      <c r="B416" s="221" t="s">
        <v>195</v>
      </c>
      <c r="C416" s="222"/>
      <c r="D416" s="222"/>
      <c r="E416" s="222"/>
      <c r="F416" s="222"/>
      <c r="G416" s="222"/>
      <c r="H416" s="222"/>
      <c r="I416" s="222"/>
      <c r="J416" s="222"/>
      <c r="K416" s="222"/>
      <c r="L416" s="223"/>
      <c r="M416" s="218" t="s">
        <v>148</v>
      </c>
      <c r="N416" s="218"/>
      <c r="O416" s="218"/>
      <c r="P416" s="218"/>
      <c r="Q416" s="218"/>
      <c r="R416" s="218"/>
      <c r="S416" s="218"/>
      <c r="T416" s="218"/>
      <c r="U416" s="218"/>
      <c r="V416" s="218"/>
      <c r="W416" s="218"/>
      <c r="X416" s="218"/>
      <c r="Y416" s="218"/>
      <c r="Z416" s="218"/>
      <c r="AA416" s="218"/>
      <c r="AB416" s="218"/>
      <c r="AC416" s="218"/>
      <c r="AD416" s="218"/>
      <c r="AE416" s="218"/>
      <c r="AF416" s="218"/>
      <c r="AG416" s="218"/>
      <c r="AH416" s="218"/>
      <c r="AI416" s="218"/>
      <c r="AJ416" s="218"/>
      <c r="AK416" s="218"/>
      <c r="AL416" s="218"/>
      <c r="AM416" s="218"/>
      <c r="AN416" s="218"/>
      <c r="AO416" s="218"/>
      <c r="AP416" s="218"/>
      <c r="AQ416" s="218"/>
      <c r="AR416" s="218"/>
      <c r="AS416" s="218"/>
      <c r="AT416" s="218"/>
      <c r="AU416" s="218"/>
      <c r="AV416" s="218"/>
      <c r="AW416" s="218"/>
      <c r="AX416" s="218"/>
      <c r="AY416" s="218"/>
      <c r="AZ416" s="218"/>
      <c r="BA416" s="218"/>
      <c r="BB416" s="218"/>
      <c r="BC416" s="218"/>
      <c r="BD416" s="218"/>
      <c r="BE416" s="218"/>
      <c r="BF416" s="218"/>
      <c r="BG416" s="218"/>
      <c r="BH416" s="218"/>
      <c r="BI416" s="218"/>
      <c r="BJ416" s="218"/>
      <c r="BK416" s="218"/>
      <c r="BL416" s="218"/>
      <c r="BM416" s="218"/>
      <c r="BN416" s="218"/>
      <c r="BO416" s="218"/>
      <c r="BP416" s="58"/>
      <c r="BQ416" s="58"/>
      <c r="BR416" s="58"/>
      <c r="BS416" s="58"/>
      <c r="BT416" s="58"/>
    </row>
    <row r="417" spans="2:80" ht="15" customHeight="1" x14ac:dyDescent="0.2">
      <c r="B417" s="214" t="s">
        <v>98</v>
      </c>
      <c r="C417" s="214"/>
      <c r="D417" s="214"/>
      <c r="E417" s="218" t="s">
        <v>147</v>
      </c>
      <c r="F417" s="218"/>
      <c r="G417" s="218"/>
      <c r="H417" s="218"/>
      <c r="I417" s="218"/>
      <c r="J417" s="218"/>
      <c r="K417" s="218"/>
      <c r="L417" s="218"/>
      <c r="M417" s="52">
        <v>1</v>
      </c>
      <c r="N417" s="52">
        <v>2</v>
      </c>
      <c r="O417" s="52">
        <v>3</v>
      </c>
      <c r="P417" s="52">
        <v>4</v>
      </c>
      <c r="Q417" s="52">
        <v>5</v>
      </c>
      <c r="R417" s="52">
        <v>6</v>
      </c>
      <c r="S417" s="52">
        <v>7</v>
      </c>
      <c r="T417" s="52">
        <v>8</v>
      </c>
      <c r="U417" s="52">
        <v>9</v>
      </c>
      <c r="V417" s="52">
        <v>10</v>
      </c>
      <c r="W417" s="52">
        <v>11</v>
      </c>
      <c r="X417" s="52">
        <v>12</v>
      </c>
      <c r="Y417" s="52">
        <v>13</v>
      </c>
      <c r="Z417" s="52">
        <v>14</v>
      </c>
      <c r="AA417" s="52">
        <v>15</v>
      </c>
      <c r="AB417" s="52">
        <v>16</v>
      </c>
      <c r="AC417" s="52">
        <v>17</v>
      </c>
      <c r="AD417" s="52">
        <v>18</v>
      </c>
      <c r="AE417" s="52">
        <v>19</v>
      </c>
      <c r="AF417" s="52">
        <v>20</v>
      </c>
      <c r="AG417" s="52">
        <v>21</v>
      </c>
      <c r="AH417" s="52">
        <v>22</v>
      </c>
      <c r="AI417" s="52">
        <v>23</v>
      </c>
      <c r="AJ417" s="52">
        <v>24</v>
      </c>
      <c r="AK417" s="52">
        <v>25</v>
      </c>
      <c r="AL417" s="52">
        <v>26</v>
      </c>
      <c r="AM417" s="52">
        <v>27</v>
      </c>
      <c r="AN417" s="52">
        <v>28</v>
      </c>
      <c r="AO417" s="52">
        <v>29</v>
      </c>
      <c r="AP417" s="52">
        <v>30</v>
      </c>
      <c r="AQ417" s="52">
        <v>31</v>
      </c>
      <c r="AR417" s="52">
        <v>32</v>
      </c>
      <c r="AS417" s="52">
        <v>33</v>
      </c>
      <c r="AT417" s="52">
        <v>34</v>
      </c>
      <c r="AU417" s="52">
        <v>35</v>
      </c>
      <c r="AV417" s="52">
        <v>36</v>
      </c>
      <c r="AW417" s="52">
        <v>37</v>
      </c>
      <c r="AX417" s="52">
        <v>38</v>
      </c>
      <c r="AY417" s="52">
        <v>39</v>
      </c>
      <c r="AZ417" s="52">
        <v>40</v>
      </c>
      <c r="BA417" s="52">
        <v>41</v>
      </c>
      <c r="BB417" s="52">
        <v>42</v>
      </c>
      <c r="BC417" s="52">
        <v>43</v>
      </c>
      <c r="BD417" s="52">
        <v>44</v>
      </c>
      <c r="BE417" s="52">
        <v>45</v>
      </c>
      <c r="BF417" s="52">
        <v>46</v>
      </c>
      <c r="BG417" s="52">
        <v>47</v>
      </c>
      <c r="BH417" s="52">
        <v>48</v>
      </c>
      <c r="BI417" s="52">
        <v>49</v>
      </c>
      <c r="BJ417" s="52">
        <v>50</v>
      </c>
      <c r="BK417" s="52">
        <v>51</v>
      </c>
      <c r="BL417" s="52">
        <v>52</v>
      </c>
      <c r="BM417" s="52">
        <v>53</v>
      </c>
      <c r="BN417" s="52">
        <v>54</v>
      </c>
      <c r="BO417" s="52">
        <v>55</v>
      </c>
      <c r="BP417" s="53"/>
      <c r="BQ417" s="53"/>
      <c r="BR417" s="53"/>
      <c r="BS417" s="53"/>
      <c r="BT417" s="53"/>
    </row>
    <row r="418" spans="2:80" ht="15" customHeight="1" x14ac:dyDescent="0.2">
      <c r="B418" s="214">
        <v>1</v>
      </c>
      <c r="C418" s="214"/>
      <c r="D418" s="214"/>
      <c r="E418" s="218" t="str">
        <f>$E$325</f>
        <v>Hazard</v>
      </c>
      <c r="F418" s="218"/>
      <c r="G418" s="218"/>
      <c r="H418" s="218"/>
      <c r="I418" s="218"/>
      <c r="J418" s="218"/>
      <c r="K418" s="218"/>
      <c r="L418" s="218"/>
      <c r="M418" s="55" t="str">
        <f>IF(OR($E$418="-",$J$403="-"),"-",$J$403)</f>
        <v>Stage-Frequency</v>
      </c>
      <c r="N418" s="55" t="s">
        <v>123</v>
      </c>
      <c r="O418" s="55" t="s">
        <v>123</v>
      </c>
      <c r="P418" s="55" t="s">
        <v>123</v>
      </c>
      <c r="Q418" s="55" t="s">
        <v>123</v>
      </c>
      <c r="R418" s="55" t="s">
        <v>123</v>
      </c>
      <c r="S418" s="55" t="s">
        <v>123</v>
      </c>
      <c r="T418" s="55" t="s">
        <v>123</v>
      </c>
      <c r="U418" s="56" t="s">
        <v>123</v>
      </c>
      <c r="V418" s="56" t="s">
        <v>123</v>
      </c>
      <c r="W418" s="56" t="s">
        <v>123</v>
      </c>
      <c r="X418" s="56" t="s">
        <v>123</v>
      </c>
      <c r="Y418" s="56" t="s">
        <v>123</v>
      </c>
      <c r="Z418" s="56" t="s">
        <v>123</v>
      </c>
      <c r="AA418" s="56" t="s">
        <v>123</v>
      </c>
      <c r="AB418" s="56" t="s">
        <v>123</v>
      </c>
      <c r="AC418" s="56" t="s">
        <v>123</v>
      </c>
      <c r="AD418" s="56" t="s">
        <v>123</v>
      </c>
      <c r="AE418" s="56" t="s">
        <v>123</v>
      </c>
      <c r="AF418" s="56" t="s">
        <v>123</v>
      </c>
      <c r="AG418" s="56" t="s">
        <v>123</v>
      </c>
      <c r="AH418" s="56" t="s">
        <v>123</v>
      </c>
      <c r="AI418" s="56" t="s">
        <v>123</v>
      </c>
      <c r="AJ418" s="56" t="s">
        <v>123</v>
      </c>
      <c r="AK418" s="56" t="s">
        <v>123</v>
      </c>
      <c r="AL418" s="56" t="s">
        <v>123</v>
      </c>
      <c r="AM418" s="56" t="s">
        <v>123</v>
      </c>
      <c r="AN418" s="56" t="s">
        <v>123</v>
      </c>
      <c r="AO418" s="56" t="s">
        <v>123</v>
      </c>
      <c r="AP418" s="56" t="s">
        <v>123</v>
      </c>
      <c r="AQ418" s="56" t="s">
        <v>123</v>
      </c>
      <c r="AR418" s="56" t="s">
        <v>123</v>
      </c>
      <c r="AS418" s="56" t="s">
        <v>123</v>
      </c>
      <c r="AT418" s="56" t="s">
        <v>123</v>
      </c>
      <c r="AU418" s="56" t="s">
        <v>123</v>
      </c>
      <c r="AV418" s="56" t="s">
        <v>123</v>
      </c>
      <c r="AW418" s="56" t="s">
        <v>123</v>
      </c>
      <c r="AX418" s="56" t="s">
        <v>123</v>
      </c>
      <c r="AY418" s="56" t="s">
        <v>123</v>
      </c>
      <c r="AZ418" s="56" t="s">
        <v>123</v>
      </c>
      <c r="BA418" s="56" t="s">
        <v>123</v>
      </c>
      <c r="BB418" s="56" t="s">
        <v>123</v>
      </c>
      <c r="BC418" s="56" t="s">
        <v>123</v>
      </c>
      <c r="BD418" s="56" t="s">
        <v>123</v>
      </c>
      <c r="BE418" s="56" t="s">
        <v>123</v>
      </c>
      <c r="BF418" s="56" t="s">
        <v>123</v>
      </c>
      <c r="BG418" s="56" t="s">
        <v>123</v>
      </c>
      <c r="BH418" s="56" t="s">
        <v>123</v>
      </c>
      <c r="BI418" s="56" t="s">
        <v>123</v>
      </c>
      <c r="BJ418" s="56" t="s">
        <v>123</v>
      </c>
      <c r="BK418" s="56" t="s">
        <v>123</v>
      </c>
      <c r="BL418" s="56" t="s">
        <v>123</v>
      </c>
      <c r="BM418" s="56" t="s">
        <v>123</v>
      </c>
      <c r="BN418" s="56" t="s">
        <v>123</v>
      </c>
      <c r="BO418" s="56" t="s">
        <v>123</v>
      </c>
      <c r="BP418" s="68"/>
      <c r="BQ418" s="68"/>
      <c r="BR418" s="68"/>
      <c r="BS418" s="68"/>
      <c r="BT418" s="68"/>
    </row>
    <row r="419" spans="2:80" ht="15" customHeight="1" x14ac:dyDescent="0.2">
      <c r="B419" s="214">
        <v>2</v>
      </c>
      <c r="C419" s="214"/>
      <c r="D419" s="214"/>
      <c r="E419" s="218" t="str">
        <f>$E$326</f>
        <v>Operational Performance</v>
      </c>
      <c r="F419" s="218"/>
      <c r="G419" s="218"/>
      <c r="H419" s="218"/>
      <c r="I419" s="218"/>
      <c r="J419" s="218"/>
      <c r="K419" s="218"/>
      <c r="L419" s="218"/>
      <c r="M419" s="57" t="str" cm="1">
        <f t="array" ref="M419">IF($E$419="-","-",IF($E$419="Secondary Hazard",IF($J$404="-","-",$J$404),IF(U397="-","-",IF($E$419="Operational Performance",INDEX($U$406:$AB$410,U397,2),IF($E$419="Transform",INDEX($AE$404:$BH$414,U397,20),"-")))))</f>
        <v>0 Spillway Gates Inoperable</v>
      </c>
      <c r="N419" s="57" t="str" cm="1">
        <f t="array" ref="N419">IF($E$419="-","-",IF($E$419="Secondary Hazard","-",IF(V397="-","-",IF($E$419="Operational Performance",INDEX($U$406:$AB$410,V397,2),IF($E$419="Transform",INDEX($AE$404:$BH$414,V397,20),"-")))))</f>
        <v>-</v>
      </c>
      <c r="O419" s="57" t="str" cm="1">
        <f t="array" ref="O419">IF($E$419="-","-",IF($E$419="Secondary Hazard","-",IF(W397="-","-",IF($E$419="Operational Performance",INDEX($U$406:$AB$410,W397,2),IF($E$419="Transform",INDEX($AE$404:$BH$414,W397,20),"-")))))</f>
        <v>-</v>
      </c>
      <c r="P419" s="57" t="str" cm="1">
        <f t="array" ref="P419">IF($E$419="-","-",IF($E$419="Secondary Hazard","-",IF(X397="-","-",IF($E$419="Operational Performance",INDEX($U$406:$AB$410,X397,2),IF($E$419="Transform",INDEX($AE$404:$BH$414,X397,20),"-")))))</f>
        <v>1 Spillway Gate Inoperable</v>
      </c>
      <c r="Q419" s="57" t="str" cm="1">
        <f t="array" ref="Q419">IF($E$419="-","-",IF($E$419="Secondary Hazard","-",IF(Y397="-","-",IF($E$419="Operational Performance",INDEX($U$406:$AB$410,Y397,2),IF($E$419="Transform",INDEX($AE$404:$BH$414,Y397,20),"-")))))</f>
        <v>-</v>
      </c>
      <c r="R419" s="57" t="str" cm="1">
        <f t="array" ref="R419">IF($E$419="-","-",IF($E$419="Secondary Hazard","-",IF(Z397="-","-",IF($E$419="Operational Performance",INDEX($U$406:$AB$410,Z397,2),IF($E$419="Transform",INDEX($AE$404:$BH$414,Z397,20),"-")))))</f>
        <v>-</v>
      </c>
      <c r="S419" s="57" t="str" cm="1">
        <f t="array" ref="S419">IF($E$419="-","-",IF($E$419="Secondary Hazard","-",IF(AA397="-","-",IF($E$419="Operational Performance",INDEX($U$406:$AB$410,AA397,2),IF($E$419="Transform",INDEX($AE$404:$BH$414,AA397,20),"-")))))</f>
        <v>2 Spillway Gates Inoperable</v>
      </c>
      <c r="T419" s="57" t="str" cm="1">
        <f t="array" ref="T419">IF($E$419="-","-",IF($E$419="Secondary Hazard","-",IF(AB397="-","-",IF($E$419="Operational Performance",INDEX($U$406:$AB$410,AB397,2),IF($E$419="Transform",INDEX($AE$404:$BH$414,AB397,20),"-")))))</f>
        <v>-</v>
      </c>
      <c r="U419" s="57" t="str" cm="1">
        <f t="array" ref="U419">IF($E$419="-","-",IF($E$419="Secondary Hazard","-",IF(AC397="-","-",IF($E$419="Operational Performance",INDEX($U$406:$AB$410,AC397,2),IF($E$419="Transform",INDEX($AE$404:$BH$414,AC397,20),"-")))))</f>
        <v>-</v>
      </c>
      <c r="V419" s="57" t="str" cm="1">
        <f t="array" ref="V419">IF($E$419="-","-",IF($E$419="Secondary Hazard","-",IF(AD397="-","-",IF($E$419="Operational Performance",INDEX($U$406:$AB$410,AD397,2),IF($E$419="Transform",INDEX($AE$404:$BH$414,AD397,20),"-")))))</f>
        <v>-</v>
      </c>
      <c r="W419" s="57" t="str" cm="1">
        <f t="array" ref="W419">IF($E$419="-","-",IF($E$419="Secondary Hazard","-",IF(AE397="-","-",IF($E$419="Operational Performance",INDEX($U$406:$AB$410,AE397,2),IF($E$419="Transform",INDEX($AE$404:$BH$414,AE397,20),"-")))))</f>
        <v>-</v>
      </c>
      <c r="X419" s="57" t="str" cm="1">
        <f t="array" ref="X419">IF($E$419="-","-",IF($E$419="Secondary Hazard","-",IF(AF397="-","-",IF($E$419="Operational Performance",INDEX($U$406:$AB$410,AF397,2),IF($E$419="Transform",INDEX($AE$404:$BH$414,AF397,20),"-")))))</f>
        <v>-</v>
      </c>
      <c r="Y419" s="57" t="str" cm="1">
        <f t="array" ref="Y419">IF($E$419="-","-",IF($E$419="Secondary Hazard","-",IF(AG397="-","-",IF($E$419="Operational Performance",INDEX($U$406:$AB$410,AG397,2),IF($E$419="Transform",INDEX($AE$404:$BH$414,AG397,20),"-")))))</f>
        <v>-</v>
      </c>
      <c r="Z419" s="57" t="str" cm="1">
        <f t="array" ref="Z419">IF($E$419="-","-",IF($E$419="Secondary Hazard","-",IF(AH397="-","-",IF($E$419="Operational Performance",INDEX($U$406:$AB$410,AH397,2),IF($E$419="Transform",INDEX($AE$404:$BH$414,AH397,20),"-")))))</f>
        <v>-</v>
      </c>
      <c r="AA419" s="57" t="str" cm="1">
        <f t="array" ref="AA419">IF($E$419="-","-",IF($E$419="Secondary Hazard","-",IF(AI397="-","-",IF($E$419="Operational Performance",INDEX($U$406:$AB$410,AI397,2),IF($E$419="Transform",INDEX($AE$404:$BH$414,AI397,20),"-")))))</f>
        <v>-</v>
      </c>
      <c r="AB419" s="57" t="str" cm="1">
        <f t="array" ref="AB419">IF($E$419="-","-",IF($E$419="Secondary Hazard","-",IF(AJ397="-","-",IF($E$419="Operational Performance",INDEX($U$406:$AB$410,AJ397,2),IF($E$419="Transform",INDEX($AE$404:$BH$414,AJ397,20),"-")))))</f>
        <v>-</v>
      </c>
      <c r="AC419" s="57" t="str" cm="1">
        <f t="array" ref="AC419">IF($E$419="-","-",IF($E$419="Secondary Hazard","-",IF(AK397="-","-",IF($E$419="Operational Performance",INDEX($U$406:$AB$410,AK397,2),IF($E$419="Transform",INDEX($AE$404:$BH$414,AK397,20),"-")))))</f>
        <v>-</v>
      </c>
      <c r="AD419" s="57" t="str" cm="1">
        <f t="array" ref="AD419">IF($E$419="-","-",IF($E$419="Secondary Hazard","-",IF(AL397="-","-",IF($E$419="Operational Performance",INDEX($U$406:$AB$410,AL397,2),IF($E$419="Transform",INDEX($AE$404:$BH$414,AL397,20),"-")))))</f>
        <v>-</v>
      </c>
      <c r="AE419" s="57" t="str" cm="1">
        <f t="array" ref="AE419">IF($E$419="-","-",IF($E$419="Secondary Hazard","-",IF(AM397="-","-",IF($E$419="Operational Performance",INDEX($U$406:$AB$410,AM397,2),IF($E$419="Transform",INDEX($AE$404:$BH$414,AM397,20),"-")))))</f>
        <v>-</v>
      </c>
      <c r="AF419" s="57" t="str" cm="1">
        <f t="array" ref="AF419">IF($E$419="-","-",IF($E$419="Secondary Hazard","-",IF(AN397="-","-",IF($E$419="Operational Performance",INDEX($U$406:$AB$410,AN397,2),IF($E$419="Transform",INDEX($AE$404:$BH$414,AN397,20),"-")))))</f>
        <v>-</v>
      </c>
      <c r="AG419" s="57" t="str" cm="1">
        <f t="array" ref="AG419">IF($E$419="-","-",IF($E$419="Secondary Hazard","-",IF(AO397="-","-",IF($E$419="Operational Performance",INDEX($U$406:$AB$410,AO397,2),IF($E$419="Transform",INDEX($AE$404:$BH$414,AO397,20),"-")))))</f>
        <v>-</v>
      </c>
      <c r="AH419" s="57" t="str" cm="1">
        <f t="array" ref="AH419">IF($E$419="-","-",IF($E$419="Secondary Hazard","-",IF(AP397="-","-",IF($E$419="Operational Performance",INDEX($U$406:$AB$410,AP397,2),IF($E$419="Transform",INDEX($AE$404:$BH$414,AP397,20),"-")))))</f>
        <v>-</v>
      </c>
      <c r="AI419" s="57" t="str" cm="1">
        <f t="array" ref="AI419">IF($E$419="-","-",IF($E$419="Secondary Hazard","-",IF(AQ397="-","-",IF($E$419="Operational Performance",INDEX($U$406:$AB$410,AQ397,2),IF($E$419="Transform",INDEX($AE$404:$BH$414,AQ397,20),"-")))))</f>
        <v>-</v>
      </c>
      <c r="AJ419" s="57" t="str" cm="1">
        <f t="array" ref="AJ419">IF($E$419="-","-",IF($E$419="Secondary Hazard","-",IF(AR397="-","-",IF($E$419="Operational Performance",INDEX($U$406:$AB$410,AR397,2),IF($E$419="Transform",INDEX($AE$404:$BH$414,AR397,20),"-")))))</f>
        <v>-</v>
      </c>
      <c r="AK419" s="57" t="str" cm="1">
        <f t="array" ref="AK419">IF($E$419="-","-",IF($E$419="Secondary Hazard","-",IF(AS397="-","-",IF($E$419="Operational Performance",INDEX($U$406:$AB$410,AS397,2),IF($E$419="Transform",INDEX($AE$404:$BH$414,AS397,20),"-")))))</f>
        <v>-</v>
      </c>
      <c r="AL419" s="57" t="str" cm="1">
        <f t="array" ref="AL419">IF($E$419="-","-",IF($E$419="Secondary Hazard","-",IF(AT397="-","-",IF($E$419="Operational Performance",INDEX($U$406:$AB$410,AT397,2),IF($E$419="Transform",INDEX($AE$404:$BH$414,AT397,20),"-")))))</f>
        <v>-</v>
      </c>
      <c r="AM419" s="57" t="str" cm="1">
        <f t="array" ref="AM419">IF($E$419="-","-",IF($E$419="Secondary Hazard","-",IF(AU397="-","-",IF($E$419="Operational Performance",INDEX($U$406:$AB$410,AU397,2),IF($E$419="Transform",INDEX($AE$404:$BH$414,AU397,20),"-")))))</f>
        <v>-</v>
      </c>
      <c r="AN419" s="57" t="str" cm="1">
        <f t="array" ref="AN419">IF($E$419="-","-",IF($E$419="Secondary Hazard","-",IF(AV397="-","-",IF($E$419="Operational Performance",INDEX($U$406:$AB$410,AV397,2),IF($E$419="Transform",INDEX($AE$404:$BH$414,AV397,20),"-")))))</f>
        <v>-</v>
      </c>
      <c r="AO419" s="57" t="str" cm="1">
        <f t="array" ref="AO419">IF($E$419="-","-",IF($E$419="Secondary Hazard","-",IF(AW397="-","-",IF($E$419="Operational Performance",INDEX($U$406:$AB$410,AW397,2),IF($E$419="Transform",INDEX($AE$404:$BH$414,AW397,20),"-")))))</f>
        <v>-</v>
      </c>
      <c r="AP419" s="57" t="str" cm="1">
        <f t="array" ref="AP419">IF($E$419="-","-",IF($E$419="Secondary Hazard","-",IF(AX397="-","-",IF($E$419="Operational Performance",INDEX($U$406:$AB$410,AX397,2),IF($E$419="Transform",INDEX($AE$404:$BH$414,AX397,20),"-")))))</f>
        <v>-</v>
      </c>
      <c r="AQ419" s="57" t="str" cm="1">
        <f t="array" ref="AQ419">IF($E$419="-","-",IF($E$419="Secondary Hazard","-",IF(AY397="-","-",IF($E$419="Operational Performance",INDEX($U$406:$AB$410,AY397,2),IF($E$419="Transform",INDEX($AE$404:$BH$414,AY397,20),"-")))))</f>
        <v>-</v>
      </c>
      <c r="AR419" s="57" t="str" cm="1">
        <f t="array" ref="AR419">IF($E$419="-","-",IF($E$419="Secondary Hazard","-",IF(AZ397="-","-",IF($E$419="Operational Performance",INDEX($U$406:$AB$410,AZ397,2),IF($E$419="Transform",INDEX($AE$404:$BH$414,AZ397,20),"-")))))</f>
        <v>-</v>
      </c>
      <c r="AS419" s="57" t="str" cm="1">
        <f t="array" ref="AS419">IF($E$419="-","-",IF($E$419="Secondary Hazard","-",IF(BA397="-","-",IF($E$419="Operational Performance",INDEX($U$406:$AB$410,BA397,2),IF($E$419="Transform",INDEX($AE$404:$BH$414,BA397,20),"-")))))</f>
        <v>-</v>
      </c>
      <c r="AT419" s="57" t="str" cm="1">
        <f t="array" ref="AT419">IF($E$419="-","-",IF($E$419="Secondary Hazard","-",IF(BB397="-","-",IF($E$419="Operational Performance",INDEX($U$406:$AB$410,BB397,2),IF($E$419="Transform",INDEX($AE$404:$BH$414,BB397,20),"-")))))</f>
        <v>-</v>
      </c>
      <c r="AU419" s="57" t="str" cm="1">
        <f t="array" ref="AU419">IF($E$419="-","-",IF($E$419="Secondary Hazard","-",IF(BC397="-","-",IF($E$419="Operational Performance",INDEX($U$406:$AB$410,BC397,2),IF($E$419="Transform",INDEX($AE$404:$BH$414,BC397,20),"-")))))</f>
        <v>-</v>
      </c>
      <c r="AV419" s="57" t="str" cm="1">
        <f t="array" ref="AV419">IF($E$419="-","-",IF($E$419="Secondary Hazard","-",IF(BD397="-","-",IF($E$419="Operational Performance",INDEX($U$406:$AB$410,BD397,2),IF($E$419="Transform",INDEX($AE$404:$BH$414,BD397,20),"-")))))</f>
        <v>-</v>
      </c>
      <c r="AW419" s="57" t="str" cm="1">
        <f t="array" ref="AW419">IF($E$419="-","-",IF($E$419="Secondary Hazard","-",IF(BE397="-","-",IF($E$419="Operational Performance",INDEX($U$406:$AB$410,BE397,2),IF($E$419="Transform",INDEX($AE$404:$BH$414,BE397,20),"-")))))</f>
        <v>-</v>
      </c>
      <c r="AX419" s="57" t="str" cm="1">
        <f t="array" ref="AX419">IF($E$419="-","-",IF($E$419="Secondary Hazard","-",IF(BF397="-","-",IF($E$419="Operational Performance",INDEX($U$406:$AB$410,BF397,2),IF($E$419="Transform",INDEX($AE$404:$BH$414,BF397,20),"-")))))</f>
        <v>-</v>
      </c>
      <c r="AY419" s="57" t="str" cm="1">
        <f t="array" ref="AY419">IF($E$419="-","-",IF($E$419="Secondary Hazard","-",IF(BG397="-","-",IF($E$419="Operational Performance",INDEX($U$406:$AB$410,BG397,2),IF($E$419="Transform",INDEX($AE$404:$BH$414,BG397,20),"-")))))</f>
        <v>-</v>
      </c>
      <c r="AZ419" s="57" t="str" cm="1">
        <f t="array" ref="AZ419">IF($E$419="-","-",IF($E$419="Secondary Hazard","-",IF(BH397="-","-",IF($E$419="Operational Performance",INDEX($U$406:$AB$410,BH397,2),IF($E$419="Transform",INDEX($AE$404:$BH$414,BH397,20),"-")))))</f>
        <v>-</v>
      </c>
      <c r="BA419" s="57" t="str" cm="1">
        <f t="array" ref="BA419">IF($E$419="-","-",IF($E$419="Secondary Hazard","-",IF(BI397="-","-",IF($E$419="Operational Performance",INDEX($U$406:$AB$410,BI397,2),IF($E$419="Transform",INDEX($AE$404:$BH$414,BI397,20),"-")))))</f>
        <v>-</v>
      </c>
      <c r="BB419" s="57" t="str" cm="1">
        <f t="array" ref="BB419">IF($E$419="-","-",IF($E$419="Secondary Hazard","-",IF(BJ397="-","-",IF($E$419="Operational Performance",INDEX($U$406:$AB$410,BJ397,2),IF($E$419="Transform",INDEX($AE$404:$BH$414,BJ397,20),"-")))))</f>
        <v>-</v>
      </c>
      <c r="BC419" s="57" t="str" cm="1">
        <f t="array" ref="BC419">IF($E$419="-","-",IF($E$419="Secondary Hazard","-",IF(BK397="-","-",IF($E$419="Operational Performance",INDEX($U$406:$AB$410,BK397,2),IF($E$419="Transform",INDEX($AE$404:$BH$414,BK397,20),"-")))))</f>
        <v>-</v>
      </c>
      <c r="BD419" s="57" t="str" cm="1">
        <f t="array" ref="BD419">IF($E$419="-","-",IF($E$419="Secondary Hazard","-",IF(BL397="-","-",IF($E$419="Operational Performance",INDEX($U$406:$AB$410,BL397,2),IF($E$419="Transform",INDEX($AE$404:$BH$414,BL397,20),"-")))))</f>
        <v>-</v>
      </c>
      <c r="BE419" s="57" t="str" cm="1">
        <f t="array" ref="BE419">IF($E$419="-","-",IF($E$419="Secondary Hazard","-",IF(BM397="-","-",IF($E$419="Operational Performance",INDEX($U$406:$AB$410,BM397,2),IF($E$419="Transform",INDEX($AE$404:$BH$414,BM397,20),"-")))))</f>
        <v>-</v>
      </c>
      <c r="BF419" s="57" t="str" cm="1">
        <f t="array" ref="BF419">IF($E$419="-","-",IF($E$419="Secondary Hazard","-",IF(BN397="-","-",IF($E$419="Operational Performance",INDEX($U$406:$AB$410,BN397,2),IF($E$419="Transform",INDEX($AE$404:$BH$414,BN397,20),"-")))))</f>
        <v>-</v>
      </c>
      <c r="BG419" s="57" t="str" cm="1">
        <f t="array" ref="BG419">IF($E$419="-","-",IF($E$419="Secondary Hazard","-",IF(BO397="-","-",IF($E$419="Operational Performance",INDEX($U$406:$AB$410,BO397,2),IF($E$419="Transform",INDEX($AE$404:$BH$414,BO397,20),"-")))))</f>
        <v>-</v>
      </c>
      <c r="BH419" s="57" t="str" cm="1">
        <f t="array" ref="BH419">IF($E$419="-","-",IF($E$419="Secondary Hazard","-",IF(BP397="-","-",IF($E$419="Operational Performance",INDEX($U$406:$AB$410,BP397,2),IF($E$419="Transform",INDEX($AE$404:$BH$414,BP397,20),"-")))))</f>
        <v>-</v>
      </c>
      <c r="BI419" s="57" t="str" cm="1">
        <f t="array" ref="BI419">IF($E$419="-","-",IF($E$419="Secondary Hazard","-",IF(BQ397="-","-",IF($E$419="Operational Performance",INDEX($U$406:$AB$410,BQ397,2),IF($E$419="Transform",INDEX($AE$404:$BH$414,BQ397,20),"-")))))</f>
        <v>-</v>
      </c>
      <c r="BJ419" s="57" t="str" cm="1">
        <f t="array" ref="BJ419">IF($E$419="-","-",IF($E$419="Secondary Hazard","-",IF(BR397="-","-",IF($E$419="Operational Performance",INDEX($U$406:$AB$410,BR397,2),IF($E$419="Transform",INDEX($AE$404:$BH$414,BR397,20),"-")))))</f>
        <v>-</v>
      </c>
      <c r="BK419" s="57" t="str" cm="1">
        <f t="array" ref="BK419">IF($E$419="-","-",IF($E$419="Secondary Hazard","-",IF(BS397="-","-",IF($E$419="Operational Performance",INDEX($U$406:$AB$410,BS397,2),IF($E$419="Transform",INDEX($AE$404:$BH$414,BS397,20),"-")))))</f>
        <v>-</v>
      </c>
      <c r="BL419" s="57" t="str" cm="1">
        <f t="array" ref="BL419">IF($E$419="-","-",IF($E$419="Secondary Hazard","-",IF(BT397="-","-",IF($E$419="Operational Performance",INDEX($U$406:$AB$410,BT397,2),IF($E$419="Transform",INDEX($AE$404:$BH$414,BT397,20),"-")))))</f>
        <v>-</v>
      </c>
      <c r="BM419" s="57" t="str" cm="1">
        <f t="array" ref="BM419">IF($E$419="-","-",IF($E$419="Secondary Hazard","-",IF(BU397="-","-",IF($E$419="Operational Performance",INDEX($U$406:$AB$410,BU397,2),IF($E$419="Transform",INDEX($AE$404:$BH$414,BU397,20),"-")))))</f>
        <v>-</v>
      </c>
      <c r="BN419" s="57" t="str" cm="1">
        <f t="array" ref="BN419">IF($E$419="-","-",IF($E$419="Secondary Hazard","-",IF(BV397="-","-",IF($E$419="Operational Performance",INDEX($U$406:$AB$410,BV397,2),IF($E$419="Transform",INDEX($AE$404:$BH$414,BV397,20),"-")))))</f>
        <v>-</v>
      </c>
      <c r="BO419" s="57" t="str" cm="1">
        <f t="array" ref="BO419">IF($E$419="-","-",IF($E$419="Secondary Hazard","-",IF(BW397="-","-",IF($E$419="Operational Performance",INDEX($U$406:$AB$410,BW397,2),IF($E$419="Transform",INDEX($AE$404:$BH$414,BW397,20),"-")))))</f>
        <v>-</v>
      </c>
      <c r="BP419" s="58"/>
      <c r="BQ419" s="58"/>
      <c r="BR419" s="58"/>
      <c r="BS419" s="58"/>
      <c r="BT419" s="58"/>
    </row>
    <row r="420" spans="2:80" ht="15" customHeight="1" x14ac:dyDescent="0.2">
      <c r="B420" s="214">
        <v>3</v>
      </c>
      <c r="C420" s="214"/>
      <c r="D420" s="214"/>
      <c r="E420" s="218" t="str">
        <f>$E$327</f>
        <v>Transform</v>
      </c>
      <c r="F420" s="218"/>
      <c r="G420" s="218"/>
      <c r="H420" s="218"/>
      <c r="I420" s="218"/>
      <c r="J420" s="218"/>
      <c r="K420" s="218"/>
      <c r="L420" s="218"/>
      <c r="M420" s="57" t="str" cm="1">
        <f t="array" ref="M420">IF(OR($E$420="-",U398="-"),"-",IF($E$420="Transform",INDEX($AE$404:$BH$414,U398,20),IF($E$420="System Response",INDEX($AE$404:$BH$414,U398,5),"-")))</f>
        <v>100% Reliable Stage to Gates Inoperable Stage</v>
      </c>
      <c r="N420" s="57" t="str" cm="1">
        <f t="array" ref="N420">IF(OR($E$420="-",V398="-"),"-",IF($E$420="Transform",INDEX($AE$404:$BH$414,V398,20),IF($E$420="System Response",INDEX($AE$404:$BH$414,V398,5),"-")))</f>
        <v>100% Reliable Stage to Gates Inoperable Overtopping Depth</v>
      </c>
      <c r="O420" s="57" t="str" cm="1">
        <f t="array" ref="O420">IF(OR($E$420="-",W398="-"),"-",IF($E$420="Transform",INDEX($AE$404:$BH$414,W398,20),IF($E$420="System Response",INDEX($AE$404:$BH$414,W398,5),"-")))</f>
        <v>100% Reliable Stage to Gates Inoperable Stage</v>
      </c>
      <c r="P420" s="57" t="str" cm="1">
        <f t="array" ref="P420">IF(OR($E$420="-",X398="-"),"-",IF($E$420="Transform",INDEX($AE$404:$BH$414,X398,20),IF($E$420="System Response",INDEX($AE$404:$BH$414,X398,5),"-")))</f>
        <v>-</v>
      </c>
      <c r="Q420" s="57" t="str" cm="1">
        <f t="array" ref="Q420">IF(OR($E$420="-",Y398="-"),"-",IF($E$420="Transform",INDEX($AE$404:$BH$414,Y398,20),IF($E$420="System Response",INDEX($AE$404:$BH$414,Y398,5),"-")))</f>
        <v>-</v>
      </c>
      <c r="R420" s="57" t="str" cm="1">
        <f t="array" ref="R420">IF(OR($E$420="-",Z398="-"),"-",IF($E$420="Transform",INDEX($AE$404:$BH$414,Z398,20),IF($E$420="System Response",INDEX($AE$404:$BH$414,Z398,5),"-")))</f>
        <v>-</v>
      </c>
      <c r="S420" s="57" t="str" cm="1">
        <f t="array" ref="S420">IF(OR($E$420="-",AA398="-"),"-",IF($E$420="Transform",INDEX($AE$404:$BH$414,AA398,20),IF($E$420="System Response",INDEX($AE$404:$BH$414,AA398,5),"-")))</f>
        <v>-</v>
      </c>
      <c r="T420" s="57" t="str" cm="1">
        <f t="array" ref="T420">IF(OR($E$420="-",AB398="-"),"-",IF($E$420="Transform",INDEX($AE$404:$BH$414,AB398,20),IF($E$420="System Response",INDEX($AE$404:$BH$414,AB398,5),"-")))</f>
        <v>-</v>
      </c>
      <c r="U420" s="57" t="str" cm="1">
        <f t="array" ref="U420">IF(OR($E$420="-",AC398="-"),"-",IF($E$420="Transform",INDEX($AE$404:$BH$414,AC398,20),IF($E$420="System Response",INDEX($AE$404:$BH$414,AC398,5),"-")))</f>
        <v>-</v>
      </c>
      <c r="V420" s="57" t="str" cm="1">
        <f t="array" ref="V420">IF(OR($E$420="-",AD398="-"),"-",IF($E$420="Transform",INDEX($AE$404:$BH$414,AD398,20),IF($E$420="System Response",INDEX($AE$404:$BH$414,AD398,5),"-")))</f>
        <v>-</v>
      </c>
      <c r="W420" s="57" t="str" cm="1">
        <f t="array" ref="W420">IF(OR($E$420="-",AE398="-"),"-",IF($E$420="Transform",INDEX($AE$404:$BH$414,AE398,20),IF($E$420="System Response",INDEX($AE$404:$BH$414,AE398,5),"-")))</f>
        <v>-</v>
      </c>
      <c r="X420" s="57" t="str" cm="1">
        <f t="array" ref="X420">IF(OR($E$420="-",AF398="-"),"-",IF($E$420="Transform",INDEX($AE$404:$BH$414,AF398,20),IF($E$420="System Response",INDEX($AE$404:$BH$414,AF398,5),"-")))</f>
        <v>-</v>
      </c>
      <c r="Y420" s="57" t="str" cm="1">
        <f t="array" ref="Y420">IF(OR($E$420="-",AG398="-"),"-",IF($E$420="Transform",INDEX($AE$404:$BH$414,AG398,20),IF($E$420="System Response",INDEX($AE$404:$BH$414,AG398,5),"-")))</f>
        <v>-</v>
      </c>
      <c r="Z420" s="57" t="str" cm="1">
        <f t="array" ref="Z420">IF(OR($E$420="-",AH398="-"),"-",IF($E$420="Transform",INDEX($AE$404:$BH$414,AH398,20),IF($E$420="System Response",INDEX($AE$404:$BH$414,AH398,5),"-")))</f>
        <v>-</v>
      </c>
      <c r="AA420" s="57" t="str" cm="1">
        <f t="array" ref="AA420">IF(OR($E$420="-",AI398="-"),"-",IF($E$420="Transform",INDEX($AE$404:$BH$414,AI398,20),IF($E$420="System Response",INDEX($AE$404:$BH$414,AI398,5),"-")))</f>
        <v>-</v>
      </c>
      <c r="AB420" s="57" t="str" cm="1">
        <f t="array" ref="AB420">IF(OR($E$420="-",AJ398="-"),"-",IF($E$420="Transform",INDEX($AE$404:$BH$414,AJ398,20),IF($E$420="System Response",INDEX($AE$404:$BH$414,AJ398,5),"-")))</f>
        <v>-</v>
      </c>
      <c r="AC420" s="57" t="str" cm="1">
        <f t="array" ref="AC420">IF(OR($E$420="-",AK398="-"),"-",IF($E$420="Transform",INDEX($AE$404:$BH$414,AK398,20),IF($E$420="System Response",INDEX($AE$404:$BH$414,AK398,5),"-")))</f>
        <v>-</v>
      </c>
      <c r="AD420" s="57" t="str" cm="1">
        <f t="array" ref="AD420">IF(OR($E$420="-",AL398="-"),"-",IF($E$420="Transform",INDEX($AE$404:$BH$414,AL398,20),IF($E$420="System Response",INDEX($AE$404:$BH$414,AL398,5),"-")))</f>
        <v>-</v>
      </c>
      <c r="AE420" s="57" t="str" cm="1">
        <f t="array" ref="AE420">IF(OR($E$420="-",AM398="-"),"-",IF($E$420="Transform",INDEX($AE$404:$BH$414,AM398,20),IF($E$420="System Response",INDEX($AE$404:$BH$414,AM398,5),"-")))</f>
        <v>-</v>
      </c>
      <c r="AF420" s="57" t="str" cm="1">
        <f t="array" ref="AF420">IF(OR($E$420="-",AN398="-"),"-",IF($E$420="Transform",INDEX($AE$404:$BH$414,AN398,20),IF($E$420="System Response",INDEX($AE$404:$BH$414,AN398,5),"-")))</f>
        <v>-</v>
      </c>
      <c r="AG420" s="57" t="str" cm="1">
        <f t="array" ref="AG420">IF(OR($E$420="-",AO398="-"),"-",IF($E$420="Transform",INDEX($AE$404:$BH$414,AO398,20),IF($E$420="System Response",INDEX($AE$404:$BH$414,AO398,5),"-")))</f>
        <v>-</v>
      </c>
      <c r="AH420" s="57" t="str" cm="1">
        <f t="array" ref="AH420">IF(OR($E$420="-",AP398="-"),"-",IF($E$420="Transform",INDEX($AE$404:$BH$414,AP398,20),IF($E$420="System Response",INDEX($AE$404:$BH$414,AP398,5),"-")))</f>
        <v>-</v>
      </c>
      <c r="AI420" s="57" t="str" cm="1">
        <f t="array" ref="AI420">IF(OR($E$420="-",AQ398="-"),"-",IF($E$420="Transform",INDEX($AE$404:$BH$414,AQ398,20),IF($E$420="System Response",INDEX($AE$404:$BH$414,AQ398,5),"-")))</f>
        <v>-</v>
      </c>
      <c r="AJ420" s="57" t="str" cm="1">
        <f t="array" ref="AJ420">IF(OR($E$420="-",AR398="-"),"-",IF($E$420="Transform",INDEX($AE$404:$BH$414,AR398,20),IF($E$420="System Response",INDEX($AE$404:$BH$414,AR398,5),"-")))</f>
        <v>-</v>
      </c>
      <c r="AK420" s="57" t="str" cm="1">
        <f t="array" ref="AK420">IF(OR($E$420="-",AS398="-"),"-",IF($E$420="Transform",INDEX($AE$404:$BH$414,AS398,20),IF($E$420="System Response",INDEX($AE$404:$BH$414,AS398,5),"-")))</f>
        <v>-</v>
      </c>
      <c r="AL420" s="57" t="str" cm="1">
        <f t="array" ref="AL420">IF(OR($E$420="-",AT398="-"),"-",IF($E$420="Transform",INDEX($AE$404:$BH$414,AT398,20),IF($E$420="System Response",INDEX($AE$404:$BH$414,AT398,5),"-")))</f>
        <v>-</v>
      </c>
      <c r="AM420" s="57" t="str" cm="1">
        <f t="array" ref="AM420">IF(OR($E$420="-",AU398="-"),"-",IF($E$420="Transform",INDEX($AE$404:$BH$414,AU398,20),IF($E$420="System Response",INDEX($AE$404:$BH$414,AU398,5),"-")))</f>
        <v>-</v>
      </c>
      <c r="AN420" s="57" t="str" cm="1">
        <f t="array" ref="AN420">IF(OR($E$420="-",AV398="-"),"-",IF($E$420="Transform",INDEX($AE$404:$BH$414,AV398,20),IF($E$420="System Response",INDEX($AE$404:$BH$414,AV398,5),"-")))</f>
        <v>-</v>
      </c>
      <c r="AO420" s="57" t="str" cm="1">
        <f t="array" ref="AO420">IF(OR($E$420="-",AW398="-"),"-",IF($E$420="Transform",INDEX($AE$404:$BH$414,AW398,20),IF($E$420="System Response",INDEX($AE$404:$BH$414,AW398,5),"-")))</f>
        <v>-</v>
      </c>
      <c r="AP420" s="57" t="str" cm="1">
        <f t="array" ref="AP420">IF(OR($E$420="-",AX398="-"),"-",IF($E$420="Transform",INDEX($AE$404:$BH$414,AX398,20),IF($E$420="System Response",INDEX($AE$404:$BH$414,AX398,5),"-")))</f>
        <v>-</v>
      </c>
      <c r="AQ420" s="57" t="str" cm="1">
        <f t="array" ref="AQ420">IF(OR($E$420="-",AY398="-"),"-",IF($E$420="Transform",INDEX($AE$404:$BH$414,AY398,20),IF($E$420="System Response",INDEX($AE$404:$BH$414,AY398,5),"-")))</f>
        <v>-</v>
      </c>
      <c r="AR420" s="57" t="str" cm="1">
        <f t="array" ref="AR420">IF(OR($E$420="-",AZ398="-"),"-",IF($E$420="Transform",INDEX($AE$404:$BH$414,AZ398,20),IF($E$420="System Response",INDEX($AE$404:$BH$414,AZ398,5),"-")))</f>
        <v>-</v>
      </c>
      <c r="AS420" s="57" t="str" cm="1">
        <f t="array" ref="AS420">IF(OR($E$420="-",BA398="-"),"-",IF($E$420="Transform",INDEX($AE$404:$BH$414,BA398,20),IF($E$420="System Response",INDEX($AE$404:$BH$414,BA398,5),"-")))</f>
        <v>-</v>
      </c>
      <c r="AT420" s="57" t="str" cm="1">
        <f t="array" ref="AT420">IF(OR($E$420="-",BB398="-"),"-",IF($E$420="Transform",INDEX($AE$404:$BH$414,BB398,20),IF($E$420="System Response",INDEX($AE$404:$BH$414,BB398,5),"-")))</f>
        <v>-</v>
      </c>
      <c r="AU420" s="57" t="str" cm="1">
        <f t="array" ref="AU420">IF(OR($E$420="-",BC398="-"),"-",IF($E$420="Transform",INDEX($AE$404:$BH$414,BC398,20),IF($E$420="System Response",INDEX($AE$404:$BH$414,BC398,5),"-")))</f>
        <v>-</v>
      </c>
      <c r="AV420" s="57" t="str" cm="1">
        <f t="array" ref="AV420">IF(OR($E$420="-",BD398="-"),"-",IF($E$420="Transform",INDEX($AE$404:$BH$414,BD398,20),IF($E$420="System Response",INDEX($AE$404:$BH$414,BD398,5),"-")))</f>
        <v>-</v>
      </c>
      <c r="AW420" s="57" t="str" cm="1">
        <f t="array" ref="AW420">IF(OR($E$420="-",BE398="-"),"-",IF($E$420="Transform",INDEX($AE$404:$BH$414,BE398,20),IF($E$420="System Response",INDEX($AE$404:$BH$414,BE398,5),"-")))</f>
        <v>-</v>
      </c>
      <c r="AX420" s="57" t="str" cm="1">
        <f t="array" ref="AX420">IF(OR($E$420="-",BF398="-"),"-",IF($E$420="Transform",INDEX($AE$404:$BH$414,BF398,20),IF($E$420="System Response",INDEX($AE$404:$BH$414,BF398,5),"-")))</f>
        <v>-</v>
      </c>
      <c r="AY420" s="57" t="str" cm="1">
        <f t="array" ref="AY420">IF(OR($E$420="-",BG398="-"),"-",IF($E$420="Transform",INDEX($AE$404:$BH$414,BG398,20),IF($E$420="System Response",INDEX($AE$404:$BH$414,BG398,5),"-")))</f>
        <v>-</v>
      </c>
      <c r="AZ420" s="57" t="str" cm="1">
        <f t="array" ref="AZ420">IF(OR($E$420="-",BH398="-"),"-",IF($E$420="Transform",INDEX($AE$404:$BH$414,BH398,20),IF($E$420="System Response",INDEX($AE$404:$BH$414,BH398,5),"-")))</f>
        <v>-</v>
      </c>
      <c r="BA420" s="57" t="str" cm="1">
        <f t="array" ref="BA420">IF(OR($E$420="-",BI398="-"),"-",IF($E$420="Transform",INDEX($AE$404:$BH$414,BI398,20),IF($E$420="System Response",INDEX($AE$404:$BH$414,BI398,5),"-")))</f>
        <v>-</v>
      </c>
      <c r="BB420" s="57" t="str" cm="1">
        <f t="array" ref="BB420">IF(OR($E$420="-",BJ398="-"),"-",IF($E$420="Transform",INDEX($AE$404:$BH$414,BJ398,20),IF($E$420="System Response",INDEX($AE$404:$BH$414,BJ398,5),"-")))</f>
        <v>-</v>
      </c>
      <c r="BC420" s="57" t="str" cm="1">
        <f t="array" ref="BC420">IF(OR($E$420="-",BK398="-"),"-",IF($E$420="Transform",INDEX($AE$404:$BH$414,BK398,20),IF($E$420="System Response",INDEX($AE$404:$BH$414,BK398,5),"-")))</f>
        <v>-</v>
      </c>
      <c r="BD420" s="57" t="str" cm="1">
        <f t="array" ref="BD420">IF(OR($E$420="-",BL398="-"),"-",IF($E$420="Transform",INDEX($AE$404:$BH$414,BL398,20),IF($E$420="System Response",INDEX($AE$404:$BH$414,BL398,5),"-")))</f>
        <v>-</v>
      </c>
      <c r="BE420" s="57" t="str" cm="1">
        <f t="array" ref="BE420">IF(OR($E$420="-",BM398="-"),"-",IF($E$420="Transform",INDEX($AE$404:$BH$414,BM398,20),IF($E$420="System Response",INDEX($AE$404:$BH$414,BM398,5),"-")))</f>
        <v>-</v>
      </c>
      <c r="BF420" s="57" t="str" cm="1">
        <f t="array" ref="BF420">IF(OR($E$420="-",BN398="-"),"-",IF($E$420="Transform",INDEX($AE$404:$BH$414,BN398,20),IF($E$420="System Response",INDEX($AE$404:$BH$414,BN398,5),"-")))</f>
        <v>-</v>
      </c>
      <c r="BG420" s="57" t="str" cm="1">
        <f t="array" ref="BG420">IF(OR($E$420="-",BO398="-"),"-",IF($E$420="Transform",INDEX($AE$404:$BH$414,BO398,20),IF($E$420="System Response",INDEX($AE$404:$BH$414,BO398,5),"-")))</f>
        <v>-</v>
      </c>
      <c r="BH420" s="57" t="str" cm="1">
        <f t="array" ref="BH420">IF(OR($E$420="-",BP398="-"),"-",IF($E$420="Transform",INDEX($AE$404:$BH$414,BP398,20),IF($E$420="System Response",INDEX($AE$404:$BH$414,BP398,5),"-")))</f>
        <v>-</v>
      </c>
      <c r="BI420" s="57" t="str" cm="1">
        <f t="array" ref="BI420">IF(OR($E$420="-",BQ398="-"),"-",IF($E$420="Transform",INDEX($AE$404:$BH$414,BQ398,20),IF($E$420="System Response",INDEX($AE$404:$BH$414,BQ398,5),"-")))</f>
        <v>-</v>
      </c>
      <c r="BJ420" s="57" t="str" cm="1">
        <f t="array" ref="BJ420">IF(OR($E$420="-",BR398="-"),"-",IF($E$420="Transform",INDEX($AE$404:$BH$414,BR398,20),IF($E$420="System Response",INDEX($AE$404:$BH$414,BR398,5),"-")))</f>
        <v>-</v>
      </c>
      <c r="BK420" s="57" t="str" cm="1">
        <f t="array" ref="BK420">IF(OR($E$420="-",BS398="-"),"-",IF($E$420="Transform",INDEX($AE$404:$BH$414,BS398,20),IF($E$420="System Response",INDEX($AE$404:$BH$414,BS398,5),"-")))</f>
        <v>-</v>
      </c>
      <c r="BL420" s="57" t="str" cm="1">
        <f t="array" ref="BL420">IF(OR($E$420="-",BT398="-"),"-",IF($E$420="Transform",INDEX($AE$404:$BH$414,BT398,20),IF($E$420="System Response",INDEX($AE$404:$BH$414,BT398,5),"-")))</f>
        <v>-</v>
      </c>
      <c r="BM420" s="57" t="str" cm="1">
        <f t="array" ref="BM420">IF(OR($E$420="-",BU398="-"),"-",IF($E$420="Transform",INDEX($AE$404:$BH$414,BU398,20),IF($E$420="System Response",INDEX($AE$404:$BH$414,BU398,5),"-")))</f>
        <v>-</v>
      </c>
      <c r="BN420" s="57" t="str" cm="1">
        <f t="array" ref="BN420">IF(OR($E$420="-",BV398="-"),"-",IF($E$420="Transform",INDEX($AE$404:$BH$414,BV398,20),IF($E$420="System Response",INDEX($AE$404:$BH$414,BV398,5),"-")))</f>
        <v>-</v>
      </c>
      <c r="BO420" s="57" t="str" cm="1">
        <f t="array" ref="BO420">IF(OR($E$420="-",BW398="-"),"-",IF($E$420="Transform",INDEX($AE$404:$BH$414,BW398,20),IF($E$420="System Response",INDEX($AE$404:$BH$414,BW398,5),"-")))</f>
        <v>-</v>
      </c>
      <c r="BP420" s="58"/>
      <c r="BQ420" s="58"/>
      <c r="BR420" s="58"/>
      <c r="BS420" s="58"/>
      <c r="BT420" s="58"/>
    </row>
    <row r="421" spans="2:80" ht="15" customHeight="1" x14ac:dyDescent="0.2">
      <c r="B421" s="214">
        <v>4</v>
      </c>
      <c r="C421" s="214"/>
      <c r="D421" s="214"/>
      <c r="E421" s="218" t="str">
        <f>$E$328</f>
        <v>System Response</v>
      </c>
      <c r="F421" s="218"/>
      <c r="G421" s="218"/>
      <c r="H421" s="218"/>
      <c r="I421" s="218"/>
      <c r="J421" s="218"/>
      <c r="K421" s="218"/>
      <c r="L421" s="218"/>
      <c r="M421" s="57" t="str" cm="1">
        <f t="array" ref="M421">IF(OR($E$421="-",U399="-"),"-",IF($E$421="System Response",INDEX($AE$404:$BH$414,U399,5),IF($E$421="Life Loss",IF(M420="-","-",$G$406))))</f>
        <v>Non-Fail</v>
      </c>
      <c r="N421" s="57" t="str" cm="1">
        <f t="array" ref="N421">IF(OR($E$421="-",V399="-"),"-",IF($E$421="System Response",INDEX($AE$404:$BH$414,V399,5),IF($E$421="Life Loss",IF(N420="-","-",$G$406))))</f>
        <v>PFM 1
Overtopping</v>
      </c>
      <c r="O421" s="57" t="str" cm="1">
        <f t="array" ref="O421">IF(OR($E$421="-",W399="-"),"-",IF($E$421="System Response",INDEX($AE$404:$BH$414,W399,5),IF($E$421="Life Loss",IF(O420="-","-",$G$406))))</f>
        <v>PFM 2
Backward Erosion Piping</v>
      </c>
      <c r="P421" s="57" t="str" cm="1">
        <f t="array" ref="P421">IF(OR($E$421="-",X399="-"),"-",IF($E$421="System Response",INDEX($AE$404:$BH$414,X399,5),IF($E$421="Life Loss",IF(P420="-","-",$G$406))))</f>
        <v>-</v>
      </c>
      <c r="Q421" s="57" t="str" cm="1">
        <f t="array" ref="Q421">IF(OR($E$421="-",Y399="-"),"-",IF($E$421="System Response",INDEX($AE$404:$BH$414,Y399,5),IF($E$421="Life Loss",IF(Q420="-","-",$G$406))))</f>
        <v>-</v>
      </c>
      <c r="R421" s="57" t="str" cm="1">
        <f t="array" ref="R421">IF(OR($E$421="-",Z399="-"),"-",IF($E$421="System Response",INDEX($AE$404:$BH$414,Z399,5),IF($E$421="Life Loss",IF(R420="-","-",$G$406))))</f>
        <v>-</v>
      </c>
      <c r="S421" s="57" t="str" cm="1">
        <f t="array" ref="S421">IF(OR($E$421="-",AA399="-"),"-",IF($E$421="System Response",INDEX($AE$404:$BH$414,AA399,5),IF($E$421="Life Loss",IF(S420="-","-",$G$406))))</f>
        <v>-</v>
      </c>
      <c r="T421" s="57" t="str" cm="1">
        <f t="array" ref="T421">IF(OR($E$421="-",AB399="-"),"-",IF($E$421="System Response",INDEX($AE$404:$BH$414,AB399,5),IF($E$421="Life Loss",IF(T420="-","-",$G$406))))</f>
        <v>-</v>
      </c>
      <c r="U421" s="57" t="str" cm="1">
        <f t="array" ref="U421">IF(OR($E$421="-",AC399="-"),"-",IF($E$421="System Response",INDEX($AE$404:$BH$414,AC399,5),IF($E$421="Life Loss",IF(U420="-","-",$G$406))))</f>
        <v>-</v>
      </c>
      <c r="V421" s="57" t="str" cm="1">
        <f t="array" ref="V421">IF(OR($E$421="-",AD399="-"),"-",IF($E$421="System Response",INDEX($AE$404:$BH$414,AD399,5),IF($E$421="Life Loss",IF(V420="-","-",$G$406))))</f>
        <v>-</v>
      </c>
      <c r="W421" s="57" t="str" cm="1">
        <f t="array" ref="W421">IF(OR($E$421="-",AE399="-"),"-",IF($E$421="System Response",INDEX($AE$404:$BH$414,AE399,5),IF($E$421="Life Loss",IF(W420="-","-",$G$406))))</f>
        <v>-</v>
      </c>
      <c r="X421" s="57" t="str" cm="1">
        <f t="array" ref="X421">IF(OR($E$421="-",AF399="-"),"-",IF($E$421="System Response",INDEX($AE$404:$BH$414,AF399,5),IF($E$421="Life Loss",IF(X420="-","-",$G$406))))</f>
        <v>-</v>
      </c>
      <c r="Y421" s="57" t="str" cm="1">
        <f t="array" ref="Y421">IF(OR($E$421="-",AG399="-"),"-",IF($E$421="System Response",INDEX($AE$404:$BH$414,AG399,5),IF($E$421="Life Loss",IF(Y420="-","-",$G$406))))</f>
        <v>-</v>
      </c>
      <c r="Z421" s="57" t="str" cm="1">
        <f t="array" ref="Z421">IF(OR($E$421="-",AH399="-"),"-",IF($E$421="System Response",INDEX($AE$404:$BH$414,AH399,5),IF($E$421="Life Loss",IF(Z420="-","-",$G$406))))</f>
        <v>-</v>
      </c>
      <c r="AA421" s="57" t="str" cm="1">
        <f t="array" ref="AA421">IF(OR($E$421="-",AI399="-"),"-",IF($E$421="System Response",INDEX($AE$404:$BH$414,AI399,5),IF($E$421="Life Loss",IF(AA420="-","-",$G$406))))</f>
        <v>-</v>
      </c>
      <c r="AB421" s="57" t="str" cm="1">
        <f t="array" ref="AB421">IF(OR($E$421="-",AJ399="-"),"-",IF($E$421="System Response",INDEX($AE$404:$BH$414,AJ399,5),IF($E$421="Life Loss",IF(AB420="-","-",$G$406))))</f>
        <v>-</v>
      </c>
      <c r="AC421" s="57" t="str" cm="1">
        <f t="array" ref="AC421">IF(OR($E$421="-",AK399="-"),"-",IF($E$421="System Response",INDEX($AE$404:$BH$414,AK399,5),IF($E$421="Life Loss",IF(AC420="-","-",$G$406))))</f>
        <v>-</v>
      </c>
      <c r="AD421" s="57" t="str" cm="1">
        <f t="array" ref="AD421">IF(OR($E$421="-",AL399="-"),"-",IF($E$421="System Response",INDEX($AE$404:$BH$414,AL399,5),IF($E$421="Life Loss",IF(AD420="-","-",$G$406))))</f>
        <v>-</v>
      </c>
      <c r="AE421" s="57" t="str" cm="1">
        <f t="array" ref="AE421">IF(OR($E$421="-",AM399="-"),"-",IF($E$421="System Response",INDEX($AE$404:$BH$414,AM399,5),IF($E$421="Life Loss",IF(AE420="-","-",$G$406))))</f>
        <v>-</v>
      </c>
      <c r="AF421" s="57" t="str" cm="1">
        <f t="array" ref="AF421">IF(OR($E$421="-",AN399="-"),"-",IF($E$421="System Response",INDEX($AE$404:$BH$414,AN399,5),IF($E$421="Life Loss",IF(AF420="-","-",$G$406))))</f>
        <v>-</v>
      </c>
      <c r="AG421" s="57" t="str" cm="1">
        <f t="array" ref="AG421">IF(OR($E$421="-",AO399="-"),"-",IF($E$421="System Response",INDEX($AE$404:$BH$414,AO399,5),IF($E$421="Life Loss",IF(AG420="-","-",$G$406))))</f>
        <v>-</v>
      </c>
      <c r="AH421" s="57" t="str" cm="1">
        <f t="array" ref="AH421">IF(OR($E$421="-",AP399="-"),"-",IF($E$421="System Response",INDEX($AE$404:$BH$414,AP399,5),IF($E$421="Life Loss",IF(AH420="-","-",$G$406))))</f>
        <v>-</v>
      </c>
      <c r="AI421" s="57" t="str" cm="1">
        <f t="array" ref="AI421">IF(OR($E$421="-",AQ399="-"),"-",IF($E$421="System Response",INDEX($AE$404:$BH$414,AQ399,5),IF($E$421="Life Loss",IF(AI420="-","-",$G$406))))</f>
        <v>-</v>
      </c>
      <c r="AJ421" s="57" t="str" cm="1">
        <f t="array" ref="AJ421">IF(OR($E$421="-",AR399="-"),"-",IF($E$421="System Response",INDEX($AE$404:$BH$414,AR399,5),IF($E$421="Life Loss",IF(AJ420="-","-",$G$406))))</f>
        <v>-</v>
      </c>
      <c r="AK421" s="57" t="str" cm="1">
        <f t="array" ref="AK421">IF(OR($E$421="-",AS399="-"),"-",IF($E$421="System Response",INDEX($AE$404:$BH$414,AS399,5),IF($E$421="Life Loss",IF(AK420="-","-",$G$406))))</f>
        <v>-</v>
      </c>
      <c r="AL421" s="57" t="str" cm="1">
        <f t="array" ref="AL421">IF(OR($E$421="-",AT399="-"),"-",IF($E$421="System Response",INDEX($AE$404:$BH$414,AT399,5),IF($E$421="Life Loss",IF(AL420="-","-",$G$406))))</f>
        <v>-</v>
      </c>
      <c r="AM421" s="57" t="str" cm="1">
        <f t="array" ref="AM421">IF(OR($E$421="-",AU399="-"),"-",IF($E$421="System Response",INDEX($AE$404:$BH$414,AU399,5),IF($E$421="Life Loss",IF(AM420="-","-",$G$406))))</f>
        <v>-</v>
      </c>
      <c r="AN421" s="57" t="str" cm="1">
        <f t="array" ref="AN421">IF(OR($E$421="-",AV399="-"),"-",IF($E$421="System Response",INDEX($AE$404:$BH$414,AV399,5),IF($E$421="Life Loss",IF(AN420="-","-",$G$406))))</f>
        <v>-</v>
      </c>
      <c r="AO421" s="57" t="str" cm="1">
        <f t="array" ref="AO421">IF(OR($E$421="-",AW399="-"),"-",IF($E$421="System Response",INDEX($AE$404:$BH$414,AW399,5),IF($E$421="Life Loss",IF(AO420="-","-",$G$406))))</f>
        <v>-</v>
      </c>
      <c r="AP421" s="57" t="str" cm="1">
        <f t="array" ref="AP421">IF(OR($E$421="-",AX399="-"),"-",IF($E$421="System Response",INDEX($AE$404:$BH$414,AX399,5),IF($E$421="Life Loss",IF(AP420="-","-",$G$406))))</f>
        <v>-</v>
      </c>
      <c r="AQ421" s="57" t="str" cm="1">
        <f t="array" ref="AQ421">IF(OR($E$421="-",AY399="-"),"-",IF($E$421="System Response",INDEX($AE$404:$BH$414,AY399,5),IF($E$421="Life Loss",IF(AQ420="-","-",$G$406))))</f>
        <v>-</v>
      </c>
      <c r="AR421" s="57" t="str" cm="1">
        <f t="array" ref="AR421">IF(OR($E$421="-",AZ399="-"),"-",IF($E$421="System Response",INDEX($AE$404:$BH$414,AZ399,5),IF($E$421="Life Loss",IF(AR420="-","-",$G$406))))</f>
        <v>-</v>
      </c>
      <c r="AS421" s="57" t="str" cm="1">
        <f t="array" ref="AS421">IF(OR($E$421="-",BA399="-"),"-",IF($E$421="System Response",INDEX($AE$404:$BH$414,BA399,5),IF($E$421="Life Loss",IF(AS420="-","-",$G$406))))</f>
        <v>-</v>
      </c>
      <c r="AT421" s="57" t="str" cm="1">
        <f t="array" ref="AT421">IF(OR($E$421="-",BB399="-"),"-",IF($E$421="System Response",INDEX($AE$404:$BH$414,BB399,5),IF($E$421="Life Loss",IF(AT420="-","-",$G$406))))</f>
        <v>-</v>
      </c>
      <c r="AU421" s="57" t="str" cm="1">
        <f t="array" ref="AU421">IF(OR($E$421="-",BC399="-"),"-",IF($E$421="System Response",INDEX($AE$404:$BH$414,BC399,5),IF($E$421="Life Loss",IF(AU420="-","-",$G$406))))</f>
        <v>-</v>
      </c>
      <c r="AV421" s="57" t="str" cm="1">
        <f t="array" ref="AV421">IF(OR($E$421="-",BD399="-"),"-",IF($E$421="System Response",INDEX($AE$404:$BH$414,BD399,5),IF($E$421="Life Loss",IF(AV420="-","-",$G$406))))</f>
        <v>-</v>
      </c>
      <c r="AW421" s="57" t="str" cm="1">
        <f t="array" ref="AW421">IF(OR($E$421="-",BE399="-"),"-",IF($E$421="System Response",INDEX($AE$404:$BH$414,BE399,5),IF($E$421="Life Loss",IF(AW420="-","-",$G$406))))</f>
        <v>-</v>
      </c>
      <c r="AX421" s="57" t="str" cm="1">
        <f t="array" ref="AX421">IF(OR($E$421="-",BF399="-"),"-",IF($E$421="System Response",INDEX($AE$404:$BH$414,BF399,5),IF($E$421="Life Loss",IF(AX420="-","-",$G$406))))</f>
        <v>-</v>
      </c>
      <c r="AY421" s="57" t="str" cm="1">
        <f t="array" ref="AY421">IF(OR($E$421="-",BG399="-"),"-",IF($E$421="System Response",INDEX($AE$404:$BH$414,BG399,5),IF($E$421="Life Loss",IF(AY420="-","-",$G$406))))</f>
        <v>-</v>
      </c>
      <c r="AZ421" s="57" t="str" cm="1">
        <f t="array" ref="AZ421">IF(OR($E$421="-",BH399="-"),"-",IF($E$421="System Response",INDEX($AE$404:$BH$414,BH399,5),IF($E$421="Life Loss",IF(AZ420="-","-",$G$406))))</f>
        <v>-</v>
      </c>
      <c r="BA421" s="57" t="str" cm="1">
        <f t="array" ref="BA421">IF(OR($E$421="-",BI399="-"),"-",IF($E$421="System Response",INDEX($AE$404:$BH$414,BI399,5),IF($E$421="Life Loss",IF(BA420="-","-",$G$406))))</f>
        <v>-</v>
      </c>
      <c r="BB421" s="57" t="str" cm="1">
        <f t="array" ref="BB421">IF(OR($E$421="-",BJ399="-"),"-",IF($E$421="System Response",INDEX($AE$404:$BH$414,BJ399,5),IF($E$421="Life Loss",IF(BB420="-","-",$G$406))))</f>
        <v>-</v>
      </c>
      <c r="BC421" s="57" t="str" cm="1">
        <f t="array" ref="BC421">IF(OR($E$421="-",BK399="-"),"-",IF($E$421="System Response",INDEX($AE$404:$BH$414,BK399,5),IF($E$421="Life Loss",IF(BC420="-","-",$G$406))))</f>
        <v>-</v>
      </c>
      <c r="BD421" s="57" t="str" cm="1">
        <f t="array" ref="BD421">IF(OR($E$421="-",BL399="-"),"-",IF($E$421="System Response",INDEX($AE$404:$BH$414,BL399,5),IF($E$421="Life Loss",IF(BD420="-","-",$G$406))))</f>
        <v>-</v>
      </c>
      <c r="BE421" s="57" t="str" cm="1">
        <f t="array" ref="BE421">IF(OR($E$421="-",BM399="-"),"-",IF($E$421="System Response",INDEX($AE$404:$BH$414,BM399,5),IF($E$421="Life Loss",IF(BE420="-","-",$G$406))))</f>
        <v>-</v>
      </c>
      <c r="BF421" s="57" t="str" cm="1">
        <f t="array" ref="BF421">IF(OR($E$421="-",BN399="-"),"-",IF($E$421="System Response",INDEX($AE$404:$BH$414,BN399,5),IF($E$421="Life Loss",IF(BF420="-","-",$G$406))))</f>
        <v>-</v>
      </c>
      <c r="BG421" s="57" t="str" cm="1">
        <f t="array" ref="BG421">IF(OR($E$421="-",BO399="-"),"-",IF($E$421="System Response",INDEX($AE$404:$BH$414,BO399,5),IF($E$421="Life Loss",IF(BG420="-","-",$G$406))))</f>
        <v>-</v>
      </c>
      <c r="BH421" s="57" t="str" cm="1">
        <f t="array" ref="BH421">IF(OR($E$421="-",BP399="-"),"-",IF($E$421="System Response",INDEX($AE$404:$BH$414,BP399,5),IF($E$421="Life Loss",IF(BH420="-","-",$G$406))))</f>
        <v>-</v>
      </c>
      <c r="BI421" s="57" t="str" cm="1">
        <f t="array" ref="BI421">IF(OR($E$421="-",BQ399="-"),"-",IF($E$421="System Response",INDEX($AE$404:$BH$414,BQ399,5),IF($E$421="Life Loss",IF(BI420="-","-",$G$406))))</f>
        <v>-</v>
      </c>
      <c r="BJ421" s="57" t="str" cm="1">
        <f t="array" ref="BJ421">IF(OR($E$421="-",BR399="-"),"-",IF($E$421="System Response",INDEX($AE$404:$BH$414,BR399,5),IF($E$421="Life Loss",IF(BJ420="-","-",$G$406))))</f>
        <v>-</v>
      </c>
      <c r="BK421" s="57" t="str" cm="1">
        <f t="array" ref="BK421">IF(OR($E$421="-",BS399="-"),"-",IF($E$421="System Response",INDEX($AE$404:$BH$414,BS399,5),IF($E$421="Life Loss",IF(BK420="-","-",$G$406))))</f>
        <v>-</v>
      </c>
      <c r="BL421" s="57" t="str" cm="1">
        <f t="array" ref="BL421">IF(OR($E$421="-",BT399="-"),"-",IF($E$421="System Response",INDEX($AE$404:$BH$414,BT399,5),IF($E$421="Life Loss",IF(BL420="-","-",$G$406))))</f>
        <v>-</v>
      </c>
      <c r="BM421" s="57" t="str" cm="1">
        <f t="array" ref="BM421">IF(OR($E$421="-",BU399="-"),"-",IF($E$421="System Response",INDEX($AE$404:$BH$414,BU399,5),IF($E$421="Life Loss",IF(BM420="-","-",$G$406))))</f>
        <v>-</v>
      </c>
      <c r="BN421" s="57" t="str" cm="1">
        <f t="array" ref="BN421">IF(OR($E$421="-",BV399="-"),"-",IF($E$421="System Response",INDEX($AE$404:$BH$414,BV399,5),IF($E$421="Life Loss",IF(BN420="-","-",$G$406))))</f>
        <v>-</v>
      </c>
      <c r="BO421" s="57" t="str" cm="1">
        <f t="array" ref="BO421">IF(OR($E$421="-",BW399="-"),"-",IF($E$421="System Response",INDEX($AE$404:$BH$414,BW399,5),IF($E$421="Life Loss",IF(BO420="-","-",$G$406))))</f>
        <v>-</v>
      </c>
      <c r="BP421" s="58"/>
      <c r="BQ421" s="58"/>
      <c r="BR421" s="58"/>
      <c r="BS421" s="58"/>
      <c r="BT421" s="58"/>
    </row>
    <row r="422" spans="2:80" ht="15" customHeight="1" x14ac:dyDescent="0.2">
      <c r="B422" s="214">
        <v>5</v>
      </c>
      <c r="C422" s="214"/>
      <c r="D422" s="214"/>
      <c r="E422" s="218" t="str">
        <f>$E$329</f>
        <v>Life Loss</v>
      </c>
      <c r="F422" s="218"/>
      <c r="G422" s="218"/>
      <c r="H422" s="218"/>
      <c r="I422" s="218"/>
      <c r="J422" s="218"/>
      <c r="K422" s="218"/>
      <c r="L422" s="218"/>
      <c r="M422" s="57" t="str">
        <f>IF($E$422="-","-",IF($E$422="Life Loss",IF(M421="-","-",$G$406),IF(M420="-","-",$G$409)))</f>
        <v>Life Loss (Composite)</v>
      </c>
      <c r="N422" s="57" t="str">
        <f t="shared" ref="N422:BO422" si="1940">IF($E$422="-","-",IF($E$422="Life Loss",IF(N421="-","-",$G$406),IF(N420="-","-",$G$409)))</f>
        <v>Life Loss (Composite)</v>
      </c>
      <c r="O422" s="57" t="str">
        <f t="shared" si="1940"/>
        <v>Life Loss (Composite)</v>
      </c>
      <c r="P422" s="57" t="str">
        <f t="shared" si="1940"/>
        <v>-</v>
      </c>
      <c r="Q422" s="57" t="str">
        <f t="shared" si="1940"/>
        <v>-</v>
      </c>
      <c r="R422" s="57" t="str">
        <f t="shared" si="1940"/>
        <v>-</v>
      </c>
      <c r="S422" s="57" t="str">
        <f t="shared" si="1940"/>
        <v>-</v>
      </c>
      <c r="T422" s="57" t="str">
        <f t="shared" si="1940"/>
        <v>-</v>
      </c>
      <c r="U422" s="57" t="str">
        <f t="shared" si="1940"/>
        <v>-</v>
      </c>
      <c r="V422" s="57" t="str">
        <f t="shared" si="1940"/>
        <v>-</v>
      </c>
      <c r="W422" s="57" t="str">
        <f t="shared" si="1940"/>
        <v>-</v>
      </c>
      <c r="X422" s="57" t="str">
        <f t="shared" si="1940"/>
        <v>-</v>
      </c>
      <c r="Y422" s="57" t="str">
        <f t="shared" si="1940"/>
        <v>-</v>
      </c>
      <c r="Z422" s="57" t="str">
        <f t="shared" si="1940"/>
        <v>-</v>
      </c>
      <c r="AA422" s="57" t="str">
        <f t="shared" si="1940"/>
        <v>-</v>
      </c>
      <c r="AB422" s="57" t="str">
        <f t="shared" si="1940"/>
        <v>-</v>
      </c>
      <c r="AC422" s="57" t="str">
        <f t="shared" si="1940"/>
        <v>-</v>
      </c>
      <c r="AD422" s="57" t="str">
        <f t="shared" si="1940"/>
        <v>-</v>
      </c>
      <c r="AE422" s="57" t="str">
        <f t="shared" si="1940"/>
        <v>-</v>
      </c>
      <c r="AF422" s="57" t="str">
        <f t="shared" si="1940"/>
        <v>-</v>
      </c>
      <c r="AG422" s="57" t="str">
        <f t="shared" si="1940"/>
        <v>-</v>
      </c>
      <c r="AH422" s="57" t="str">
        <f t="shared" si="1940"/>
        <v>-</v>
      </c>
      <c r="AI422" s="57" t="str">
        <f t="shared" si="1940"/>
        <v>-</v>
      </c>
      <c r="AJ422" s="57" t="str">
        <f t="shared" si="1940"/>
        <v>-</v>
      </c>
      <c r="AK422" s="57" t="str">
        <f t="shared" si="1940"/>
        <v>-</v>
      </c>
      <c r="AL422" s="57" t="str">
        <f t="shared" si="1940"/>
        <v>-</v>
      </c>
      <c r="AM422" s="57" t="str">
        <f t="shared" si="1940"/>
        <v>-</v>
      </c>
      <c r="AN422" s="57" t="str">
        <f t="shared" si="1940"/>
        <v>-</v>
      </c>
      <c r="AO422" s="57" t="str">
        <f t="shared" si="1940"/>
        <v>-</v>
      </c>
      <c r="AP422" s="57" t="str">
        <f t="shared" si="1940"/>
        <v>-</v>
      </c>
      <c r="AQ422" s="57" t="str">
        <f t="shared" si="1940"/>
        <v>-</v>
      </c>
      <c r="AR422" s="57" t="str">
        <f t="shared" si="1940"/>
        <v>-</v>
      </c>
      <c r="AS422" s="57" t="str">
        <f t="shared" si="1940"/>
        <v>-</v>
      </c>
      <c r="AT422" s="57" t="str">
        <f t="shared" si="1940"/>
        <v>-</v>
      </c>
      <c r="AU422" s="57" t="str">
        <f t="shared" si="1940"/>
        <v>-</v>
      </c>
      <c r="AV422" s="57" t="str">
        <f t="shared" si="1940"/>
        <v>-</v>
      </c>
      <c r="AW422" s="57" t="str">
        <f t="shared" si="1940"/>
        <v>-</v>
      </c>
      <c r="AX422" s="57" t="str">
        <f t="shared" si="1940"/>
        <v>-</v>
      </c>
      <c r="AY422" s="57" t="str">
        <f t="shared" si="1940"/>
        <v>-</v>
      </c>
      <c r="AZ422" s="57" t="str">
        <f t="shared" si="1940"/>
        <v>-</v>
      </c>
      <c r="BA422" s="57" t="str">
        <f t="shared" si="1940"/>
        <v>-</v>
      </c>
      <c r="BB422" s="57" t="str">
        <f t="shared" si="1940"/>
        <v>-</v>
      </c>
      <c r="BC422" s="57" t="str">
        <f t="shared" si="1940"/>
        <v>-</v>
      </c>
      <c r="BD422" s="57" t="str">
        <f t="shared" si="1940"/>
        <v>-</v>
      </c>
      <c r="BE422" s="57" t="str">
        <f t="shared" si="1940"/>
        <v>-</v>
      </c>
      <c r="BF422" s="57" t="str">
        <f t="shared" si="1940"/>
        <v>-</v>
      </c>
      <c r="BG422" s="57" t="str">
        <f t="shared" si="1940"/>
        <v>-</v>
      </c>
      <c r="BH422" s="57" t="str">
        <f t="shared" si="1940"/>
        <v>-</v>
      </c>
      <c r="BI422" s="57" t="str">
        <f t="shared" si="1940"/>
        <v>-</v>
      </c>
      <c r="BJ422" s="57" t="str">
        <f t="shared" si="1940"/>
        <v>-</v>
      </c>
      <c r="BK422" s="57" t="str">
        <f t="shared" si="1940"/>
        <v>-</v>
      </c>
      <c r="BL422" s="57" t="str">
        <f t="shared" si="1940"/>
        <v>-</v>
      </c>
      <c r="BM422" s="57" t="str">
        <f t="shared" si="1940"/>
        <v>-</v>
      </c>
      <c r="BN422" s="57" t="str">
        <f t="shared" si="1940"/>
        <v>-</v>
      </c>
      <c r="BO422" s="57" t="str">
        <f t="shared" si="1940"/>
        <v>-</v>
      </c>
      <c r="BP422" s="58"/>
      <c r="BQ422" s="58"/>
      <c r="BR422" s="58"/>
      <c r="BS422" s="58"/>
      <c r="BT422" s="58"/>
    </row>
    <row r="423" spans="2:80" ht="15" customHeight="1" x14ac:dyDescent="0.2">
      <c r="B423" s="214">
        <v>6</v>
      </c>
      <c r="C423" s="214"/>
      <c r="D423" s="214"/>
      <c r="E423" s="218" t="str">
        <f>$E$330</f>
        <v>Economic Cost</v>
      </c>
      <c r="F423" s="218"/>
      <c r="G423" s="218"/>
      <c r="H423" s="218"/>
      <c r="I423" s="218"/>
      <c r="J423" s="218"/>
      <c r="K423" s="218"/>
      <c r="L423" s="218"/>
      <c r="M423" s="57" t="str">
        <f>IF($E$423="-","-",IF(M421="-","-",$G$409))</f>
        <v>Economic Cost</v>
      </c>
      <c r="N423" s="57" t="str">
        <f t="shared" ref="N423:BO423" si="1941">IF($E$423="-","-",IF(N421="-","-",$G$409))</f>
        <v>Economic Cost</v>
      </c>
      <c r="O423" s="57" t="str">
        <f t="shared" si="1941"/>
        <v>Economic Cost</v>
      </c>
      <c r="P423" s="57" t="str">
        <f t="shared" si="1941"/>
        <v>-</v>
      </c>
      <c r="Q423" s="57" t="str">
        <f t="shared" si="1941"/>
        <v>-</v>
      </c>
      <c r="R423" s="57" t="str">
        <f t="shared" si="1941"/>
        <v>-</v>
      </c>
      <c r="S423" s="57" t="str">
        <f t="shared" si="1941"/>
        <v>-</v>
      </c>
      <c r="T423" s="57" t="str">
        <f t="shared" si="1941"/>
        <v>-</v>
      </c>
      <c r="U423" s="57" t="str">
        <f t="shared" si="1941"/>
        <v>-</v>
      </c>
      <c r="V423" s="57" t="str">
        <f t="shared" si="1941"/>
        <v>-</v>
      </c>
      <c r="W423" s="57" t="str">
        <f t="shared" si="1941"/>
        <v>-</v>
      </c>
      <c r="X423" s="57" t="str">
        <f t="shared" si="1941"/>
        <v>-</v>
      </c>
      <c r="Y423" s="57" t="str">
        <f t="shared" si="1941"/>
        <v>-</v>
      </c>
      <c r="Z423" s="57" t="str">
        <f t="shared" si="1941"/>
        <v>-</v>
      </c>
      <c r="AA423" s="57" t="str">
        <f t="shared" si="1941"/>
        <v>-</v>
      </c>
      <c r="AB423" s="57" t="str">
        <f t="shared" si="1941"/>
        <v>-</v>
      </c>
      <c r="AC423" s="57" t="str">
        <f t="shared" si="1941"/>
        <v>-</v>
      </c>
      <c r="AD423" s="57" t="str">
        <f t="shared" si="1941"/>
        <v>-</v>
      </c>
      <c r="AE423" s="57" t="str">
        <f t="shared" si="1941"/>
        <v>-</v>
      </c>
      <c r="AF423" s="57" t="str">
        <f t="shared" si="1941"/>
        <v>-</v>
      </c>
      <c r="AG423" s="57" t="str">
        <f t="shared" si="1941"/>
        <v>-</v>
      </c>
      <c r="AH423" s="57" t="str">
        <f t="shared" si="1941"/>
        <v>-</v>
      </c>
      <c r="AI423" s="57" t="str">
        <f t="shared" si="1941"/>
        <v>-</v>
      </c>
      <c r="AJ423" s="57" t="str">
        <f t="shared" si="1941"/>
        <v>-</v>
      </c>
      <c r="AK423" s="57" t="str">
        <f t="shared" si="1941"/>
        <v>-</v>
      </c>
      <c r="AL423" s="57" t="str">
        <f t="shared" si="1941"/>
        <v>-</v>
      </c>
      <c r="AM423" s="57" t="str">
        <f t="shared" si="1941"/>
        <v>-</v>
      </c>
      <c r="AN423" s="57" t="str">
        <f t="shared" si="1941"/>
        <v>-</v>
      </c>
      <c r="AO423" s="57" t="str">
        <f t="shared" si="1941"/>
        <v>-</v>
      </c>
      <c r="AP423" s="57" t="str">
        <f t="shared" si="1941"/>
        <v>-</v>
      </c>
      <c r="AQ423" s="57" t="str">
        <f t="shared" si="1941"/>
        <v>-</v>
      </c>
      <c r="AR423" s="57" t="str">
        <f t="shared" si="1941"/>
        <v>-</v>
      </c>
      <c r="AS423" s="57" t="str">
        <f t="shared" si="1941"/>
        <v>-</v>
      </c>
      <c r="AT423" s="57" t="str">
        <f t="shared" si="1941"/>
        <v>-</v>
      </c>
      <c r="AU423" s="57" t="str">
        <f t="shared" si="1941"/>
        <v>-</v>
      </c>
      <c r="AV423" s="57" t="str">
        <f t="shared" si="1941"/>
        <v>-</v>
      </c>
      <c r="AW423" s="57" t="str">
        <f t="shared" si="1941"/>
        <v>-</v>
      </c>
      <c r="AX423" s="57" t="str">
        <f t="shared" si="1941"/>
        <v>-</v>
      </c>
      <c r="AY423" s="57" t="str">
        <f t="shared" si="1941"/>
        <v>-</v>
      </c>
      <c r="AZ423" s="57" t="str">
        <f t="shared" si="1941"/>
        <v>-</v>
      </c>
      <c r="BA423" s="57" t="str">
        <f t="shared" si="1941"/>
        <v>-</v>
      </c>
      <c r="BB423" s="57" t="str">
        <f t="shared" si="1941"/>
        <v>-</v>
      </c>
      <c r="BC423" s="57" t="str">
        <f t="shared" si="1941"/>
        <v>-</v>
      </c>
      <c r="BD423" s="57" t="str">
        <f t="shared" si="1941"/>
        <v>-</v>
      </c>
      <c r="BE423" s="57" t="str">
        <f t="shared" si="1941"/>
        <v>-</v>
      </c>
      <c r="BF423" s="57" t="str">
        <f t="shared" si="1941"/>
        <v>-</v>
      </c>
      <c r="BG423" s="57" t="str">
        <f t="shared" si="1941"/>
        <v>-</v>
      </c>
      <c r="BH423" s="57" t="str">
        <f t="shared" si="1941"/>
        <v>-</v>
      </c>
      <c r="BI423" s="57" t="str">
        <f t="shared" si="1941"/>
        <v>-</v>
      </c>
      <c r="BJ423" s="57" t="str">
        <f t="shared" si="1941"/>
        <v>-</v>
      </c>
      <c r="BK423" s="57" t="str">
        <f t="shared" si="1941"/>
        <v>-</v>
      </c>
      <c r="BL423" s="57" t="str">
        <f t="shared" si="1941"/>
        <v>-</v>
      </c>
      <c r="BM423" s="57" t="str">
        <f t="shared" si="1941"/>
        <v>-</v>
      </c>
      <c r="BN423" s="57" t="str">
        <f t="shared" si="1941"/>
        <v>-</v>
      </c>
      <c r="BO423" s="57" t="str">
        <f t="shared" si="1941"/>
        <v>-</v>
      </c>
      <c r="BP423" s="58"/>
      <c r="BQ423" s="58"/>
      <c r="BR423" s="58"/>
      <c r="BS423" s="58"/>
      <c r="BT423" s="58"/>
    </row>
    <row r="424" spans="2:80" ht="15" customHeight="1" x14ac:dyDescent="0.2"/>
    <row r="425" spans="2:80" ht="15" customHeight="1" x14ac:dyDescent="0.2">
      <c r="B425" s="219" t="s">
        <v>197</v>
      </c>
      <c r="C425" s="219"/>
      <c r="D425" s="219"/>
      <c r="E425" s="219"/>
      <c r="F425" s="219"/>
      <c r="G425" s="219"/>
      <c r="H425" s="219"/>
      <c r="I425" s="219"/>
      <c r="J425" s="219"/>
      <c r="K425" s="219"/>
      <c r="L425" s="219"/>
      <c r="M425" s="219"/>
      <c r="N425" s="219"/>
      <c r="O425" s="219"/>
      <c r="P425" s="219"/>
      <c r="Q425" s="219"/>
      <c r="R425" s="219"/>
      <c r="S425" s="219"/>
      <c r="T425" s="219"/>
      <c r="U425" s="51">
        <v>10</v>
      </c>
      <c r="V425" s="51">
        <f>U425+5</f>
        <v>15</v>
      </c>
      <c r="W425" s="51">
        <f t="shared" ref="W425:AE425" si="1942">V425+5</f>
        <v>20</v>
      </c>
      <c r="X425" s="51">
        <f t="shared" si="1942"/>
        <v>25</v>
      </c>
      <c r="Y425" s="51">
        <f t="shared" si="1942"/>
        <v>30</v>
      </c>
      <c r="Z425" s="51">
        <f t="shared" si="1942"/>
        <v>35</v>
      </c>
      <c r="AA425" s="51">
        <f t="shared" si="1942"/>
        <v>40</v>
      </c>
      <c r="AB425" s="51">
        <f t="shared" si="1942"/>
        <v>45</v>
      </c>
      <c r="AC425" s="51">
        <f t="shared" si="1942"/>
        <v>50</v>
      </c>
      <c r="AD425" s="51">
        <f t="shared" si="1942"/>
        <v>55</v>
      </c>
      <c r="AE425" s="51">
        <f t="shared" si="1942"/>
        <v>60</v>
      </c>
      <c r="AF425" s="51">
        <f t="shared" ref="AF425" si="1943">AE425+5</f>
        <v>65</v>
      </c>
      <c r="AG425" s="51">
        <f t="shared" ref="AG425" si="1944">AF425+5</f>
        <v>70</v>
      </c>
      <c r="AH425" s="51">
        <f t="shared" ref="AH425" si="1945">AG425+5</f>
        <v>75</v>
      </c>
      <c r="AI425" s="51">
        <f t="shared" ref="AI425" si="1946">AH425+5</f>
        <v>80</v>
      </c>
      <c r="AJ425" s="51">
        <f t="shared" ref="AJ425" si="1947">AI425+5</f>
        <v>85</v>
      </c>
      <c r="AK425" s="51">
        <f t="shared" ref="AK425" si="1948">AJ425+5</f>
        <v>90</v>
      </c>
      <c r="AL425" s="51">
        <f t="shared" ref="AL425" si="1949">AK425+5</f>
        <v>95</v>
      </c>
      <c r="AM425" s="51">
        <f t="shared" ref="AM425" si="1950">AL425+5</f>
        <v>100</v>
      </c>
      <c r="AN425" s="51">
        <f t="shared" ref="AN425" si="1951">AM425+5</f>
        <v>105</v>
      </c>
      <c r="AO425" s="51">
        <f t="shared" ref="AO425" si="1952">AN425+5</f>
        <v>110</v>
      </c>
      <c r="AP425" s="51">
        <f t="shared" ref="AP425" si="1953">AO425+5</f>
        <v>115</v>
      </c>
      <c r="AQ425" s="51">
        <f t="shared" ref="AQ425" si="1954">AP425+5</f>
        <v>120</v>
      </c>
      <c r="AR425" s="51">
        <f t="shared" ref="AR425" si="1955">AQ425+5</f>
        <v>125</v>
      </c>
      <c r="AS425" s="51">
        <f t="shared" ref="AS425" si="1956">AR425+5</f>
        <v>130</v>
      </c>
      <c r="AT425" s="51">
        <f t="shared" ref="AT425" si="1957">AS425+5</f>
        <v>135</v>
      </c>
      <c r="AU425" s="51">
        <f t="shared" ref="AU425" si="1958">AT425+5</f>
        <v>140</v>
      </c>
      <c r="AV425" s="51">
        <f t="shared" ref="AV425" si="1959">AU425+5</f>
        <v>145</v>
      </c>
      <c r="AW425" s="51">
        <f t="shared" ref="AW425" si="1960">AV425+5</f>
        <v>150</v>
      </c>
      <c r="AX425" s="51">
        <f t="shared" ref="AX425" si="1961">AW425+5</f>
        <v>155</v>
      </c>
      <c r="AY425" s="51">
        <f t="shared" ref="AY425" si="1962">AX425+5</f>
        <v>160</v>
      </c>
      <c r="AZ425" s="51">
        <f t="shared" ref="AZ425" si="1963">AY425+5</f>
        <v>165</v>
      </c>
      <c r="BA425" s="51">
        <f t="shared" ref="BA425" si="1964">AZ425+5</f>
        <v>170</v>
      </c>
      <c r="BB425" s="51">
        <f t="shared" ref="BB425" si="1965">BA425+5</f>
        <v>175</v>
      </c>
      <c r="BC425" s="51">
        <f t="shared" ref="BC425" si="1966">BB425+5</f>
        <v>180</v>
      </c>
      <c r="BD425" s="51">
        <f t="shared" ref="BD425" si="1967">BC425+5</f>
        <v>185</v>
      </c>
      <c r="BE425" s="51">
        <f t="shared" ref="BE425" si="1968">BD425+5</f>
        <v>190</v>
      </c>
      <c r="BF425" s="51">
        <f t="shared" ref="BF425" si="1969">BE425+5</f>
        <v>195</v>
      </c>
      <c r="BG425" s="51">
        <f t="shared" ref="BG425" si="1970">BF425+5</f>
        <v>200</v>
      </c>
      <c r="BH425" s="51">
        <f t="shared" ref="BH425" si="1971">BG425+5</f>
        <v>205</v>
      </c>
      <c r="BI425" s="51">
        <f t="shared" ref="BI425" si="1972">BH425+5</f>
        <v>210</v>
      </c>
      <c r="BJ425" s="51">
        <f t="shared" ref="BJ425" si="1973">BI425+5</f>
        <v>215</v>
      </c>
      <c r="BK425" s="51">
        <f t="shared" ref="BK425" si="1974">BJ425+5</f>
        <v>220</v>
      </c>
      <c r="BL425" s="51">
        <f t="shared" ref="BL425" si="1975">BK425+5</f>
        <v>225</v>
      </c>
      <c r="BM425" s="51">
        <f t="shared" ref="BM425" si="1976">BL425+5</f>
        <v>230</v>
      </c>
      <c r="BN425" s="51">
        <f t="shared" ref="BN425" si="1977">BM425+5</f>
        <v>235</v>
      </c>
      <c r="BO425" s="51">
        <f t="shared" ref="BO425" si="1978">BN425+5</f>
        <v>240</v>
      </c>
      <c r="BP425" s="51">
        <f t="shared" ref="BP425" si="1979">BO425+5</f>
        <v>245</v>
      </c>
      <c r="BQ425" s="51">
        <f t="shared" ref="BQ425" si="1980">BP425+5</f>
        <v>250</v>
      </c>
      <c r="BR425" s="51">
        <f t="shared" ref="BR425" si="1981">BQ425+5</f>
        <v>255</v>
      </c>
      <c r="BS425" s="51">
        <f t="shared" ref="BS425" si="1982">BR425+5</f>
        <v>260</v>
      </c>
      <c r="BT425" s="51">
        <f t="shared" ref="BT425" si="1983">BS425+5</f>
        <v>265</v>
      </c>
      <c r="BU425" s="51">
        <f t="shared" ref="BU425" si="1984">BT425+5</f>
        <v>270</v>
      </c>
      <c r="BV425" s="51">
        <f t="shared" ref="BV425" si="1985">BU425+5</f>
        <v>275</v>
      </c>
      <c r="BW425" s="51">
        <f t="shared" ref="BW425" si="1986">BV425+5</f>
        <v>280</v>
      </c>
      <c r="BX425" s="49"/>
      <c r="BY425" s="49"/>
      <c r="BZ425" s="49"/>
      <c r="CA425" s="49"/>
      <c r="CB425" s="49"/>
    </row>
    <row r="426" spans="2:80" ht="15" customHeight="1" x14ac:dyDescent="0.2">
      <c r="B426" s="214" t="s">
        <v>98</v>
      </c>
      <c r="C426" s="214"/>
      <c r="D426" s="214"/>
      <c r="E426" s="218" t="s">
        <v>147</v>
      </c>
      <c r="F426" s="218"/>
      <c r="G426" s="218"/>
      <c r="H426" s="218"/>
      <c r="I426" s="218"/>
      <c r="J426" s="218"/>
      <c r="K426" s="218"/>
      <c r="L426" s="218"/>
      <c r="M426" s="218" t="s">
        <v>97</v>
      </c>
      <c r="N426" s="218"/>
      <c r="O426" s="218"/>
      <c r="P426" s="218"/>
      <c r="Q426" s="218" t="s">
        <v>118</v>
      </c>
      <c r="R426" s="218"/>
      <c r="S426" s="218"/>
      <c r="T426" s="218"/>
      <c r="U426" s="52">
        <v>1</v>
      </c>
      <c r="V426" s="52">
        <v>2</v>
      </c>
      <c r="W426" s="52">
        <v>3</v>
      </c>
      <c r="X426" s="52">
        <v>4</v>
      </c>
      <c r="Y426" s="52">
        <v>5</v>
      </c>
      <c r="Z426" s="52">
        <v>6</v>
      </c>
      <c r="AA426" s="52">
        <v>7</v>
      </c>
      <c r="AB426" s="52">
        <v>8</v>
      </c>
      <c r="AC426" s="52">
        <v>9</v>
      </c>
      <c r="AD426" s="52">
        <v>10</v>
      </c>
      <c r="AE426" s="52">
        <v>11</v>
      </c>
      <c r="AF426" s="52">
        <v>12</v>
      </c>
      <c r="AG426" s="52">
        <v>13</v>
      </c>
      <c r="AH426" s="52">
        <v>14</v>
      </c>
      <c r="AI426" s="52">
        <v>15</v>
      </c>
      <c r="AJ426" s="52">
        <v>16</v>
      </c>
      <c r="AK426" s="52">
        <v>17</v>
      </c>
      <c r="AL426" s="52">
        <v>18</v>
      </c>
      <c r="AM426" s="52">
        <v>19</v>
      </c>
      <c r="AN426" s="52">
        <v>20</v>
      </c>
      <c r="AO426" s="52">
        <v>21</v>
      </c>
      <c r="AP426" s="52">
        <v>22</v>
      </c>
      <c r="AQ426" s="52">
        <v>23</v>
      </c>
      <c r="AR426" s="52">
        <v>24</v>
      </c>
      <c r="AS426" s="52">
        <v>25</v>
      </c>
      <c r="AT426" s="52">
        <v>26</v>
      </c>
      <c r="AU426" s="52">
        <v>27</v>
      </c>
      <c r="AV426" s="52">
        <v>28</v>
      </c>
      <c r="AW426" s="52">
        <v>29</v>
      </c>
      <c r="AX426" s="52">
        <v>30</v>
      </c>
      <c r="AY426" s="52">
        <v>31</v>
      </c>
      <c r="AZ426" s="52">
        <v>32</v>
      </c>
      <c r="BA426" s="52">
        <v>33</v>
      </c>
      <c r="BB426" s="52">
        <v>34</v>
      </c>
      <c r="BC426" s="52">
        <v>35</v>
      </c>
      <c r="BD426" s="52">
        <v>36</v>
      </c>
      <c r="BE426" s="52">
        <v>37</v>
      </c>
      <c r="BF426" s="52">
        <v>38</v>
      </c>
      <c r="BG426" s="52">
        <v>39</v>
      </c>
      <c r="BH426" s="52">
        <v>40</v>
      </c>
      <c r="BI426" s="52">
        <v>41</v>
      </c>
      <c r="BJ426" s="52">
        <v>42</v>
      </c>
      <c r="BK426" s="52">
        <v>43</v>
      </c>
      <c r="BL426" s="52">
        <v>44</v>
      </c>
      <c r="BM426" s="52">
        <v>45</v>
      </c>
      <c r="BN426" s="52">
        <v>46</v>
      </c>
      <c r="BO426" s="52">
        <v>47</v>
      </c>
      <c r="BP426" s="52">
        <v>48</v>
      </c>
      <c r="BQ426" s="52">
        <v>49</v>
      </c>
      <c r="BR426" s="52">
        <v>50</v>
      </c>
      <c r="BS426" s="52">
        <v>51</v>
      </c>
      <c r="BT426" s="52">
        <v>52</v>
      </c>
      <c r="BU426" s="52">
        <v>53</v>
      </c>
      <c r="BV426" s="52">
        <v>54</v>
      </c>
      <c r="BW426" s="52">
        <v>55</v>
      </c>
      <c r="BX426" s="53"/>
      <c r="BY426" s="53"/>
      <c r="BZ426" s="53"/>
      <c r="CA426" s="53"/>
      <c r="CB426" s="53"/>
    </row>
    <row r="427" spans="2:80" ht="15" customHeight="1" x14ac:dyDescent="0.2">
      <c r="B427" s="214">
        <v>1</v>
      </c>
      <c r="C427" s="214"/>
      <c r="D427" s="214"/>
      <c r="E427" s="218" t="str">
        <f>$E$325</f>
        <v>Hazard</v>
      </c>
      <c r="F427" s="218"/>
      <c r="G427" s="218"/>
      <c r="H427" s="218"/>
      <c r="I427" s="218"/>
      <c r="J427" s="218"/>
      <c r="K427" s="218"/>
      <c r="L427" s="218"/>
      <c r="M427" s="220">
        <f>$M$325</f>
        <v>1</v>
      </c>
      <c r="N427" s="220"/>
      <c r="O427" s="220"/>
      <c r="P427" s="220"/>
      <c r="Q427" s="220">
        <f>$Q$325</f>
        <v>1</v>
      </c>
      <c r="R427" s="220"/>
      <c r="S427" s="220"/>
      <c r="T427" s="220"/>
      <c r="U427" s="56" t="str" cm="1">
        <f t="array" ref="U427">INDEX($M$418:$BT$423,$B427,MATCH(U$426,$M$417:$BT$417,0))</f>
        <v>Stage-Frequency</v>
      </c>
      <c r="V427" s="56" t="str" cm="1">
        <f t="array" ref="V427">INDEX($M$418:$BT$423,$B427,MATCH(V$426,$M$417:$BT$417,0))</f>
        <v>-</v>
      </c>
      <c r="W427" s="56" t="str" cm="1">
        <f t="array" ref="W427">INDEX($M$418:$BT$423,$B427,MATCH(W$426,$M$417:$BT$417,0))</f>
        <v>-</v>
      </c>
      <c r="X427" s="56" t="str" cm="1">
        <f t="array" ref="X427">INDEX($M$418:$BT$423,$B427,MATCH(X$426,$M$417:$BT$417,0))</f>
        <v>-</v>
      </c>
      <c r="Y427" s="56" t="str" cm="1">
        <f t="array" ref="Y427">INDEX($M$418:$BT$423,$B427,MATCH(Y$426,$M$417:$BT$417,0))</f>
        <v>-</v>
      </c>
      <c r="Z427" s="56" t="str" cm="1">
        <f t="array" ref="Z427">INDEX($M$418:$BT$423,$B427,MATCH(Z$426,$M$417:$BT$417,0))</f>
        <v>-</v>
      </c>
      <c r="AA427" s="56" t="str" cm="1">
        <f t="array" ref="AA427">INDEX($M$418:$BT$423,$B427,MATCH(AA$426,$M$417:$BT$417,0))</f>
        <v>-</v>
      </c>
      <c r="AB427" s="56" t="str" cm="1">
        <f t="array" ref="AB427">INDEX($M$418:$BT$423,$B427,MATCH(AB$426,$M$417:$BT$417,0))</f>
        <v>-</v>
      </c>
      <c r="AC427" s="56" t="str" cm="1">
        <f t="array" ref="AC427">INDEX($M$418:$BT$423,$B427,MATCH(AC$426,$M$417:$BT$417,0))</f>
        <v>-</v>
      </c>
      <c r="AD427" s="56" t="str" cm="1">
        <f t="array" ref="AD427">INDEX($M$418:$BT$423,$B427,MATCH(AD$426,$M$417:$BT$417,0))</f>
        <v>-</v>
      </c>
      <c r="AE427" s="56" t="str" cm="1">
        <f t="array" ref="AE427">INDEX($M$418:$BT$423,$B427,MATCH(AE$426,$M$417:$BT$417,0))</f>
        <v>-</v>
      </c>
      <c r="AF427" s="56" t="str" cm="1">
        <f t="array" ref="AF427">INDEX($M$418:$BT$423,$B427,MATCH(AF$426,$M$417:$BT$417,0))</f>
        <v>-</v>
      </c>
      <c r="AG427" s="56" t="str" cm="1">
        <f t="array" ref="AG427">INDEX($M$418:$BT$423,$B427,MATCH(AG$426,$M$417:$BT$417,0))</f>
        <v>-</v>
      </c>
      <c r="AH427" s="56" t="str" cm="1">
        <f t="array" ref="AH427">INDEX($M$418:$BT$423,$B427,MATCH(AH$426,$M$417:$BT$417,0))</f>
        <v>-</v>
      </c>
      <c r="AI427" s="56" t="str" cm="1">
        <f t="array" ref="AI427">INDEX($M$418:$BT$423,$B427,MATCH(AI$426,$M$417:$BT$417,0))</f>
        <v>-</v>
      </c>
      <c r="AJ427" s="56" t="str" cm="1">
        <f t="array" ref="AJ427">INDEX($M$418:$BT$423,$B427,MATCH(AJ$426,$M$417:$BT$417,0))</f>
        <v>-</v>
      </c>
      <c r="AK427" s="56" t="str" cm="1">
        <f t="array" ref="AK427">INDEX($M$418:$BT$423,$B427,MATCH(AK$426,$M$417:$BT$417,0))</f>
        <v>-</v>
      </c>
      <c r="AL427" s="56" t="str" cm="1">
        <f t="array" ref="AL427">INDEX($M$418:$BT$423,$B427,MATCH(AL$426,$M$417:$BT$417,0))</f>
        <v>-</v>
      </c>
      <c r="AM427" s="56" t="str" cm="1">
        <f t="array" ref="AM427">INDEX($M$418:$BT$423,$B427,MATCH(AM$426,$M$417:$BT$417,0))</f>
        <v>-</v>
      </c>
      <c r="AN427" s="56" t="str" cm="1">
        <f t="array" ref="AN427">INDEX($M$418:$BT$423,$B427,MATCH(AN$426,$M$417:$BT$417,0))</f>
        <v>-</v>
      </c>
      <c r="AO427" s="56" t="str" cm="1">
        <f t="array" ref="AO427">INDEX($M$418:$BT$423,$B427,MATCH(AO$426,$M$417:$BT$417,0))</f>
        <v>-</v>
      </c>
      <c r="AP427" s="56" t="str" cm="1">
        <f t="array" ref="AP427">INDEX($M$418:$BT$423,$B427,MATCH(AP$426,$M$417:$BT$417,0))</f>
        <v>-</v>
      </c>
      <c r="AQ427" s="56" t="str" cm="1">
        <f t="array" ref="AQ427">INDEX($M$418:$BT$423,$B427,MATCH(AQ$426,$M$417:$BT$417,0))</f>
        <v>-</v>
      </c>
      <c r="AR427" s="56" t="str" cm="1">
        <f t="array" ref="AR427">INDEX($M$418:$BT$423,$B427,MATCH(AR$426,$M$417:$BT$417,0))</f>
        <v>-</v>
      </c>
      <c r="AS427" s="56" t="str" cm="1">
        <f t="array" ref="AS427">INDEX($M$418:$BT$423,$B427,MATCH(AS$426,$M$417:$BT$417,0))</f>
        <v>-</v>
      </c>
      <c r="AT427" s="56" t="str" cm="1">
        <f t="array" ref="AT427">INDEX($M$418:$BT$423,$B427,MATCH(AT$426,$M$417:$BT$417,0))</f>
        <v>-</v>
      </c>
      <c r="AU427" s="56" t="str" cm="1">
        <f t="array" ref="AU427">INDEX($M$418:$BT$423,$B427,MATCH(AU$426,$M$417:$BT$417,0))</f>
        <v>-</v>
      </c>
      <c r="AV427" s="56" t="str" cm="1">
        <f t="array" ref="AV427">INDEX($M$418:$BT$423,$B427,MATCH(AV$426,$M$417:$BT$417,0))</f>
        <v>-</v>
      </c>
      <c r="AW427" s="56" t="str" cm="1">
        <f t="array" ref="AW427">INDEX($M$418:$BT$423,$B427,MATCH(AW$426,$M$417:$BT$417,0))</f>
        <v>-</v>
      </c>
      <c r="AX427" s="56" t="str" cm="1">
        <f t="array" ref="AX427">INDEX($M$418:$BT$423,$B427,MATCH(AX$426,$M$417:$BT$417,0))</f>
        <v>-</v>
      </c>
      <c r="AY427" s="56" t="str" cm="1">
        <f t="array" ref="AY427">INDEX($M$418:$BT$423,$B427,MATCH(AY$426,$M$417:$BT$417,0))</f>
        <v>-</v>
      </c>
      <c r="AZ427" s="56" t="str" cm="1">
        <f t="array" ref="AZ427">INDEX($M$418:$BT$423,$B427,MATCH(AZ$426,$M$417:$BT$417,0))</f>
        <v>-</v>
      </c>
      <c r="BA427" s="56" t="str" cm="1">
        <f t="array" ref="BA427">INDEX($M$418:$BT$423,$B427,MATCH(BA$426,$M$417:$BT$417,0))</f>
        <v>-</v>
      </c>
      <c r="BB427" s="56" t="str" cm="1">
        <f t="array" ref="BB427">INDEX($M$418:$BT$423,$B427,MATCH(BB$426,$M$417:$BT$417,0))</f>
        <v>-</v>
      </c>
      <c r="BC427" s="56" t="str" cm="1">
        <f t="array" ref="BC427">INDEX($M$418:$BT$423,$B427,MATCH(BC$426,$M$417:$BT$417,0))</f>
        <v>-</v>
      </c>
      <c r="BD427" s="56" t="str" cm="1">
        <f t="array" ref="BD427">INDEX($M$418:$BT$423,$B427,MATCH(BD$426,$M$417:$BT$417,0))</f>
        <v>-</v>
      </c>
      <c r="BE427" s="56" t="str" cm="1">
        <f t="array" ref="BE427">INDEX($M$418:$BT$423,$B427,MATCH(BE$426,$M$417:$BT$417,0))</f>
        <v>-</v>
      </c>
      <c r="BF427" s="56" t="str" cm="1">
        <f t="array" ref="BF427">INDEX($M$418:$BT$423,$B427,MATCH(BF$426,$M$417:$BT$417,0))</f>
        <v>-</v>
      </c>
      <c r="BG427" s="56" t="str" cm="1">
        <f t="array" ref="BG427">INDEX($M$418:$BT$423,$B427,MATCH(BG$426,$M$417:$BT$417,0))</f>
        <v>-</v>
      </c>
      <c r="BH427" s="56" t="str" cm="1">
        <f t="array" ref="BH427">INDEX($M$418:$BT$423,$B427,MATCH(BH$426,$M$417:$BT$417,0))</f>
        <v>-</v>
      </c>
      <c r="BI427" s="56" t="str" cm="1">
        <f t="array" ref="BI427">INDEX($M$418:$BT$423,$B427,MATCH(BI$426,$M$417:$BT$417,0))</f>
        <v>-</v>
      </c>
      <c r="BJ427" s="56" t="str" cm="1">
        <f t="array" ref="BJ427">INDEX($M$418:$BT$423,$B427,MATCH(BJ$426,$M$417:$BT$417,0))</f>
        <v>-</v>
      </c>
      <c r="BK427" s="56" t="str" cm="1">
        <f t="array" ref="BK427">INDEX($M$418:$BT$423,$B427,MATCH(BK$426,$M$417:$BT$417,0))</f>
        <v>-</v>
      </c>
      <c r="BL427" s="56" t="str" cm="1">
        <f t="array" ref="BL427">INDEX($M$418:$BT$423,$B427,MATCH(BL$426,$M$417:$BT$417,0))</f>
        <v>-</v>
      </c>
      <c r="BM427" s="56" t="str" cm="1">
        <f t="array" ref="BM427">INDEX($M$418:$BT$423,$B427,MATCH(BM$426,$M$417:$BT$417,0))</f>
        <v>-</v>
      </c>
      <c r="BN427" s="56" t="str" cm="1">
        <f t="array" ref="BN427">INDEX($M$418:$BT$423,$B427,MATCH(BN$426,$M$417:$BT$417,0))</f>
        <v>-</v>
      </c>
      <c r="BO427" s="56" t="str" cm="1">
        <f t="array" ref="BO427">INDEX($M$418:$BT$423,$B427,MATCH(BO$426,$M$417:$BT$417,0))</f>
        <v>-</v>
      </c>
      <c r="BP427" s="56" t="str" cm="1">
        <f t="array" ref="BP427">INDEX($M$418:$BT$423,$B427,MATCH(BP$426,$M$417:$BT$417,0))</f>
        <v>-</v>
      </c>
      <c r="BQ427" s="56" t="str" cm="1">
        <f t="array" ref="BQ427">INDEX($M$418:$BT$423,$B427,MATCH(BQ$426,$M$417:$BT$417,0))</f>
        <v>-</v>
      </c>
      <c r="BR427" s="56" t="str" cm="1">
        <f t="array" ref="BR427">INDEX($M$418:$BT$423,$B427,MATCH(BR$426,$M$417:$BT$417,0))</f>
        <v>-</v>
      </c>
      <c r="BS427" s="56" t="str" cm="1">
        <f t="array" ref="BS427">INDEX($M$418:$BT$423,$B427,MATCH(BS$426,$M$417:$BT$417,0))</f>
        <v>-</v>
      </c>
      <c r="BT427" s="56" t="str" cm="1">
        <f t="array" ref="BT427">INDEX($M$418:$BT$423,$B427,MATCH(BT$426,$M$417:$BT$417,0))</f>
        <v>-</v>
      </c>
      <c r="BU427" s="56" t="str" cm="1">
        <f t="array" ref="BU427">INDEX($M$418:$BT$423,$B427,MATCH(BU$426,$M$417:$BT$417,0))</f>
        <v>-</v>
      </c>
      <c r="BV427" s="56" t="str" cm="1">
        <f t="array" ref="BV427">INDEX($M$418:$BT$423,$B427,MATCH(BV$426,$M$417:$BT$417,0))</f>
        <v>-</v>
      </c>
      <c r="BW427" s="56" t="str" cm="1">
        <f t="array" ref="BW427">INDEX($M$418:$BT$423,$B427,MATCH(BW$426,$M$417:$BT$417,0))</f>
        <v>-</v>
      </c>
      <c r="BX427" s="49"/>
      <c r="BY427" s="49"/>
      <c r="BZ427" s="49"/>
      <c r="CA427" s="49"/>
      <c r="CB427" s="49"/>
    </row>
    <row r="428" spans="2:80" ht="15" customHeight="1" x14ac:dyDescent="0.2">
      <c r="B428" s="214">
        <v>2</v>
      </c>
      <c r="C428" s="214"/>
      <c r="D428" s="214"/>
      <c r="E428" s="218" t="str">
        <f>$E$326</f>
        <v>Operational Performance</v>
      </c>
      <c r="F428" s="218"/>
      <c r="G428" s="218"/>
      <c r="H428" s="218"/>
      <c r="I428" s="218"/>
      <c r="J428" s="218"/>
      <c r="K428" s="218"/>
      <c r="L428" s="218"/>
      <c r="M428" s="220">
        <f>$M$326</f>
        <v>3</v>
      </c>
      <c r="N428" s="220"/>
      <c r="O428" s="220"/>
      <c r="P428" s="220"/>
      <c r="Q428" s="220">
        <f>$Q$326</f>
        <v>3</v>
      </c>
      <c r="R428" s="220"/>
      <c r="S428" s="220"/>
      <c r="T428" s="220"/>
      <c r="U428" s="56" t="str" cm="1">
        <f t="array" ref="U428">INDEX($M$418:$BT$423,$B428,MATCH(U$426,$M$417:$BT$417,0))</f>
        <v>0 Spillway Gates Inoperable</v>
      </c>
      <c r="V428" s="56" t="str" cm="1">
        <f t="array" ref="V428">INDEX($M$418:$BT$423,$B428,MATCH(V$426,$M$417:$BT$417,0))</f>
        <v>-</v>
      </c>
      <c r="W428" s="56" t="str" cm="1">
        <f t="array" ref="W428">INDEX($M$418:$BT$423,$B428,MATCH(W$426,$M$417:$BT$417,0))</f>
        <v>-</v>
      </c>
      <c r="X428" s="56" t="str" cm="1">
        <f t="array" ref="X428">INDEX($M$418:$BT$423,$B428,MATCH(X$426,$M$417:$BT$417,0))</f>
        <v>1 Spillway Gate Inoperable</v>
      </c>
      <c r="Y428" s="56" t="str" cm="1">
        <f t="array" ref="Y428">INDEX($M$418:$BT$423,$B428,MATCH(Y$426,$M$417:$BT$417,0))</f>
        <v>-</v>
      </c>
      <c r="Z428" s="56" t="str" cm="1">
        <f t="array" ref="Z428">INDEX($M$418:$BT$423,$B428,MATCH(Z$426,$M$417:$BT$417,0))</f>
        <v>-</v>
      </c>
      <c r="AA428" s="56" t="str" cm="1">
        <f t="array" ref="AA428">INDEX($M$418:$BT$423,$B428,MATCH(AA$426,$M$417:$BT$417,0))</f>
        <v>2 Spillway Gates Inoperable</v>
      </c>
      <c r="AB428" s="56" t="str" cm="1">
        <f t="array" ref="AB428">INDEX($M$418:$BT$423,$B428,MATCH(AB$426,$M$417:$BT$417,0))</f>
        <v>-</v>
      </c>
      <c r="AC428" s="56" t="str" cm="1">
        <f t="array" ref="AC428">INDEX($M$418:$BT$423,$B428,MATCH(AC$426,$M$417:$BT$417,0))</f>
        <v>-</v>
      </c>
      <c r="AD428" s="56" t="str" cm="1">
        <f t="array" ref="AD428">INDEX($M$418:$BT$423,$B428,MATCH(AD$426,$M$417:$BT$417,0))</f>
        <v>-</v>
      </c>
      <c r="AE428" s="56" t="str" cm="1">
        <f t="array" ref="AE428">INDEX($M$418:$BT$423,$B428,MATCH(AE$426,$M$417:$BT$417,0))</f>
        <v>-</v>
      </c>
      <c r="AF428" s="56" t="str" cm="1">
        <f t="array" ref="AF428">INDEX($M$418:$BT$423,$B428,MATCH(AF$426,$M$417:$BT$417,0))</f>
        <v>-</v>
      </c>
      <c r="AG428" s="56" t="str" cm="1">
        <f t="array" ref="AG428">INDEX($M$418:$BT$423,$B428,MATCH(AG$426,$M$417:$BT$417,0))</f>
        <v>-</v>
      </c>
      <c r="AH428" s="56" t="str" cm="1">
        <f t="array" ref="AH428">INDEX($M$418:$BT$423,$B428,MATCH(AH$426,$M$417:$BT$417,0))</f>
        <v>-</v>
      </c>
      <c r="AI428" s="56" t="str" cm="1">
        <f t="array" ref="AI428">INDEX($M$418:$BT$423,$B428,MATCH(AI$426,$M$417:$BT$417,0))</f>
        <v>-</v>
      </c>
      <c r="AJ428" s="56" t="str" cm="1">
        <f t="array" ref="AJ428">INDEX($M$418:$BT$423,$B428,MATCH(AJ$426,$M$417:$BT$417,0))</f>
        <v>-</v>
      </c>
      <c r="AK428" s="56" t="str" cm="1">
        <f t="array" ref="AK428">INDEX($M$418:$BT$423,$B428,MATCH(AK$426,$M$417:$BT$417,0))</f>
        <v>-</v>
      </c>
      <c r="AL428" s="56" t="str" cm="1">
        <f t="array" ref="AL428">INDEX($M$418:$BT$423,$B428,MATCH(AL$426,$M$417:$BT$417,0))</f>
        <v>-</v>
      </c>
      <c r="AM428" s="56" t="str" cm="1">
        <f t="array" ref="AM428">INDEX($M$418:$BT$423,$B428,MATCH(AM$426,$M$417:$BT$417,0))</f>
        <v>-</v>
      </c>
      <c r="AN428" s="56" t="str" cm="1">
        <f t="array" ref="AN428">INDEX($M$418:$BT$423,$B428,MATCH(AN$426,$M$417:$BT$417,0))</f>
        <v>-</v>
      </c>
      <c r="AO428" s="56" t="str" cm="1">
        <f t="array" ref="AO428">INDEX($M$418:$BT$423,$B428,MATCH(AO$426,$M$417:$BT$417,0))</f>
        <v>-</v>
      </c>
      <c r="AP428" s="56" t="str" cm="1">
        <f t="array" ref="AP428">INDEX($M$418:$BT$423,$B428,MATCH(AP$426,$M$417:$BT$417,0))</f>
        <v>-</v>
      </c>
      <c r="AQ428" s="56" t="str" cm="1">
        <f t="array" ref="AQ428">INDEX($M$418:$BT$423,$B428,MATCH(AQ$426,$M$417:$BT$417,0))</f>
        <v>-</v>
      </c>
      <c r="AR428" s="56" t="str" cm="1">
        <f t="array" ref="AR428">INDEX($M$418:$BT$423,$B428,MATCH(AR$426,$M$417:$BT$417,0))</f>
        <v>-</v>
      </c>
      <c r="AS428" s="56" t="str" cm="1">
        <f t="array" ref="AS428">INDEX($M$418:$BT$423,$B428,MATCH(AS$426,$M$417:$BT$417,0))</f>
        <v>-</v>
      </c>
      <c r="AT428" s="56" t="str" cm="1">
        <f t="array" ref="AT428">INDEX($M$418:$BT$423,$B428,MATCH(AT$426,$M$417:$BT$417,0))</f>
        <v>-</v>
      </c>
      <c r="AU428" s="56" t="str" cm="1">
        <f t="array" ref="AU428">INDEX($M$418:$BT$423,$B428,MATCH(AU$426,$M$417:$BT$417,0))</f>
        <v>-</v>
      </c>
      <c r="AV428" s="56" t="str" cm="1">
        <f t="array" ref="AV428">INDEX($M$418:$BT$423,$B428,MATCH(AV$426,$M$417:$BT$417,0))</f>
        <v>-</v>
      </c>
      <c r="AW428" s="56" t="str" cm="1">
        <f t="array" ref="AW428">INDEX($M$418:$BT$423,$B428,MATCH(AW$426,$M$417:$BT$417,0))</f>
        <v>-</v>
      </c>
      <c r="AX428" s="56" t="str" cm="1">
        <f t="array" ref="AX428">INDEX($M$418:$BT$423,$B428,MATCH(AX$426,$M$417:$BT$417,0))</f>
        <v>-</v>
      </c>
      <c r="AY428" s="56" t="str" cm="1">
        <f t="array" ref="AY428">INDEX($M$418:$BT$423,$B428,MATCH(AY$426,$M$417:$BT$417,0))</f>
        <v>-</v>
      </c>
      <c r="AZ428" s="56" t="str" cm="1">
        <f t="array" ref="AZ428">INDEX($M$418:$BT$423,$B428,MATCH(AZ$426,$M$417:$BT$417,0))</f>
        <v>-</v>
      </c>
      <c r="BA428" s="56" t="str" cm="1">
        <f t="array" ref="BA428">INDEX($M$418:$BT$423,$B428,MATCH(BA$426,$M$417:$BT$417,0))</f>
        <v>-</v>
      </c>
      <c r="BB428" s="56" t="str" cm="1">
        <f t="array" ref="BB428">INDEX($M$418:$BT$423,$B428,MATCH(BB$426,$M$417:$BT$417,0))</f>
        <v>-</v>
      </c>
      <c r="BC428" s="56" t="str" cm="1">
        <f t="array" ref="BC428">INDEX($M$418:$BT$423,$B428,MATCH(BC$426,$M$417:$BT$417,0))</f>
        <v>-</v>
      </c>
      <c r="BD428" s="56" t="str" cm="1">
        <f t="array" ref="BD428">INDEX($M$418:$BT$423,$B428,MATCH(BD$426,$M$417:$BT$417,0))</f>
        <v>-</v>
      </c>
      <c r="BE428" s="56" t="str" cm="1">
        <f t="array" ref="BE428">INDEX($M$418:$BT$423,$B428,MATCH(BE$426,$M$417:$BT$417,0))</f>
        <v>-</v>
      </c>
      <c r="BF428" s="56" t="str" cm="1">
        <f t="array" ref="BF428">INDEX($M$418:$BT$423,$B428,MATCH(BF$426,$M$417:$BT$417,0))</f>
        <v>-</v>
      </c>
      <c r="BG428" s="56" t="str" cm="1">
        <f t="array" ref="BG428">INDEX($M$418:$BT$423,$B428,MATCH(BG$426,$M$417:$BT$417,0))</f>
        <v>-</v>
      </c>
      <c r="BH428" s="56" t="str" cm="1">
        <f t="array" ref="BH428">INDEX($M$418:$BT$423,$B428,MATCH(BH$426,$M$417:$BT$417,0))</f>
        <v>-</v>
      </c>
      <c r="BI428" s="56" t="str" cm="1">
        <f t="array" ref="BI428">INDEX($M$418:$BT$423,$B428,MATCH(BI$426,$M$417:$BT$417,0))</f>
        <v>-</v>
      </c>
      <c r="BJ428" s="56" t="str" cm="1">
        <f t="array" ref="BJ428">INDEX($M$418:$BT$423,$B428,MATCH(BJ$426,$M$417:$BT$417,0))</f>
        <v>-</v>
      </c>
      <c r="BK428" s="56" t="str" cm="1">
        <f t="array" ref="BK428">INDEX($M$418:$BT$423,$B428,MATCH(BK$426,$M$417:$BT$417,0))</f>
        <v>-</v>
      </c>
      <c r="BL428" s="56" t="str" cm="1">
        <f t="array" ref="BL428">INDEX($M$418:$BT$423,$B428,MATCH(BL$426,$M$417:$BT$417,0))</f>
        <v>-</v>
      </c>
      <c r="BM428" s="56" t="str" cm="1">
        <f t="array" ref="BM428">INDEX($M$418:$BT$423,$B428,MATCH(BM$426,$M$417:$BT$417,0))</f>
        <v>-</v>
      </c>
      <c r="BN428" s="56" t="str" cm="1">
        <f t="array" ref="BN428">INDEX($M$418:$BT$423,$B428,MATCH(BN$426,$M$417:$BT$417,0))</f>
        <v>-</v>
      </c>
      <c r="BO428" s="56" t="str" cm="1">
        <f t="array" ref="BO428">INDEX($M$418:$BT$423,$B428,MATCH(BO$426,$M$417:$BT$417,0))</f>
        <v>-</v>
      </c>
      <c r="BP428" s="56" t="str" cm="1">
        <f t="array" ref="BP428">INDEX($M$418:$BT$423,$B428,MATCH(BP$426,$M$417:$BT$417,0))</f>
        <v>-</v>
      </c>
      <c r="BQ428" s="56" t="str" cm="1">
        <f t="array" ref="BQ428">INDEX($M$418:$BT$423,$B428,MATCH(BQ$426,$M$417:$BT$417,0))</f>
        <v>-</v>
      </c>
      <c r="BR428" s="56" t="str" cm="1">
        <f t="array" ref="BR428">INDEX($M$418:$BT$423,$B428,MATCH(BR$426,$M$417:$BT$417,0))</f>
        <v>-</v>
      </c>
      <c r="BS428" s="56" t="str" cm="1">
        <f t="array" ref="BS428">INDEX($M$418:$BT$423,$B428,MATCH(BS$426,$M$417:$BT$417,0))</f>
        <v>-</v>
      </c>
      <c r="BT428" s="56" t="str" cm="1">
        <f t="array" ref="BT428">INDEX($M$418:$BT$423,$B428,MATCH(BT$426,$M$417:$BT$417,0))</f>
        <v>-</v>
      </c>
      <c r="BU428" s="56" t="str" cm="1">
        <f t="array" ref="BU428">INDEX($M$418:$BT$423,$B428,MATCH(BU$426,$M$417:$BT$417,0))</f>
        <v>-</v>
      </c>
      <c r="BV428" s="56" t="str" cm="1">
        <f t="array" ref="BV428">INDEX($M$418:$BT$423,$B428,MATCH(BV$426,$M$417:$BT$417,0))</f>
        <v>-</v>
      </c>
      <c r="BW428" s="56" t="str" cm="1">
        <f t="array" ref="BW428">INDEX($M$418:$BT$423,$B428,MATCH(BW$426,$M$417:$BT$417,0))</f>
        <v>-</v>
      </c>
      <c r="BX428" s="49"/>
      <c r="BY428" s="49"/>
      <c r="BZ428" s="49"/>
      <c r="CA428" s="49"/>
      <c r="CB428" s="49"/>
    </row>
    <row r="429" spans="2:80" ht="15" customHeight="1" x14ac:dyDescent="0.2">
      <c r="B429" s="214">
        <v>3</v>
      </c>
      <c r="C429" s="214"/>
      <c r="D429" s="214"/>
      <c r="E429" s="218" t="str">
        <f>$E$327</f>
        <v>Transform</v>
      </c>
      <c r="F429" s="218"/>
      <c r="G429" s="218"/>
      <c r="H429" s="218"/>
      <c r="I429" s="218"/>
      <c r="J429" s="218"/>
      <c r="K429" s="218"/>
      <c r="L429" s="218"/>
      <c r="M429" s="220">
        <f>$M$327</f>
        <v>3</v>
      </c>
      <c r="N429" s="220"/>
      <c r="O429" s="220"/>
      <c r="P429" s="220"/>
      <c r="Q429" s="220">
        <f>$Q$327</f>
        <v>9</v>
      </c>
      <c r="R429" s="220"/>
      <c r="S429" s="220"/>
      <c r="T429" s="220"/>
      <c r="U429" s="56" t="str" cm="1">
        <f t="array" ref="U429">INDEX($M$418:$BT$423,$B429,MATCH(U$426,$M$417:$BT$417,0))</f>
        <v>100% Reliable Stage to Gates Inoperable Stage</v>
      </c>
      <c r="V429" s="56" t="str" cm="1">
        <f t="array" ref="V429">INDEX($M$418:$BT$423,$B429,MATCH(V$426,$M$417:$BT$417,0))</f>
        <v>100% Reliable Stage to Gates Inoperable Overtopping Depth</v>
      </c>
      <c r="W429" s="56" t="str" cm="1">
        <f t="array" ref="W429">INDEX($M$418:$BT$423,$B429,MATCH(W$426,$M$417:$BT$417,0))</f>
        <v>100% Reliable Stage to Gates Inoperable Stage</v>
      </c>
      <c r="X429" s="56" t="str" cm="1">
        <f t="array" ref="X429">INDEX($M$418:$BT$423,$B429,MATCH(X$426,$M$417:$BT$417,0))</f>
        <v>-</v>
      </c>
      <c r="Y429" s="56" t="str" cm="1">
        <f t="array" ref="Y429">INDEX($M$418:$BT$423,$B429,MATCH(Y$426,$M$417:$BT$417,0))</f>
        <v>-</v>
      </c>
      <c r="Z429" s="56" t="str" cm="1">
        <f t="array" ref="Z429">INDEX($M$418:$BT$423,$B429,MATCH(Z$426,$M$417:$BT$417,0))</f>
        <v>-</v>
      </c>
      <c r="AA429" s="56" t="str" cm="1">
        <f t="array" ref="AA429">INDEX($M$418:$BT$423,$B429,MATCH(AA$426,$M$417:$BT$417,0))</f>
        <v>-</v>
      </c>
      <c r="AB429" s="56" t="str" cm="1">
        <f t="array" ref="AB429">INDEX($M$418:$BT$423,$B429,MATCH(AB$426,$M$417:$BT$417,0))</f>
        <v>-</v>
      </c>
      <c r="AC429" s="56" t="str" cm="1">
        <f t="array" ref="AC429">INDEX($M$418:$BT$423,$B429,MATCH(AC$426,$M$417:$BT$417,0))</f>
        <v>-</v>
      </c>
      <c r="AD429" s="56" t="str" cm="1">
        <f t="array" ref="AD429">INDEX($M$418:$BT$423,$B429,MATCH(AD$426,$M$417:$BT$417,0))</f>
        <v>-</v>
      </c>
      <c r="AE429" s="56" t="str" cm="1">
        <f t="array" ref="AE429">INDEX($M$418:$BT$423,$B429,MATCH(AE$426,$M$417:$BT$417,0))</f>
        <v>-</v>
      </c>
      <c r="AF429" s="56" t="str" cm="1">
        <f t="array" ref="AF429">INDEX($M$418:$BT$423,$B429,MATCH(AF$426,$M$417:$BT$417,0))</f>
        <v>-</v>
      </c>
      <c r="AG429" s="56" t="str" cm="1">
        <f t="array" ref="AG429">INDEX($M$418:$BT$423,$B429,MATCH(AG$426,$M$417:$BT$417,0))</f>
        <v>-</v>
      </c>
      <c r="AH429" s="56" t="str" cm="1">
        <f t="array" ref="AH429">INDEX($M$418:$BT$423,$B429,MATCH(AH$426,$M$417:$BT$417,0))</f>
        <v>-</v>
      </c>
      <c r="AI429" s="56" t="str" cm="1">
        <f t="array" ref="AI429">INDEX($M$418:$BT$423,$B429,MATCH(AI$426,$M$417:$BT$417,0))</f>
        <v>-</v>
      </c>
      <c r="AJ429" s="56" t="str" cm="1">
        <f t="array" ref="AJ429">INDEX($M$418:$BT$423,$B429,MATCH(AJ$426,$M$417:$BT$417,0))</f>
        <v>-</v>
      </c>
      <c r="AK429" s="56" t="str" cm="1">
        <f t="array" ref="AK429">INDEX($M$418:$BT$423,$B429,MATCH(AK$426,$M$417:$BT$417,0))</f>
        <v>-</v>
      </c>
      <c r="AL429" s="56" t="str" cm="1">
        <f t="array" ref="AL429">INDEX($M$418:$BT$423,$B429,MATCH(AL$426,$M$417:$BT$417,0))</f>
        <v>-</v>
      </c>
      <c r="AM429" s="56" t="str" cm="1">
        <f t="array" ref="AM429">INDEX($M$418:$BT$423,$B429,MATCH(AM$426,$M$417:$BT$417,0))</f>
        <v>-</v>
      </c>
      <c r="AN429" s="56" t="str" cm="1">
        <f t="array" ref="AN429">INDEX($M$418:$BT$423,$B429,MATCH(AN$426,$M$417:$BT$417,0))</f>
        <v>-</v>
      </c>
      <c r="AO429" s="56" t="str" cm="1">
        <f t="array" ref="AO429">INDEX($M$418:$BT$423,$B429,MATCH(AO$426,$M$417:$BT$417,0))</f>
        <v>-</v>
      </c>
      <c r="AP429" s="56" t="str" cm="1">
        <f t="array" ref="AP429">INDEX($M$418:$BT$423,$B429,MATCH(AP$426,$M$417:$BT$417,0))</f>
        <v>-</v>
      </c>
      <c r="AQ429" s="56" t="str" cm="1">
        <f t="array" ref="AQ429">INDEX($M$418:$BT$423,$B429,MATCH(AQ$426,$M$417:$BT$417,0))</f>
        <v>-</v>
      </c>
      <c r="AR429" s="56" t="str" cm="1">
        <f t="array" ref="AR429">INDEX($M$418:$BT$423,$B429,MATCH(AR$426,$M$417:$BT$417,0))</f>
        <v>-</v>
      </c>
      <c r="AS429" s="56" t="str" cm="1">
        <f t="array" ref="AS429">INDEX($M$418:$BT$423,$B429,MATCH(AS$426,$M$417:$BT$417,0))</f>
        <v>-</v>
      </c>
      <c r="AT429" s="56" t="str" cm="1">
        <f t="array" ref="AT429">INDEX($M$418:$BT$423,$B429,MATCH(AT$426,$M$417:$BT$417,0))</f>
        <v>-</v>
      </c>
      <c r="AU429" s="56" t="str" cm="1">
        <f t="array" ref="AU429">INDEX($M$418:$BT$423,$B429,MATCH(AU$426,$M$417:$BT$417,0))</f>
        <v>-</v>
      </c>
      <c r="AV429" s="56" t="str" cm="1">
        <f t="array" ref="AV429">INDEX($M$418:$BT$423,$B429,MATCH(AV$426,$M$417:$BT$417,0))</f>
        <v>-</v>
      </c>
      <c r="AW429" s="56" t="str" cm="1">
        <f t="array" ref="AW429">INDEX($M$418:$BT$423,$B429,MATCH(AW$426,$M$417:$BT$417,0))</f>
        <v>-</v>
      </c>
      <c r="AX429" s="56" t="str" cm="1">
        <f t="array" ref="AX429">INDEX($M$418:$BT$423,$B429,MATCH(AX$426,$M$417:$BT$417,0))</f>
        <v>-</v>
      </c>
      <c r="AY429" s="56" t="str" cm="1">
        <f t="array" ref="AY429">INDEX($M$418:$BT$423,$B429,MATCH(AY$426,$M$417:$BT$417,0))</f>
        <v>-</v>
      </c>
      <c r="AZ429" s="56" t="str" cm="1">
        <f t="array" ref="AZ429">INDEX($M$418:$BT$423,$B429,MATCH(AZ$426,$M$417:$BT$417,0))</f>
        <v>-</v>
      </c>
      <c r="BA429" s="56" t="str" cm="1">
        <f t="array" ref="BA429">INDEX($M$418:$BT$423,$B429,MATCH(BA$426,$M$417:$BT$417,0))</f>
        <v>-</v>
      </c>
      <c r="BB429" s="56" t="str" cm="1">
        <f t="array" ref="BB429">INDEX($M$418:$BT$423,$B429,MATCH(BB$426,$M$417:$BT$417,0))</f>
        <v>-</v>
      </c>
      <c r="BC429" s="56" t="str" cm="1">
        <f t="array" ref="BC429">INDEX($M$418:$BT$423,$B429,MATCH(BC$426,$M$417:$BT$417,0))</f>
        <v>-</v>
      </c>
      <c r="BD429" s="56" t="str" cm="1">
        <f t="array" ref="BD429">INDEX($M$418:$BT$423,$B429,MATCH(BD$426,$M$417:$BT$417,0))</f>
        <v>-</v>
      </c>
      <c r="BE429" s="56" t="str" cm="1">
        <f t="array" ref="BE429">INDEX($M$418:$BT$423,$B429,MATCH(BE$426,$M$417:$BT$417,0))</f>
        <v>-</v>
      </c>
      <c r="BF429" s="56" t="str" cm="1">
        <f t="array" ref="BF429">INDEX($M$418:$BT$423,$B429,MATCH(BF$426,$M$417:$BT$417,0))</f>
        <v>-</v>
      </c>
      <c r="BG429" s="56" t="str" cm="1">
        <f t="array" ref="BG429">INDEX($M$418:$BT$423,$B429,MATCH(BG$426,$M$417:$BT$417,0))</f>
        <v>-</v>
      </c>
      <c r="BH429" s="56" t="str" cm="1">
        <f t="array" ref="BH429">INDEX($M$418:$BT$423,$B429,MATCH(BH$426,$M$417:$BT$417,0))</f>
        <v>-</v>
      </c>
      <c r="BI429" s="56" t="str" cm="1">
        <f t="array" ref="BI429">INDEX($M$418:$BT$423,$B429,MATCH(BI$426,$M$417:$BT$417,0))</f>
        <v>-</v>
      </c>
      <c r="BJ429" s="56" t="str" cm="1">
        <f t="array" ref="BJ429">INDEX($M$418:$BT$423,$B429,MATCH(BJ$426,$M$417:$BT$417,0))</f>
        <v>-</v>
      </c>
      <c r="BK429" s="56" t="str" cm="1">
        <f t="array" ref="BK429">INDEX($M$418:$BT$423,$B429,MATCH(BK$426,$M$417:$BT$417,0))</f>
        <v>-</v>
      </c>
      <c r="BL429" s="56" t="str" cm="1">
        <f t="array" ref="BL429">INDEX($M$418:$BT$423,$B429,MATCH(BL$426,$M$417:$BT$417,0))</f>
        <v>-</v>
      </c>
      <c r="BM429" s="56" t="str" cm="1">
        <f t="array" ref="BM429">INDEX($M$418:$BT$423,$B429,MATCH(BM$426,$M$417:$BT$417,0))</f>
        <v>-</v>
      </c>
      <c r="BN429" s="56" t="str" cm="1">
        <f t="array" ref="BN429">INDEX($M$418:$BT$423,$B429,MATCH(BN$426,$M$417:$BT$417,0))</f>
        <v>-</v>
      </c>
      <c r="BO429" s="56" t="str" cm="1">
        <f t="array" ref="BO429">INDEX($M$418:$BT$423,$B429,MATCH(BO$426,$M$417:$BT$417,0))</f>
        <v>-</v>
      </c>
      <c r="BP429" s="56" t="str" cm="1">
        <f t="array" ref="BP429">INDEX($M$418:$BT$423,$B429,MATCH(BP$426,$M$417:$BT$417,0))</f>
        <v>-</v>
      </c>
      <c r="BQ429" s="56" t="str" cm="1">
        <f t="array" ref="BQ429">INDEX($M$418:$BT$423,$B429,MATCH(BQ$426,$M$417:$BT$417,0))</f>
        <v>-</v>
      </c>
      <c r="BR429" s="56" t="str" cm="1">
        <f t="array" ref="BR429">INDEX($M$418:$BT$423,$B429,MATCH(BR$426,$M$417:$BT$417,0))</f>
        <v>-</v>
      </c>
      <c r="BS429" s="56" t="str" cm="1">
        <f t="array" ref="BS429">INDEX($M$418:$BT$423,$B429,MATCH(BS$426,$M$417:$BT$417,0))</f>
        <v>-</v>
      </c>
      <c r="BT429" s="56" t="str" cm="1">
        <f t="array" ref="BT429">INDEX($M$418:$BT$423,$B429,MATCH(BT$426,$M$417:$BT$417,0))</f>
        <v>-</v>
      </c>
      <c r="BU429" s="56" t="str" cm="1">
        <f t="array" ref="BU429">INDEX($M$418:$BT$423,$B429,MATCH(BU$426,$M$417:$BT$417,0))</f>
        <v>-</v>
      </c>
      <c r="BV429" s="56" t="str" cm="1">
        <f t="array" ref="BV429">INDEX($M$418:$BT$423,$B429,MATCH(BV$426,$M$417:$BT$417,0))</f>
        <v>-</v>
      </c>
      <c r="BW429" s="56" t="str" cm="1">
        <f t="array" ref="BW429">INDEX($M$418:$BT$423,$B429,MATCH(BW$426,$M$417:$BT$417,0))</f>
        <v>-</v>
      </c>
      <c r="BX429" s="49"/>
      <c r="BY429" s="49"/>
      <c r="BZ429" s="49"/>
      <c r="CA429" s="49"/>
      <c r="CB429" s="49"/>
    </row>
    <row r="430" spans="2:80" ht="15" customHeight="1" x14ac:dyDescent="0.2">
      <c r="B430" s="214">
        <v>4</v>
      </c>
      <c r="C430" s="214"/>
      <c r="D430" s="214"/>
      <c r="E430" s="218" t="str">
        <f>$E$328</f>
        <v>System Response</v>
      </c>
      <c r="F430" s="218"/>
      <c r="G430" s="218"/>
      <c r="H430" s="218"/>
      <c r="I430" s="218"/>
      <c r="J430" s="218"/>
      <c r="K430" s="218"/>
      <c r="L430" s="218"/>
      <c r="M430" s="220">
        <f>$M$328</f>
        <v>1</v>
      </c>
      <c r="N430" s="220"/>
      <c r="O430" s="220"/>
      <c r="P430" s="220"/>
      <c r="Q430" s="220">
        <f>$Q$328</f>
        <v>9</v>
      </c>
      <c r="R430" s="220"/>
      <c r="S430" s="220"/>
      <c r="T430" s="220"/>
      <c r="U430" s="56" t="str" cm="1">
        <f t="array" ref="U430">INDEX($M$418:$BT$423,$B430,MATCH(U$426,$M$417:$BT$417,0))</f>
        <v>Non-Fail</v>
      </c>
      <c r="V430" s="56" t="str" cm="1">
        <f t="array" ref="V430">INDEX($M$418:$BT$423,$B430,MATCH(V$426,$M$417:$BT$417,0))</f>
        <v>PFM 1
Overtopping</v>
      </c>
      <c r="W430" s="56" t="str" cm="1">
        <f t="array" ref="W430">INDEX($M$418:$BT$423,$B430,MATCH(W$426,$M$417:$BT$417,0))</f>
        <v>PFM 2
Backward Erosion Piping</v>
      </c>
      <c r="X430" s="56" t="str" cm="1">
        <f t="array" ref="X430">INDEX($M$418:$BT$423,$B430,MATCH(X$426,$M$417:$BT$417,0))</f>
        <v>-</v>
      </c>
      <c r="Y430" s="56" t="str" cm="1">
        <f t="array" ref="Y430">INDEX($M$418:$BT$423,$B430,MATCH(Y$426,$M$417:$BT$417,0))</f>
        <v>-</v>
      </c>
      <c r="Z430" s="56" t="str" cm="1">
        <f t="array" ref="Z430">INDEX($M$418:$BT$423,$B430,MATCH(Z$426,$M$417:$BT$417,0))</f>
        <v>-</v>
      </c>
      <c r="AA430" s="56" t="str" cm="1">
        <f t="array" ref="AA430">INDEX($M$418:$BT$423,$B430,MATCH(AA$426,$M$417:$BT$417,0))</f>
        <v>-</v>
      </c>
      <c r="AB430" s="56" t="str" cm="1">
        <f t="array" ref="AB430">INDEX($M$418:$BT$423,$B430,MATCH(AB$426,$M$417:$BT$417,0))</f>
        <v>-</v>
      </c>
      <c r="AC430" s="56" t="str" cm="1">
        <f t="array" ref="AC430">INDEX($M$418:$BT$423,$B430,MATCH(AC$426,$M$417:$BT$417,0))</f>
        <v>-</v>
      </c>
      <c r="AD430" s="56" t="str" cm="1">
        <f t="array" ref="AD430">INDEX($M$418:$BT$423,$B430,MATCH(AD$426,$M$417:$BT$417,0))</f>
        <v>-</v>
      </c>
      <c r="AE430" s="56" t="str" cm="1">
        <f t="array" ref="AE430">INDEX($M$418:$BT$423,$B430,MATCH(AE$426,$M$417:$BT$417,0))</f>
        <v>-</v>
      </c>
      <c r="AF430" s="56" t="str" cm="1">
        <f t="array" ref="AF430">INDEX($M$418:$BT$423,$B430,MATCH(AF$426,$M$417:$BT$417,0))</f>
        <v>-</v>
      </c>
      <c r="AG430" s="56" t="str" cm="1">
        <f t="array" ref="AG430">INDEX($M$418:$BT$423,$B430,MATCH(AG$426,$M$417:$BT$417,0))</f>
        <v>-</v>
      </c>
      <c r="AH430" s="56" t="str" cm="1">
        <f t="array" ref="AH430">INDEX($M$418:$BT$423,$B430,MATCH(AH$426,$M$417:$BT$417,0))</f>
        <v>-</v>
      </c>
      <c r="AI430" s="56" t="str" cm="1">
        <f t="array" ref="AI430">INDEX($M$418:$BT$423,$B430,MATCH(AI$426,$M$417:$BT$417,0))</f>
        <v>-</v>
      </c>
      <c r="AJ430" s="56" t="str" cm="1">
        <f t="array" ref="AJ430">INDEX($M$418:$BT$423,$B430,MATCH(AJ$426,$M$417:$BT$417,0))</f>
        <v>-</v>
      </c>
      <c r="AK430" s="56" t="str" cm="1">
        <f t="array" ref="AK430">INDEX($M$418:$BT$423,$B430,MATCH(AK$426,$M$417:$BT$417,0))</f>
        <v>-</v>
      </c>
      <c r="AL430" s="56" t="str" cm="1">
        <f t="array" ref="AL430">INDEX($M$418:$BT$423,$B430,MATCH(AL$426,$M$417:$BT$417,0))</f>
        <v>-</v>
      </c>
      <c r="AM430" s="56" t="str" cm="1">
        <f t="array" ref="AM430">INDEX($M$418:$BT$423,$B430,MATCH(AM$426,$M$417:$BT$417,0))</f>
        <v>-</v>
      </c>
      <c r="AN430" s="56" t="str" cm="1">
        <f t="array" ref="AN430">INDEX($M$418:$BT$423,$B430,MATCH(AN$426,$M$417:$BT$417,0))</f>
        <v>-</v>
      </c>
      <c r="AO430" s="56" t="str" cm="1">
        <f t="array" ref="AO430">INDEX($M$418:$BT$423,$B430,MATCH(AO$426,$M$417:$BT$417,0))</f>
        <v>-</v>
      </c>
      <c r="AP430" s="56" t="str" cm="1">
        <f t="array" ref="AP430">INDEX($M$418:$BT$423,$B430,MATCH(AP$426,$M$417:$BT$417,0))</f>
        <v>-</v>
      </c>
      <c r="AQ430" s="56" t="str" cm="1">
        <f t="array" ref="AQ430">INDEX($M$418:$BT$423,$B430,MATCH(AQ$426,$M$417:$BT$417,0))</f>
        <v>-</v>
      </c>
      <c r="AR430" s="56" t="str" cm="1">
        <f t="array" ref="AR430">INDEX($M$418:$BT$423,$B430,MATCH(AR$426,$M$417:$BT$417,0))</f>
        <v>-</v>
      </c>
      <c r="AS430" s="56" t="str" cm="1">
        <f t="array" ref="AS430">INDEX($M$418:$BT$423,$B430,MATCH(AS$426,$M$417:$BT$417,0))</f>
        <v>-</v>
      </c>
      <c r="AT430" s="56" t="str" cm="1">
        <f t="array" ref="AT430">INDEX($M$418:$BT$423,$B430,MATCH(AT$426,$M$417:$BT$417,0))</f>
        <v>-</v>
      </c>
      <c r="AU430" s="56" t="str" cm="1">
        <f t="array" ref="AU430">INDEX($M$418:$BT$423,$B430,MATCH(AU$426,$M$417:$BT$417,0))</f>
        <v>-</v>
      </c>
      <c r="AV430" s="56" t="str" cm="1">
        <f t="array" ref="AV430">INDEX($M$418:$BT$423,$B430,MATCH(AV$426,$M$417:$BT$417,0))</f>
        <v>-</v>
      </c>
      <c r="AW430" s="56" t="str" cm="1">
        <f t="array" ref="AW430">INDEX($M$418:$BT$423,$B430,MATCH(AW$426,$M$417:$BT$417,0))</f>
        <v>-</v>
      </c>
      <c r="AX430" s="56" t="str" cm="1">
        <f t="array" ref="AX430">INDEX($M$418:$BT$423,$B430,MATCH(AX$426,$M$417:$BT$417,0))</f>
        <v>-</v>
      </c>
      <c r="AY430" s="56" t="str" cm="1">
        <f t="array" ref="AY430">INDEX($M$418:$BT$423,$B430,MATCH(AY$426,$M$417:$BT$417,0))</f>
        <v>-</v>
      </c>
      <c r="AZ430" s="56" t="str" cm="1">
        <f t="array" ref="AZ430">INDEX($M$418:$BT$423,$B430,MATCH(AZ$426,$M$417:$BT$417,0))</f>
        <v>-</v>
      </c>
      <c r="BA430" s="56" t="str" cm="1">
        <f t="array" ref="BA430">INDEX($M$418:$BT$423,$B430,MATCH(BA$426,$M$417:$BT$417,0))</f>
        <v>-</v>
      </c>
      <c r="BB430" s="56" t="str" cm="1">
        <f t="array" ref="BB430">INDEX($M$418:$BT$423,$B430,MATCH(BB$426,$M$417:$BT$417,0))</f>
        <v>-</v>
      </c>
      <c r="BC430" s="56" t="str" cm="1">
        <f t="array" ref="BC430">INDEX($M$418:$BT$423,$B430,MATCH(BC$426,$M$417:$BT$417,0))</f>
        <v>-</v>
      </c>
      <c r="BD430" s="56" t="str" cm="1">
        <f t="array" ref="BD430">INDEX($M$418:$BT$423,$B430,MATCH(BD$426,$M$417:$BT$417,0))</f>
        <v>-</v>
      </c>
      <c r="BE430" s="56" t="str" cm="1">
        <f t="array" ref="BE430">INDEX($M$418:$BT$423,$B430,MATCH(BE$426,$M$417:$BT$417,0))</f>
        <v>-</v>
      </c>
      <c r="BF430" s="56" t="str" cm="1">
        <f t="array" ref="BF430">INDEX($M$418:$BT$423,$B430,MATCH(BF$426,$M$417:$BT$417,0))</f>
        <v>-</v>
      </c>
      <c r="BG430" s="56" t="str" cm="1">
        <f t="array" ref="BG430">INDEX($M$418:$BT$423,$B430,MATCH(BG$426,$M$417:$BT$417,0))</f>
        <v>-</v>
      </c>
      <c r="BH430" s="56" t="str" cm="1">
        <f t="array" ref="BH430">INDEX($M$418:$BT$423,$B430,MATCH(BH$426,$M$417:$BT$417,0))</f>
        <v>-</v>
      </c>
      <c r="BI430" s="56" t="str" cm="1">
        <f t="array" ref="BI430">INDEX($M$418:$BT$423,$B430,MATCH(BI$426,$M$417:$BT$417,0))</f>
        <v>-</v>
      </c>
      <c r="BJ430" s="56" t="str" cm="1">
        <f t="array" ref="BJ430">INDEX($M$418:$BT$423,$B430,MATCH(BJ$426,$M$417:$BT$417,0))</f>
        <v>-</v>
      </c>
      <c r="BK430" s="56" t="str" cm="1">
        <f t="array" ref="BK430">INDEX($M$418:$BT$423,$B430,MATCH(BK$426,$M$417:$BT$417,0))</f>
        <v>-</v>
      </c>
      <c r="BL430" s="56" t="str" cm="1">
        <f t="array" ref="BL430">INDEX($M$418:$BT$423,$B430,MATCH(BL$426,$M$417:$BT$417,0))</f>
        <v>-</v>
      </c>
      <c r="BM430" s="56" t="str" cm="1">
        <f t="array" ref="BM430">INDEX($M$418:$BT$423,$B430,MATCH(BM$426,$M$417:$BT$417,0))</f>
        <v>-</v>
      </c>
      <c r="BN430" s="56" t="str" cm="1">
        <f t="array" ref="BN430">INDEX($M$418:$BT$423,$B430,MATCH(BN$426,$M$417:$BT$417,0))</f>
        <v>-</v>
      </c>
      <c r="BO430" s="56" t="str" cm="1">
        <f t="array" ref="BO430">INDEX($M$418:$BT$423,$B430,MATCH(BO$426,$M$417:$BT$417,0))</f>
        <v>-</v>
      </c>
      <c r="BP430" s="56" t="str" cm="1">
        <f t="array" ref="BP430">INDEX($M$418:$BT$423,$B430,MATCH(BP$426,$M$417:$BT$417,0))</f>
        <v>-</v>
      </c>
      <c r="BQ430" s="56" t="str" cm="1">
        <f t="array" ref="BQ430">INDEX($M$418:$BT$423,$B430,MATCH(BQ$426,$M$417:$BT$417,0))</f>
        <v>-</v>
      </c>
      <c r="BR430" s="56" t="str" cm="1">
        <f t="array" ref="BR430">INDEX($M$418:$BT$423,$B430,MATCH(BR$426,$M$417:$BT$417,0))</f>
        <v>-</v>
      </c>
      <c r="BS430" s="56" t="str" cm="1">
        <f t="array" ref="BS430">INDEX($M$418:$BT$423,$B430,MATCH(BS$426,$M$417:$BT$417,0))</f>
        <v>-</v>
      </c>
      <c r="BT430" s="56" t="str" cm="1">
        <f t="array" ref="BT430">INDEX($M$418:$BT$423,$B430,MATCH(BT$426,$M$417:$BT$417,0))</f>
        <v>-</v>
      </c>
      <c r="BU430" s="56" t="str" cm="1">
        <f t="array" ref="BU430">INDEX($M$418:$BT$423,$B430,MATCH(BU$426,$M$417:$BT$417,0))</f>
        <v>-</v>
      </c>
      <c r="BV430" s="56" t="str" cm="1">
        <f t="array" ref="BV430">INDEX($M$418:$BT$423,$B430,MATCH(BV$426,$M$417:$BT$417,0))</f>
        <v>-</v>
      </c>
      <c r="BW430" s="56" t="str" cm="1">
        <f t="array" ref="BW430">INDEX($M$418:$BT$423,$B430,MATCH(BW$426,$M$417:$BT$417,0))</f>
        <v>-</v>
      </c>
      <c r="BX430" s="49"/>
      <c r="BY430" s="49"/>
      <c r="BZ430" s="49"/>
      <c r="CA430" s="49"/>
      <c r="CB430" s="49"/>
    </row>
    <row r="431" spans="2:80" ht="15" customHeight="1" x14ac:dyDescent="0.2">
      <c r="B431" s="214">
        <v>5</v>
      </c>
      <c r="C431" s="214"/>
      <c r="D431" s="214"/>
      <c r="E431" s="218" t="str">
        <f>$E$329</f>
        <v>Life Loss</v>
      </c>
      <c r="F431" s="218"/>
      <c r="G431" s="218"/>
      <c r="H431" s="218"/>
      <c r="I431" s="218"/>
      <c r="J431" s="218"/>
      <c r="K431" s="218"/>
      <c r="L431" s="218"/>
      <c r="M431" s="220">
        <f>$M$329</f>
        <v>1</v>
      </c>
      <c r="N431" s="220"/>
      <c r="O431" s="220"/>
      <c r="P431" s="220"/>
      <c r="Q431" s="220">
        <f>$Q$329</f>
        <v>9</v>
      </c>
      <c r="R431" s="220"/>
      <c r="S431" s="220"/>
      <c r="T431" s="220"/>
      <c r="U431" s="56" t="str" cm="1">
        <f t="array" ref="U431">INDEX($M$418:$BT$423,$B431,MATCH(U$426,$M$417:$BT$417,0))</f>
        <v>Life Loss (Composite)</v>
      </c>
      <c r="V431" s="56" t="str" cm="1">
        <f t="array" ref="V431">INDEX($M$418:$BT$423,$B431,MATCH(V$426,$M$417:$BT$417,0))</f>
        <v>Life Loss (Composite)</v>
      </c>
      <c r="W431" s="56" t="str" cm="1">
        <f t="array" ref="W431">INDEX($M$418:$BT$423,$B431,MATCH(W$426,$M$417:$BT$417,0))</f>
        <v>Life Loss (Composite)</v>
      </c>
      <c r="X431" s="56" t="str" cm="1">
        <f t="array" ref="X431">INDEX($M$418:$BT$423,$B431,MATCH(X$426,$M$417:$BT$417,0))</f>
        <v>-</v>
      </c>
      <c r="Y431" s="56" t="str" cm="1">
        <f t="array" ref="Y431">INDEX($M$418:$BT$423,$B431,MATCH(Y$426,$M$417:$BT$417,0))</f>
        <v>-</v>
      </c>
      <c r="Z431" s="56" t="str" cm="1">
        <f t="array" ref="Z431">INDEX($M$418:$BT$423,$B431,MATCH(Z$426,$M$417:$BT$417,0))</f>
        <v>-</v>
      </c>
      <c r="AA431" s="56" t="str" cm="1">
        <f t="array" ref="AA431">INDEX($M$418:$BT$423,$B431,MATCH(AA$426,$M$417:$BT$417,0))</f>
        <v>-</v>
      </c>
      <c r="AB431" s="56" t="str" cm="1">
        <f t="array" ref="AB431">INDEX($M$418:$BT$423,$B431,MATCH(AB$426,$M$417:$BT$417,0))</f>
        <v>-</v>
      </c>
      <c r="AC431" s="56" t="str" cm="1">
        <f t="array" ref="AC431">INDEX($M$418:$BT$423,$B431,MATCH(AC$426,$M$417:$BT$417,0))</f>
        <v>-</v>
      </c>
      <c r="AD431" s="56" t="str" cm="1">
        <f t="array" ref="AD431">INDEX($M$418:$BT$423,$B431,MATCH(AD$426,$M$417:$BT$417,0))</f>
        <v>-</v>
      </c>
      <c r="AE431" s="56" t="str" cm="1">
        <f t="array" ref="AE431">INDEX($M$418:$BT$423,$B431,MATCH(AE$426,$M$417:$BT$417,0))</f>
        <v>-</v>
      </c>
      <c r="AF431" s="56" t="str" cm="1">
        <f t="array" ref="AF431">INDEX($M$418:$BT$423,$B431,MATCH(AF$426,$M$417:$BT$417,0))</f>
        <v>-</v>
      </c>
      <c r="AG431" s="56" t="str" cm="1">
        <f t="array" ref="AG431">INDEX($M$418:$BT$423,$B431,MATCH(AG$426,$M$417:$BT$417,0))</f>
        <v>-</v>
      </c>
      <c r="AH431" s="56" t="str" cm="1">
        <f t="array" ref="AH431">INDEX($M$418:$BT$423,$B431,MATCH(AH$426,$M$417:$BT$417,0))</f>
        <v>-</v>
      </c>
      <c r="AI431" s="56" t="str" cm="1">
        <f t="array" ref="AI431">INDEX($M$418:$BT$423,$B431,MATCH(AI$426,$M$417:$BT$417,0))</f>
        <v>-</v>
      </c>
      <c r="AJ431" s="56" t="str" cm="1">
        <f t="array" ref="AJ431">INDEX($M$418:$BT$423,$B431,MATCH(AJ$426,$M$417:$BT$417,0))</f>
        <v>-</v>
      </c>
      <c r="AK431" s="56" t="str" cm="1">
        <f t="array" ref="AK431">INDEX($M$418:$BT$423,$B431,MATCH(AK$426,$M$417:$BT$417,0))</f>
        <v>-</v>
      </c>
      <c r="AL431" s="56" t="str" cm="1">
        <f t="array" ref="AL431">INDEX($M$418:$BT$423,$B431,MATCH(AL$426,$M$417:$BT$417,0))</f>
        <v>-</v>
      </c>
      <c r="AM431" s="56" t="str" cm="1">
        <f t="array" ref="AM431">INDEX($M$418:$BT$423,$B431,MATCH(AM$426,$M$417:$BT$417,0))</f>
        <v>-</v>
      </c>
      <c r="AN431" s="56" t="str" cm="1">
        <f t="array" ref="AN431">INDEX($M$418:$BT$423,$B431,MATCH(AN$426,$M$417:$BT$417,0))</f>
        <v>-</v>
      </c>
      <c r="AO431" s="56" t="str" cm="1">
        <f t="array" ref="AO431">INDEX($M$418:$BT$423,$B431,MATCH(AO$426,$M$417:$BT$417,0))</f>
        <v>-</v>
      </c>
      <c r="AP431" s="56" t="str" cm="1">
        <f t="array" ref="AP431">INDEX($M$418:$BT$423,$B431,MATCH(AP$426,$M$417:$BT$417,0))</f>
        <v>-</v>
      </c>
      <c r="AQ431" s="56" t="str" cm="1">
        <f t="array" ref="AQ431">INDEX($M$418:$BT$423,$B431,MATCH(AQ$426,$M$417:$BT$417,0))</f>
        <v>-</v>
      </c>
      <c r="AR431" s="56" t="str" cm="1">
        <f t="array" ref="AR431">INDEX($M$418:$BT$423,$B431,MATCH(AR$426,$M$417:$BT$417,0))</f>
        <v>-</v>
      </c>
      <c r="AS431" s="56" t="str" cm="1">
        <f t="array" ref="AS431">INDEX($M$418:$BT$423,$B431,MATCH(AS$426,$M$417:$BT$417,0))</f>
        <v>-</v>
      </c>
      <c r="AT431" s="56" t="str" cm="1">
        <f t="array" ref="AT431">INDEX($M$418:$BT$423,$B431,MATCH(AT$426,$M$417:$BT$417,0))</f>
        <v>-</v>
      </c>
      <c r="AU431" s="56" t="str" cm="1">
        <f t="array" ref="AU431">INDEX($M$418:$BT$423,$B431,MATCH(AU$426,$M$417:$BT$417,0))</f>
        <v>-</v>
      </c>
      <c r="AV431" s="56" t="str" cm="1">
        <f t="array" ref="AV431">INDEX($M$418:$BT$423,$B431,MATCH(AV$426,$M$417:$BT$417,0))</f>
        <v>-</v>
      </c>
      <c r="AW431" s="56" t="str" cm="1">
        <f t="array" ref="AW431">INDEX($M$418:$BT$423,$B431,MATCH(AW$426,$M$417:$BT$417,0))</f>
        <v>-</v>
      </c>
      <c r="AX431" s="56" t="str" cm="1">
        <f t="array" ref="AX431">INDEX($M$418:$BT$423,$B431,MATCH(AX$426,$M$417:$BT$417,0))</f>
        <v>-</v>
      </c>
      <c r="AY431" s="56" t="str" cm="1">
        <f t="array" ref="AY431">INDEX($M$418:$BT$423,$B431,MATCH(AY$426,$M$417:$BT$417,0))</f>
        <v>-</v>
      </c>
      <c r="AZ431" s="56" t="str" cm="1">
        <f t="array" ref="AZ431">INDEX($M$418:$BT$423,$B431,MATCH(AZ$426,$M$417:$BT$417,0))</f>
        <v>-</v>
      </c>
      <c r="BA431" s="56" t="str" cm="1">
        <f t="array" ref="BA431">INDEX($M$418:$BT$423,$B431,MATCH(BA$426,$M$417:$BT$417,0))</f>
        <v>-</v>
      </c>
      <c r="BB431" s="56" t="str" cm="1">
        <f t="array" ref="BB431">INDEX($M$418:$BT$423,$B431,MATCH(BB$426,$M$417:$BT$417,0))</f>
        <v>-</v>
      </c>
      <c r="BC431" s="56" t="str" cm="1">
        <f t="array" ref="BC431">INDEX($M$418:$BT$423,$B431,MATCH(BC$426,$M$417:$BT$417,0))</f>
        <v>-</v>
      </c>
      <c r="BD431" s="56" t="str" cm="1">
        <f t="array" ref="BD431">INDEX($M$418:$BT$423,$B431,MATCH(BD$426,$M$417:$BT$417,0))</f>
        <v>-</v>
      </c>
      <c r="BE431" s="56" t="str" cm="1">
        <f t="array" ref="BE431">INDEX($M$418:$BT$423,$B431,MATCH(BE$426,$M$417:$BT$417,0))</f>
        <v>-</v>
      </c>
      <c r="BF431" s="56" t="str" cm="1">
        <f t="array" ref="BF431">INDEX($M$418:$BT$423,$B431,MATCH(BF$426,$M$417:$BT$417,0))</f>
        <v>-</v>
      </c>
      <c r="BG431" s="56" t="str" cm="1">
        <f t="array" ref="BG431">INDEX($M$418:$BT$423,$B431,MATCH(BG$426,$M$417:$BT$417,0))</f>
        <v>-</v>
      </c>
      <c r="BH431" s="56" t="str" cm="1">
        <f t="array" ref="BH431">INDEX($M$418:$BT$423,$B431,MATCH(BH$426,$M$417:$BT$417,0))</f>
        <v>-</v>
      </c>
      <c r="BI431" s="56" t="str" cm="1">
        <f t="array" ref="BI431">INDEX($M$418:$BT$423,$B431,MATCH(BI$426,$M$417:$BT$417,0))</f>
        <v>-</v>
      </c>
      <c r="BJ431" s="56" t="str" cm="1">
        <f t="array" ref="BJ431">INDEX($M$418:$BT$423,$B431,MATCH(BJ$426,$M$417:$BT$417,0))</f>
        <v>-</v>
      </c>
      <c r="BK431" s="56" t="str" cm="1">
        <f t="array" ref="BK431">INDEX($M$418:$BT$423,$B431,MATCH(BK$426,$M$417:$BT$417,0))</f>
        <v>-</v>
      </c>
      <c r="BL431" s="56" t="str" cm="1">
        <f t="array" ref="BL431">INDEX($M$418:$BT$423,$B431,MATCH(BL$426,$M$417:$BT$417,0))</f>
        <v>-</v>
      </c>
      <c r="BM431" s="56" t="str" cm="1">
        <f t="array" ref="BM431">INDEX($M$418:$BT$423,$B431,MATCH(BM$426,$M$417:$BT$417,0))</f>
        <v>-</v>
      </c>
      <c r="BN431" s="56" t="str" cm="1">
        <f t="array" ref="BN431">INDEX($M$418:$BT$423,$B431,MATCH(BN$426,$M$417:$BT$417,0))</f>
        <v>-</v>
      </c>
      <c r="BO431" s="56" t="str" cm="1">
        <f t="array" ref="BO431">INDEX($M$418:$BT$423,$B431,MATCH(BO$426,$M$417:$BT$417,0))</f>
        <v>-</v>
      </c>
      <c r="BP431" s="56" t="str" cm="1">
        <f t="array" ref="BP431">INDEX($M$418:$BT$423,$B431,MATCH(BP$426,$M$417:$BT$417,0))</f>
        <v>-</v>
      </c>
      <c r="BQ431" s="56" t="str" cm="1">
        <f t="array" ref="BQ431">INDEX($M$418:$BT$423,$B431,MATCH(BQ$426,$M$417:$BT$417,0))</f>
        <v>-</v>
      </c>
      <c r="BR431" s="56" t="str" cm="1">
        <f t="array" ref="BR431">INDEX($M$418:$BT$423,$B431,MATCH(BR$426,$M$417:$BT$417,0))</f>
        <v>-</v>
      </c>
      <c r="BS431" s="56" t="str" cm="1">
        <f t="array" ref="BS431">INDEX($M$418:$BT$423,$B431,MATCH(BS$426,$M$417:$BT$417,0))</f>
        <v>-</v>
      </c>
      <c r="BT431" s="56" t="str" cm="1">
        <f t="array" ref="BT431">INDEX($M$418:$BT$423,$B431,MATCH(BT$426,$M$417:$BT$417,0))</f>
        <v>-</v>
      </c>
      <c r="BU431" s="56" t="str" cm="1">
        <f t="array" ref="BU431">INDEX($M$418:$BT$423,$B431,MATCH(BU$426,$M$417:$BT$417,0))</f>
        <v>-</v>
      </c>
      <c r="BV431" s="56" t="str" cm="1">
        <f t="array" ref="BV431">INDEX($M$418:$BT$423,$B431,MATCH(BV$426,$M$417:$BT$417,0))</f>
        <v>-</v>
      </c>
      <c r="BW431" s="56" t="str" cm="1">
        <f t="array" ref="BW431">INDEX($M$418:$BT$423,$B431,MATCH(BW$426,$M$417:$BT$417,0))</f>
        <v>-</v>
      </c>
      <c r="BX431" s="49"/>
      <c r="BY431" s="49"/>
      <c r="BZ431" s="49"/>
      <c r="CA431" s="49"/>
      <c r="CB431" s="49"/>
    </row>
    <row r="432" spans="2:80" ht="15" customHeight="1" x14ac:dyDescent="0.2">
      <c r="B432" s="214">
        <v>6</v>
      </c>
      <c r="C432" s="214"/>
      <c r="D432" s="214"/>
      <c r="E432" s="218" t="str">
        <f>$E$330</f>
        <v>Economic Cost</v>
      </c>
      <c r="F432" s="218"/>
      <c r="G432" s="218"/>
      <c r="H432" s="218"/>
      <c r="I432" s="218"/>
      <c r="J432" s="218"/>
      <c r="K432" s="218"/>
      <c r="L432" s="218"/>
      <c r="M432" s="220">
        <f>$M$330</f>
        <v>1</v>
      </c>
      <c r="N432" s="220"/>
      <c r="O432" s="220"/>
      <c r="P432" s="220"/>
      <c r="Q432" s="220">
        <f>$Q$330</f>
        <v>9</v>
      </c>
      <c r="R432" s="220"/>
      <c r="S432" s="220"/>
      <c r="T432" s="220"/>
      <c r="U432" s="56" t="str" cm="1">
        <f t="array" ref="U432">INDEX($M$418:$BT$423,$B432,MATCH(U$426,$M$417:$BT$417,0))</f>
        <v>Economic Cost</v>
      </c>
      <c r="V432" s="56" t="str" cm="1">
        <f t="array" ref="V432">INDEX($M$418:$BT$423,$B432,MATCH(V$426,$M$417:$BT$417,0))</f>
        <v>Economic Cost</v>
      </c>
      <c r="W432" s="56" t="str" cm="1">
        <f t="array" ref="W432">INDEX($M$418:$BT$423,$B432,MATCH(W$426,$M$417:$BT$417,0))</f>
        <v>Economic Cost</v>
      </c>
      <c r="X432" s="56" t="str" cm="1">
        <f t="array" ref="X432">INDEX($M$418:$BT$423,$B432,MATCH(X$426,$M$417:$BT$417,0))</f>
        <v>-</v>
      </c>
      <c r="Y432" s="56" t="str" cm="1">
        <f t="array" ref="Y432">INDEX($M$418:$BT$423,$B432,MATCH(Y$426,$M$417:$BT$417,0))</f>
        <v>-</v>
      </c>
      <c r="Z432" s="56" t="str" cm="1">
        <f t="array" ref="Z432">INDEX($M$418:$BT$423,$B432,MATCH(Z$426,$M$417:$BT$417,0))</f>
        <v>-</v>
      </c>
      <c r="AA432" s="56" t="str" cm="1">
        <f t="array" ref="AA432">INDEX($M$418:$BT$423,$B432,MATCH(AA$426,$M$417:$BT$417,0))</f>
        <v>-</v>
      </c>
      <c r="AB432" s="56" t="str" cm="1">
        <f t="array" ref="AB432">INDEX($M$418:$BT$423,$B432,MATCH(AB$426,$M$417:$BT$417,0))</f>
        <v>-</v>
      </c>
      <c r="AC432" s="56" t="str" cm="1">
        <f t="array" ref="AC432">INDEX($M$418:$BT$423,$B432,MATCH(AC$426,$M$417:$BT$417,0))</f>
        <v>-</v>
      </c>
      <c r="AD432" s="56" t="str" cm="1">
        <f t="array" ref="AD432">INDEX($M$418:$BT$423,$B432,MATCH(AD$426,$M$417:$BT$417,0))</f>
        <v>-</v>
      </c>
      <c r="AE432" s="56" t="str" cm="1">
        <f t="array" ref="AE432">INDEX($M$418:$BT$423,$B432,MATCH(AE$426,$M$417:$BT$417,0))</f>
        <v>-</v>
      </c>
      <c r="AF432" s="56" t="str" cm="1">
        <f t="array" ref="AF432">INDEX($M$418:$BT$423,$B432,MATCH(AF$426,$M$417:$BT$417,0))</f>
        <v>-</v>
      </c>
      <c r="AG432" s="56" t="str" cm="1">
        <f t="array" ref="AG432">INDEX($M$418:$BT$423,$B432,MATCH(AG$426,$M$417:$BT$417,0))</f>
        <v>-</v>
      </c>
      <c r="AH432" s="56" t="str" cm="1">
        <f t="array" ref="AH432">INDEX($M$418:$BT$423,$B432,MATCH(AH$426,$M$417:$BT$417,0))</f>
        <v>-</v>
      </c>
      <c r="AI432" s="56" t="str" cm="1">
        <f t="array" ref="AI432">INDEX($M$418:$BT$423,$B432,MATCH(AI$426,$M$417:$BT$417,0))</f>
        <v>-</v>
      </c>
      <c r="AJ432" s="56" t="str" cm="1">
        <f t="array" ref="AJ432">INDEX($M$418:$BT$423,$B432,MATCH(AJ$426,$M$417:$BT$417,0))</f>
        <v>-</v>
      </c>
      <c r="AK432" s="56" t="str" cm="1">
        <f t="array" ref="AK432">INDEX($M$418:$BT$423,$B432,MATCH(AK$426,$M$417:$BT$417,0))</f>
        <v>-</v>
      </c>
      <c r="AL432" s="56" t="str" cm="1">
        <f t="array" ref="AL432">INDEX($M$418:$BT$423,$B432,MATCH(AL$426,$M$417:$BT$417,0))</f>
        <v>-</v>
      </c>
      <c r="AM432" s="56" t="str" cm="1">
        <f t="array" ref="AM432">INDEX($M$418:$BT$423,$B432,MATCH(AM$426,$M$417:$BT$417,0))</f>
        <v>-</v>
      </c>
      <c r="AN432" s="56" t="str" cm="1">
        <f t="array" ref="AN432">INDEX($M$418:$BT$423,$B432,MATCH(AN$426,$M$417:$BT$417,0))</f>
        <v>-</v>
      </c>
      <c r="AO432" s="56" t="str" cm="1">
        <f t="array" ref="AO432">INDEX($M$418:$BT$423,$B432,MATCH(AO$426,$M$417:$BT$417,0))</f>
        <v>-</v>
      </c>
      <c r="AP432" s="56" t="str" cm="1">
        <f t="array" ref="AP432">INDEX($M$418:$BT$423,$B432,MATCH(AP$426,$M$417:$BT$417,0))</f>
        <v>-</v>
      </c>
      <c r="AQ432" s="56" t="str" cm="1">
        <f t="array" ref="AQ432">INDEX($M$418:$BT$423,$B432,MATCH(AQ$426,$M$417:$BT$417,0))</f>
        <v>-</v>
      </c>
      <c r="AR432" s="56" t="str" cm="1">
        <f t="array" ref="AR432">INDEX($M$418:$BT$423,$B432,MATCH(AR$426,$M$417:$BT$417,0))</f>
        <v>-</v>
      </c>
      <c r="AS432" s="56" t="str" cm="1">
        <f t="array" ref="AS432">INDEX($M$418:$BT$423,$B432,MATCH(AS$426,$M$417:$BT$417,0))</f>
        <v>-</v>
      </c>
      <c r="AT432" s="56" t="str" cm="1">
        <f t="array" ref="AT432">INDEX($M$418:$BT$423,$B432,MATCH(AT$426,$M$417:$BT$417,0))</f>
        <v>-</v>
      </c>
      <c r="AU432" s="56" t="str" cm="1">
        <f t="array" ref="AU432">INDEX($M$418:$BT$423,$B432,MATCH(AU$426,$M$417:$BT$417,0))</f>
        <v>-</v>
      </c>
      <c r="AV432" s="56" t="str" cm="1">
        <f t="array" ref="AV432">INDEX($M$418:$BT$423,$B432,MATCH(AV$426,$M$417:$BT$417,0))</f>
        <v>-</v>
      </c>
      <c r="AW432" s="56" t="str" cm="1">
        <f t="array" ref="AW432">INDEX($M$418:$BT$423,$B432,MATCH(AW$426,$M$417:$BT$417,0))</f>
        <v>-</v>
      </c>
      <c r="AX432" s="56" t="str" cm="1">
        <f t="array" ref="AX432">INDEX($M$418:$BT$423,$B432,MATCH(AX$426,$M$417:$BT$417,0))</f>
        <v>-</v>
      </c>
      <c r="AY432" s="56" t="str" cm="1">
        <f t="array" ref="AY432">INDEX($M$418:$BT$423,$B432,MATCH(AY$426,$M$417:$BT$417,0))</f>
        <v>-</v>
      </c>
      <c r="AZ432" s="56" t="str" cm="1">
        <f t="array" ref="AZ432">INDEX($M$418:$BT$423,$B432,MATCH(AZ$426,$M$417:$BT$417,0))</f>
        <v>-</v>
      </c>
      <c r="BA432" s="56" t="str" cm="1">
        <f t="array" ref="BA432">INDEX($M$418:$BT$423,$B432,MATCH(BA$426,$M$417:$BT$417,0))</f>
        <v>-</v>
      </c>
      <c r="BB432" s="56" t="str" cm="1">
        <f t="array" ref="BB432">INDEX($M$418:$BT$423,$B432,MATCH(BB$426,$M$417:$BT$417,0))</f>
        <v>-</v>
      </c>
      <c r="BC432" s="56" t="str" cm="1">
        <f t="array" ref="BC432">INDEX($M$418:$BT$423,$B432,MATCH(BC$426,$M$417:$BT$417,0))</f>
        <v>-</v>
      </c>
      <c r="BD432" s="56" t="str" cm="1">
        <f t="array" ref="BD432">INDEX($M$418:$BT$423,$B432,MATCH(BD$426,$M$417:$BT$417,0))</f>
        <v>-</v>
      </c>
      <c r="BE432" s="56" t="str" cm="1">
        <f t="array" ref="BE432">INDEX($M$418:$BT$423,$B432,MATCH(BE$426,$M$417:$BT$417,0))</f>
        <v>-</v>
      </c>
      <c r="BF432" s="56" t="str" cm="1">
        <f t="array" ref="BF432">INDEX($M$418:$BT$423,$B432,MATCH(BF$426,$M$417:$BT$417,0))</f>
        <v>-</v>
      </c>
      <c r="BG432" s="56" t="str" cm="1">
        <f t="array" ref="BG432">INDEX($M$418:$BT$423,$B432,MATCH(BG$426,$M$417:$BT$417,0))</f>
        <v>-</v>
      </c>
      <c r="BH432" s="56" t="str" cm="1">
        <f t="array" ref="BH432">INDEX($M$418:$BT$423,$B432,MATCH(BH$426,$M$417:$BT$417,0))</f>
        <v>-</v>
      </c>
      <c r="BI432" s="56" t="str" cm="1">
        <f t="array" ref="BI432">INDEX($M$418:$BT$423,$B432,MATCH(BI$426,$M$417:$BT$417,0))</f>
        <v>-</v>
      </c>
      <c r="BJ432" s="56" t="str" cm="1">
        <f t="array" ref="BJ432">INDEX($M$418:$BT$423,$B432,MATCH(BJ$426,$M$417:$BT$417,0))</f>
        <v>-</v>
      </c>
      <c r="BK432" s="56" t="str" cm="1">
        <f t="array" ref="BK432">INDEX($M$418:$BT$423,$B432,MATCH(BK$426,$M$417:$BT$417,0))</f>
        <v>-</v>
      </c>
      <c r="BL432" s="56" t="str" cm="1">
        <f t="array" ref="BL432">INDEX($M$418:$BT$423,$B432,MATCH(BL$426,$M$417:$BT$417,0))</f>
        <v>-</v>
      </c>
      <c r="BM432" s="56" t="str" cm="1">
        <f t="array" ref="BM432">INDEX($M$418:$BT$423,$B432,MATCH(BM$426,$M$417:$BT$417,0))</f>
        <v>-</v>
      </c>
      <c r="BN432" s="56" t="str" cm="1">
        <f t="array" ref="BN432">INDEX($M$418:$BT$423,$B432,MATCH(BN$426,$M$417:$BT$417,0))</f>
        <v>-</v>
      </c>
      <c r="BO432" s="56" t="str" cm="1">
        <f t="array" ref="BO432">INDEX($M$418:$BT$423,$B432,MATCH(BO$426,$M$417:$BT$417,0))</f>
        <v>-</v>
      </c>
      <c r="BP432" s="56" t="str" cm="1">
        <f t="array" ref="BP432">INDEX($M$418:$BT$423,$B432,MATCH(BP$426,$M$417:$BT$417,0))</f>
        <v>-</v>
      </c>
      <c r="BQ432" s="56" t="str" cm="1">
        <f t="array" ref="BQ432">INDEX($M$418:$BT$423,$B432,MATCH(BQ$426,$M$417:$BT$417,0))</f>
        <v>-</v>
      </c>
      <c r="BR432" s="56" t="str" cm="1">
        <f t="array" ref="BR432">INDEX($M$418:$BT$423,$B432,MATCH(BR$426,$M$417:$BT$417,0))</f>
        <v>-</v>
      </c>
      <c r="BS432" s="56" t="str" cm="1">
        <f t="array" ref="BS432">INDEX($M$418:$BT$423,$B432,MATCH(BS$426,$M$417:$BT$417,0))</f>
        <v>-</v>
      </c>
      <c r="BT432" s="56" t="str" cm="1">
        <f t="array" ref="BT432">INDEX($M$418:$BT$423,$B432,MATCH(BT$426,$M$417:$BT$417,0))</f>
        <v>-</v>
      </c>
      <c r="BU432" s="56" t="str" cm="1">
        <f t="array" ref="BU432">INDEX($M$418:$BT$423,$B432,MATCH(BU$426,$M$417:$BT$417,0))</f>
        <v>-</v>
      </c>
      <c r="BV432" s="56" t="str" cm="1">
        <f t="array" ref="BV432">INDEX($M$418:$BT$423,$B432,MATCH(BV$426,$M$417:$BT$417,0))</f>
        <v>-</v>
      </c>
      <c r="BW432" s="56" t="str" cm="1">
        <f t="array" ref="BW432">INDEX($M$418:$BT$423,$B432,MATCH(BW$426,$M$417:$BT$417,0))</f>
        <v>-</v>
      </c>
      <c r="BX432" s="49"/>
      <c r="BY432" s="49"/>
      <c r="BZ432" s="49"/>
      <c r="CA432" s="49"/>
      <c r="CB432" s="49"/>
    </row>
    <row r="433" spans="2:80" ht="15" customHeight="1" x14ac:dyDescent="0.2">
      <c r="B433" s="53"/>
      <c r="C433" s="53"/>
      <c r="D433" s="53"/>
      <c r="E433" s="49"/>
      <c r="F433" s="49"/>
      <c r="G433" s="49"/>
      <c r="H433" s="49"/>
      <c r="I433" s="49"/>
      <c r="J433" s="49"/>
      <c r="K433" s="49"/>
      <c r="L433" s="49"/>
      <c r="M433" s="49"/>
      <c r="N433" s="49"/>
      <c r="O433" s="49"/>
      <c r="P433" s="49"/>
      <c r="Q433" s="49"/>
      <c r="R433" s="49"/>
      <c r="S433" s="49"/>
      <c r="T433" s="49"/>
      <c r="U433" s="49"/>
      <c r="V433" s="49"/>
      <c r="W433" s="49"/>
      <c r="X433" s="49"/>
      <c r="Y433" s="49"/>
      <c r="Z433" s="49"/>
      <c r="AA433" s="49"/>
      <c r="AB433" s="49"/>
      <c r="AC433" s="49"/>
      <c r="AD433" s="49"/>
      <c r="AE433" s="49"/>
      <c r="AF433" s="49"/>
      <c r="AG433" s="49"/>
      <c r="AH433" s="49"/>
      <c r="AI433" s="49"/>
      <c r="AJ433" s="49"/>
      <c r="AR433" s="49"/>
      <c r="AS433" s="49"/>
      <c r="AT433" s="49"/>
      <c r="AU433" s="49"/>
      <c r="AW433" s="49"/>
    </row>
    <row r="434" spans="2:80" ht="15" customHeight="1" x14ac:dyDescent="0.2">
      <c r="B434" s="50" t="s">
        <v>124</v>
      </c>
    </row>
    <row r="435" spans="2:80" ht="15" customHeight="1" x14ac:dyDescent="0.2"/>
    <row r="436" spans="2:80" ht="15" customHeight="1" x14ac:dyDescent="0.2">
      <c r="B436" s="59">
        <v>1</v>
      </c>
      <c r="C436" s="59">
        <f t="shared" ref="C436:G437" si="1987">B436+1</f>
        <v>2</v>
      </c>
      <c r="D436" s="59">
        <f t="shared" si="1987"/>
        <v>3</v>
      </c>
      <c r="E436" s="59">
        <f t="shared" si="1987"/>
        <v>4</v>
      </c>
      <c r="F436" s="59">
        <f t="shared" si="1987"/>
        <v>5</v>
      </c>
      <c r="G436" s="59">
        <f t="shared" si="1987"/>
        <v>6</v>
      </c>
      <c r="H436" s="49"/>
      <c r="I436" s="49"/>
      <c r="J436" s="49"/>
      <c r="K436" s="49"/>
      <c r="L436" s="49"/>
      <c r="M436" s="49"/>
      <c r="N436" s="49"/>
      <c r="O436" s="49"/>
      <c r="P436" s="49"/>
      <c r="Q436" s="49"/>
      <c r="R436" s="49"/>
      <c r="S436" s="49"/>
      <c r="T436" s="49"/>
      <c r="U436" s="49"/>
      <c r="V436" s="49"/>
      <c r="W436" s="49"/>
      <c r="X436" s="49"/>
      <c r="Y436" s="49"/>
      <c r="Z436" s="49"/>
      <c r="AA436" s="49"/>
      <c r="AB436" s="49"/>
      <c r="AC436" s="49"/>
      <c r="AD436" s="49"/>
      <c r="AE436" s="49"/>
      <c r="AF436" s="49"/>
      <c r="AG436" s="49"/>
      <c r="AH436" s="49"/>
      <c r="AI436" s="49"/>
      <c r="AJ436" s="49"/>
      <c r="AK436" s="49"/>
      <c r="AL436" s="49"/>
      <c r="AM436" s="49"/>
      <c r="AN436" s="49"/>
      <c r="AO436" s="49"/>
      <c r="AP436" s="49"/>
      <c r="AQ436" s="49"/>
      <c r="AR436" s="49"/>
      <c r="AS436" s="49"/>
      <c r="AT436" s="49"/>
      <c r="AU436" s="49"/>
      <c r="AW436" s="49"/>
    </row>
    <row r="437" spans="2:80" ht="15" customHeight="1" x14ac:dyDescent="0.2">
      <c r="B437" s="51">
        <v>1</v>
      </c>
      <c r="C437" s="51">
        <f t="shared" si="1987"/>
        <v>2</v>
      </c>
      <c r="D437" s="51">
        <f t="shared" si="1987"/>
        <v>3</v>
      </c>
      <c r="E437" s="51">
        <f t="shared" si="1987"/>
        <v>4</v>
      </c>
      <c r="F437" s="51">
        <f t="shared" si="1987"/>
        <v>5</v>
      </c>
      <c r="G437" s="51">
        <f t="shared" si="1987"/>
        <v>6</v>
      </c>
      <c r="H437" s="51">
        <f t="shared" ref="H437:AM437" si="1988">G437+1</f>
        <v>7</v>
      </c>
      <c r="I437" s="51">
        <f t="shared" si="1988"/>
        <v>8</v>
      </c>
      <c r="J437" s="51">
        <f t="shared" si="1988"/>
        <v>9</v>
      </c>
      <c r="K437" s="51">
        <f t="shared" si="1988"/>
        <v>10</v>
      </c>
      <c r="L437" s="51">
        <f t="shared" si="1988"/>
        <v>11</v>
      </c>
      <c r="M437" s="51">
        <f t="shared" si="1988"/>
        <v>12</v>
      </c>
      <c r="N437" s="51">
        <f t="shared" si="1988"/>
        <v>13</v>
      </c>
      <c r="O437" s="51">
        <f t="shared" si="1988"/>
        <v>14</v>
      </c>
      <c r="P437" s="51">
        <f t="shared" si="1988"/>
        <v>15</v>
      </c>
      <c r="Q437" s="51">
        <f t="shared" si="1988"/>
        <v>16</v>
      </c>
      <c r="R437" s="51">
        <f t="shared" si="1988"/>
        <v>17</v>
      </c>
      <c r="S437" s="51">
        <f t="shared" si="1988"/>
        <v>18</v>
      </c>
      <c r="T437" s="51">
        <f t="shared" si="1988"/>
        <v>19</v>
      </c>
      <c r="U437" s="51">
        <f t="shared" si="1988"/>
        <v>20</v>
      </c>
      <c r="V437" s="51">
        <f t="shared" si="1988"/>
        <v>21</v>
      </c>
      <c r="W437" s="51">
        <f t="shared" si="1988"/>
        <v>22</v>
      </c>
      <c r="X437" s="51">
        <f t="shared" si="1988"/>
        <v>23</v>
      </c>
      <c r="Y437" s="51">
        <f t="shared" si="1988"/>
        <v>24</v>
      </c>
      <c r="Z437" s="51">
        <f t="shared" si="1988"/>
        <v>25</v>
      </c>
      <c r="AA437" s="51">
        <f t="shared" si="1988"/>
        <v>26</v>
      </c>
      <c r="AB437" s="51">
        <f t="shared" si="1988"/>
        <v>27</v>
      </c>
      <c r="AC437" s="51">
        <f t="shared" si="1988"/>
        <v>28</v>
      </c>
      <c r="AD437" s="51">
        <f t="shared" si="1988"/>
        <v>29</v>
      </c>
      <c r="AE437" s="51">
        <f t="shared" si="1988"/>
        <v>30</v>
      </c>
      <c r="AF437" s="51">
        <f t="shared" si="1988"/>
        <v>31</v>
      </c>
      <c r="AG437" s="51">
        <f t="shared" si="1988"/>
        <v>32</v>
      </c>
      <c r="AH437" s="51">
        <f t="shared" si="1988"/>
        <v>33</v>
      </c>
      <c r="AI437" s="51">
        <f t="shared" si="1988"/>
        <v>34</v>
      </c>
      <c r="AJ437" s="51">
        <f t="shared" si="1988"/>
        <v>35</v>
      </c>
      <c r="AK437" s="51">
        <f t="shared" si="1988"/>
        <v>36</v>
      </c>
      <c r="AL437" s="51">
        <f t="shared" si="1988"/>
        <v>37</v>
      </c>
      <c r="AM437" s="51">
        <f t="shared" si="1988"/>
        <v>38</v>
      </c>
      <c r="AN437" s="51">
        <f t="shared" ref="AN437:BD437" si="1989">AM437+1</f>
        <v>39</v>
      </c>
      <c r="AO437" s="51">
        <f t="shared" si="1989"/>
        <v>40</v>
      </c>
      <c r="AP437" s="51">
        <f t="shared" si="1989"/>
        <v>41</v>
      </c>
      <c r="AQ437" s="51">
        <f t="shared" si="1989"/>
        <v>42</v>
      </c>
      <c r="AR437" s="51">
        <f t="shared" si="1989"/>
        <v>43</v>
      </c>
      <c r="AS437" s="51">
        <f t="shared" si="1989"/>
        <v>44</v>
      </c>
      <c r="AT437" s="51">
        <f t="shared" si="1989"/>
        <v>45</v>
      </c>
      <c r="AU437" s="51">
        <f t="shared" si="1989"/>
        <v>46</v>
      </c>
      <c r="AV437" s="51">
        <f t="shared" si="1989"/>
        <v>47</v>
      </c>
      <c r="AW437" s="51">
        <f t="shared" si="1989"/>
        <v>48</v>
      </c>
      <c r="AX437" s="51">
        <f t="shared" si="1989"/>
        <v>49</v>
      </c>
      <c r="AY437" s="51">
        <f t="shared" si="1989"/>
        <v>50</v>
      </c>
      <c r="AZ437" s="51">
        <f t="shared" si="1989"/>
        <v>51</v>
      </c>
      <c r="BA437" s="51">
        <f t="shared" si="1989"/>
        <v>52</v>
      </c>
      <c r="BB437" s="51">
        <f t="shared" si="1989"/>
        <v>53</v>
      </c>
      <c r="BC437" s="51">
        <f t="shared" si="1989"/>
        <v>54</v>
      </c>
      <c r="BD437" s="51">
        <f t="shared" si="1989"/>
        <v>55</v>
      </c>
      <c r="BE437" s="49"/>
      <c r="BF437" s="49"/>
      <c r="BG437" s="49"/>
      <c r="BH437" s="49"/>
      <c r="BI437" s="49"/>
    </row>
    <row r="438" spans="2:80" ht="15" customHeight="1" x14ac:dyDescent="0.2"/>
    <row r="439" spans="2:80" ht="15" customHeight="1" x14ac:dyDescent="0.2">
      <c r="B439" s="50" t="s">
        <v>125</v>
      </c>
      <c r="C439" s="49"/>
      <c r="D439" s="49"/>
      <c r="E439" s="49"/>
      <c r="F439" s="49"/>
      <c r="G439" s="49"/>
      <c r="H439" s="49"/>
      <c r="I439" s="49"/>
      <c r="J439" s="49"/>
      <c r="K439" s="49"/>
      <c r="L439" s="49"/>
      <c r="M439" s="49"/>
      <c r="N439" s="49"/>
      <c r="O439" s="49"/>
      <c r="P439" s="49"/>
      <c r="Q439" s="49"/>
      <c r="R439" s="49"/>
      <c r="S439" s="49"/>
      <c r="T439" s="49"/>
      <c r="U439" s="49"/>
      <c r="V439" s="49"/>
      <c r="W439" s="49"/>
      <c r="X439" s="49"/>
      <c r="Y439" s="49"/>
      <c r="Z439" s="49"/>
      <c r="AA439" s="49"/>
      <c r="AB439" s="49"/>
      <c r="AC439" s="49"/>
      <c r="AD439" s="49"/>
      <c r="AE439" s="49"/>
      <c r="AF439" s="49"/>
      <c r="AG439" s="49"/>
      <c r="AH439" s="49"/>
      <c r="AI439" s="49"/>
      <c r="AJ439" s="49"/>
      <c r="AK439" s="49"/>
      <c r="AL439" s="49"/>
      <c r="AM439" s="49"/>
      <c r="AN439" s="49"/>
      <c r="AO439" s="49"/>
      <c r="AP439" s="49"/>
      <c r="AQ439" s="49"/>
      <c r="AR439" s="49"/>
      <c r="AS439" s="49"/>
      <c r="AT439" s="49"/>
      <c r="AU439" s="49"/>
      <c r="AW439" s="49"/>
    </row>
    <row r="440" spans="2:80" ht="15" customHeight="1" x14ac:dyDescent="0.2"/>
    <row r="441" spans="2:80" ht="15" customHeight="1" x14ac:dyDescent="0.2">
      <c r="B441" s="49"/>
      <c r="C441" s="49"/>
      <c r="D441" s="49"/>
      <c r="M441" s="49"/>
      <c r="N441" s="49"/>
      <c r="O441" s="49"/>
      <c r="P441" s="49"/>
      <c r="Q441" s="49"/>
      <c r="R441" s="49"/>
      <c r="S441" s="49"/>
      <c r="T441" s="49"/>
      <c r="U441" s="51">
        <v>10</v>
      </c>
      <c r="V441" s="51">
        <f>U441+5</f>
        <v>15</v>
      </c>
      <c r="W441" s="51">
        <f t="shared" ref="W441:AE441" si="1990">V441+5</f>
        <v>20</v>
      </c>
      <c r="X441" s="51">
        <f t="shared" si="1990"/>
        <v>25</v>
      </c>
      <c r="Y441" s="51">
        <f t="shared" si="1990"/>
        <v>30</v>
      </c>
      <c r="Z441" s="51">
        <f t="shared" si="1990"/>
        <v>35</v>
      </c>
      <c r="AA441" s="51">
        <f t="shared" si="1990"/>
        <v>40</v>
      </c>
      <c r="AB441" s="51">
        <f t="shared" si="1990"/>
        <v>45</v>
      </c>
      <c r="AC441" s="51">
        <f t="shared" si="1990"/>
        <v>50</v>
      </c>
      <c r="AD441" s="51">
        <f t="shared" si="1990"/>
        <v>55</v>
      </c>
      <c r="AE441" s="51">
        <f t="shared" si="1990"/>
        <v>60</v>
      </c>
      <c r="AF441" s="51">
        <f t="shared" ref="AF441" si="1991">AE441+5</f>
        <v>65</v>
      </c>
      <c r="AG441" s="51">
        <f t="shared" ref="AG441" si="1992">AF441+5</f>
        <v>70</v>
      </c>
      <c r="AH441" s="51">
        <f t="shared" ref="AH441" si="1993">AG441+5</f>
        <v>75</v>
      </c>
      <c r="AI441" s="51">
        <f t="shared" ref="AI441" si="1994">AH441+5</f>
        <v>80</v>
      </c>
      <c r="AJ441" s="51">
        <f t="shared" ref="AJ441" si="1995">AI441+5</f>
        <v>85</v>
      </c>
      <c r="AK441" s="51">
        <f t="shared" ref="AK441" si="1996">AJ441+5</f>
        <v>90</v>
      </c>
      <c r="AL441" s="51">
        <f t="shared" ref="AL441" si="1997">AK441+5</f>
        <v>95</v>
      </c>
      <c r="AM441" s="51">
        <f t="shared" ref="AM441" si="1998">AL441+5</f>
        <v>100</v>
      </c>
      <c r="AN441" s="51">
        <f t="shared" ref="AN441" si="1999">AM441+5</f>
        <v>105</v>
      </c>
      <c r="AO441" s="51">
        <f t="shared" ref="AO441" si="2000">AN441+5</f>
        <v>110</v>
      </c>
      <c r="AP441" s="51">
        <f t="shared" ref="AP441" si="2001">AO441+5</f>
        <v>115</v>
      </c>
      <c r="AQ441" s="51">
        <f t="shared" ref="AQ441" si="2002">AP441+5</f>
        <v>120</v>
      </c>
      <c r="AR441" s="51">
        <f t="shared" ref="AR441" si="2003">AQ441+5</f>
        <v>125</v>
      </c>
      <c r="AS441" s="51">
        <f t="shared" ref="AS441" si="2004">AR441+5</f>
        <v>130</v>
      </c>
      <c r="AT441" s="51">
        <f t="shared" ref="AT441" si="2005">AS441+5</f>
        <v>135</v>
      </c>
      <c r="AU441" s="51">
        <f t="shared" ref="AU441" si="2006">AT441+5</f>
        <v>140</v>
      </c>
      <c r="AV441" s="51">
        <f t="shared" ref="AV441" si="2007">AU441+5</f>
        <v>145</v>
      </c>
      <c r="AW441" s="51">
        <f t="shared" ref="AW441" si="2008">AV441+5</f>
        <v>150</v>
      </c>
      <c r="AX441" s="51">
        <f t="shared" ref="AX441" si="2009">AW441+5</f>
        <v>155</v>
      </c>
      <c r="AY441" s="51">
        <f t="shared" ref="AY441" si="2010">AX441+5</f>
        <v>160</v>
      </c>
      <c r="AZ441" s="51">
        <f t="shared" ref="AZ441" si="2011">AY441+5</f>
        <v>165</v>
      </c>
      <c r="BA441" s="51">
        <f t="shared" ref="BA441" si="2012">AZ441+5</f>
        <v>170</v>
      </c>
      <c r="BB441" s="51">
        <f t="shared" ref="BB441" si="2013">BA441+5</f>
        <v>175</v>
      </c>
      <c r="BC441" s="51">
        <f t="shared" ref="BC441" si="2014">BB441+5</f>
        <v>180</v>
      </c>
      <c r="BD441" s="51">
        <f t="shared" ref="BD441" si="2015">BC441+5</f>
        <v>185</v>
      </c>
      <c r="BE441" s="51">
        <f t="shared" ref="BE441" si="2016">BD441+5</f>
        <v>190</v>
      </c>
      <c r="BF441" s="51">
        <f t="shared" ref="BF441" si="2017">BE441+5</f>
        <v>195</v>
      </c>
      <c r="BG441" s="51">
        <f t="shared" ref="BG441" si="2018">BF441+5</f>
        <v>200</v>
      </c>
      <c r="BH441" s="51">
        <f t="shared" ref="BH441" si="2019">BG441+5</f>
        <v>205</v>
      </c>
      <c r="BI441" s="51">
        <f t="shared" ref="BI441" si="2020">BH441+5</f>
        <v>210</v>
      </c>
      <c r="BJ441" s="51">
        <f t="shared" ref="BJ441" si="2021">BI441+5</f>
        <v>215</v>
      </c>
      <c r="BK441" s="51">
        <f t="shared" ref="BK441" si="2022">BJ441+5</f>
        <v>220</v>
      </c>
      <c r="BL441" s="51">
        <f t="shared" ref="BL441" si="2023">BK441+5</f>
        <v>225</v>
      </c>
      <c r="BM441" s="51">
        <f t="shared" ref="BM441" si="2024">BL441+5</f>
        <v>230</v>
      </c>
      <c r="BN441" s="51">
        <f t="shared" ref="BN441" si="2025">BM441+5</f>
        <v>235</v>
      </c>
      <c r="BO441" s="51">
        <f t="shared" ref="BO441" si="2026">BN441+5</f>
        <v>240</v>
      </c>
      <c r="BP441" s="51">
        <f t="shared" ref="BP441" si="2027">BO441+5</f>
        <v>245</v>
      </c>
      <c r="BQ441" s="51">
        <f t="shared" ref="BQ441" si="2028">BP441+5</f>
        <v>250</v>
      </c>
      <c r="BR441" s="51">
        <f t="shared" ref="BR441" si="2029">BQ441+5</f>
        <v>255</v>
      </c>
      <c r="BS441" s="51">
        <f t="shared" ref="BS441" si="2030">BR441+5</f>
        <v>260</v>
      </c>
      <c r="BT441" s="51">
        <f t="shared" ref="BT441" si="2031">BS441+5</f>
        <v>265</v>
      </c>
      <c r="BU441" s="51">
        <f t="shared" ref="BU441" si="2032">BT441+5</f>
        <v>270</v>
      </c>
      <c r="BV441" s="51">
        <f t="shared" ref="BV441" si="2033">BU441+5</f>
        <v>275</v>
      </c>
      <c r="BW441" s="51">
        <f t="shared" ref="BW441" si="2034">BV441+5</f>
        <v>280</v>
      </c>
      <c r="BX441" s="49"/>
      <c r="BY441" s="49"/>
      <c r="BZ441" s="49"/>
      <c r="CA441" s="49"/>
      <c r="CB441" s="49"/>
    </row>
    <row r="442" spans="2:80" ht="15" customHeight="1" x14ac:dyDescent="0.2">
      <c r="B442" s="214" t="s">
        <v>98</v>
      </c>
      <c r="C442" s="214"/>
      <c r="D442" s="214"/>
      <c r="E442" s="218" t="s">
        <v>147</v>
      </c>
      <c r="F442" s="218"/>
      <c r="G442" s="218"/>
      <c r="H442" s="218"/>
      <c r="I442" s="218"/>
      <c r="J442" s="218"/>
      <c r="K442" s="218"/>
      <c r="L442" s="218"/>
      <c r="M442" s="218" t="s">
        <v>97</v>
      </c>
      <c r="N442" s="218"/>
      <c r="O442" s="218"/>
      <c r="P442" s="218"/>
      <c r="Q442" s="218" t="s">
        <v>118</v>
      </c>
      <c r="R442" s="218"/>
      <c r="S442" s="218"/>
      <c r="T442" s="218"/>
      <c r="U442" s="52">
        <v>1</v>
      </c>
      <c r="V442" s="52">
        <v>2</v>
      </c>
      <c r="W442" s="52">
        <v>3</v>
      </c>
      <c r="X442" s="52">
        <v>4</v>
      </c>
      <c r="Y442" s="52">
        <v>5</v>
      </c>
      <c r="Z442" s="52">
        <v>6</v>
      </c>
      <c r="AA442" s="52">
        <v>7</v>
      </c>
      <c r="AB442" s="52">
        <v>8</v>
      </c>
      <c r="AC442" s="52">
        <v>9</v>
      </c>
      <c r="AD442" s="52">
        <v>10</v>
      </c>
      <c r="AE442" s="52">
        <v>11</v>
      </c>
      <c r="AF442" s="52">
        <v>12</v>
      </c>
      <c r="AG442" s="52">
        <v>13</v>
      </c>
      <c r="AH442" s="52">
        <v>14</v>
      </c>
      <c r="AI442" s="52">
        <v>15</v>
      </c>
      <c r="AJ442" s="52">
        <v>16</v>
      </c>
      <c r="AK442" s="52">
        <v>17</v>
      </c>
      <c r="AL442" s="52">
        <v>18</v>
      </c>
      <c r="AM442" s="52">
        <v>19</v>
      </c>
      <c r="AN442" s="52">
        <v>20</v>
      </c>
      <c r="AO442" s="52">
        <v>21</v>
      </c>
      <c r="AP442" s="52">
        <v>22</v>
      </c>
      <c r="AQ442" s="52">
        <v>23</v>
      </c>
      <c r="AR442" s="52">
        <v>24</v>
      </c>
      <c r="AS442" s="52">
        <v>25</v>
      </c>
      <c r="AT442" s="52">
        <v>26</v>
      </c>
      <c r="AU442" s="52">
        <v>27</v>
      </c>
      <c r="AV442" s="52">
        <v>28</v>
      </c>
      <c r="AW442" s="52">
        <v>29</v>
      </c>
      <c r="AX442" s="52">
        <v>30</v>
      </c>
      <c r="AY442" s="52">
        <v>31</v>
      </c>
      <c r="AZ442" s="52">
        <v>32</v>
      </c>
      <c r="BA442" s="52">
        <v>33</v>
      </c>
      <c r="BB442" s="52">
        <v>34</v>
      </c>
      <c r="BC442" s="52">
        <v>35</v>
      </c>
      <c r="BD442" s="52">
        <v>36</v>
      </c>
      <c r="BE442" s="52">
        <v>37</v>
      </c>
      <c r="BF442" s="52">
        <v>38</v>
      </c>
      <c r="BG442" s="52">
        <v>39</v>
      </c>
      <c r="BH442" s="52">
        <v>40</v>
      </c>
      <c r="BI442" s="52">
        <v>41</v>
      </c>
      <c r="BJ442" s="52">
        <v>42</v>
      </c>
      <c r="BK442" s="52">
        <v>43</v>
      </c>
      <c r="BL442" s="52">
        <v>44</v>
      </c>
      <c r="BM442" s="52">
        <v>45</v>
      </c>
      <c r="BN442" s="52">
        <v>46</v>
      </c>
      <c r="BO442" s="52">
        <v>47</v>
      </c>
      <c r="BP442" s="52">
        <v>48</v>
      </c>
      <c r="BQ442" s="52">
        <v>49</v>
      </c>
      <c r="BR442" s="52">
        <v>50</v>
      </c>
      <c r="BS442" s="52">
        <v>51</v>
      </c>
      <c r="BT442" s="52">
        <v>52</v>
      </c>
      <c r="BU442" s="52">
        <v>53</v>
      </c>
      <c r="BV442" s="52">
        <v>54</v>
      </c>
      <c r="BW442" s="52">
        <v>55</v>
      </c>
      <c r="BX442" s="53"/>
      <c r="BY442" s="53"/>
      <c r="BZ442" s="53"/>
      <c r="CA442" s="53"/>
      <c r="CB442" s="53"/>
    </row>
    <row r="443" spans="2:80" ht="15" customHeight="1" x14ac:dyDescent="0.2">
      <c r="B443" s="214">
        <v>1</v>
      </c>
      <c r="C443" s="214"/>
      <c r="D443" s="214"/>
      <c r="E443" s="218" t="str">
        <f>$E$325</f>
        <v>Hazard</v>
      </c>
      <c r="F443" s="218"/>
      <c r="G443" s="218"/>
      <c r="H443" s="218"/>
      <c r="I443" s="218"/>
      <c r="J443" s="218"/>
      <c r="K443" s="218"/>
      <c r="L443" s="218"/>
      <c r="M443" s="220">
        <f>$M$325</f>
        <v>1</v>
      </c>
      <c r="N443" s="220"/>
      <c r="O443" s="220"/>
      <c r="P443" s="220"/>
      <c r="Q443" s="220">
        <f>$Q$325</f>
        <v>1</v>
      </c>
      <c r="R443" s="220"/>
      <c r="S443" s="220"/>
      <c r="T443" s="220"/>
      <c r="U443" s="51" t="str">
        <f>IF($E442&lt;&gt;"Operational Performance",IF(OR($E443="Secondary Hazard",$E443="Operational Performance",$E443="Transform"),IF(U396=1,"+","-"),IF(OR($E443="Life Loss",$E443="Economic Cost"),IF(ISNUMBER(U396),"+","-"),"-")),IF(ISNUMBER(U395),"+","-"))</f>
        <v>-</v>
      </c>
      <c r="V443" s="51" t="str">
        <f t="shared" ref="V443:BW443" si="2035">IF($E442&lt;&gt;"Operational Performance",IF(OR($E443="Secondary Hazard",$E443="Operational Performance",$E443="Transform"),IF(V396=1,"+","-"),IF(OR($E443="Life Loss",$E443="Economic Cost"),IF(ISNUMBER(V396),"+","-"),"-")),IF(ISNUMBER(V395),"+","-"))</f>
        <v>-</v>
      </c>
      <c r="W443" s="51" t="str">
        <f t="shared" si="2035"/>
        <v>-</v>
      </c>
      <c r="X443" s="51" t="str">
        <f t="shared" si="2035"/>
        <v>-</v>
      </c>
      <c r="Y443" s="51" t="str">
        <f t="shared" si="2035"/>
        <v>-</v>
      </c>
      <c r="Z443" s="51" t="str">
        <f t="shared" si="2035"/>
        <v>-</v>
      </c>
      <c r="AA443" s="51" t="str">
        <f t="shared" si="2035"/>
        <v>-</v>
      </c>
      <c r="AB443" s="51" t="str">
        <f t="shared" si="2035"/>
        <v>-</v>
      </c>
      <c r="AC443" s="51" t="str">
        <f t="shared" si="2035"/>
        <v>-</v>
      </c>
      <c r="AD443" s="51" t="str">
        <f t="shared" si="2035"/>
        <v>-</v>
      </c>
      <c r="AE443" s="51" t="str">
        <f t="shared" si="2035"/>
        <v>-</v>
      </c>
      <c r="AF443" s="51" t="str">
        <f t="shared" si="2035"/>
        <v>-</v>
      </c>
      <c r="AG443" s="51" t="str">
        <f t="shared" si="2035"/>
        <v>-</v>
      </c>
      <c r="AH443" s="51" t="str">
        <f t="shared" si="2035"/>
        <v>-</v>
      </c>
      <c r="AI443" s="51" t="str">
        <f t="shared" si="2035"/>
        <v>-</v>
      </c>
      <c r="AJ443" s="51" t="str">
        <f t="shared" si="2035"/>
        <v>-</v>
      </c>
      <c r="AK443" s="51" t="str">
        <f t="shared" si="2035"/>
        <v>-</v>
      </c>
      <c r="AL443" s="51" t="str">
        <f t="shared" si="2035"/>
        <v>-</v>
      </c>
      <c r="AM443" s="51" t="str">
        <f t="shared" si="2035"/>
        <v>-</v>
      </c>
      <c r="AN443" s="51" t="str">
        <f t="shared" si="2035"/>
        <v>-</v>
      </c>
      <c r="AO443" s="51" t="str">
        <f t="shared" si="2035"/>
        <v>-</v>
      </c>
      <c r="AP443" s="51" t="str">
        <f t="shared" si="2035"/>
        <v>-</v>
      </c>
      <c r="AQ443" s="51" t="str">
        <f t="shared" si="2035"/>
        <v>-</v>
      </c>
      <c r="AR443" s="51" t="str">
        <f t="shared" si="2035"/>
        <v>-</v>
      </c>
      <c r="AS443" s="51" t="str">
        <f t="shared" si="2035"/>
        <v>-</v>
      </c>
      <c r="AT443" s="51" t="str">
        <f t="shared" si="2035"/>
        <v>-</v>
      </c>
      <c r="AU443" s="51" t="str">
        <f t="shared" si="2035"/>
        <v>-</v>
      </c>
      <c r="AV443" s="51" t="str">
        <f t="shared" si="2035"/>
        <v>-</v>
      </c>
      <c r="AW443" s="51" t="str">
        <f t="shared" si="2035"/>
        <v>-</v>
      </c>
      <c r="AX443" s="51" t="str">
        <f t="shared" si="2035"/>
        <v>-</v>
      </c>
      <c r="AY443" s="51" t="str">
        <f t="shared" si="2035"/>
        <v>-</v>
      </c>
      <c r="AZ443" s="51" t="str">
        <f t="shared" si="2035"/>
        <v>-</v>
      </c>
      <c r="BA443" s="51" t="str">
        <f t="shared" si="2035"/>
        <v>-</v>
      </c>
      <c r="BB443" s="51" t="str">
        <f t="shared" si="2035"/>
        <v>-</v>
      </c>
      <c r="BC443" s="51" t="str">
        <f t="shared" si="2035"/>
        <v>-</v>
      </c>
      <c r="BD443" s="51" t="str">
        <f t="shared" si="2035"/>
        <v>-</v>
      </c>
      <c r="BE443" s="51" t="str">
        <f t="shared" si="2035"/>
        <v>-</v>
      </c>
      <c r="BF443" s="51" t="str">
        <f t="shared" si="2035"/>
        <v>-</v>
      </c>
      <c r="BG443" s="51" t="str">
        <f t="shared" si="2035"/>
        <v>-</v>
      </c>
      <c r="BH443" s="51" t="str">
        <f t="shared" si="2035"/>
        <v>-</v>
      </c>
      <c r="BI443" s="51" t="str">
        <f t="shared" si="2035"/>
        <v>-</v>
      </c>
      <c r="BJ443" s="51" t="str">
        <f t="shared" si="2035"/>
        <v>-</v>
      </c>
      <c r="BK443" s="51" t="str">
        <f t="shared" si="2035"/>
        <v>-</v>
      </c>
      <c r="BL443" s="51" t="str">
        <f t="shared" si="2035"/>
        <v>-</v>
      </c>
      <c r="BM443" s="51" t="str">
        <f t="shared" si="2035"/>
        <v>-</v>
      </c>
      <c r="BN443" s="51" t="str">
        <f t="shared" si="2035"/>
        <v>-</v>
      </c>
      <c r="BO443" s="51" t="str">
        <f t="shared" si="2035"/>
        <v>-</v>
      </c>
      <c r="BP443" s="51" t="str">
        <f t="shared" si="2035"/>
        <v>-</v>
      </c>
      <c r="BQ443" s="51" t="str">
        <f t="shared" si="2035"/>
        <v>-</v>
      </c>
      <c r="BR443" s="51" t="str">
        <f t="shared" si="2035"/>
        <v>-</v>
      </c>
      <c r="BS443" s="51" t="str">
        <f t="shared" si="2035"/>
        <v>-</v>
      </c>
      <c r="BT443" s="51" t="str">
        <f t="shared" si="2035"/>
        <v>-</v>
      </c>
      <c r="BU443" s="51" t="str">
        <f t="shared" si="2035"/>
        <v>-</v>
      </c>
      <c r="BV443" s="51" t="str">
        <f t="shared" si="2035"/>
        <v>-</v>
      </c>
      <c r="BW443" s="51" t="str">
        <f t="shared" si="2035"/>
        <v>-</v>
      </c>
      <c r="BX443" s="49"/>
      <c r="BY443" s="49"/>
      <c r="BZ443" s="49"/>
      <c r="CA443" s="49"/>
      <c r="CB443" s="49"/>
    </row>
    <row r="444" spans="2:80" ht="15" customHeight="1" x14ac:dyDescent="0.2">
      <c r="B444" s="214">
        <v>2</v>
      </c>
      <c r="C444" s="214"/>
      <c r="D444" s="214"/>
      <c r="E444" s="218" t="str">
        <f>$E$326</f>
        <v>Operational Performance</v>
      </c>
      <c r="F444" s="218"/>
      <c r="G444" s="218"/>
      <c r="H444" s="218"/>
      <c r="I444" s="218"/>
      <c r="J444" s="218"/>
      <c r="K444" s="218"/>
      <c r="L444" s="218"/>
      <c r="M444" s="220">
        <f>$M$326</f>
        <v>3</v>
      </c>
      <c r="N444" s="220"/>
      <c r="O444" s="220"/>
      <c r="P444" s="220"/>
      <c r="Q444" s="220">
        <f>$Q$326</f>
        <v>3</v>
      </c>
      <c r="R444" s="220"/>
      <c r="S444" s="220"/>
      <c r="T444" s="220"/>
      <c r="U444" s="51" t="str">
        <f t="shared" ref="U444:U448" si="2036">IF($E443&lt;&gt;"Operational Performance",IF(OR($E444="Secondary Hazard",$E444="Operational Performance",$E444="Transform"),IF(U397=1,"+","-"),IF(OR($E444="Life Loss",$E444="Economic Cost"),IF(ISNUMBER(U397),"+","-"),"-")),IF(ISNUMBER(U396),"+","-"))</f>
        <v>+</v>
      </c>
      <c r="V444" s="51" t="str">
        <f t="shared" ref="V444:V448" si="2037">IF($E443&lt;&gt;"Operational Performance",IF(OR($E444="Secondary Hazard",$E444="Operational Performance",$E444="Transform"),IF(V397=1,"+","-"),IF(OR($E444="Life Loss",$E444="Economic Cost"),IF(ISNUMBER(V397),"+","-"),"-")),IF(ISNUMBER(V396),"+","-"))</f>
        <v>-</v>
      </c>
      <c r="W444" s="51" t="str">
        <f t="shared" ref="W444:W448" si="2038">IF($E443&lt;&gt;"Operational Performance",IF(OR($E444="Secondary Hazard",$E444="Operational Performance",$E444="Transform"),IF(W397=1,"+","-"),IF(OR($E444="Life Loss",$E444="Economic Cost"),IF(ISNUMBER(W397),"+","-"),"-")),IF(ISNUMBER(W396),"+","-"))</f>
        <v>-</v>
      </c>
      <c r="X444" s="51" t="str">
        <f t="shared" ref="X444:X448" si="2039">IF($E443&lt;&gt;"Operational Performance",IF(OR($E444="Secondary Hazard",$E444="Operational Performance",$E444="Transform"),IF(X397=1,"+","-"),IF(OR($E444="Life Loss",$E444="Economic Cost"),IF(ISNUMBER(X397),"+","-"),"-")),IF(ISNUMBER(X396),"+","-"))</f>
        <v>-</v>
      </c>
      <c r="Y444" s="51" t="str">
        <f t="shared" ref="Y444:Y448" si="2040">IF($E443&lt;&gt;"Operational Performance",IF(OR($E444="Secondary Hazard",$E444="Operational Performance",$E444="Transform"),IF(Y397=1,"+","-"),IF(OR($E444="Life Loss",$E444="Economic Cost"),IF(ISNUMBER(Y397),"+","-"),"-")),IF(ISNUMBER(Y396),"+","-"))</f>
        <v>-</v>
      </c>
      <c r="Z444" s="51" t="str">
        <f t="shared" ref="Z444:Z448" si="2041">IF($E443&lt;&gt;"Operational Performance",IF(OR($E444="Secondary Hazard",$E444="Operational Performance",$E444="Transform"),IF(Z397=1,"+","-"),IF(OR($E444="Life Loss",$E444="Economic Cost"),IF(ISNUMBER(Z397),"+","-"),"-")),IF(ISNUMBER(Z396),"+","-"))</f>
        <v>-</v>
      </c>
      <c r="AA444" s="51" t="str">
        <f t="shared" ref="AA444:AA448" si="2042">IF($E443&lt;&gt;"Operational Performance",IF(OR($E444="Secondary Hazard",$E444="Operational Performance",$E444="Transform"),IF(AA397=1,"+","-"),IF(OR($E444="Life Loss",$E444="Economic Cost"),IF(ISNUMBER(AA397),"+","-"),"-")),IF(ISNUMBER(AA396),"+","-"))</f>
        <v>-</v>
      </c>
      <c r="AB444" s="51" t="str">
        <f t="shared" ref="AB444:AB448" si="2043">IF($E443&lt;&gt;"Operational Performance",IF(OR($E444="Secondary Hazard",$E444="Operational Performance",$E444="Transform"),IF(AB397=1,"+","-"),IF(OR($E444="Life Loss",$E444="Economic Cost"),IF(ISNUMBER(AB397),"+","-"),"-")),IF(ISNUMBER(AB396),"+","-"))</f>
        <v>-</v>
      </c>
      <c r="AC444" s="51" t="str">
        <f t="shared" ref="AC444:AC448" si="2044">IF($E443&lt;&gt;"Operational Performance",IF(OR($E444="Secondary Hazard",$E444="Operational Performance",$E444="Transform"),IF(AC397=1,"+","-"),IF(OR($E444="Life Loss",$E444="Economic Cost"),IF(ISNUMBER(AC397),"+","-"),"-")),IF(ISNUMBER(AC396),"+","-"))</f>
        <v>-</v>
      </c>
      <c r="AD444" s="51" t="str">
        <f t="shared" ref="AD444:AD448" si="2045">IF($E443&lt;&gt;"Operational Performance",IF(OR($E444="Secondary Hazard",$E444="Operational Performance",$E444="Transform"),IF(AD397=1,"+","-"),IF(OR($E444="Life Loss",$E444="Economic Cost"),IF(ISNUMBER(AD397),"+","-"),"-")),IF(ISNUMBER(AD396),"+","-"))</f>
        <v>-</v>
      </c>
      <c r="AE444" s="51" t="str">
        <f t="shared" ref="AE444:AE448" si="2046">IF($E443&lt;&gt;"Operational Performance",IF(OR($E444="Secondary Hazard",$E444="Operational Performance",$E444="Transform"),IF(AE397=1,"+","-"),IF(OR($E444="Life Loss",$E444="Economic Cost"),IF(ISNUMBER(AE397),"+","-"),"-")),IF(ISNUMBER(AE396),"+","-"))</f>
        <v>-</v>
      </c>
      <c r="AF444" s="51" t="str">
        <f t="shared" ref="AF444:AF448" si="2047">IF($E443&lt;&gt;"Operational Performance",IF(OR($E444="Secondary Hazard",$E444="Operational Performance",$E444="Transform"),IF(AF397=1,"+","-"),IF(OR($E444="Life Loss",$E444="Economic Cost"),IF(ISNUMBER(AF397),"+","-"),"-")),IF(ISNUMBER(AF396),"+","-"))</f>
        <v>-</v>
      </c>
      <c r="AG444" s="51" t="str">
        <f t="shared" ref="AG444:AG448" si="2048">IF($E443&lt;&gt;"Operational Performance",IF(OR($E444="Secondary Hazard",$E444="Operational Performance",$E444="Transform"),IF(AG397=1,"+","-"),IF(OR($E444="Life Loss",$E444="Economic Cost"),IF(ISNUMBER(AG397),"+","-"),"-")),IF(ISNUMBER(AG396),"+","-"))</f>
        <v>-</v>
      </c>
      <c r="AH444" s="51" t="str">
        <f t="shared" ref="AH444:AH448" si="2049">IF($E443&lt;&gt;"Operational Performance",IF(OR($E444="Secondary Hazard",$E444="Operational Performance",$E444="Transform"),IF(AH397=1,"+","-"),IF(OR($E444="Life Loss",$E444="Economic Cost"),IF(ISNUMBER(AH397),"+","-"),"-")),IF(ISNUMBER(AH396),"+","-"))</f>
        <v>-</v>
      </c>
      <c r="AI444" s="51" t="str">
        <f t="shared" ref="AI444:AI448" si="2050">IF($E443&lt;&gt;"Operational Performance",IF(OR($E444="Secondary Hazard",$E444="Operational Performance",$E444="Transform"),IF(AI397=1,"+","-"),IF(OR($E444="Life Loss",$E444="Economic Cost"),IF(ISNUMBER(AI397),"+","-"),"-")),IF(ISNUMBER(AI396),"+","-"))</f>
        <v>-</v>
      </c>
      <c r="AJ444" s="51" t="str">
        <f t="shared" ref="AJ444:AJ448" si="2051">IF($E443&lt;&gt;"Operational Performance",IF(OR($E444="Secondary Hazard",$E444="Operational Performance",$E444="Transform"),IF(AJ397=1,"+","-"),IF(OR($E444="Life Loss",$E444="Economic Cost"),IF(ISNUMBER(AJ397),"+","-"),"-")),IF(ISNUMBER(AJ396),"+","-"))</f>
        <v>-</v>
      </c>
      <c r="AK444" s="51" t="str">
        <f t="shared" ref="AK444:AK448" si="2052">IF($E443&lt;&gt;"Operational Performance",IF(OR($E444="Secondary Hazard",$E444="Operational Performance",$E444="Transform"),IF(AK397=1,"+","-"),IF(OR($E444="Life Loss",$E444="Economic Cost"),IF(ISNUMBER(AK397),"+","-"),"-")),IF(ISNUMBER(AK396),"+","-"))</f>
        <v>-</v>
      </c>
      <c r="AL444" s="51" t="str">
        <f t="shared" ref="AL444:AL448" si="2053">IF($E443&lt;&gt;"Operational Performance",IF(OR($E444="Secondary Hazard",$E444="Operational Performance",$E444="Transform"),IF(AL397=1,"+","-"),IF(OR($E444="Life Loss",$E444="Economic Cost"),IF(ISNUMBER(AL397),"+","-"),"-")),IF(ISNUMBER(AL396),"+","-"))</f>
        <v>-</v>
      </c>
      <c r="AM444" s="51" t="str">
        <f t="shared" ref="AM444:AM448" si="2054">IF($E443&lt;&gt;"Operational Performance",IF(OR($E444="Secondary Hazard",$E444="Operational Performance",$E444="Transform"),IF(AM397=1,"+","-"),IF(OR($E444="Life Loss",$E444="Economic Cost"),IF(ISNUMBER(AM397),"+","-"),"-")),IF(ISNUMBER(AM396),"+","-"))</f>
        <v>-</v>
      </c>
      <c r="AN444" s="51" t="str">
        <f t="shared" ref="AN444:AN448" si="2055">IF($E443&lt;&gt;"Operational Performance",IF(OR($E444="Secondary Hazard",$E444="Operational Performance",$E444="Transform"),IF(AN397=1,"+","-"),IF(OR($E444="Life Loss",$E444="Economic Cost"),IF(ISNUMBER(AN397),"+","-"),"-")),IF(ISNUMBER(AN396),"+","-"))</f>
        <v>-</v>
      </c>
      <c r="AO444" s="51" t="str">
        <f t="shared" ref="AO444:AO448" si="2056">IF($E443&lt;&gt;"Operational Performance",IF(OR($E444="Secondary Hazard",$E444="Operational Performance",$E444="Transform"),IF(AO397=1,"+","-"),IF(OR($E444="Life Loss",$E444="Economic Cost"),IF(ISNUMBER(AO397),"+","-"),"-")),IF(ISNUMBER(AO396),"+","-"))</f>
        <v>-</v>
      </c>
      <c r="AP444" s="51" t="str">
        <f t="shared" ref="AP444:AP448" si="2057">IF($E443&lt;&gt;"Operational Performance",IF(OR($E444="Secondary Hazard",$E444="Operational Performance",$E444="Transform"),IF(AP397=1,"+","-"),IF(OR($E444="Life Loss",$E444="Economic Cost"),IF(ISNUMBER(AP397),"+","-"),"-")),IF(ISNUMBER(AP396),"+","-"))</f>
        <v>-</v>
      </c>
      <c r="AQ444" s="51" t="str">
        <f t="shared" ref="AQ444:AQ448" si="2058">IF($E443&lt;&gt;"Operational Performance",IF(OR($E444="Secondary Hazard",$E444="Operational Performance",$E444="Transform"),IF(AQ397=1,"+","-"),IF(OR($E444="Life Loss",$E444="Economic Cost"),IF(ISNUMBER(AQ397),"+","-"),"-")),IF(ISNUMBER(AQ396),"+","-"))</f>
        <v>-</v>
      </c>
      <c r="AR444" s="51" t="str">
        <f t="shared" ref="AR444:AR448" si="2059">IF($E443&lt;&gt;"Operational Performance",IF(OR($E444="Secondary Hazard",$E444="Operational Performance",$E444="Transform"),IF(AR397=1,"+","-"),IF(OR($E444="Life Loss",$E444="Economic Cost"),IF(ISNUMBER(AR397),"+","-"),"-")),IF(ISNUMBER(AR396),"+","-"))</f>
        <v>-</v>
      </c>
      <c r="AS444" s="51" t="str">
        <f t="shared" ref="AS444:AS448" si="2060">IF($E443&lt;&gt;"Operational Performance",IF(OR($E444="Secondary Hazard",$E444="Operational Performance",$E444="Transform"),IF(AS397=1,"+","-"),IF(OR($E444="Life Loss",$E444="Economic Cost"),IF(ISNUMBER(AS397),"+","-"),"-")),IF(ISNUMBER(AS396),"+","-"))</f>
        <v>-</v>
      </c>
      <c r="AT444" s="51" t="str">
        <f t="shared" ref="AT444:AT448" si="2061">IF($E443&lt;&gt;"Operational Performance",IF(OR($E444="Secondary Hazard",$E444="Operational Performance",$E444="Transform"),IF(AT397=1,"+","-"),IF(OR($E444="Life Loss",$E444="Economic Cost"),IF(ISNUMBER(AT397),"+","-"),"-")),IF(ISNUMBER(AT396),"+","-"))</f>
        <v>-</v>
      </c>
      <c r="AU444" s="51" t="str">
        <f t="shared" ref="AU444:AU448" si="2062">IF($E443&lt;&gt;"Operational Performance",IF(OR($E444="Secondary Hazard",$E444="Operational Performance",$E444="Transform"),IF(AU397=1,"+","-"),IF(OR($E444="Life Loss",$E444="Economic Cost"),IF(ISNUMBER(AU397),"+","-"),"-")),IF(ISNUMBER(AU396),"+","-"))</f>
        <v>-</v>
      </c>
      <c r="AV444" s="51" t="str">
        <f t="shared" ref="AV444:AV448" si="2063">IF($E443&lt;&gt;"Operational Performance",IF(OR($E444="Secondary Hazard",$E444="Operational Performance",$E444="Transform"),IF(AV397=1,"+","-"),IF(OR($E444="Life Loss",$E444="Economic Cost"),IF(ISNUMBER(AV397),"+","-"),"-")),IF(ISNUMBER(AV396),"+","-"))</f>
        <v>-</v>
      </c>
      <c r="AW444" s="51" t="str">
        <f t="shared" ref="AW444:AW448" si="2064">IF($E443&lt;&gt;"Operational Performance",IF(OR($E444="Secondary Hazard",$E444="Operational Performance",$E444="Transform"),IF(AW397=1,"+","-"),IF(OR($E444="Life Loss",$E444="Economic Cost"),IF(ISNUMBER(AW397),"+","-"),"-")),IF(ISNUMBER(AW396),"+","-"))</f>
        <v>-</v>
      </c>
      <c r="AX444" s="51" t="str">
        <f t="shared" ref="AX444:AX448" si="2065">IF($E443&lt;&gt;"Operational Performance",IF(OR($E444="Secondary Hazard",$E444="Operational Performance",$E444="Transform"),IF(AX397=1,"+","-"),IF(OR($E444="Life Loss",$E444="Economic Cost"),IF(ISNUMBER(AX397),"+","-"),"-")),IF(ISNUMBER(AX396),"+","-"))</f>
        <v>-</v>
      </c>
      <c r="AY444" s="51" t="str">
        <f t="shared" ref="AY444:AY448" si="2066">IF($E443&lt;&gt;"Operational Performance",IF(OR($E444="Secondary Hazard",$E444="Operational Performance",$E444="Transform"),IF(AY397=1,"+","-"),IF(OR($E444="Life Loss",$E444="Economic Cost"),IF(ISNUMBER(AY397),"+","-"),"-")),IF(ISNUMBER(AY396),"+","-"))</f>
        <v>-</v>
      </c>
      <c r="AZ444" s="51" t="str">
        <f t="shared" ref="AZ444:AZ448" si="2067">IF($E443&lt;&gt;"Operational Performance",IF(OR($E444="Secondary Hazard",$E444="Operational Performance",$E444="Transform"),IF(AZ397=1,"+","-"),IF(OR($E444="Life Loss",$E444="Economic Cost"),IF(ISNUMBER(AZ397),"+","-"),"-")),IF(ISNUMBER(AZ396),"+","-"))</f>
        <v>-</v>
      </c>
      <c r="BA444" s="51" t="str">
        <f t="shared" ref="BA444:BA448" si="2068">IF($E443&lt;&gt;"Operational Performance",IF(OR($E444="Secondary Hazard",$E444="Operational Performance",$E444="Transform"),IF(BA397=1,"+","-"),IF(OR($E444="Life Loss",$E444="Economic Cost"),IF(ISNUMBER(BA397),"+","-"),"-")),IF(ISNUMBER(BA396),"+","-"))</f>
        <v>-</v>
      </c>
      <c r="BB444" s="51" t="str">
        <f t="shared" ref="BB444:BB448" si="2069">IF($E443&lt;&gt;"Operational Performance",IF(OR($E444="Secondary Hazard",$E444="Operational Performance",$E444="Transform"),IF(BB397=1,"+","-"),IF(OR($E444="Life Loss",$E444="Economic Cost"),IF(ISNUMBER(BB397),"+","-"),"-")),IF(ISNUMBER(BB396),"+","-"))</f>
        <v>-</v>
      </c>
      <c r="BC444" s="51" t="str">
        <f t="shared" ref="BC444:BC448" si="2070">IF($E443&lt;&gt;"Operational Performance",IF(OR($E444="Secondary Hazard",$E444="Operational Performance",$E444="Transform"),IF(BC397=1,"+","-"),IF(OR($E444="Life Loss",$E444="Economic Cost"),IF(ISNUMBER(BC397),"+","-"),"-")),IF(ISNUMBER(BC396),"+","-"))</f>
        <v>-</v>
      </c>
      <c r="BD444" s="51" t="str">
        <f t="shared" ref="BD444:BD448" si="2071">IF($E443&lt;&gt;"Operational Performance",IF(OR($E444="Secondary Hazard",$E444="Operational Performance",$E444="Transform"),IF(BD397=1,"+","-"),IF(OR($E444="Life Loss",$E444="Economic Cost"),IF(ISNUMBER(BD397),"+","-"),"-")),IF(ISNUMBER(BD396),"+","-"))</f>
        <v>-</v>
      </c>
      <c r="BE444" s="51" t="str">
        <f t="shared" ref="BE444:BE448" si="2072">IF($E443&lt;&gt;"Operational Performance",IF(OR($E444="Secondary Hazard",$E444="Operational Performance",$E444="Transform"),IF(BE397=1,"+","-"),IF(OR($E444="Life Loss",$E444="Economic Cost"),IF(ISNUMBER(BE397),"+","-"),"-")),IF(ISNUMBER(BE396),"+","-"))</f>
        <v>-</v>
      </c>
      <c r="BF444" s="51" t="str">
        <f t="shared" ref="BF444:BF448" si="2073">IF($E443&lt;&gt;"Operational Performance",IF(OR($E444="Secondary Hazard",$E444="Operational Performance",$E444="Transform"),IF(BF397=1,"+","-"),IF(OR($E444="Life Loss",$E444="Economic Cost"),IF(ISNUMBER(BF397),"+","-"),"-")),IF(ISNUMBER(BF396),"+","-"))</f>
        <v>-</v>
      </c>
      <c r="BG444" s="51" t="str">
        <f t="shared" ref="BG444:BG448" si="2074">IF($E443&lt;&gt;"Operational Performance",IF(OR($E444="Secondary Hazard",$E444="Operational Performance",$E444="Transform"),IF(BG397=1,"+","-"),IF(OR($E444="Life Loss",$E444="Economic Cost"),IF(ISNUMBER(BG397),"+","-"),"-")),IF(ISNUMBER(BG396),"+","-"))</f>
        <v>-</v>
      </c>
      <c r="BH444" s="51" t="str">
        <f t="shared" ref="BH444:BH448" si="2075">IF($E443&lt;&gt;"Operational Performance",IF(OR($E444="Secondary Hazard",$E444="Operational Performance",$E444="Transform"),IF(BH397=1,"+","-"),IF(OR($E444="Life Loss",$E444="Economic Cost"),IF(ISNUMBER(BH397),"+","-"),"-")),IF(ISNUMBER(BH396),"+","-"))</f>
        <v>-</v>
      </c>
      <c r="BI444" s="51" t="str">
        <f t="shared" ref="BI444:BI448" si="2076">IF($E443&lt;&gt;"Operational Performance",IF(OR($E444="Secondary Hazard",$E444="Operational Performance",$E444="Transform"),IF(BI397=1,"+","-"),IF(OR($E444="Life Loss",$E444="Economic Cost"),IF(ISNUMBER(BI397),"+","-"),"-")),IF(ISNUMBER(BI396),"+","-"))</f>
        <v>-</v>
      </c>
      <c r="BJ444" s="51" t="str">
        <f t="shared" ref="BJ444:BJ448" si="2077">IF($E443&lt;&gt;"Operational Performance",IF(OR($E444="Secondary Hazard",$E444="Operational Performance",$E444="Transform"),IF(BJ397=1,"+","-"),IF(OR($E444="Life Loss",$E444="Economic Cost"),IF(ISNUMBER(BJ397),"+","-"),"-")),IF(ISNUMBER(BJ396),"+","-"))</f>
        <v>-</v>
      </c>
      <c r="BK444" s="51" t="str">
        <f t="shared" ref="BK444:BK448" si="2078">IF($E443&lt;&gt;"Operational Performance",IF(OR($E444="Secondary Hazard",$E444="Operational Performance",$E444="Transform"),IF(BK397=1,"+","-"),IF(OR($E444="Life Loss",$E444="Economic Cost"),IF(ISNUMBER(BK397),"+","-"),"-")),IF(ISNUMBER(BK396),"+","-"))</f>
        <v>-</v>
      </c>
      <c r="BL444" s="51" t="str">
        <f t="shared" ref="BL444:BL448" si="2079">IF($E443&lt;&gt;"Operational Performance",IF(OR($E444="Secondary Hazard",$E444="Operational Performance",$E444="Transform"),IF(BL397=1,"+","-"),IF(OR($E444="Life Loss",$E444="Economic Cost"),IF(ISNUMBER(BL397),"+","-"),"-")),IF(ISNUMBER(BL396),"+","-"))</f>
        <v>-</v>
      </c>
      <c r="BM444" s="51" t="str">
        <f t="shared" ref="BM444:BM448" si="2080">IF($E443&lt;&gt;"Operational Performance",IF(OR($E444="Secondary Hazard",$E444="Operational Performance",$E444="Transform"),IF(BM397=1,"+","-"),IF(OR($E444="Life Loss",$E444="Economic Cost"),IF(ISNUMBER(BM397),"+","-"),"-")),IF(ISNUMBER(BM396),"+","-"))</f>
        <v>-</v>
      </c>
      <c r="BN444" s="51" t="str">
        <f t="shared" ref="BN444:BN448" si="2081">IF($E443&lt;&gt;"Operational Performance",IF(OR($E444="Secondary Hazard",$E444="Operational Performance",$E444="Transform"),IF(BN397=1,"+","-"),IF(OR($E444="Life Loss",$E444="Economic Cost"),IF(ISNUMBER(BN397),"+","-"),"-")),IF(ISNUMBER(BN396),"+","-"))</f>
        <v>-</v>
      </c>
      <c r="BO444" s="51" t="str">
        <f t="shared" ref="BO444:BO448" si="2082">IF($E443&lt;&gt;"Operational Performance",IF(OR($E444="Secondary Hazard",$E444="Operational Performance",$E444="Transform"),IF(BO397=1,"+","-"),IF(OR($E444="Life Loss",$E444="Economic Cost"),IF(ISNUMBER(BO397),"+","-"),"-")),IF(ISNUMBER(BO396),"+","-"))</f>
        <v>-</v>
      </c>
      <c r="BP444" s="51" t="str">
        <f t="shared" ref="BP444:BP448" si="2083">IF($E443&lt;&gt;"Operational Performance",IF(OR($E444="Secondary Hazard",$E444="Operational Performance",$E444="Transform"),IF(BP397=1,"+","-"),IF(OR($E444="Life Loss",$E444="Economic Cost"),IF(ISNUMBER(BP397),"+","-"),"-")),IF(ISNUMBER(BP396),"+","-"))</f>
        <v>-</v>
      </c>
      <c r="BQ444" s="51" t="str">
        <f t="shared" ref="BQ444:BQ448" si="2084">IF($E443&lt;&gt;"Operational Performance",IF(OR($E444="Secondary Hazard",$E444="Operational Performance",$E444="Transform"),IF(BQ397=1,"+","-"),IF(OR($E444="Life Loss",$E444="Economic Cost"),IF(ISNUMBER(BQ397),"+","-"),"-")),IF(ISNUMBER(BQ396),"+","-"))</f>
        <v>-</v>
      </c>
      <c r="BR444" s="51" t="str">
        <f t="shared" ref="BR444:BR448" si="2085">IF($E443&lt;&gt;"Operational Performance",IF(OR($E444="Secondary Hazard",$E444="Operational Performance",$E444="Transform"),IF(BR397=1,"+","-"),IF(OR($E444="Life Loss",$E444="Economic Cost"),IF(ISNUMBER(BR397),"+","-"),"-")),IF(ISNUMBER(BR396),"+","-"))</f>
        <v>-</v>
      </c>
      <c r="BS444" s="51" t="str">
        <f t="shared" ref="BS444:BS448" si="2086">IF($E443&lt;&gt;"Operational Performance",IF(OR($E444="Secondary Hazard",$E444="Operational Performance",$E444="Transform"),IF(BS397=1,"+","-"),IF(OR($E444="Life Loss",$E444="Economic Cost"),IF(ISNUMBER(BS397),"+","-"),"-")),IF(ISNUMBER(BS396),"+","-"))</f>
        <v>-</v>
      </c>
      <c r="BT444" s="51" t="str">
        <f t="shared" ref="BT444:BT448" si="2087">IF($E443&lt;&gt;"Operational Performance",IF(OR($E444="Secondary Hazard",$E444="Operational Performance",$E444="Transform"),IF(BT397=1,"+","-"),IF(OR($E444="Life Loss",$E444="Economic Cost"),IF(ISNUMBER(BT397),"+","-"),"-")),IF(ISNUMBER(BT396),"+","-"))</f>
        <v>-</v>
      </c>
      <c r="BU444" s="51" t="str">
        <f t="shared" ref="BU444:BU448" si="2088">IF($E443&lt;&gt;"Operational Performance",IF(OR($E444="Secondary Hazard",$E444="Operational Performance",$E444="Transform"),IF(BU397=1,"+","-"),IF(OR($E444="Life Loss",$E444="Economic Cost"),IF(ISNUMBER(BU397),"+","-"),"-")),IF(ISNUMBER(BU396),"+","-"))</f>
        <v>-</v>
      </c>
      <c r="BV444" s="51" t="str">
        <f t="shared" ref="BV444:BV448" si="2089">IF($E443&lt;&gt;"Operational Performance",IF(OR($E444="Secondary Hazard",$E444="Operational Performance",$E444="Transform"),IF(BV397=1,"+","-"),IF(OR($E444="Life Loss",$E444="Economic Cost"),IF(ISNUMBER(BV397),"+","-"),"-")),IF(ISNUMBER(BV396),"+","-"))</f>
        <v>-</v>
      </c>
      <c r="BW444" s="51" t="str">
        <f t="shared" ref="BW444:BW448" si="2090">IF($E443&lt;&gt;"Operational Performance",IF(OR($E444="Secondary Hazard",$E444="Operational Performance",$E444="Transform"),IF(BW397=1,"+","-"),IF(OR($E444="Life Loss",$E444="Economic Cost"),IF(ISNUMBER(BW397),"+","-"),"-")),IF(ISNUMBER(BW396),"+","-"))</f>
        <v>-</v>
      </c>
      <c r="BX444" s="49"/>
      <c r="BY444" s="49"/>
      <c r="BZ444" s="49"/>
      <c r="CA444" s="49"/>
      <c r="CB444" s="49"/>
    </row>
    <row r="445" spans="2:80" ht="15" customHeight="1" x14ac:dyDescent="0.2">
      <c r="B445" s="214">
        <v>3</v>
      </c>
      <c r="C445" s="214"/>
      <c r="D445" s="214"/>
      <c r="E445" s="218" t="str">
        <f>$E$327</f>
        <v>Transform</v>
      </c>
      <c r="F445" s="218"/>
      <c r="G445" s="218"/>
      <c r="H445" s="218"/>
      <c r="I445" s="218"/>
      <c r="J445" s="218"/>
      <c r="K445" s="218"/>
      <c r="L445" s="218"/>
      <c r="M445" s="220">
        <f>$M$327</f>
        <v>3</v>
      </c>
      <c r="N445" s="220"/>
      <c r="O445" s="220"/>
      <c r="P445" s="220"/>
      <c r="Q445" s="220">
        <f>$Q$327</f>
        <v>9</v>
      </c>
      <c r="R445" s="220"/>
      <c r="S445" s="220"/>
      <c r="T445" s="220"/>
      <c r="U445" s="51" t="str">
        <f t="shared" si="2036"/>
        <v>+</v>
      </c>
      <c r="V445" s="51" t="str">
        <f t="shared" si="2037"/>
        <v>-</v>
      </c>
      <c r="W445" s="51" t="str">
        <f t="shared" si="2038"/>
        <v>-</v>
      </c>
      <c r="X445" s="51" t="str">
        <f t="shared" si="2039"/>
        <v>+</v>
      </c>
      <c r="Y445" s="51" t="str">
        <f t="shared" si="2040"/>
        <v>-</v>
      </c>
      <c r="Z445" s="51" t="str">
        <f t="shared" si="2041"/>
        <v>-</v>
      </c>
      <c r="AA445" s="51" t="str">
        <f t="shared" si="2042"/>
        <v>+</v>
      </c>
      <c r="AB445" s="51" t="str">
        <f t="shared" si="2043"/>
        <v>-</v>
      </c>
      <c r="AC445" s="51" t="str">
        <f t="shared" si="2044"/>
        <v>-</v>
      </c>
      <c r="AD445" s="51" t="str">
        <f t="shared" si="2045"/>
        <v>-</v>
      </c>
      <c r="AE445" s="51" t="str">
        <f t="shared" si="2046"/>
        <v>-</v>
      </c>
      <c r="AF445" s="51" t="str">
        <f t="shared" si="2047"/>
        <v>-</v>
      </c>
      <c r="AG445" s="51" t="str">
        <f t="shared" si="2048"/>
        <v>-</v>
      </c>
      <c r="AH445" s="51" t="str">
        <f t="shared" si="2049"/>
        <v>-</v>
      </c>
      <c r="AI445" s="51" t="str">
        <f t="shared" si="2050"/>
        <v>-</v>
      </c>
      <c r="AJ445" s="51" t="str">
        <f t="shared" si="2051"/>
        <v>-</v>
      </c>
      <c r="AK445" s="51" t="str">
        <f t="shared" si="2052"/>
        <v>-</v>
      </c>
      <c r="AL445" s="51" t="str">
        <f t="shared" si="2053"/>
        <v>-</v>
      </c>
      <c r="AM445" s="51" t="str">
        <f t="shared" si="2054"/>
        <v>-</v>
      </c>
      <c r="AN445" s="51" t="str">
        <f t="shared" si="2055"/>
        <v>-</v>
      </c>
      <c r="AO445" s="51" t="str">
        <f t="shared" si="2056"/>
        <v>-</v>
      </c>
      <c r="AP445" s="51" t="str">
        <f t="shared" si="2057"/>
        <v>-</v>
      </c>
      <c r="AQ445" s="51" t="str">
        <f t="shared" si="2058"/>
        <v>-</v>
      </c>
      <c r="AR445" s="51" t="str">
        <f t="shared" si="2059"/>
        <v>-</v>
      </c>
      <c r="AS445" s="51" t="str">
        <f t="shared" si="2060"/>
        <v>-</v>
      </c>
      <c r="AT445" s="51" t="str">
        <f t="shared" si="2061"/>
        <v>-</v>
      </c>
      <c r="AU445" s="51" t="str">
        <f t="shared" si="2062"/>
        <v>-</v>
      </c>
      <c r="AV445" s="51" t="str">
        <f t="shared" si="2063"/>
        <v>-</v>
      </c>
      <c r="AW445" s="51" t="str">
        <f t="shared" si="2064"/>
        <v>-</v>
      </c>
      <c r="AX445" s="51" t="str">
        <f t="shared" si="2065"/>
        <v>-</v>
      </c>
      <c r="AY445" s="51" t="str">
        <f t="shared" si="2066"/>
        <v>-</v>
      </c>
      <c r="AZ445" s="51" t="str">
        <f t="shared" si="2067"/>
        <v>-</v>
      </c>
      <c r="BA445" s="51" t="str">
        <f t="shared" si="2068"/>
        <v>-</v>
      </c>
      <c r="BB445" s="51" t="str">
        <f t="shared" si="2069"/>
        <v>-</v>
      </c>
      <c r="BC445" s="51" t="str">
        <f t="shared" si="2070"/>
        <v>-</v>
      </c>
      <c r="BD445" s="51" t="str">
        <f t="shared" si="2071"/>
        <v>-</v>
      </c>
      <c r="BE445" s="51" t="str">
        <f t="shared" si="2072"/>
        <v>-</v>
      </c>
      <c r="BF445" s="51" t="str">
        <f t="shared" si="2073"/>
        <v>-</v>
      </c>
      <c r="BG445" s="51" t="str">
        <f t="shared" si="2074"/>
        <v>-</v>
      </c>
      <c r="BH445" s="51" t="str">
        <f t="shared" si="2075"/>
        <v>-</v>
      </c>
      <c r="BI445" s="51" t="str">
        <f t="shared" si="2076"/>
        <v>-</v>
      </c>
      <c r="BJ445" s="51" t="str">
        <f t="shared" si="2077"/>
        <v>-</v>
      </c>
      <c r="BK445" s="51" t="str">
        <f t="shared" si="2078"/>
        <v>-</v>
      </c>
      <c r="BL445" s="51" t="str">
        <f t="shared" si="2079"/>
        <v>-</v>
      </c>
      <c r="BM445" s="51" t="str">
        <f t="shared" si="2080"/>
        <v>-</v>
      </c>
      <c r="BN445" s="51" t="str">
        <f t="shared" si="2081"/>
        <v>-</v>
      </c>
      <c r="BO445" s="51" t="str">
        <f t="shared" si="2082"/>
        <v>-</v>
      </c>
      <c r="BP445" s="51" t="str">
        <f t="shared" si="2083"/>
        <v>-</v>
      </c>
      <c r="BQ445" s="51" t="str">
        <f t="shared" si="2084"/>
        <v>-</v>
      </c>
      <c r="BR445" s="51" t="str">
        <f t="shared" si="2085"/>
        <v>-</v>
      </c>
      <c r="BS445" s="51" t="str">
        <f t="shared" si="2086"/>
        <v>-</v>
      </c>
      <c r="BT445" s="51" t="str">
        <f t="shared" si="2087"/>
        <v>-</v>
      </c>
      <c r="BU445" s="51" t="str">
        <f t="shared" si="2088"/>
        <v>-</v>
      </c>
      <c r="BV445" s="51" t="str">
        <f t="shared" si="2089"/>
        <v>-</v>
      </c>
      <c r="BW445" s="51" t="str">
        <f t="shared" si="2090"/>
        <v>-</v>
      </c>
      <c r="BX445" s="49"/>
      <c r="BY445" s="49"/>
      <c r="BZ445" s="49"/>
      <c r="CA445" s="49"/>
      <c r="CB445" s="49"/>
    </row>
    <row r="446" spans="2:80" ht="15" customHeight="1" x14ac:dyDescent="0.2">
      <c r="B446" s="214">
        <v>4</v>
      </c>
      <c r="C446" s="214"/>
      <c r="D446" s="214"/>
      <c r="E446" s="218" t="str">
        <f>$E$328</f>
        <v>System Response</v>
      </c>
      <c r="F446" s="218"/>
      <c r="G446" s="218"/>
      <c r="H446" s="218"/>
      <c r="I446" s="218"/>
      <c r="J446" s="218"/>
      <c r="K446" s="218"/>
      <c r="L446" s="218"/>
      <c r="M446" s="220">
        <f>$M$328</f>
        <v>1</v>
      </c>
      <c r="N446" s="220"/>
      <c r="O446" s="220"/>
      <c r="P446" s="220"/>
      <c r="Q446" s="220">
        <f>$Q$328</f>
        <v>9</v>
      </c>
      <c r="R446" s="220"/>
      <c r="S446" s="220"/>
      <c r="T446" s="220"/>
      <c r="U446" s="51" t="str">
        <f t="shared" si="2036"/>
        <v>-</v>
      </c>
      <c r="V446" s="51" t="str">
        <f t="shared" si="2037"/>
        <v>-</v>
      </c>
      <c r="W446" s="51" t="str">
        <f t="shared" si="2038"/>
        <v>-</v>
      </c>
      <c r="X446" s="51" t="str">
        <f t="shared" si="2039"/>
        <v>-</v>
      </c>
      <c r="Y446" s="51" t="str">
        <f t="shared" si="2040"/>
        <v>-</v>
      </c>
      <c r="Z446" s="51" t="str">
        <f t="shared" si="2041"/>
        <v>-</v>
      </c>
      <c r="AA446" s="51" t="str">
        <f t="shared" si="2042"/>
        <v>-</v>
      </c>
      <c r="AB446" s="51" t="str">
        <f t="shared" si="2043"/>
        <v>-</v>
      </c>
      <c r="AC446" s="51" t="str">
        <f t="shared" si="2044"/>
        <v>-</v>
      </c>
      <c r="AD446" s="51" t="str">
        <f t="shared" si="2045"/>
        <v>-</v>
      </c>
      <c r="AE446" s="51" t="str">
        <f t="shared" si="2046"/>
        <v>-</v>
      </c>
      <c r="AF446" s="51" t="str">
        <f t="shared" si="2047"/>
        <v>-</v>
      </c>
      <c r="AG446" s="51" t="str">
        <f t="shared" si="2048"/>
        <v>-</v>
      </c>
      <c r="AH446" s="51" t="str">
        <f t="shared" si="2049"/>
        <v>-</v>
      </c>
      <c r="AI446" s="51" t="str">
        <f t="shared" si="2050"/>
        <v>-</v>
      </c>
      <c r="AJ446" s="51" t="str">
        <f t="shared" si="2051"/>
        <v>-</v>
      </c>
      <c r="AK446" s="51" t="str">
        <f t="shared" si="2052"/>
        <v>-</v>
      </c>
      <c r="AL446" s="51" t="str">
        <f t="shared" si="2053"/>
        <v>-</v>
      </c>
      <c r="AM446" s="51" t="str">
        <f t="shared" si="2054"/>
        <v>-</v>
      </c>
      <c r="AN446" s="51" t="str">
        <f t="shared" si="2055"/>
        <v>-</v>
      </c>
      <c r="AO446" s="51" t="str">
        <f t="shared" si="2056"/>
        <v>-</v>
      </c>
      <c r="AP446" s="51" t="str">
        <f t="shared" si="2057"/>
        <v>-</v>
      </c>
      <c r="AQ446" s="51" t="str">
        <f t="shared" si="2058"/>
        <v>-</v>
      </c>
      <c r="AR446" s="51" t="str">
        <f t="shared" si="2059"/>
        <v>-</v>
      </c>
      <c r="AS446" s="51" t="str">
        <f t="shared" si="2060"/>
        <v>-</v>
      </c>
      <c r="AT446" s="51" t="str">
        <f t="shared" si="2061"/>
        <v>-</v>
      </c>
      <c r="AU446" s="51" t="str">
        <f t="shared" si="2062"/>
        <v>-</v>
      </c>
      <c r="AV446" s="51" t="str">
        <f t="shared" si="2063"/>
        <v>-</v>
      </c>
      <c r="AW446" s="51" t="str">
        <f t="shared" si="2064"/>
        <v>-</v>
      </c>
      <c r="AX446" s="51" t="str">
        <f t="shared" si="2065"/>
        <v>-</v>
      </c>
      <c r="AY446" s="51" t="str">
        <f t="shared" si="2066"/>
        <v>-</v>
      </c>
      <c r="AZ446" s="51" t="str">
        <f t="shared" si="2067"/>
        <v>-</v>
      </c>
      <c r="BA446" s="51" t="str">
        <f t="shared" si="2068"/>
        <v>-</v>
      </c>
      <c r="BB446" s="51" t="str">
        <f t="shared" si="2069"/>
        <v>-</v>
      </c>
      <c r="BC446" s="51" t="str">
        <f t="shared" si="2070"/>
        <v>-</v>
      </c>
      <c r="BD446" s="51" t="str">
        <f t="shared" si="2071"/>
        <v>-</v>
      </c>
      <c r="BE446" s="51" t="str">
        <f t="shared" si="2072"/>
        <v>-</v>
      </c>
      <c r="BF446" s="51" t="str">
        <f t="shared" si="2073"/>
        <v>-</v>
      </c>
      <c r="BG446" s="51" t="str">
        <f t="shared" si="2074"/>
        <v>-</v>
      </c>
      <c r="BH446" s="51" t="str">
        <f t="shared" si="2075"/>
        <v>-</v>
      </c>
      <c r="BI446" s="51" t="str">
        <f t="shared" si="2076"/>
        <v>-</v>
      </c>
      <c r="BJ446" s="51" t="str">
        <f t="shared" si="2077"/>
        <v>-</v>
      </c>
      <c r="BK446" s="51" t="str">
        <f t="shared" si="2078"/>
        <v>-</v>
      </c>
      <c r="BL446" s="51" t="str">
        <f t="shared" si="2079"/>
        <v>-</v>
      </c>
      <c r="BM446" s="51" t="str">
        <f t="shared" si="2080"/>
        <v>-</v>
      </c>
      <c r="BN446" s="51" t="str">
        <f t="shared" si="2081"/>
        <v>-</v>
      </c>
      <c r="BO446" s="51" t="str">
        <f t="shared" si="2082"/>
        <v>-</v>
      </c>
      <c r="BP446" s="51" t="str">
        <f t="shared" si="2083"/>
        <v>-</v>
      </c>
      <c r="BQ446" s="51" t="str">
        <f t="shared" si="2084"/>
        <v>-</v>
      </c>
      <c r="BR446" s="51" t="str">
        <f t="shared" si="2085"/>
        <v>-</v>
      </c>
      <c r="BS446" s="51" t="str">
        <f t="shared" si="2086"/>
        <v>-</v>
      </c>
      <c r="BT446" s="51" t="str">
        <f t="shared" si="2087"/>
        <v>-</v>
      </c>
      <c r="BU446" s="51" t="str">
        <f t="shared" si="2088"/>
        <v>-</v>
      </c>
      <c r="BV446" s="51" t="str">
        <f t="shared" si="2089"/>
        <v>-</v>
      </c>
      <c r="BW446" s="51" t="str">
        <f t="shared" si="2090"/>
        <v>-</v>
      </c>
      <c r="BX446" s="49"/>
      <c r="BY446" s="49"/>
      <c r="BZ446" s="49"/>
      <c r="CA446" s="49"/>
      <c r="CB446" s="49"/>
    </row>
    <row r="447" spans="2:80" ht="15" customHeight="1" x14ac:dyDescent="0.2">
      <c r="B447" s="214">
        <v>5</v>
      </c>
      <c r="C447" s="214"/>
      <c r="D447" s="214"/>
      <c r="E447" s="218" t="str">
        <f>$E$329</f>
        <v>Life Loss</v>
      </c>
      <c r="F447" s="218"/>
      <c r="G447" s="218"/>
      <c r="H447" s="218"/>
      <c r="I447" s="218"/>
      <c r="J447" s="218"/>
      <c r="K447" s="218"/>
      <c r="L447" s="218"/>
      <c r="M447" s="220">
        <f>$M$329</f>
        <v>1</v>
      </c>
      <c r="N447" s="220"/>
      <c r="O447" s="220"/>
      <c r="P447" s="220"/>
      <c r="Q447" s="220">
        <f>$Q$329</f>
        <v>9</v>
      </c>
      <c r="R447" s="220"/>
      <c r="S447" s="220"/>
      <c r="T447" s="220"/>
      <c r="U447" s="51" t="str">
        <f t="shared" si="2036"/>
        <v>+</v>
      </c>
      <c r="V447" s="51" t="str">
        <f t="shared" si="2037"/>
        <v>+</v>
      </c>
      <c r="W447" s="51" t="str">
        <f t="shared" si="2038"/>
        <v>+</v>
      </c>
      <c r="X447" s="51" t="str">
        <f t="shared" si="2039"/>
        <v>-</v>
      </c>
      <c r="Y447" s="51" t="str">
        <f t="shared" si="2040"/>
        <v>-</v>
      </c>
      <c r="Z447" s="51" t="str">
        <f t="shared" si="2041"/>
        <v>-</v>
      </c>
      <c r="AA447" s="51" t="str">
        <f t="shared" si="2042"/>
        <v>-</v>
      </c>
      <c r="AB447" s="51" t="str">
        <f t="shared" si="2043"/>
        <v>-</v>
      </c>
      <c r="AC447" s="51" t="str">
        <f t="shared" si="2044"/>
        <v>-</v>
      </c>
      <c r="AD447" s="51" t="str">
        <f t="shared" si="2045"/>
        <v>-</v>
      </c>
      <c r="AE447" s="51" t="str">
        <f t="shared" si="2046"/>
        <v>-</v>
      </c>
      <c r="AF447" s="51" t="str">
        <f t="shared" si="2047"/>
        <v>-</v>
      </c>
      <c r="AG447" s="51" t="str">
        <f t="shared" si="2048"/>
        <v>-</v>
      </c>
      <c r="AH447" s="51" t="str">
        <f t="shared" si="2049"/>
        <v>-</v>
      </c>
      <c r="AI447" s="51" t="str">
        <f t="shared" si="2050"/>
        <v>-</v>
      </c>
      <c r="AJ447" s="51" t="str">
        <f t="shared" si="2051"/>
        <v>-</v>
      </c>
      <c r="AK447" s="51" t="str">
        <f t="shared" si="2052"/>
        <v>-</v>
      </c>
      <c r="AL447" s="51" t="str">
        <f t="shared" si="2053"/>
        <v>-</v>
      </c>
      <c r="AM447" s="51" t="str">
        <f t="shared" si="2054"/>
        <v>-</v>
      </c>
      <c r="AN447" s="51" t="str">
        <f t="shared" si="2055"/>
        <v>-</v>
      </c>
      <c r="AO447" s="51" t="str">
        <f t="shared" si="2056"/>
        <v>-</v>
      </c>
      <c r="AP447" s="51" t="str">
        <f t="shared" si="2057"/>
        <v>-</v>
      </c>
      <c r="AQ447" s="51" t="str">
        <f t="shared" si="2058"/>
        <v>-</v>
      </c>
      <c r="AR447" s="51" t="str">
        <f t="shared" si="2059"/>
        <v>-</v>
      </c>
      <c r="AS447" s="51" t="str">
        <f t="shared" si="2060"/>
        <v>-</v>
      </c>
      <c r="AT447" s="51" t="str">
        <f t="shared" si="2061"/>
        <v>-</v>
      </c>
      <c r="AU447" s="51" t="str">
        <f t="shared" si="2062"/>
        <v>-</v>
      </c>
      <c r="AV447" s="51" t="str">
        <f t="shared" si="2063"/>
        <v>-</v>
      </c>
      <c r="AW447" s="51" t="str">
        <f t="shared" si="2064"/>
        <v>-</v>
      </c>
      <c r="AX447" s="51" t="str">
        <f t="shared" si="2065"/>
        <v>-</v>
      </c>
      <c r="AY447" s="51" t="str">
        <f t="shared" si="2066"/>
        <v>-</v>
      </c>
      <c r="AZ447" s="51" t="str">
        <f t="shared" si="2067"/>
        <v>-</v>
      </c>
      <c r="BA447" s="51" t="str">
        <f t="shared" si="2068"/>
        <v>-</v>
      </c>
      <c r="BB447" s="51" t="str">
        <f t="shared" si="2069"/>
        <v>-</v>
      </c>
      <c r="BC447" s="51" t="str">
        <f t="shared" si="2070"/>
        <v>-</v>
      </c>
      <c r="BD447" s="51" t="str">
        <f t="shared" si="2071"/>
        <v>-</v>
      </c>
      <c r="BE447" s="51" t="str">
        <f t="shared" si="2072"/>
        <v>-</v>
      </c>
      <c r="BF447" s="51" t="str">
        <f t="shared" si="2073"/>
        <v>-</v>
      </c>
      <c r="BG447" s="51" t="str">
        <f t="shared" si="2074"/>
        <v>-</v>
      </c>
      <c r="BH447" s="51" t="str">
        <f t="shared" si="2075"/>
        <v>-</v>
      </c>
      <c r="BI447" s="51" t="str">
        <f t="shared" si="2076"/>
        <v>-</v>
      </c>
      <c r="BJ447" s="51" t="str">
        <f t="shared" si="2077"/>
        <v>-</v>
      </c>
      <c r="BK447" s="51" t="str">
        <f t="shared" si="2078"/>
        <v>-</v>
      </c>
      <c r="BL447" s="51" t="str">
        <f t="shared" si="2079"/>
        <v>-</v>
      </c>
      <c r="BM447" s="51" t="str">
        <f t="shared" si="2080"/>
        <v>-</v>
      </c>
      <c r="BN447" s="51" t="str">
        <f t="shared" si="2081"/>
        <v>-</v>
      </c>
      <c r="BO447" s="51" t="str">
        <f t="shared" si="2082"/>
        <v>-</v>
      </c>
      <c r="BP447" s="51" t="str">
        <f t="shared" si="2083"/>
        <v>-</v>
      </c>
      <c r="BQ447" s="51" t="str">
        <f t="shared" si="2084"/>
        <v>-</v>
      </c>
      <c r="BR447" s="51" t="str">
        <f t="shared" si="2085"/>
        <v>-</v>
      </c>
      <c r="BS447" s="51" t="str">
        <f t="shared" si="2086"/>
        <v>-</v>
      </c>
      <c r="BT447" s="51" t="str">
        <f t="shared" si="2087"/>
        <v>-</v>
      </c>
      <c r="BU447" s="51" t="str">
        <f t="shared" si="2088"/>
        <v>-</v>
      </c>
      <c r="BV447" s="51" t="str">
        <f t="shared" si="2089"/>
        <v>-</v>
      </c>
      <c r="BW447" s="51" t="str">
        <f t="shared" si="2090"/>
        <v>-</v>
      </c>
      <c r="BX447" s="49"/>
      <c r="BY447" s="49"/>
      <c r="BZ447" s="49"/>
      <c r="CA447" s="49"/>
      <c r="CB447" s="49"/>
    </row>
    <row r="448" spans="2:80" ht="15" customHeight="1" x14ac:dyDescent="0.2">
      <c r="B448" s="214">
        <v>6</v>
      </c>
      <c r="C448" s="214"/>
      <c r="D448" s="214"/>
      <c r="E448" s="218" t="str">
        <f>$E$330</f>
        <v>Economic Cost</v>
      </c>
      <c r="F448" s="218"/>
      <c r="G448" s="218"/>
      <c r="H448" s="218"/>
      <c r="I448" s="218"/>
      <c r="J448" s="218"/>
      <c r="K448" s="218"/>
      <c r="L448" s="218"/>
      <c r="M448" s="220">
        <f>$M$330</f>
        <v>1</v>
      </c>
      <c r="N448" s="220"/>
      <c r="O448" s="220"/>
      <c r="P448" s="220"/>
      <c r="Q448" s="220">
        <f>$Q$330</f>
        <v>9</v>
      </c>
      <c r="R448" s="220"/>
      <c r="S448" s="220"/>
      <c r="T448" s="220"/>
      <c r="U448" s="51" t="str">
        <f t="shared" si="2036"/>
        <v>+</v>
      </c>
      <c r="V448" s="51" t="str">
        <f t="shared" si="2037"/>
        <v>+</v>
      </c>
      <c r="W448" s="51" t="str">
        <f t="shared" si="2038"/>
        <v>+</v>
      </c>
      <c r="X448" s="51" t="str">
        <f t="shared" si="2039"/>
        <v>-</v>
      </c>
      <c r="Y448" s="51" t="str">
        <f t="shared" si="2040"/>
        <v>-</v>
      </c>
      <c r="Z448" s="51" t="str">
        <f t="shared" si="2041"/>
        <v>-</v>
      </c>
      <c r="AA448" s="51" t="str">
        <f t="shared" si="2042"/>
        <v>-</v>
      </c>
      <c r="AB448" s="51" t="str">
        <f t="shared" si="2043"/>
        <v>-</v>
      </c>
      <c r="AC448" s="51" t="str">
        <f t="shared" si="2044"/>
        <v>-</v>
      </c>
      <c r="AD448" s="51" t="str">
        <f t="shared" si="2045"/>
        <v>-</v>
      </c>
      <c r="AE448" s="51" t="str">
        <f t="shared" si="2046"/>
        <v>-</v>
      </c>
      <c r="AF448" s="51" t="str">
        <f t="shared" si="2047"/>
        <v>-</v>
      </c>
      <c r="AG448" s="51" t="str">
        <f t="shared" si="2048"/>
        <v>-</v>
      </c>
      <c r="AH448" s="51" t="str">
        <f t="shared" si="2049"/>
        <v>-</v>
      </c>
      <c r="AI448" s="51" t="str">
        <f t="shared" si="2050"/>
        <v>-</v>
      </c>
      <c r="AJ448" s="51" t="str">
        <f t="shared" si="2051"/>
        <v>-</v>
      </c>
      <c r="AK448" s="51" t="str">
        <f t="shared" si="2052"/>
        <v>-</v>
      </c>
      <c r="AL448" s="51" t="str">
        <f t="shared" si="2053"/>
        <v>-</v>
      </c>
      <c r="AM448" s="51" t="str">
        <f t="shared" si="2054"/>
        <v>-</v>
      </c>
      <c r="AN448" s="51" t="str">
        <f t="shared" si="2055"/>
        <v>-</v>
      </c>
      <c r="AO448" s="51" t="str">
        <f t="shared" si="2056"/>
        <v>-</v>
      </c>
      <c r="AP448" s="51" t="str">
        <f t="shared" si="2057"/>
        <v>-</v>
      </c>
      <c r="AQ448" s="51" t="str">
        <f t="shared" si="2058"/>
        <v>-</v>
      </c>
      <c r="AR448" s="51" t="str">
        <f t="shared" si="2059"/>
        <v>-</v>
      </c>
      <c r="AS448" s="51" t="str">
        <f t="shared" si="2060"/>
        <v>-</v>
      </c>
      <c r="AT448" s="51" t="str">
        <f t="shared" si="2061"/>
        <v>-</v>
      </c>
      <c r="AU448" s="51" t="str">
        <f t="shared" si="2062"/>
        <v>-</v>
      </c>
      <c r="AV448" s="51" t="str">
        <f t="shared" si="2063"/>
        <v>-</v>
      </c>
      <c r="AW448" s="51" t="str">
        <f t="shared" si="2064"/>
        <v>-</v>
      </c>
      <c r="AX448" s="51" t="str">
        <f t="shared" si="2065"/>
        <v>-</v>
      </c>
      <c r="AY448" s="51" t="str">
        <f t="shared" si="2066"/>
        <v>-</v>
      </c>
      <c r="AZ448" s="51" t="str">
        <f t="shared" si="2067"/>
        <v>-</v>
      </c>
      <c r="BA448" s="51" t="str">
        <f t="shared" si="2068"/>
        <v>-</v>
      </c>
      <c r="BB448" s="51" t="str">
        <f t="shared" si="2069"/>
        <v>-</v>
      </c>
      <c r="BC448" s="51" t="str">
        <f t="shared" si="2070"/>
        <v>-</v>
      </c>
      <c r="BD448" s="51" t="str">
        <f t="shared" si="2071"/>
        <v>-</v>
      </c>
      <c r="BE448" s="51" t="str">
        <f t="shared" si="2072"/>
        <v>-</v>
      </c>
      <c r="BF448" s="51" t="str">
        <f t="shared" si="2073"/>
        <v>-</v>
      </c>
      <c r="BG448" s="51" t="str">
        <f t="shared" si="2074"/>
        <v>-</v>
      </c>
      <c r="BH448" s="51" t="str">
        <f t="shared" si="2075"/>
        <v>-</v>
      </c>
      <c r="BI448" s="51" t="str">
        <f t="shared" si="2076"/>
        <v>-</v>
      </c>
      <c r="BJ448" s="51" t="str">
        <f t="shared" si="2077"/>
        <v>-</v>
      </c>
      <c r="BK448" s="51" t="str">
        <f t="shared" si="2078"/>
        <v>-</v>
      </c>
      <c r="BL448" s="51" t="str">
        <f t="shared" si="2079"/>
        <v>-</v>
      </c>
      <c r="BM448" s="51" t="str">
        <f t="shared" si="2080"/>
        <v>-</v>
      </c>
      <c r="BN448" s="51" t="str">
        <f t="shared" si="2081"/>
        <v>-</v>
      </c>
      <c r="BO448" s="51" t="str">
        <f t="shared" si="2082"/>
        <v>-</v>
      </c>
      <c r="BP448" s="51" t="str">
        <f t="shared" si="2083"/>
        <v>-</v>
      </c>
      <c r="BQ448" s="51" t="str">
        <f t="shared" si="2084"/>
        <v>-</v>
      </c>
      <c r="BR448" s="51" t="str">
        <f t="shared" si="2085"/>
        <v>-</v>
      </c>
      <c r="BS448" s="51" t="str">
        <f t="shared" si="2086"/>
        <v>-</v>
      </c>
      <c r="BT448" s="51" t="str">
        <f t="shared" si="2087"/>
        <v>-</v>
      </c>
      <c r="BU448" s="51" t="str">
        <f t="shared" si="2088"/>
        <v>-</v>
      </c>
      <c r="BV448" s="51" t="str">
        <f t="shared" si="2089"/>
        <v>-</v>
      </c>
      <c r="BW448" s="51" t="str">
        <f t="shared" si="2090"/>
        <v>-</v>
      </c>
      <c r="BX448" s="49"/>
      <c r="BY448" s="49"/>
      <c r="BZ448" s="49"/>
      <c r="CA448" s="49"/>
      <c r="CB448" s="49"/>
    </row>
    <row r="449" spans="2:80" ht="15" customHeight="1" x14ac:dyDescent="0.2">
      <c r="AS449" s="69"/>
    </row>
    <row r="450" spans="2:80" ht="15" customHeight="1" x14ac:dyDescent="0.2">
      <c r="B450" s="49"/>
      <c r="C450" s="49"/>
      <c r="D450" s="49"/>
      <c r="M450" s="49"/>
      <c r="N450" s="49"/>
      <c r="O450" s="49"/>
      <c r="P450" s="49"/>
      <c r="Q450" s="49"/>
      <c r="R450" s="49"/>
      <c r="S450" s="49"/>
      <c r="T450" s="49"/>
      <c r="U450" s="51">
        <v>10</v>
      </c>
      <c r="V450" s="51">
        <f>U450+5</f>
        <v>15</v>
      </c>
      <c r="W450" s="51">
        <f t="shared" ref="W450:AE450" si="2091">V450+5</f>
        <v>20</v>
      </c>
      <c r="X450" s="51">
        <f t="shared" si="2091"/>
        <v>25</v>
      </c>
      <c r="Y450" s="51">
        <f t="shared" si="2091"/>
        <v>30</v>
      </c>
      <c r="Z450" s="51">
        <f t="shared" si="2091"/>
        <v>35</v>
      </c>
      <c r="AA450" s="51">
        <f t="shared" si="2091"/>
        <v>40</v>
      </c>
      <c r="AB450" s="51">
        <f t="shared" si="2091"/>
        <v>45</v>
      </c>
      <c r="AC450" s="51">
        <f t="shared" si="2091"/>
        <v>50</v>
      </c>
      <c r="AD450" s="51">
        <f t="shared" si="2091"/>
        <v>55</v>
      </c>
      <c r="AE450" s="51">
        <f t="shared" si="2091"/>
        <v>60</v>
      </c>
      <c r="AF450" s="51">
        <f t="shared" ref="AF450" si="2092">AE450+5</f>
        <v>65</v>
      </c>
      <c r="AG450" s="51">
        <f t="shared" ref="AG450" si="2093">AF450+5</f>
        <v>70</v>
      </c>
      <c r="AH450" s="51">
        <f t="shared" ref="AH450" si="2094">AG450+5</f>
        <v>75</v>
      </c>
      <c r="AI450" s="51">
        <f t="shared" ref="AI450" si="2095">AH450+5</f>
        <v>80</v>
      </c>
      <c r="AJ450" s="51">
        <f t="shared" ref="AJ450" si="2096">AI450+5</f>
        <v>85</v>
      </c>
      <c r="AK450" s="51">
        <f t="shared" ref="AK450" si="2097">AJ450+5</f>
        <v>90</v>
      </c>
      <c r="AL450" s="51">
        <f t="shared" ref="AL450" si="2098">AK450+5</f>
        <v>95</v>
      </c>
      <c r="AM450" s="51">
        <f t="shared" ref="AM450" si="2099">AL450+5</f>
        <v>100</v>
      </c>
      <c r="AN450" s="51">
        <f t="shared" ref="AN450" si="2100">AM450+5</f>
        <v>105</v>
      </c>
      <c r="AO450" s="51">
        <f t="shared" ref="AO450" si="2101">AN450+5</f>
        <v>110</v>
      </c>
      <c r="AP450" s="51">
        <f t="shared" ref="AP450" si="2102">AO450+5</f>
        <v>115</v>
      </c>
      <c r="AQ450" s="51">
        <f t="shared" ref="AQ450" si="2103">AP450+5</f>
        <v>120</v>
      </c>
      <c r="AR450" s="51">
        <f t="shared" ref="AR450" si="2104">AQ450+5</f>
        <v>125</v>
      </c>
      <c r="AS450" s="51">
        <f t="shared" ref="AS450" si="2105">AR450+5</f>
        <v>130</v>
      </c>
      <c r="AT450" s="51">
        <f t="shared" ref="AT450" si="2106">AS450+5</f>
        <v>135</v>
      </c>
      <c r="AU450" s="51">
        <f t="shared" ref="AU450" si="2107">AT450+5</f>
        <v>140</v>
      </c>
      <c r="AV450" s="51">
        <f t="shared" ref="AV450" si="2108">AU450+5</f>
        <v>145</v>
      </c>
      <c r="AW450" s="51">
        <f t="shared" ref="AW450" si="2109">AV450+5</f>
        <v>150</v>
      </c>
      <c r="AX450" s="51">
        <f t="shared" ref="AX450" si="2110">AW450+5</f>
        <v>155</v>
      </c>
      <c r="AY450" s="51">
        <f t="shared" ref="AY450" si="2111">AX450+5</f>
        <v>160</v>
      </c>
      <c r="AZ450" s="51">
        <f t="shared" ref="AZ450" si="2112">AY450+5</f>
        <v>165</v>
      </c>
      <c r="BA450" s="51">
        <f t="shared" ref="BA450" si="2113">AZ450+5</f>
        <v>170</v>
      </c>
      <c r="BB450" s="51">
        <f t="shared" ref="BB450" si="2114">BA450+5</f>
        <v>175</v>
      </c>
      <c r="BC450" s="51">
        <f t="shared" ref="BC450" si="2115">BB450+5</f>
        <v>180</v>
      </c>
      <c r="BD450" s="51">
        <f t="shared" ref="BD450" si="2116">BC450+5</f>
        <v>185</v>
      </c>
      <c r="BE450" s="51">
        <f t="shared" ref="BE450" si="2117">BD450+5</f>
        <v>190</v>
      </c>
      <c r="BF450" s="51">
        <f t="shared" ref="BF450" si="2118">BE450+5</f>
        <v>195</v>
      </c>
      <c r="BG450" s="51">
        <f t="shared" ref="BG450" si="2119">BF450+5</f>
        <v>200</v>
      </c>
      <c r="BH450" s="51">
        <f t="shared" ref="BH450" si="2120">BG450+5</f>
        <v>205</v>
      </c>
      <c r="BI450" s="51">
        <f t="shared" ref="BI450" si="2121">BH450+5</f>
        <v>210</v>
      </c>
      <c r="BJ450" s="51">
        <f t="shared" ref="BJ450" si="2122">BI450+5</f>
        <v>215</v>
      </c>
      <c r="BK450" s="51">
        <f t="shared" ref="BK450" si="2123">BJ450+5</f>
        <v>220</v>
      </c>
      <c r="BL450" s="51">
        <f t="shared" ref="BL450" si="2124">BK450+5</f>
        <v>225</v>
      </c>
      <c r="BM450" s="51">
        <f t="shared" ref="BM450" si="2125">BL450+5</f>
        <v>230</v>
      </c>
      <c r="BN450" s="51">
        <f t="shared" ref="BN450" si="2126">BM450+5</f>
        <v>235</v>
      </c>
      <c r="BO450" s="51">
        <f t="shared" ref="BO450" si="2127">BN450+5</f>
        <v>240</v>
      </c>
      <c r="BP450" s="51">
        <f t="shared" ref="BP450" si="2128">BO450+5</f>
        <v>245</v>
      </c>
      <c r="BQ450" s="51">
        <f t="shared" ref="BQ450" si="2129">BP450+5</f>
        <v>250</v>
      </c>
      <c r="BR450" s="51">
        <f t="shared" ref="BR450" si="2130">BQ450+5</f>
        <v>255</v>
      </c>
      <c r="BS450" s="51">
        <f t="shared" ref="BS450" si="2131">BR450+5</f>
        <v>260</v>
      </c>
      <c r="BT450" s="51">
        <f t="shared" ref="BT450" si="2132">BS450+5</f>
        <v>265</v>
      </c>
      <c r="BU450" s="51">
        <f t="shared" ref="BU450" si="2133">BT450+5</f>
        <v>270</v>
      </c>
      <c r="BV450" s="51">
        <f t="shared" ref="BV450" si="2134">BU450+5</f>
        <v>275</v>
      </c>
      <c r="BW450" s="51">
        <f t="shared" ref="BW450" si="2135">BV450+5</f>
        <v>280</v>
      </c>
      <c r="BX450" s="49"/>
      <c r="BY450" s="49"/>
      <c r="BZ450" s="49"/>
      <c r="CA450" s="49"/>
      <c r="CB450" s="49"/>
    </row>
    <row r="451" spans="2:80" ht="15" customHeight="1" x14ac:dyDescent="0.2">
      <c r="B451" s="214" t="s">
        <v>98</v>
      </c>
      <c r="C451" s="214"/>
      <c r="D451" s="214"/>
      <c r="E451" s="218" t="s">
        <v>147</v>
      </c>
      <c r="F451" s="218"/>
      <c r="G451" s="218"/>
      <c r="H451" s="218"/>
      <c r="I451" s="218"/>
      <c r="J451" s="218"/>
      <c r="K451" s="218"/>
      <c r="L451" s="218"/>
      <c r="M451" s="218" t="s">
        <v>97</v>
      </c>
      <c r="N451" s="218"/>
      <c r="O451" s="218"/>
      <c r="P451" s="218"/>
      <c r="Q451" s="218" t="s">
        <v>118</v>
      </c>
      <c r="R451" s="218"/>
      <c r="S451" s="218"/>
      <c r="T451" s="218"/>
      <c r="U451" s="52">
        <v>1</v>
      </c>
      <c r="V451" s="52">
        <v>2</v>
      </c>
      <c r="W451" s="52">
        <v>3</v>
      </c>
      <c r="X451" s="52">
        <v>4</v>
      </c>
      <c r="Y451" s="52">
        <v>5</v>
      </c>
      <c r="Z451" s="52">
        <v>6</v>
      </c>
      <c r="AA451" s="52">
        <v>7</v>
      </c>
      <c r="AB451" s="52">
        <v>8</v>
      </c>
      <c r="AC451" s="52">
        <v>9</v>
      </c>
      <c r="AD451" s="52">
        <v>10</v>
      </c>
      <c r="AE451" s="52">
        <v>11</v>
      </c>
      <c r="AF451" s="52">
        <v>12</v>
      </c>
      <c r="AG451" s="52">
        <v>13</v>
      </c>
      <c r="AH451" s="52">
        <v>14</v>
      </c>
      <c r="AI451" s="52">
        <v>15</v>
      </c>
      <c r="AJ451" s="52">
        <v>16</v>
      </c>
      <c r="AK451" s="52">
        <v>17</v>
      </c>
      <c r="AL451" s="52">
        <v>18</v>
      </c>
      <c r="AM451" s="52">
        <v>19</v>
      </c>
      <c r="AN451" s="52">
        <v>20</v>
      </c>
      <c r="AO451" s="52">
        <v>21</v>
      </c>
      <c r="AP451" s="52">
        <v>22</v>
      </c>
      <c r="AQ451" s="52">
        <v>23</v>
      </c>
      <c r="AR451" s="52">
        <v>24</v>
      </c>
      <c r="AS451" s="52">
        <v>25</v>
      </c>
      <c r="AT451" s="52">
        <v>26</v>
      </c>
      <c r="AU451" s="52">
        <v>27</v>
      </c>
      <c r="AV451" s="52">
        <v>28</v>
      </c>
      <c r="AW451" s="52">
        <v>29</v>
      </c>
      <c r="AX451" s="52">
        <v>30</v>
      </c>
      <c r="AY451" s="52">
        <v>31</v>
      </c>
      <c r="AZ451" s="52">
        <v>32</v>
      </c>
      <c r="BA451" s="52">
        <v>33</v>
      </c>
      <c r="BB451" s="52">
        <v>34</v>
      </c>
      <c r="BC451" s="52">
        <v>35</v>
      </c>
      <c r="BD451" s="52">
        <v>36</v>
      </c>
      <c r="BE451" s="52">
        <v>37</v>
      </c>
      <c r="BF451" s="52">
        <v>38</v>
      </c>
      <c r="BG451" s="52">
        <v>39</v>
      </c>
      <c r="BH451" s="52">
        <v>40</v>
      </c>
      <c r="BI451" s="52">
        <v>41</v>
      </c>
      <c r="BJ451" s="52">
        <v>42</v>
      </c>
      <c r="BK451" s="52">
        <v>43</v>
      </c>
      <c r="BL451" s="52">
        <v>44</v>
      </c>
      <c r="BM451" s="52">
        <v>45</v>
      </c>
      <c r="BN451" s="52">
        <v>46</v>
      </c>
      <c r="BO451" s="52">
        <v>47</v>
      </c>
      <c r="BP451" s="52">
        <v>48</v>
      </c>
      <c r="BQ451" s="52">
        <v>49</v>
      </c>
      <c r="BR451" s="52">
        <v>50</v>
      </c>
      <c r="BS451" s="52">
        <v>51</v>
      </c>
      <c r="BT451" s="52">
        <v>52</v>
      </c>
      <c r="BU451" s="52">
        <v>53</v>
      </c>
      <c r="BV451" s="52">
        <v>54</v>
      </c>
      <c r="BW451" s="52">
        <v>55</v>
      </c>
      <c r="BX451" s="53"/>
      <c r="BY451" s="53"/>
      <c r="BZ451" s="53"/>
      <c r="CA451" s="53"/>
      <c r="CB451" s="53"/>
    </row>
    <row r="452" spans="2:80" ht="15" customHeight="1" x14ac:dyDescent="0.2">
      <c r="B452" s="214">
        <v>1</v>
      </c>
      <c r="C452" s="214"/>
      <c r="D452" s="214"/>
      <c r="E452" s="218" t="str">
        <f>$E$325</f>
        <v>Hazard</v>
      </c>
      <c r="F452" s="218"/>
      <c r="G452" s="218"/>
      <c r="H452" s="218"/>
      <c r="I452" s="218"/>
      <c r="J452" s="218"/>
      <c r="K452" s="218"/>
      <c r="L452" s="218"/>
      <c r="M452" s="220">
        <f>$M$325</f>
        <v>1</v>
      </c>
      <c r="N452" s="220"/>
      <c r="O452" s="220"/>
      <c r="P452" s="220"/>
      <c r="Q452" s="220">
        <f>$Q$325</f>
        <v>1</v>
      </c>
      <c r="R452" s="220"/>
      <c r="S452" s="220"/>
      <c r="T452" s="220"/>
      <c r="U452" s="196"/>
      <c r="V452" s="197"/>
      <c r="W452" s="197"/>
      <c r="X452" s="197"/>
      <c r="Y452" s="197"/>
      <c r="Z452" s="197"/>
      <c r="AA452" s="197"/>
      <c r="AB452" s="197"/>
      <c r="AC452" s="197"/>
      <c r="AD452" s="197"/>
      <c r="AE452" s="197"/>
      <c r="AF452" s="197"/>
      <c r="AG452" s="197"/>
      <c r="AH452" s="197"/>
      <c r="AI452" s="197"/>
      <c r="AJ452" s="197"/>
      <c r="AK452" s="197"/>
      <c r="AL452" s="197"/>
      <c r="AM452" s="197"/>
      <c r="AN452" s="197"/>
      <c r="AO452" s="197"/>
      <c r="AP452" s="197"/>
      <c r="AQ452" s="197"/>
      <c r="AR452" s="197"/>
      <c r="AS452" s="197"/>
      <c r="AT452" s="197"/>
      <c r="AU452" s="197"/>
      <c r="AV452" s="197"/>
      <c r="AW452" s="197"/>
      <c r="AX452" s="197"/>
      <c r="AY452" s="197"/>
      <c r="AZ452" s="197"/>
      <c r="BA452" s="197"/>
      <c r="BB452" s="197"/>
      <c r="BC452" s="197"/>
      <c r="BD452" s="197"/>
      <c r="BE452" s="197"/>
      <c r="BF452" s="197"/>
      <c r="BG452" s="197"/>
      <c r="BH452" s="197"/>
      <c r="BI452" s="197"/>
      <c r="BJ452" s="197"/>
      <c r="BK452" s="197"/>
      <c r="BL452" s="197"/>
      <c r="BM452" s="197"/>
      <c r="BN452" s="197"/>
      <c r="BO452" s="197"/>
      <c r="BP452" s="197"/>
      <c r="BQ452" s="197"/>
      <c r="BR452" s="197"/>
      <c r="BS452" s="197"/>
      <c r="BT452" s="197"/>
      <c r="BU452" s="197"/>
      <c r="BV452" s="197"/>
      <c r="BW452" s="198"/>
      <c r="BX452" s="49"/>
      <c r="BY452" s="49"/>
      <c r="BZ452" s="49"/>
      <c r="CA452" s="49"/>
      <c r="CB452" s="49"/>
    </row>
    <row r="453" spans="2:80" ht="15" customHeight="1" x14ac:dyDescent="0.2">
      <c r="B453" s="214">
        <v>2</v>
      </c>
      <c r="C453" s="214"/>
      <c r="D453" s="214"/>
      <c r="E453" s="218" t="str">
        <f>$E$326</f>
        <v>Operational Performance</v>
      </c>
      <c r="F453" s="218"/>
      <c r="G453" s="218"/>
      <c r="H453" s="218"/>
      <c r="I453" s="218"/>
      <c r="J453" s="218"/>
      <c r="K453" s="218"/>
      <c r="L453" s="218"/>
      <c r="M453" s="220">
        <f>$M$326</f>
        <v>3</v>
      </c>
      <c r="N453" s="220"/>
      <c r="O453" s="220"/>
      <c r="P453" s="220"/>
      <c r="Q453" s="220">
        <f>$Q$326</f>
        <v>3</v>
      </c>
      <c r="R453" s="220"/>
      <c r="S453" s="220"/>
      <c r="T453" s="220"/>
      <c r="U453" s="51">
        <v>66</v>
      </c>
      <c r="V453" s="51">
        <f>U453+1</f>
        <v>67</v>
      </c>
      <c r="W453" s="51">
        <f t="shared" ref="W453:AE453" si="2136">V453+1</f>
        <v>68</v>
      </c>
      <c r="X453" s="51">
        <f t="shared" si="2136"/>
        <v>69</v>
      </c>
      <c r="Y453" s="51">
        <f t="shared" si="2136"/>
        <v>70</v>
      </c>
      <c r="Z453" s="51">
        <f t="shared" si="2136"/>
        <v>71</v>
      </c>
      <c r="AA453" s="51">
        <f t="shared" si="2136"/>
        <v>72</v>
      </c>
      <c r="AB453" s="51">
        <f t="shared" si="2136"/>
        <v>73</v>
      </c>
      <c r="AC453" s="51">
        <f t="shared" si="2136"/>
        <v>74</v>
      </c>
      <c r="AD453" s="51">
        <f t="shared" si="2136"/>
        <v>75</v>
      </c>
      <c r="AE453" s="51">
        <f t="shared" si="2136"/>
        <v>76</v>
      </c>
      <c r="AF453" s="51">
        <f t="shared" ref="AF453:AF457" si="2137">AE453+1</f>
        <v>77</v>
      </c>
      <c r="AG453" s="51">
        <f t="shared" ref="AG453:AG457" si="2138">AF453+1</f>
        <v>78</v>
      </c>
      <c r="AH453" s="51">
        <f t="shared" ref="AH453:AH457" si="2139">AG453+1</f>
        <v>79</v>
      </c>
      <c r="AI453" s="51">
        <f t="shared" ref="AI453:AI457" si="2140">AH453+1</f>
        <v>80</v>
      </c>
      <c r="AJ453" s="51">
        <f t="shared" ref="AJ453:AJ457" si="2141">AI453+1</f>
        <v>81</v>
      </c>
      <c r="AK453" s="51">
        <f t="shared" ref="AK453:AK457" si="2142">AJ453+1</f>
        <v>82</v>
      </c>
      <c r="AL453" s="51">
        <f t="shared" ref="AL453:AL457" si="2143">AK453+1</f>
        <v>83</v>
      </c>
      <c r="AM453" s="51">
        <f t="shared" ref="AM453:AM457" si="2144">AL453+1</f>
        <v>84</v>
      </c>
      <c r="AN453" s="51">
        <f t="shared" ref="AN453:AN457" si="2145">AM453+1</f>
        <v>85</v>
      </c>
      <c r="AO453" s="51">
        <f t="shared" ref="AO453:AO457" si="2146">AN453+1</f>
        <v>86</v>
      </c>
      <c r="AP453" s="51">
        <f t="shared" ref="AP453:AP457" si="2147">AO453+1</f>
        <v>87</v>
      </c>
      <c r="AQ453" s="51">
        <f t="shared" ref="AQ453:AQ457" si="2148">AP453+1</f>
        <v>88</v>
      </c>
      <c r="AR453" s="51">
        <f t="shared" ref="AR453:AR457" si="2149">AQ453+1</f>
        <v>89</v>
      </c>
      <c r="AS453" s="51">
        <f t="shared" ref="AS453:AS457" si="2150">AR453+1</f>
        <v>90</v>
      </c>
      <c r="AT453" s="51">
        <f t="shared" ref="AT453:AT457" si="2151">AS453+1</f>
        <v>91</v>
      </c>
      <c r="AU453" s="51">
        <f t="shared" ref="AU453:AU457" si="2152">AT453+1</f>
        <v>92</v>
      </c>
      <c r="AV453" s="51">
        <f t="shared" ref="AV453:AV457" si="2153">AU453+1</f>
        <v>93</v>
      </c>
      <c r="AW453" s="51">
        <f t="shared" ref="AW453:AW457" si="2154">AV453+1</f>
        <v>94</v>
      </c>
      <c r="AX453" s="51">
        <f t="shared" ref="AX453:AX457" si="2155">AW453+1</f>
        <v>95</v>
      </c>
      <c r="AY453" s="51">
        <f t="shared" ref="AY453:AY457" si="2156">AX453+1</f>
        <v>96</v>
      </c>
      <c r="AZ453" s="51">
        <f t="shared" ref="AZ453:AZ457" si="2157">AY453+1</f>
        <v>97</v>
      </c>
      <c r="BA453" s="51">
        <f t="shared" ref="BA453:BA457" si="2158">AZ453+1</f>
        <v>98</v>
      </c>
      <c r="BB453" s="51">
        <f t="shared" ref="BB453:BB457" si="2159">BA453+1</f>
        <v>99</v>
      </c>
      <c r="BC453" s="51">
        <f t="shared" ref="BC453:BC457" si="2160">BB453+1</f>
        <v>100</v>
      </c>
      <c r="BD453" s="51">
        <f t="shared" ref="BD453:BD457" si="2161">BC453+1</f>
        <v>101</v>
      </c>
      <c r="BE453" s="51">
        <f t="shared" ref="BE453:BE457" si="2162">BD453+1</f>
        <v>102</v>
      </c>
      <c r="BF453" s="51">
        <f t="shared" ref="BF453:BF457" si="2163">BE453+1</f>
        <v>103</v>
      </c>
      <c r="BG453" s="51">
        <f t="shared" ref="BG453:BG457" si="2164">BF453+1</f>
        <v>104</v>
      </c>
      <c r="BH453" s="51">
        <f t="shared" ref="BH453:BH457" si="2165">BG453+1</f>
        <v>105</v>
      </c>
      <c r="BI453" s="51">
        <f t="shared" ref="BI453:BI457" si="2166">BH453+1</f>
        <v>106</v>
      </c>
      <c r="BJ453" s="51">
        <f t="shared" ref="BJ453:BJ457" si="2167">BI453+1</f>
        <v>107</v>
      </c>
      <c r="BK453" s="51">
        <f t="shared" ref="BK453:BK457" si="2168">BJ453+1</f>
        <v>108</v>
      </c>
      <c r="BL453" s="51">
        <f t="shared" ref="BL453:BL457" si="2169">BK453+1</f>
        <v>109</v>
      </c>
      <c r="BM453" s="51">
        <f t="shared" ref="BM453:BM457" si="2170">BL453+1</f>
        <v>110</v>
      </c>
      <c r="BN453" s="51">
        <f t="shared" ref="BN453:BN457" si="2171">BM453+1</f>
        <v>111</v>
      </c>
      <c r="BO453" s="51">
        <f t="shared" ref="BO453:BO457" si="2172">BN453+1</f>
        <v>112</v>
      </c>
      <c r="BP453" s="51">
        <f t="shared" ref="BP453:BP457" si="2173">BO453+1</f>
        <v>113</v>
      </c>
      <c r="BQ453" s="51">
        <f t="shared" ref="BQ453:BQ457" si="2174">BP453+1</f>
        <v>114</v>
      </c>
      <c r="BR453" s="51">
        <f t="shared" ref="BR453:BR457" si="2175">BQ453+1</f>
        <v>115</v>
      </c>
      <c r="BS453" s="51">
        <f t="shared" ref="BS453:BS457" si="2176">BR453+1</f>
        <v>116</v>
      </c>
      <c r="BT453" s="51">
        <f t="shared" ref="BT453:BT457" si="2177">BS453+1</f>
        <v>117</v>
      </c>
      <c r="BU453" s="51">
        <f t="shared" ref="BU453:BU457" si="2178">BT453+1</f>
        <v>118</v>
      </c>
      <c r="BV453" s="51">
        <f t="shared" ref="BV453:BV457" si="2179">BU453+1</f>
        <v>119</v>
      </c>
      <c r="BW453" s="51">
        <f t="shared" ref="BW453:BW457" si="2180">BV453+1</f>
        <v>120</v>
      </c>
      <c r="BX453" s="49"/>
      <c r="BY453" s="49"/>
      <c r="BZ453" s="49"/>
      <c r="CA453" s="49"/>
      <c r="CB453" s="49"/>
    </row>
    <row r="454" spans="2:80" ht="15" customHeight="1" x14ac:dyDescent="0.2">
      <c r="B454" s="214">
        <v>3</v>
      </c>
      <c r="C454" s="214"/>
      <c r="D454" s="214"/>
      <c r="E454" s="218" t="str">
        <f>$E$327</f>
        <v>Transform</v>
      </c>
      <c r="F454" s="218"/>
      <c r="G454" s="218"/>
      <c r="H454" s="218"/>
      <c r="I454" s="218"/>
      <c r="J454" s="218"/>
      <c r="K454" s="218"/>
      <c r="L454" s="218"/>
      <c r="M454" s="220">
        <f>$M$327</f>
        <v>3</v>
      </c>
      <c r="N454" s="220"/>
      <c r="O454" s="220"/>
      <c r="P454" s="220"/>
      <c r="Q454" s="220">
        <f>$Q$327</f>
        <v>9</v>
      </c>
      <c r="R454" s="220"/>
      <c r="S454" s="220"/>
      <c r="T454" s="220"/>
      <c r="U454" s="51">
        <f>BW453+1</f>
        <v>121</v>
      </c>
      <c r="V454" s="51">
        <f t="shared" ref="V454:AE457" si="2181">U454+1</f>
        <v>122</v>
      </c>
      <c r="W454" s="51">
        <f t="shared" si="2181"/>
        <v>123</v>
      </c>
      <c r="X454" s="51">
        <f t="shared" si="2181"/>
        <v>124</v>
      </c>
      <c r="Y454" s="51">
        <f t="shared" si="2181"/>
        <v>125</v>
      </c>
      <c r="Z454" s="51">
        <f t="shared" si="2181"/>
        <v>126</v>
      </c>
      <c r="AA454" s="51">
        <f t="shared" si="2181"/>
        <v>127</v>
      </c>
      <c r="AB454" s="51">
        <f t="shared" si="2181"/>
        <v>128</v>
      </c>
      <c r="AC454" s="51">
        <f t="shared" si="2181"/>
        <v>129</v>
      </c>
      <c r="AD454" s="51">
        <f t="shared" si="2181"/>
        <v>130</v>
      </c>
      <c r="AE454" s="51">
        <f t="shared" si="2181"/>
        <v>131</v>
      </c>
      <c r="AF454" s="51">
        <f t="shared" si="2137"/>
        <v>132</v>
      </c>
      <c r="AG454" s="51">
        <f t="shared" si="2138"/>
        <v>133</v>
      </c>
      <c r="AH454" s="51">
        <f t="shared" si="2139"/>
        <v>134</v>
      </c>
      <c r="AI454" s="51">
        <f t="shared" si="2140"/>
        <v>135</v>
      </c>
      <c r="AJ454" s="51">
        <f t="shared" si="2141"/>
        <v>136</v>
      </c>
      <c r="AK454" s="51">
        <f t="shared" si="2142"/>
        <v>137</v>
      </c>
      <c r="AL454" s="51">
        <f t="shared" si="2143"/>
        <v>138</v>
      </c>
      <c r="AM454" s="51">
        <f t="shared" si="2144"/>
        <v>139</v>
      </c>
      <c r="AN454" s="51">
        <f t="shared" si="2145"/>
        <v>140</v>
      </c>
      <c r="AO454" s="51">
        <f t="shared" si="2146"/>
        <v>141</v>
      </c>
      <c r="AP454" s="51">
        <f t="shared" si="2147"/>
        <v>142</v>
      </c>
      <c r="AQ454" s="51">
        <f t="shared" si="2148"/>
        <v>143</v>
      </c>
      <c r="AR454" s="51">
        <f t="shared" si="2149"/>
        <v>144</v>
      </c>
      <c r="AS454" s="51">
        <f t="shared" si="2150"/>
        <v>145</v>
      </c>
      <c r="AT454" s="51">
        <f t="shared" si="2151"/>
        <v>146</v>
      </c>
      <c r="AU454" s="51">
        <f t="shared" si="2152"/>
        <v>147</v>
      </c>
      <c r="AV454" s="51">
        <f t="shared" si="2153"/>
        <v>148</v>
      </c>
      <c r="AW454" s="51">
        <f t="shared" si="2154"/>
        <v>149</v>
      </c>
      <c r="AX454" s="51">
        <f t="shared" si="2155"/>
        <v>150</v>
      </c>
      <c r="AY454" s="51">
        <f t="shared" si="2156"/>
        <v>151</v>
      </c>
      <c r="AZ454" s="51">
        <f t="shared" si="2157"/>
        <v>152</v>
      </c>
      <c r="BA454" s="51">
        <f t="shared" si="2158"/>
        <v>153</v>
      </c>
      <c r="BB454" s="51">
        <f t="shared" si="2159"/>
        <v>154</v>
      </c>
      <c r="BC454" s="51">
        <f t="shared" si="2160"/>
        <v>155</v>
      </c>
      <c r="BD454" s="51">
        <f t="shared" si="2161"/>
        <v>156</v>
      </c>
      <c r="BE454" s="51">
        <f t="shared" si="2162"/>
        <v>157</v>
      </c>
      <c r="BF454" s="51">
        <f t="shared" si="2163"/>
        <v>158</v>
      </c>
      <c r="BG454" s="51">
        <f t="shared" si="2164"/>
        <v>159</v>
      </c>
      <c r="BH454" s="51">
        <f t="shared" si="2165"/>
        <v>160</v>
      </c>
      <c r="BI454" s="51">
        <f t="shared" si="2166"/>
        <v>161</v>
      </c>
      <c r="BJ454" s="51">
        <f t="shared" si="2167"/>
        <v>162</v>
      </c>
      <c r="BK454" s="51">
        <f t="shared" si="2168"/>
        <v>163</v>
      </c>
      <c r="BL454" s="51">
        <f t="shared" si="2169"/>
        <v>164</v>
      </c>
      <c r="BM454" s="51">
        <f t="shared" si="2170"/>
        <v>165</v>
      </c>
      <c r="BN454" s="51">
        <f t="shared" si="2171"/>
        <v>166</v>
      </c>
      <c r="BO454" s="51">
        <f t="shared" si="2172"/>
        <v>167</v>
      </c>
      <c r="BP454" s="51">
        <f t="shared" si="2173"/>
        <v>168</v>
      </c>
      <c r="BQ454" s="51">
        <f t="shared" si="2174"/>
        <v>169</v>
      </c>
      <c r="BR454" s="51">
        <f t="shared" si="2175"/>
        <v>170</v>
      </c>
      <c r="BS454" s="51">
        <f t="shared" si="2176"/>
        <v>171</v>
      </c>
      <c r="BT454" s="51">
        <f t="shared" si="2177"/>
        <v>172</v>
      </c>
      <c r="BU454" s="51">
        <f t="shared" si="2178"/>
        <v>173</v>
      </c>
      <c r="BV454" s="51">
        <f t="shared" si="2179"/>
        <v>174</v>
      </c>
      <c r="BW454" s="51">
        <f t="shared" si="2180"/>
        <v>175</v>
      </c>
      <c r="BX454" s="49"/>
      <c r="BY454" s="49"/>
      <c r="BZ454" s="49"/>
      <c r="CA454" s="49"/>
      <c r="CB454" s="49"/>
    </row>
    <row r="455" spans="2:80" ht="15" customHeight="1" x14ac:dyDescent="0.2">
      <c r="B455" s="214">
        <v>4</v>
      </c>
      <c r="C455" s="214"/>
      <c r="D455" s="214"/>
      <c r="E455" s="218" t="str">
        <f>$E$328</f>
        <v>System Response</v>
      </c>
      <c r="F455" s="218"/>
      <c r="G455" s="218"/>
      <c r="H455" s="218"/>
      <c r="I455" s="218"/>
      <c r="J455" s="218"/>
      <c r="K455" s="218"/>
      <c r="L455" s="218"/>
      <c r="M455" s="220">
        <f>$M$328</f>
        <v>1</v>
      </c>
      <c r="N455" s="220"/>
      <c r="O455" s="220"/>
      <c r="P455" s="220"/>
      <c r="Q455" s="220">
        <f>$Q$328</f>
        <v>9</v>
      </c>
      <c r="R455" s="220"/>
      <c r="S455" s="220"/>
      <c r="T455" s="220"/>
      <c r="U455" s="51">
        <f t="shared" ref="U455:U457" si="2182">BW454+1</f>
        <v>176</v>
      </c>
      <c r="V455" s="51">
        <f t="shared" si="2181"/>
        <v>177</v>
      </c>
      <c r="W455" s="51">
        <f t="shared" si="2181"/>
        <v>178</v>
      </c>
      <c r="X455" s="51">
        <f t="shared" si="2181"/>
        <v>179</v>
      </c>
      <c r="Y455" s="51">
        <f t="shared" si="2181"/>
        <v>180</v>
      </c>
      <c r="Z455" s="51">
        <f t="shared" si="2181"/>
        <v>181</v>
      </c>
      <c r="AA455" s="51">
        <f t="shared" si="2181"/>
        <v>182</v>
      </c>
      <c r="AB455" s="51">
        <f t="shared" si="2181"/>
        <v>183</v>
      </c>
      <c r="AC455" s="51">
        <f t="shared" si="2181"/>
        <v>184</v>
      </c>
      <c r="AD455" s="51">
        <f t="shared" si="2181"/>
        <v>185</v>
      </c>
      <c r="AE455" s="51">
        <f t="shared" si="2181"/>
        <v>186</v>
      </c>
      <c r="AF455" s="51">
        <f t="shared" si="2137"/>
        <v>187</v>
      </c>
      <c r="AG455" s="51">
        <f t="shared" si="2138"/>
        <v>188</v>
      </c>
      <c r="AH455" s="51">
        <f t="shared" si="2139"/>
        <v>189</v>
      </c>
      <c r="AI455" s="51">
        <f t="shared" si="2140"/>
        <v>190</v>
      </c>
      <c r="AJ455" s="51">
        <f t="shared" si="2141"/>
        <v>191</v>
      </c>
      <c r="AK455" s="51">
        <f t="shared" si="2142"/>
        <v>192</v>
      </c>
      <c r="AL455" s="51">
        <f t="shared" si="2143"/>
        <v>193</v>
      </c>
      <c r="AM455" s="51">
        <f t="shared" si="2144"/>
        <v>194</v>
      </c>
      <c r="AN455" s="51">
        <f t="shared" si="2145"/>
        <v>195</v>
      </c>
      <c r="AO455" s="51">
        <f t="shared" si="2146"/>
        <v>196</v>
      </c>
      <c r="AP455" s="51">
        <f t="shared" si="2147"/>
        <v>197</v>
      </c>
      <c r="AQ455" s="51">
        <f t="shared" si="2148"/>
        <v>198</v>
      </c>
      <c r="AR455" s="51">
        <f t="shared" si="2149"/>
        <v>199</v>
      </c>
      <c r="AS455" s="51">
        <f t="shared" si="2150"/>
        <v>200</v>
      </c>
      <c r="AT455" s="51">
        <f t="shared" si="2151"/>
        <v>201</v>
      </c>
      <c r="AU455" s="51">
        <f t="shared" si="2152"/>
        <v>202</v>
      </c>
      <c r="AV455" s="51">
        <f t="shared" si="2153"/>
        <v>203</v>
      </c>
      <c r="AW455" s="51">
        <f t="shared" si="2154"/>
        <v>204</v>
      </c>
      <c r="AX455" s="51">
        <f t="shared" si="2155"/>
        <v>205</v>
      </c>
      <c r="AY455" s="51">
        <f t="shared" si="2156"/>
        <v>206</v>
      </c>
      <c r="AZ455" s="51">
        <f t="shared" si="2157"/>
        <v>207</v>
      </c>
      <c r="BA455" s="51">
        <f t="shared" si="2158"/>
        <v>208</v>
      </c>
      <c r="BB455" s="51">
        <f t="shared" si="2159"/>
        <v>209</v>
      </c>
      <c r="BC455" s="51">
        <f t="shared" si="2160"/>
        <v>210</v>
      </c>
      <c r="BD455" s="51">
        <f t="shared" si="2161"/>
        <v>211</v>
      </c>
      <c r="BE455" s="51">
        <f t="shared" si="2162"/>
        <v>212</v>
      </c>
      <c r="BF455" s="51">
        <f t="shared" si="2163"/>
        <v>213</v>
      </c>
      <c r="BG455" s="51">
        <f t="shared" si="2164"/>
        <v>214</v>
      </c>
      <c r="BH455" s="51">
        <f t="shared" si="2165"/>
        <v>215</v>
      </c>
      <c r="BI455" s="51">
        <f t="shared" si="2166"/>
        <v>216</v>
      </c>
      <c r="BJ455" s="51">
        <f t="shared" si="2167"/>
        <v>217</v>
      </c>
      <c r="BK455" s="51">
        <f t="shared" si="2168"/>
        <v>218</v>
      </c>
      <c r="BL455" s="51">
        <f t="shared" si="2169"/>
        <v>219</v>
      </c>
      <c r="BM455" s="51">
        <f t="shared" si="2170"/>
        <v>220</v>
      </c>
      <c r="BN455" s="51">
        <f t="shared" si="2171"/>
        <v>221</v>
      </c>
      <c r="BO455" s="51">
        <f t="shared" si="2172"/>
        <v>222</v>
      </c>
      <c r="BP455" s="51">
        <f t="shared" si="2173"/>
        <v>223</v>
      </c>
      <c r="BQ455" s="51">
        <f t="shared" si="2174"/>
        <v>224</v>
      </c>
      <c r="BR455" s="51">
        <f t="shared" si="2175"/>
        <v>225</v>
      </c>
      <c r="BS455" s="51">
        <f t="shared" si="2176"/>
        <v>226</v>
      </c>
      <c r="BT455" s="51">
        <f t="shared" si="2177"/>
        <v>227</v>
      </c>
      <c r="BU455" s="51">
        <f t="shared" si="2178"/>
        <v>228</v>
      </c>
      <c r="BV455" s="51">
        <f t="shared" si="2179"/>
        <v>229</v>
      </c>
      <c r="BW455" s="51">
        <f t="shared" si="2180"/>
        <v>230</v>
      </c>
      <c r="BX455" s="49"/>
      <c r="BY455" s="49"/>
      <c r="BZ455" s="49"/>
      <c r="CA455" s="49"/>
      <c r="CB455" s="49"/>
    </row>
    <row r="456" spans="2:80" ht="15" customHeight="1" x14ac:dyDescent="0.2">
      <c r="B456" s="214">
        <v>5</v>
      </c>
      <c r="C456" s="214"/>
      <c r="D456" s="214"/>
      <c r="E456" s="218" t="str">
        <f>$E$329</f>
        <v>Life Loss</v>
      </c>
      <c r="F456" s="218"/>
      <c r="G456" s="218"/>
      <c r="H456" s="218"/>
      <c r="I456" s="218"/>
      <c r="J456" s="218"/>
      <c r="K456" s="218"/>
      <c r="L456" s="218"/>
      <c r="M456" s="220">
        <f>$M$329</f>
        <v>1</v>
      </c>
      <c r="N456" s="220"/>
      <c r="O456" s="220"/>
      <c r="P456" s="220"/>
      <c r="Q456" s="220">
        <f>$Q$329</f>
        <v>9</v>
      </c>
      <c r="R456" s="220"/>
      <c r="S456" s="220"/>
      <c r="T456" s="220"/>
      <c r="U456" s="51">
        <f t="shared" si="2182"/>
        <v>231</v>
      </c>
      <c r="V456" s="51">
        <f t="shared" si="2181"/>
        <v>232</v>
      </c>
      <c r="W456" s="51">
        <f t="shared" si="2181"/>
        <v>233</v>
      </c>
      <c r="X456" s="51">
        <f t="shared" si="2181"/>
        <v>234</v>
      </c>
      <c r="Y456" s="51">
        <f t="shared" si="2181"/>
        <v>235</v>
      </c>
      <c r="Z456" s="51">
        <f t="shared" si="2181"/>
        <v>236</v>
      </c>
      <c r="AA456" s="51">
        <f t="shared" si="2181"/>
        <v>237</v>
      </c>
      <c r="AB456" s="51">
        <f t="shared" si="2181"/>
        <v>238</v>
      </c>
      <c r="AC456" s="51">
        <f t="shared" si="2181"/>
        <v>239</v>
      </c>
      <c r="AD456" s="51">
        <f t="shared" si="2181"/>
        <v>240</v>
      </c>
      <c r="AE456" s="51">
        <f t="shared" si="2181"/>
        <v>241</v>
      </c>
      <c r="AF456" s="51">
        <f t="shared" si="2137"/>
        <v>242</v>
      </c>
      <c r="AG456" s="51">
        <f t="shared" si="2138"/>
        <v>243</v>
      </c>
      <c r="AH456" s="51">
        <f t="shared" si="2139"/>
        <v>244</v>
      </c>
      <c r="AI456" s="51">
        <f t="shared" si="2140"/>
        <v>245</v>
      </c>
      <c r="AJ456" s="51">
        <f t="shared" si="2141"/>
        <v>246</v>
      </c>
      <c r="AK456" s="51">
        <f t="shared" si="2142"/>
        <v>247</v>
      </c>
      <c r="AL456" s="51">
        <f t="shared" si="2143"/>
        <v>248</v>
      </c>
      <c r="AM456" s="51">
        <f t="shared" si="2144"/>
        <v>249</v>
      </c>
      <c r="AN456" s="51">
        <f t="shared" si="2145"/>
        <v>250</v>
      </c>
      <c r="AO456" s="51">
        <f t="shared" si="2146"/>
        <v>251</v>
      </c>
      <c r="AP456" s="51">
        <f t="shared" si="2147"/>
        <v>252</v>
      </c>
      <c r="AQ456" s="51">
        <f t="shared" si="2148"/>
        <v>253</v>
      </c>
      <c r="AR456" s="51">
        <f t="shared" si="2149"/>
        <v>254</v>
      </c>
      <c r="AS456" s="51">
        <f t="shared" si="2150"/>
        <v>255</v>
      </c>
      <c r="AT456" s="51">
        <f t="shared" si="2151"/>
        <v>256</v>
      </c>
      <c r="AU456" s="51">
        <f t="shared" si="2152"/>
        <v>257</v>
      </c>
      <c r="AV456" s="51">
        <f t="shared" si="2153"/>
        <v>258</v>
      </c>
      <c r="AW456" s="51">
        <f t="shared" si="2154"/>
        <v>259</v>
      </c>
      <c r="AX456" s="51">
        <f t="shared" si="2155"/>
        <v>260</v>
      </c>
      <c r="AY456" s="51">
        <f t="shared" si="2156"/>
        <v>261</v>
      </c>
      <c r="AZ456" s="51">
        <f t="shared" si="2157"/>
        <v>262</v>
      </c>
      <c r="BA456" s="51">
        <f t="shared" si="2158"/>
        <v>263</v>
      </c>
      <c r="BB456" s="51">
        <f t="shared" si="2159"/>
        <v>264</v>
      </c>
      <c r="BC456" s="51">
        <f t="shared" si="2160"/>
        <v>265</v>
      </c>
      <c r="BD456" s="51">
        <f t="shared" si="2161"/>
        <v>266</v>
      </c>
      <c r="BE456" s="51">
        <f t="shared" si="2162"/>
        <v>267</v>
      </c>
      <c r="BF456" s="51">
        <f t="shared" si="2163"/>
        <v>268</v>
      </c>
      <c r="BG456" s="51">
        <f t="shared" si="2164"/>
        <v>269</v>
      </c>
      <c r="BH456" s="51">
        <f t="shared" si="2165"/>
        <v>270</v>
      </c>
      <c r="BI456" s="51">
        <f t="shared" si="2166"/>
        <v>271</v>
      </c>
      <c r="BJ456" s="51">
        <f t="shared" si="2167"/>
        <v>272</v>
      </c>
      <c r="BK456" s="51">
        <f t="shared" si="2168"/>
        <v>273</v>
      </c>
      <c r="BL456" s="51">
        <f t="shared" si="2169"/>
        <v>274</v>
      </c>
      <c r="BM456" s="51">
        <f t="shared" si="2170"/>
        <v>275</v>
      </c>
      <c r="BN456" s="51">
        <f t="shared" si="2171"/>
        <v>276</v>
      </c>
      <c r="BO456" s="51">
        <f t="shared" si="2172"/>
        <v>277</v>
      </c>
      <c r="BP456" s="51">
        <f t="shared" si="2173"/>
        <v>278</v>
      </c>
      <c r="BQ456" s="51">
        <f t="shared" si="2174"/>
        <v>279</v>
      </c>
      <c r="BR456" s="51">
        <f t="shared" si="2175"/>
        <v>280</v>
      </c>
      <c r="BS456" s="51">
        <f t="shared" si="2176"/>
        <v>281</v>
      </c>
      <c r="BT456" s="51">
        <f t="shared" si="2177"/>
        <v>282</v>
      </c>
      <c r="BU456" s="51">
        <f t="shared" si="2178"/>
        <v>283</v>
      </c>
      <c r="BV456" s="51">
        <f t="shared" si="2179"/>
        <v>284</v>
      </c>
      <c r="BW456" s="51">
        <f t="shared" si="2180"/>
        <v>285</v>
      </c>
      <c r="BX456" s="49"/>
      <c r="BY456" s="49"/>
      <c r="BZ456" s="49"/>
      <c r="CA456" s="49"/>
      <c r="CB456" s="49"/>
    </row>
    <row r="457" spans="2:80" ht="15" customHeight="1" x14ac:dyDescent="0.2">
      <c r="B457" s="214">
        <v>6</v>
      </c>
      <c r="C457" s="214"/>
      <c r="D457" s="214"/>
      <c r="E457" s="218" t="str">
        <f>$E$330</f>
        <v>Economic Cost</v>
      </c>
      <c r="F457" s="218"/>
      <c r="G457" s="218"/>
      <c r="H457" s="218"/>
      <c r="I457" s="218"/>
      <c r="J457" s="218"/>
      <c r="K457" s="218"/>
      <c r="L457" s="218"/>
      <c r="M457" s="220">
        <f>$M$330</f>
        <v>1</v>
      </c>
      <c r="N457" s="220"/>
      <c r="O457" s="220"/>
      <c r="P457" s="220"/>
      <c r="Q457" s="220">
        <f>$Q$330</f>
        <v>9</v>
      </c>
      <c r="R457" s="220"/>
      <c r="S457" s="220"/>
      <c r="T457" s="220"/>
      <c r="U457" s="51">
        <f t="shared" si="2182"/>
        <v>286</v>
      </c>
      <c r="V457" s="51">
        <f t="shared" si="2181"/>
        <v>287</v>
      </c>
      <c r="W457" s="51">
        <f t="shared" si="2181"/>
        <v>288</v>
      </c>
      <c r="X457" s="51">
        <f t="shared" si="2181"/>
        <v>289</v>
      </c>
      <c r="Y457" s="51">
        <f t="shared" si="2181"/>
        <v>290</v>
      </c>
      <c r="Z457" s="51">
        <f t="shared" si="2181"/>
        <v>291</v>
      </c>
      <c r="AA457" s="51">
        <f t="shared" si="2181"/>
        <v>292</v>
      </c>
      <c r="AB457" s="51">
        <f t="shared" si="2181"/>
        <v>293</v>
      </c>
      <c r="AC457" s="51">
        <f t="shared" si="2181"/>
        <v>294</v>
      </c>
      <c r="AD457" s="51">
        <f t="shared" si="2181"/>
        <v>295</v>
      </c>
      <c r="AE457" s="51">
        <f t="shared" si="2181"/>
        <v>296</v>
      </c>
      <c r="AF457" s="51">
        <f t="shared" si="2137"/>
        <v>297</v>
      </c>
      <c r="AG457" s="51">
        <f t="shared" si="2138"/>
        <v>298</v>
      </c>
      <c r="AH457" s="51">
        <f t="shared" si="2139"/>
        <v>299</v>
      </c>
      <c r="AI457" s="51">
        <f t="shared" si="2140"/>
        <v>300</v>
      </c>
      <c r="AJ457" s="51">
        <f t="shared" si="2141"/>
        <v>301</v>
      </c>
      <c r="AK457" s="51">
        <f t="shared" si="2142"/>
        <v>302</v>
      </c>
      <c r="AL457" s="51">
        <f t="shared" si="2143"/>
        <v>303</v>
      </c>
      <c r="AM457" s="51">
        <f t="shared" si="2144"/>
        <v>304</v>
      </c>
      <c r="AN457" s="51">
        <f t="shared" si="2145"/>
        <v>305</v>
      </c>
      <c r="AO457" s="51">
        <f t="shared" si="2146"/>
        <v>306</v>
      </c>
      <c r="AP457" s="51">
        <f t="shared" si="2147"/>
        <v>307</v>
      </c>
      <c r="AQ457" s="51">
        <f t="shared" si="2148"/>
        <v>308</v>
      </c>
      <c r="AR457" s="51">
        <f t="shared" si="2149"/>
        <v>309</v>
      </c>
      <c r="AS457" s="51">
        <f t="shared" si="2150"/>
        <v>310</v>
      </c>
      <c r="AT457" s="51">
        <f t="shared" si="2151"/>
        <v>311</v>
      </c>
      <c r="AU457" s="51">
        <f t="shared" si="2152"/>
        <v>312</v>
      </c>
      <c r="AV457" s="51">
        <f t="shared" si="2153"/>
        <v>313</v>
      </c>
      <c r="AW457" s="51">
        <f t="shared" si="2154"/>
        <v>314</v>
      </c>
      <c r="AX457" s="51">
        <f t="shared" si="2155"/>
        <v>315</v>
      </c>
      <c r="AY457" s="51">
        <f t="shared" si="2156"/>
        <v>316</v>
      </c>
      <c r="AZ457" s="51">
        <f t="shared" si="2157"/>
        <v>317</v>
      </c>
      <c r="BA457" s="51">
        <f t="shared" si="2158"/>
        <v>318</v>
      </c>
      <c r="BB457" s="51">
        <f t="shared" si="2159"/>
        <v>319</v>
      </c>
      <c r="BC457" s="51">
        <f t="shared" si="2160"/>
        <v>320</v>
      </c>
      <c r="BD457" s="51">
        <f t="shared" si="2161"/>
        <v>321</v>
      </c>
      <c r="BE457" s="51">
        <f t="shared" si="2162"/>
        <v>322</v>
      </c>
      <c r="BF457" s="51">
        <f t="shared" si="2163"/>
        <v>323</v>
      </c>
      <c r="BG457" s="51">
        <f t="shared" si="2164"/>
        <v>324</v>
      </c>
      <c r="BH457" s="51">
        <f t="shared" si="2165"/>
        <v>325</v>
      </c>
      <c r="BI457" s="51">
        <f t="shared" si="2166"/>
        <v>326</v>
      </c>
      <c r="BJ457" s="51">
        <f t="shared" si="2167"/>
        <v>327</v>
      </c>
      <c r="BK457" s="51">
        <f t="shared" si="2168"/>
        <v>328</v>
      </c>
      <c r="BL457" s="51">
        <f t="shared" si="2169"/>
        <v>329</v>
      </c>
      <c r="BM457" s="51">
        <f t="shared" si="2170"/>
        <v>330</v>
      </c>
      <c r="BN457" s="51">
        <f t="shared" si="2171"/>
        <v>331</v>
      </c>
      <c r="BO457" s="51">
        <f t="shared" si="2172"/>
        <v>332</v>
      </c>
      <c r="BP457" s="51">
        <f t="shared" si="2173"/>
        <v>333</v>
      </c>
      <c r="BQ457" s="51">
        <f t="shared" si="2174"/>
        <v>334</v>
      </c>
      <c r="BR457" s="51">
        <f t="shared" si="2175"/>
        <v>335</v>
      </c>
      <c r="BS457" s="51">
        <f t="shared" si="2176"/>
        <v>336</v>
      </c>
      <c r="BT457" s="51">
        <f t="shared" si="2177"/>
        <v>337</v>
      </c>
      <c r="BU457" s="51">
        <f t="shared" si="2178"/>
        <v>338</v>
      </c>
      <c r="BV457" s="51">
        <f t="shared" si="2179"/>
        <v>339</v>
      </c>
      <c r="BW457" s="51">
        <f t="shared" si="2180"/>
        <v>340</v>
      </c>
      <c r="BX457" s="49"/>
      <c r="BY457" s="49"/>
      <c r="BZ457" s="49"/>
      <c r="CA457" s="49"/>
      <c r="CB457" s="49"/>
    </row>
    <row r="458" spans="2:80" ht="15" customHeight="1" x14ac:dyDescent="0.2"/>
    <row r="459" spans="2:80" ht="15" customHeight="1" x14ac:dyDescent="0.2">
      <c r="B459" s="49"/>
      <c r="C459" s="49"/>
      <c r="D459" s="49"/>
      <c r="M459" s="49"/>
      <c r="N459" s="49"/>
      <c r="O459" s="49"/>
      <c r="P459" s="49"/>
      <c r="Q459" s="49"/>
      <c r="R459" s="49"/>
      <c r="S459" s="49"/>
      <c r="T459" s="49"/>
      <c r="U459" s="51">
        <v>10</v>
      </c>
      <c r="V459" s="51">
        <f>U459+5</f>
        <v>15</v>
      </c>
      <c r="W459" s="51">
        <f t="shared" ref="W459:AE459" si="2183">V459+5</f>
        <v>20</v>
      </c>
      <c r="X459" s="51">
        <f t="shared" si="2183"/>
        <v>25</v>
      </c>
      <c r="Y459" s="51">
        <f t="shared" si="2183"/>
        <v>30</v>
      </c>
      <c r="Z459" s="51">
        <f t="shared" si="2183"/>
        <v>35</v>
      </c>
      <c r="AA459" s="51">
        <f t="shared" si="2183"/>
        <v>40</v>
      </c>
      <c r="AB459" s="51">
        <f t="shared" si="2183"/>
        <v>45</v>
      </c>
      <c r="AC459" s="51">
        <f t="shared" si="2183"/>
        <v>50</v>
      </c>
      <c r="AD459" s="51">
        <f t="shared" si="2183"/>
        <v>55</v>
      </c>
      <c r="AE459" s="51">
        <f t="shared" si="2183"/>
        <v>60</v>
      </c>
      <c r="AF459" s="51">
        <f t="shared" ref="AF459" si="2184">AE459+5</f>
        <v>65</v>
      </c>
      <c r="AG459" s="51">
        <f t="shared" ref="AG459" si="2185">AF459+5</f>
        <v>70</v>
      </c>
      <c r="AH459" s="51">
        <f t="shared" ref="AH459" si="2186">AG459+5</f>
        <v>75</v>
      </c>
      <c r="AI459" s="51">
        <f t="shared" ref="AI459" si="2187">AH459+5</f>
        <v>80</v>
      </c>
      <c r="AJ459" s="51">
        <f t="shared" ref="AJ459" si="2188">AI459+5</f>
        <v>85</v>
      </c>
      <c r="AK459" s="51">
        <f t="shared" ref="AK459" si="2189">AJ459+5</f>
        <v>90</v>
      </c>
      <c r="AL459" s="51">
        <f t="shared" ref="AL459" si="2190">AK459+5</f>
        <v>95</v>
      </c>
      <c r="AM459" s="51">
        <f t="shared" ref="AM459" si="2191">AL459+5</f>
        <v>100</v>
      </c>
      <c r="AN459" s="51">
        <f t="shared" ref="AN459" si="2192">AM459+5</f>
        <v>105</v>
      </c>
      <c r="AO459" s="51">
        <f t="shared" ref="AO459" si="2193">AN459+5</f>
        <v>110</v>
      </c>
      <c r="AP459" s="51">
        <f t="shared" ref="AP459" si="2194">AO459+5</f>
        <v>115</v>
      </c>
      <c r="AQ459" s="51">
        <f t="shared" ref="AQ459" si="2195">AP459+5</f>
        <v>120</v>
      </c>
      <c r="AR459" s="51">
        <f t="shared" ref="AR459" si="2196">AQ459+5</f>
        <v>125</v>
      </c>
      <c r="AS459" s="51">
        <f t="shared" ref="AS459" si="2197">AR459+5</f>
        <v>130</v>
      </c>
      <c r="AT459" s="51">
        <f t="shared" ref="AT459" si="2198">AS459+5</f>
        <v>135</v>
      </c>
      <c r="AU459" s="51">
        <f t="shared" ref="AU459" si="2199">AT459+5</f>
        <v>140</v>
      </c>
      <c r="AV459" s="51">
        <f t="shared" ref="AV459" si="2200">AU459+5</f>
        <v>145</v>
      </c>
      <c r="AW459" s="51">
        <f t="shared" ref="AW459" si="2201">AV459+5</f>
        <v>150</v>
      </c>
      <c r="AX459" s="51">
        <f t="shared" ref="AX459" si="2202">AW459+5</f>
        <v>155</v>
      </c>
      <c r="AY459" s="51">
        <f t="shared" ref="AY459" si="2203">AX459+5</f>
        <v>160</v>
      </c>
      <c r="AZ459" s="51">
        <f t="shared" ref="AZ459" si="2204">AY459+5</f>
        <v>165</v>
      </c>
      <c r="BA459" s="51">
        <f t="shared" ref="BA459" si="2205">AZ459+5</f>
        <v>170</v>
      </c>
      <c r="BB459" s="51">
        <f t="shared" ref="BB459" si="2206">BA459+5</f>
        <v>175</v>
      </c>
      <c r="BC459" s="51">
        <f t="shared" ref="BC459" si="2207">BB459+5</f>
        <v>180</v>
      </c>
      <c r="BD459" s="51">
        <f t="shared" ref="BD459" si="2208">BC459+5</f>
        <v>185</v>
      </c>
      <c r="BE459" s="51">
        <f t="shared" ref="BE459" si="2209">BD459+5</f>
        <v>190</v>
      </c>
      <c r="BF459" s="51">
        <f t="shared" ref="BF459" si="2210">BE459+5</f>
        <v>195</v>
      </c>
      <c r="BG459" s="51">
        <f t="shared" ref="BG459" si="2211">BF459+5</f>
        <v>200</v>
      </c>
      <c r="BH459" s="51">
        <f t="shared" ref="BH459" si="2212">BG459+5</f>
        <v>205</v>
      </c>
      <c r="BI459" s="51">
        <f t="shared" ref="BI459" si="2213">BH459+5</f>
        <v>210</v>
      </c>
      <c r="BJ459" s="51">
        <f t="shared" ref="BJ459" si="2214">BI459+5</f>
        <v>215</v>
      </c>
      <c r="BK459" s="51">
        <f t="shared" ref="BK459" si="2215">BJ459+5</f>
        <v>220</v>
      </c>
      <c r="BL459" s="51">
        <f t="shared" ref="BL459" si="2216">BK459+5</f>
        <v>225</v>
      </c>
      <c r="BM459" s="51">
        <f t="shared" ref="BM459" si="2217">BL459+5</f>
        <v>230</v>
      </c>
      <c r="BN459" s="51">
        <f t="shared" ref="BN459" si="2218">BM459+5</f>
        <v>235</v>
      </c>
      <c r="BO459" s="51">
        <f t="shared" ref="BO459" si="2219">BN459+5</f>
        <v>240</v>
      </c>
      <c r="BP459" s="51">
        <f t="shared" ref="BP459" si="2220">BO459+5</f>
        <v>245</v>
      </c>
      <c r="BQ459" s="51">
        <f t="shared" ref="BQ459" si="2221">BP459+5</f>
        <v>250</v>
      </c>
      <c r="BR459" s="51">
        <f t="shared" ref="BR459" si="2222">BQ459+5</f>
        <v>255</v>
      </c>
      <c r="BS459" s="51">
        <f t="shared" ref="BS459" si="2223">BR459+5</f>
        <v>260</v>
      </c>
      <c r="BT459" s="51">
        <f t="shared" ref="BT459" si="2224">BS459+5</f>
        <v>265</v>
      </c>
      <c r="BU459" s="51">
        <f t="shared" ref="BU459" si="2225">BT459+5</f>
        <v>270</v>
      </c>
      <c r="BV459" s="51">
        <f t="shared" ref="BV459" si="2226">BU459+5</f>
        <v>275</v>
      </c>
      <c r="BW459" s="51">
        <f t="shared" ref="BW459" si="2227">BV459+5</f>
        <v>280</v>
      </c>
      <c r="BX459" s="49"/>
      <c r="BY459" s="49"/>
      <c r="BZ459" s="49"/>
      <c r="CA459" s="49"/>
      <c r="CB459" s="49"/>
    </row>
    <row r="460" spans="2:80" ht="15" customHeight="1" x14ac:dyDescent="0.2">
      <c r="B460" s="214" t="s">
        <v>98</v>
      </c>
      <c r="C460" s="214"/>
      <c r="D460" s="214"/>
      <c r="E460" s="218" t="s">
        <v>147</v>
      </c>
      <c r="F460" s="218"/>
      <c r="G460" s="218"/>
      <c r="H460" s="218"/>
      <c r="I460" s="218"/>
      <c r="J460" s="218"/>
      <c r="K460" s="218"/>
      <c r="L460" s="218"/>
      <c r="M460" s="218" t="s">
        <v>97</v>
      </c>
      <c r="N460" s="218"/>
      <c r="O460" s="218"/>
      <c r="P460" s="218"/>
      <c r="Q460" s="218" t="s">
        <v>118</v>
      </c>
      <c r="R460" s="218"/>
      <c r="S460" s="218"/>
      <c r="T460" s="218"/>
      <c r="U460" s="52">
        <v>1</v>
      </c>
      <c r="V460" s="52">
        <v>2</v>
      </c>
      <c r="W460" s="52">
        <v>3</v>
      </c>
      <c r="X460" s="52">
        <v>4</v>
      </c>
      <c r="Y460" s="52">
        <v>5</v>
      </c>
      <c r="Z460" s="52">
        <v>6</v>
      </c>
      <c r="AA460" s="52">
        <v>7</v>
      </c>
      <c r="AB460" s="52">
        <v>8</v>
      </c>
      <c r="AC460" s="52">
        <v>9</v>
      </c>
      <c r="AD460" s="52">
        <v>10</v>
      </c>
      <c r="AE460" s="52">
        <v>11</v>
      </c>
      <c r="AF460" s="52">
        <v>12</v>
      </c>
      <c r="AG460" s="52">
        <v>13</v>
      </c>
      <c r="AH460" s="52">
        <v>14</v>
      </c>
      <c r="AI460" s="52">
        <v>15</v>
      </c>
      <c r="AJ460" s="52">
        <v>16</v>
      </c>
      <c r="AK460" s="52">
        <v>17</v>
      </c>
      <c r="AL460" s="52">
        <v>18</v>
      </c>
      <c r="AM460" s="52">
        <v>19</v>
      </c>
      <c r="AN460" s="52">
        <v>20</v>
      </c>
      <c r="AO460" s="52">
        <v>21</v>
      </c>
      <c r="AP460" s="52">
        <v>22</v>
      </c>
      <c r="AQ460" s="52">
        <v>23</v>
      </c>
      <c r="AR460" s="52">
        <v>24</v>
      </c>
      <c r="AS460" s="52">
        <v>25</v>
      </c>
      <c r="AT460" s="52">
        <v>26</v>
      </c>
      <c r="AU460" s="52">
        <v>27</v>
      </c>
      <c r="AV460" s="52">
        <v>28</v>
      </c>
      <c r="AW460" s="52">
        <v>29</v>
      </c>
      <c r="AX460" s="52">
        <v>30</v>
      </c>
      <c r="AY460" s="52">
        <v>31</v>
      </c>
      <c r="AZ460" s="52">
        <v>32</v>
      </c>
      <c r="BA460" s="52">
        <v>33</v>
      </c>
      <c r="BB460" s="52">
        <v>34</v>
      </c>
      <c r="BC460" s="52">
        <v>35</v>
      </c>
      <c r="BD460" s="52">
        <v>36</v>
      </c>
      <c r="BE460" s="52">
        <v>37</v>
      </c>
      <c r="BF460" s="52">
        <v>38</v>
      </c>
      <c r="BG460" s="52">
        <v>39</v>
      </c>
      <c r="BH460" s="52">
        <v>40</v>
      </c>
      <c r="BI460" s="52">
        <v>41</v>
      </c>
      <c r="BJ460" s="52">
        <v>42</v>
      </c>
      <c r="BK460" s="52">
        <v>43</v>
      </c>
      <c r="BL460" s="52">
        <v>44</v>
      </c>
      <c r="BM460" s="52">
        <v>45</v>
      </c>
      <c r="BN460" s="52">
        <v>46</v>
      </c>
      <c r="BO460" s="52">
        <v>47</v>
      </c>
      <c r="BP460" s="52">
        <v>48</v>
      </c>
      <c r="BQ460" s="52">
        <v>49</v>
      </c>
      <c r="BR460" s="52">
        <v>50</v>
      </c>
      <c r="BS460" s="52">
        <v>51</v>
      </c>
      <c r="BT460" s="52">
        <v>52</v>
      </c>
      <c r="BU460" s="52">
        <v>53</v>
      </c>
      <c r="BV460" s="52">
        <v>54</v>
      </c>
      <c r="BW460" s="52">
        <v>55</v>
      </c>
      <c r="BX460" s="53"/>
      <c r="BY460" s="53"/>
      <c r="BZ460" s="53"/>
      <c r="CA460" s="53"/>
      <c r="CB460" s="53"/>
    </row>
    <row r="461" spans="2:80" ht="15" customHeight="1" x14ac:dyDescent="0.2">
      <c r="B461" s="214">
        <v>1</v>
      </c>
      <c r="C461" s="214"/>
      <c r="D461" s="214"/>
      <c r="E461" s="218" t="str">
        <f>$E$325</f>
        <v>Hazard</v>
      </c>
      <c r="F461" s="218"/>
      <c r="G461" s="218"/>
      <c r="H461" s="218"/>
      <c r="I461" s="218"/>
      <c r="J461" s="218"/>
      <c r="K461" s="218"/>
      <c r="L461" s="218"/>
      <c r="M461" s="220">
        <f>$M$325</f>
        <v>1</v>
      </c>
      <c r="N461" s="220"/>
      <c r="O461" s="220"/>
      <c r="P461" s="220"/>
      <c r="Q461" s="220">
        <f>$Q$325</f>
        <v>1</v>
      </c>
      <c r="R461" s="220"/>
      <c r="S461" s="220"/>
      <c r="T461" s="220"/>
      <c r="U461" s="196"/>
      <c r="V461" s="197"/>
      <c r="W461" s="197"/>
      <c r="X461" s="197"/>
      <c r="Y461" s="197"/>
      <c r="Z461" s="197"/>
      <c r="AA461" s="197"/>
      <c r="AB461" s="197"/>
      <c r="AC461" s="197"/>
      <c r="AD461" s="197"/>
      <c r="AE461" s="197"/>
      <c r="AF461" s="197"/>
      <c r="AG461" s="197"/>
      <c r="AH461" s="197"/>
      <c r="AI461" s="197"/>
      <c r="AJ461" s="197"/>
      <c r="AK461" s="197"/>
      <c r="AL461" s="197"/>
      <c r="AM461" s="197"/>
      <c r="AN461" s="197"/>
      <c r="AO461" s="197"/>
      <c r="AP461" s="197"/>
      <c r="AQ461" s="197"/>
      <c r="AR461" s="197"/>
      <c r="AS461" s="197"/>
      <c r="AT461" s="197"/>
      <c r="AU461" s="197"/>
      <c r="AV461" s="197"/>
      <c r="AW461" s="197"/>
      <c r="AX461" s="197"/>
      <c r="AY461" s="197"/>
      <c r="AZ461" s="197"/>
      <c r="BA461" s="197"/>
      <c r="BB461" s="197"/>
      <c r="BC461" s="197"/>
      <c r="BD461" s="197"/>
      <c r="BE461" s="197"/>
      <c r="BF461" s="197"/>
      <c r="BG461" s="197"/>
      <c r="BH461" s="197"/>
      <c r="BI461" s="197"/>
      <c r="BJ461" s="197"/>
      <c r="BK461" s="197"/>
      <c r="BL461" s="197"/>
      <c r="BM461" s="197"/>
      <c r="BN461" s="197"/>
      <c r="BO461" s="197"/>
      <c r="BP461" s="197"/>
      <c r="BQ461" s="197"/>
      <c r="BR461" s="197"/>
      <c r="BS461" s="197"/>
      <c r="BT461" s="197"/>
      <c r="BU461" s="197"/>
      <c r="BV461" s="197"/>
      <c r="BW461" s="198"/>
      <c r="BX461" s="49"/>
      <c r="BY461" s="49"/>
      <c r="BZ461" s="49"/>
      <c r="CA461" s="49"/>
      <c r="CB461" s="49"/>
    </row>
    <row r="462" spans="2:80" ht="15" customHeight="1" x14ac:dyDescent="0.2">
      <c r="B462" s="214">
        <v>2</v>
      </c>
      <c r="C462" s="214"/>
      <c r="D462" s="214"/>
      <c r="E462" s="218" t="str">
        <f>$E$326</f>
        <v>Operational Performance</v>
      </c>
      <c r="F462" s="218"/>
      <c r="G462" s="218"/>
      <c r="H462" s="218"/>
      <c r="I462" s="218"/>
      <c r="J462" s="218"/>
      <c r="K462" s="218"/>
      <c r="L462" s="218"/>
      <c r="M462" s="220">
        <f>$M$326</f>
        <v>3</v>
      </c>
      <c r="N462" s="220"/>
      <c r="O462" s="220"/>
      <c r="P462" s="220"/>
      <c r="Q462" s="220">
        <f>$Q$326</f>
        <v>3</v>
      </c>
      <c r="R462" s="220"/>
      <c r="S462" s="220"/>
      <c r="T462" s="220"/>
      <c r="U462" s="51">
        <f t="shared" ref="U462:AZ462" si="2228">IF(U444="+",U453,"-")</f>
        <v>66</v>
      </c>
      <c r="V462" s="51" t="str">
        <f t="shared" si="2228"/>
        <v>-</v>
      </c>
      <c r="W462" s="51" t="str">
        <f t="shared" si="2228"/>
        <v>-</v>
      </c>
      <c r="X462" s="51" t="str">
        <f t="shared" si="2228"/>
        <v>-</v>
      </c>
      <c r="Y462" s="51" t="str">
        <f t="shared" si="2228"/>
        <v>-</v>
      </c>
      <c r="Z462" s="51" t="str">
        <f t="shared" si="2228"/>
        <v>-</v>
      </c>
      <c r="AA462" s="51" t="str">
        <f t="shared" si="2228"/>
        <v>-</v>
      </c>
      <c r="AB462" s="51" t="str">
        <f t="shared" si="2228"/>
        <v>-</v>
      </c>
      <c r="AC462" s="51" t="str">
        <f t="shared" si="2228"/>
        <v>-</v>
      </c>
      <c r="AD462" s="51" t="str">
        <f t="shared" si="2228"/>
        <v>-</v>
      </c>
      <c r="AE462" s="51" t="str">
        <f t="shared" si="2228"/>
        <v>-</v>
      </c>
      <c r="AF462" s="51" t="str">
        <f t="shared" si="2228"/>
        <v>-</v>
      </c>
      <c r="AG462" s="51" t="str">
        <f t="shared" si="2228"/>
        <v>-</v>
      </c>
      <c r="AH462" s="51" t="str">
        <f t="shared" si="2228"/>
        <v>-</v>
      </c>
      <c r="AI462" s="51" t="str">
        <f t="shared" si="2228"/>
        <v>-</v>
      </c>
      <c r="AJ462" s="51" t="str">
        <f t="shared" si="2228"/>
        <v>-</v>
      </c>
      <c r="AK462" s="51" t="str">
        <f t="shared" si="2228"/>
        <v>-</v>
      </c>
      <c r="AL462" s="51" t="str">
        <f t="shared" si="2228"/>
        <v>-</v>
      </c>
      <c r="AM462" s="51" t="str">
        <f t="shared" si="2228"/>
        <v>-</v>
      </c>
      <c r="AN462" s="51" t="str">
        <f t="shared" si="2228"/>
        <v>-</v>
      </c>
      <c r="AO462" s="51" t="str">
        <f t="shared" si="2228"/>
        <v>-</v>
      </c>
      <c r="AP462" s="51" t="str">
        <f t="shared" si="2228"/>
        <v>-</v>
      </c>
      <c r="AQ462" s="51" t="str">
        <f t="shared" si="2228"/>
        <v>-</v>
      </c>
      <c r="AR462" s="51" t="str">
        <f t="shared" si="2228"/>
        <v>-</v>
      </c>
      <c r="AS462" s="51" t="str">
        <f t="shared" si="2228"/>
        <v>-</v>
      </c>
      <c r="AT462" s="51" t="str">
        <f t="shared" si="2228"/>
        <v>-</v>
      </c>
      <c r="AU462" s="51" t="str">
        <f t="shared" si="2228"/>
        <v>-</v>
      </c>
      <c r="AV462" s="51" t="str">
        <f t="shared" si="2228"/>
        <v>-</v>
      </c>
      <c r="AW462" s="51" t="str">
        <f t="shared" si="2228"/>
        <v>-</v>
      </c>
      <c r="AX462" s="51" t="str">
        <f t="shared" si="2228"/>
        <v>-</v>
      </c>
      <c r="AY462" s="51" t="str">
        <f t="shared" si="2228"/>
        <v>-</v>
      </c>
      <c r="AZ462" s="51" t="str">
        <f t="shared" si="2228"/>
        <v>-</v>
      </c>
      <c r="BA462" s="51" t="str">
        <f t="shared" ref="BA462:BW462" si="2229">IF(BA444="+",BA453,"-")</f>
        <v>-</v>
      </c>
      <c r="BB462" s="51" t="str">
        <f t="shared" si="2229"/>
        <v>-</v>
      </c>
      <c r="BC462" s="51" t="str">
        <f t="shared" si="2229"/>
        <v>-</v>
      </c>
      <c r="BD462" s="51" t="str">
        <f t="shared" si="2229"/>
        <v>-</v>
      </c>
      <c r="BE462" s="51" t="str">
        <f t="shared" si="2229"/>
        <v>-</v>
      </c>
      <c r="BF462" s="51" t="str">
        <f t="shared" si="2229"/>
        <v>-</v>
      </c>
      <c r="BG462" s="51" t="str">
        <f t="shared" si="2229"/>
        <v>-</v>
      </c>
      <c r="BH462" s="51" t="str">
        <f t="shared" si="2229"/>
        <v>-</v>
      </c>
      <c r="BI462" s="51" t="str">
        <f t="shared" si="2229"/>
        <v>-</v>
      </c>
      <c r="BJ462" s="51" t="str">
        <f t="shared" si="2229"/>
        <v>-</v>
      </c>
      <c r="BK462" s="51" t="str">
        <f t="shared" si="2229"/>
        <v>-</v>
      </c>
      <c r="BL462" s="51" t="str">
        <f t="shared" si="2229"/>
        <v>-</v>
      </c>
      <c r="BM462" s="51" t="str">
        <f t="shared" si="2229"/>
        <v>-</v>
      </c>
      <c r="BN462" s="51" t="str">
        <f t="shared" si="2229"/>
        <v>-</v>
      </c>
      <c r="BO462" s="51" t="str">
        <f t="shared" si="2229"/>
        <v>-</v>
      </c>
      <c r="BP462" s="51" t="str">
        <f t="shared" si="2229"/>
        <v>-</v>
      </c>
      <c r="BQ462" s="51" t="str">
        <f t="shared" si="2229"/>
        <v>-</v>
      </c>
      <c r="BR462" s="51" t="str">
        <f t="shared" si="2229"/>
        <v>-</v>
      </c>
      <c r="BS462" s="51" t="str">
        <f t="shared" si="2229"/>
        <v>-</v>
      </c>
      <c r="BT462" s="51" t="str">
        <f t="shared" si="2229"/>
        <v>-</v>
      </c>
      <c r="BU462" s="51" t="str">
        <f t="shared" si="2229"/>
        <v>-</v>
      </c>
      <c r="BV462" s="51" t="str">
        <f t="shared" si="2229"/>
        <v>-</v>
      </c>
      <c r="BW462" s="51" t="str">
        <f t="shared" si="2229"/>
        <v>-</v>
      </c>
      <c r="BX462" s="49"/>
      <c r="BY462" s="49"/>
      <c r="BZ462" s="49"/>
      <c r="CA462" s="49"/>
      <c r="CB462" s="49"/>
    </row>
    <row r="463" spans="2:80" ht="15" customHeight="1" x14ac:dyDescent="0.2">
      <c r="B463" s="214">
        <v>3</v>
      </c>
      <c r="C463" s="214"/>
      <c r="D463" s="214"/>
      <c r="E463" s="218" t="str">
        <f>$E$327</f>
        <v>Transform</v>
      </c>
      <c r="F463" s="218"/>
      <c r="G463" s="218"/>
      <c r="H463" s="218"/>
      <c r="I463" s="218"/>
      <c r="J463" s="218"/>
      <c r="K463" s="218"/>
      <c r="L463" s="218"/>
      <c r="M463" s="220">
        <f>$M$327</f>
        <v>3</v>
      </c>
      <c r="N463" s="220"/>
      <c r="O463" s="220"/>
      <c r="P463" s="220"/>
      <c r="Q463" s="220">
        <f>$Q$327</f>
        <v>9</v>
      </c>
      <c r="R463" s="220"/>
      <c r="S463" s="220"/>
      <c r="T463" s="220"/>
      <c r="U463" s="51">
        <f t="shared" ref="U463:AZ463" si="2230">IF(U445="+",U454,"-")</f>
        <v>121</v>
      </c>
      <c r="V463" s="51" t="str">
        <f t="shared" si="2230"/>
        <v>-</v>
      </c>
      <c r="W463" s="51" t="str">
        <f t="shared" si="2230"/>
        <v>-</v>
      </c>
      <c r="X463" s="51">
        <f t="shared" si="2230"/>
        <v>124</v>
      </c>
      <c r="Y463" s="51" t="str">
        <f t="shared" si="2230"/>
        <v>-</v>
      </c>
      <c r="Z463" s="51" t="str">
        <f t="shared" si="2230"/>
        <v>-</v>
      </c>
      <c r="AA463" s="51">
        <f t="shared" si="2230"/>
        <v>127</v>
      </c>
      <c r="AB463" s="51" t="str">
        <f t="shared" si="2230"/>
        <v>-</v>
      </c>
      <c r="AC463" s="51" t="str">
        <f t="shared" si="2230"/>
        <v>-</v>
      </c>
      <c r="AD463" s="51" t="str">
        <f t="shared" si="2230"/>
        <v>-</v>
      </c>
      <c r="AE463" s="51" t="str">
        <f t="shared" si="2230"/>
        <v>-</v>
      </c>
      <c r="AF463" s="51" t="str">
        <f t="shared" si="2230"/>
        <v>-</v>
      </c>
      <c r="AG463" s="51" t="str">
        <f t="shared" si="2230"/>
        <v>-</v>
      </c>
      <c r="AH463" s="51" t="str">
        <f t="shared" si="2230"/>
        <v>-</v>
      </c>
      <c r="AI463" s="51" t="str">
        <f t="shared" si="2230"/>
        <v>-</v>
      </c>
      <c r="AJ463" s="51" t="str">
        <f t="shared" si="2230"/>
        <v>-</v>
      </c>
      <c r="AK463" s="51" t="str">
        <f t="shared" si="2230"/>
        <v>-</v>
      </c>
      <c r="AL463" s="51" t="str">
        <f t="shared" si="2230"/>
        <v>-</v>
      </c>
      <c r="AM463" s="51" t="str">
        <f t="shared" si="2230"/>
        <v>-</v>
      </c>
      <c r="AN463" s="51" t="str">
        <f t="shared" si="2230"/>
        <v>-</v>
      </c>
      <c r="AO463" s="51" t="str">
        <f t="shared" si="2230"/>
        <v>-</v>
      </c>
      <c r="AP463" s="51" t="str">
        <f t="shared" si="2230"/>
        <v>-</v>
      </c>
      <c r="AQ463" s="51" t="str">
        <f t="shared" si="2230"/>
        <v>-</v>
      </c>
      <c r="AR463" s="51" t="str">
        <f t="shared" si="2230"/>
        <v>-</v>
      </c>
      <c r="AS463" s="51" t="str">
        <f t="shared" si="2230"/>
        <v>-</v>
      </c>
      <c r="AT463" s="51" t="str">
        <f t="shared" si="2230"/>
        <v>-</v>
      </c>
      <c r="AU463" s="51" t="str">
        <f t="shared" si="2230"/>
        <v>-</v>
      </c>
      <c r="AV463" s="51" t="str">
        <f t="shared" si="2230"/>
        <v>-</v>
      </c>
      <c r="AW463" s="51" t="str">
        <f t="shared" si="2230"/>
        <v>-</v>
      </c>
      <c r="AX463" s="51" t="str">
        <f t="shared" si="2230"/>
        <v>-</v>
      </c>
      <c r="AY463" s="51" t="str">
        <f t="shared" si="2230"/>
        <v>-</v>
      </c>
      <c r="AZ463" s="51" t="str">
        <f t="shared" si="2230"/>
        <v>-</v>
      </c>
      <c r="BA463" s="51" t="str">
        <f t="shared" ref="BA463:BW463" si="2231">IF(BA445="+",BA454,"-")</f>
        <v>-</v>
      </c>
      <c r="BB463" s="51" t="str">
        <f t="shared" si="2231"/>
        <v>-</v>
      </c>
      <c r="BC463" s="51" t="str">
        <f t="shared" si="2231"/>
        <v>-</v>
      </c>
      <c r="BD463" s="51" t="str">
        <f t="shared" si="2231"/>
        <v>-</v>
      </c>
      <c r="BE463" s="51" t="str">
        <f t="shared" si="2231"/>
        <v>-</v>
      </c>
      <c r="BF463" s="51" t="str">
        <f t="shared" si="2231"/>
        <v>-</v>
      </c>
      <c r="BG463" s="51" t="str">
        <f t="shared" si="2231"/>
        <v>-</v>
      </c>
      <c r="BH463" s="51" t="str">
        <f t="shared" si="2231"/>
        <v>-</v>
      </c>
      <c r="BI463" s="51" t="str">
        <f t="shared" si="2231"/>
        <v>-</v>
      </c>
      <c r="BJ463" s="51" t="str">
        <f t="shared" si="2231"/>
        <v>-</v>
      </c>
      <c r="BK463" s="51" t="str">
        <f t="shared" si="2231"/>
        <v>-</v>
      </c>
      <c r="BL463" s="51" t="str">
        <f t="shared" si="2231"/>
        <v>-</v>
      </c>
      <c r="BM463" s="51" t="str">
        <f t="shared" si="2231"/>
        <v>-</v>
      </c>
      <c r="BN463" s="51" t="str">
        <f t="shared" si="2231"/>
        <v>-</v>
      </c>
      <c r="BO463" s="51" t="str">
        <f t="shared" si="2231"/>
        <v>-</v>
      </c>
      <c r="BP463" s="51" t="str">
        <f t="shared" si="2231"/>
        <v>-</v>
      </c>
      <c r="BQ463" s="51" t="str">
        <f t="shared" si="2231"/>
        <v>-</v>
      </c>
      <c r="BR463" s="51" t="str">
        <f t="shared" si="2231"/>
        <v>-</v>
      </c>
      <c r="BS463" s="51" t="str">
        <f t="shared" si="2231"/>
        <v>-</v>
      </c>
      <c r="BT463" s="51" t="str">
        <f t="shared" si="2231"/>
        <v>-</v>
      </c>
      <c r="BU463" s="51" t="str">
        <f t="shared" si="2231"/>
        <v>-</v>
      </c>
      <c r="BV463" s="51" t="str">
        <f t="shared" si="2231"/>
        <v>-</v>
      </c>
      <c r="BW463" s="51" t="str">
        <f t="shared" si="2231"/>
        <v>-</v>
      </c>
      <c r="BX463" s="49"/>
      <c r="BY463" s="49"/>
      <c r="BZ463" s="49"/>
      <c r="CA463" s="49"/>
      <c r="CB463" s="49"/>
    </row>
    <row r="464" spans="2:80" ht="15" customHeight="1" x14ac:dyDescent="0.2">
      <c r="B464" s="214">
        <v>4</v>
      </c>
      <c r="C464" s="214"/>
      <c r="D464" s="214"/>
      <c r="E464" s="218" t="str">
        <f>$E$328</f>
        <v>System Response</v>
      </c>
      <c r="F464" s="218"/>
      <c r="G464" s="218"/>
      <c r="H464" s="218"/>
      <c r="I464" s="218"/>
      <c r="J464" s="218"/>
      <c r="K464" s="218"/>
      <c r="L464" s="218"/>
      <c r="M464" s="220">
        <f>$M$328</f>
        <v>1</v>
      </c>
      <c r="N464" s="220"/>
      <c r="O464" s="220"/>
      <c r="P464" s="220"/>
      <c r="Q464" s="220">
        <f>$Q$328</f>
        <v>9</v>
      </c>
      <c r="R464" s="220"/>
      <c r="S464" s="220"/>
      <c r="T464" s="220"/>
      <c r="U464" s="51" t="str">
        <f t="shared" ref="U464:AZ464" si="2232">IF(U446="+",U455,"-")</f>
        <v>-</v>
      </c>
      <c r="V464" s="51" t="str">
        <f t="shared" si="2232"/>
        <v>-</v>
      </c>
      <c r="W464" s="51" t="str">
        <f t="shared" si="2232"/>
        <v>-</v>
      </c>
      <c r="X464" s="51" t="str">
        <f t="shared" si="2232"/>
        <v>-</v>
      </c>
      <c r="Y464" s="51" t="str">
        <f t="shared" si="2232"/>
        <v>-</v>
      </c>
      <c r="Z464" s="51" t="str">
        <f t="shared" si="2232"/>
        <v>-</v>
      </c>
      <c r="AA464" s="51" t="str">
        <f t="shared" si="2232"/>
        <v>-</v>
      </c>
      <c r="AB464" s="51" t="str">
        <f t="shared" si="2232"/>
        <v>-</v>
      </c>
      <c r="AC464" s="51" t="str">
        <f t="shared" si="2232"/>
        <v>-</v>
      </c>
      <c r="AD464" s="51" t="str">
        <f t="shared" si="2232"/>
        <v>-</v>
      </c>
      <c r="AE464" s="51" t="str">
        <f t="shared" si="2232"/>
        <v>-</v>
      </c>
      <c r="AF464" s="51" t="str">
        <f t="shared" si="2232"/>
        <v>-</v>
      </c>
      <c r="AG464" s="51" t="str">
        <f t="shared" si="2232"/>
        <v>-</v>
      </c>
      <c r="AH464" s="51" t="str">
        <f t="shared" si="2232"/>
        <v>-</v>
      </c>
      <c r="AI464" s="51" t="str">
        <f t="shared" si="2232"/>
        <v>-</v>
      </c>
      <c r="AJ464" s="51" t="str">
        <f t="shared" si="2232"/>
        <v>-</v>
      </c>
      <c r="AK464" s="51" t="str">
        <f t="shared" si="2232"/>
        <v>-</v>
      </c>
      <c r="AL464" s="51" t="str">
        <f t="shared" si="2232"/>
        <v>-</v>
      </c>
      <c r="AM464" s="51" t="str">
        <f t="shared" si="2232"/>
        <v>-</v>
      </c>
      <c r="AN464" s="51" t="str">
        <f t="shared" si="2232"/>
        <v>-</v>
      </c>
      <c r="AO464" s="51" t="str">
        <f t="shared" si="2232"/>
        <v>-</v>
      </c>
      <c r="AP464" s="51" t="str">
        <f t="shared" si="2232"/>
        <v>-</v>
      </c>
      <c r="AQ464" s="51" t="str">
        <f t="shared" si="2232"/>
        <v>-</v>
      </c>
      <c r="AR464" s="51" t="str">
        <f t="shared" si="2232"/>
        <v>-</v>
      </c>
      <c r="AS464" s="51" t="str">
        <f t="shared" si="2232"/>
        <v>-</v>
      </c>
      <c r="AT464" s="51" t="str">
        <f t="shared" si="2232"/>
        <v>-</v>
      </c>
      <c r="AU464" s="51" t="str">
        <f t="shared" si="2232"/>
        <v>-</v>
      </c>
      <c r="AV464" s="51" t="str">
        <f t="shared" si="2232"/>
        <v>-</v>
      </c>
      <c r="AW464" s="51" t="str">
        <f t="shared" si="2232"/>
        <v>-</v>
      </c>
      <c r="AX464" s="51" t="str">
        <f t="shared" si="2232"/>
        <v>-</v>
      </c>
      <c r="AY464" s="51" t="str">
        <f t="shared" si="2232"/>
        <v>-</v>
      </c>
      <c r="AZ464" s="51" t="str">
        <f t="shared" si="2232"/>
        <v>-</v>
      </c>
      <c r="BA464" s="51" t="str">
        <f t="shared" ref="BA464:BW464" si="2233">IF(BA446="+",BA455,"-")</f>
        <v>-</v>
      </c>
      <c r="BB464" s="51" t="str">
        <f t="shared" si="2233"/>
        <v>-</v>
      </c>
      <c r="BC464" s="51" t="str">
        <f t="shared" si="2233"/>
        <v>-</v>
      </c>
      <c r="BD464" s="51" t="str">
        <f t="shared" si="2233"/>
        <v>-</v>
      </c>
      <c r="BE464" s="51" t="str">
        <f t="shared" si="2233"/>
        <v>-</v>
      </c>
      <c r="BF464" s="51" t="str">
        <f t="shared" si="2233"/>
        <v>-</v>
      </c>
      <c r="BG464" s="51" t="str">
        <f t="shared" si="2233"/>
        <v>-</v>
      </c>
      <c r="BH464" s="51" t="str">
        <f t="shared" si="2233"/>
        <v>-</v>
      </c>
      <c r="BI464" s="51" t="str">
        <f t="shared" si="2233"/>
        <v>-</v>
      </c>
      <c r="BJ464" s="51" t="str">
        <f t="shared" si="2233"/>
        <v>-</v>
      </c>
      <c r="BK464" s="51" t="str">
        <f t="shared" si="2233"/>
        <v>-</v>
      </c>
      <c r="BL464" s="51" t="str">
        <f t="shared" si="2233"/>
        <v>-</v>
      </c>
      <c r="BM464" s="51" t="str">
        <f t="shared" si="2233"/>
        <v>-</v>
      </c>
      <c r="BN464" s="51" t="str">
        <f t="shared" si="2233"/>
        <v>-</v>
      </c>
      <c r="BO464" s="51" t="str">
        <f t="shared" si="2233"/>
        <v>-</v>
      </c>
      <c r="BP464" s="51" t="str">
        <f t="shared" si="2233"/>
        <v>-</v>
      </c>
      <c r="BQ464" s="51" t="str">
        <f t="shared" si="2233"/>
        <v>-</v>
      </c>
      <c r="BR464" s="51" t="str">
        <f t="shared" si="2233"/>
        <v>-</v>
      </c>
      <c r="BS464" s="51" t="str">
        <f t="shared" si="2233"/>
        <v>-</v>
      </c>
      <c r="BT464" s="51" t="str">
        <f t="shared" si="2233"/>
        <v>-</v>
      </c>
      <c r="BU464" s="51" t="str">
        <f t="shared" si="2233"/>
        <v>-</v>
      </c>
      <c r="BV464" s="51" t="str">
        <f t="shared" si="2233"/>
        <v>-</v>
      </c>
      <c r="BW464" s="51" t="str">
        <f t="shared" si="2233"/>
        <v>-</v>
      </c>
      <c r="BX464" s="49"/>
      <c r="BY464" s="49"/>
      <c r="BZ464" s="49"/>
      <c r="CA464" s="49"/>
      <c r="CB464" s="49"/>
    </row>
    <row r="465" spans="2:80" ht="15" customHeight="1" x14ac:dyDescent="0.2">
      <c r="B465" s="214">
        <v>5</v>
      </c>
      <c r="C465" s="214"/>
      <c r="D465" s="214"/>
      <c r="E465" s="218" t="str">
        <f>$E$329</f>
        <v>Life Loss</v>
      </c>
      <c r="F465" s="218"/>
      <c r="G465" s="218"/>
      <c r="H465" s="218"/>
      <c r="I465" s="218"/>
      <c r="J465" s="218"/>
      <c r="K465" s="218"/>
      <c r="L465" s="218"/>
      <c r="M465" s="220">
        <f>$M$329</f>
        <v>1</v>
      </c>
      <c r="N465" s="220"/>
      <c r="O465" s="220"/>
      <c r="P465" s="220"/>
      <c r="Q465" s="220">
        <f>$Q$329</f>
        <v>9</v>
      </c>
      <c r="R465" s="220"/>
      <c r="S465" s="220"/>
      <c r="T465" s="220"/>
      <c r="U465" s="51">
        <f t="shared" ref="U465:AZ465" si="2234">IF(U447="+",U456,"-")</f>
        <v>231</v>
      </c>
      <c r="V465" s="51">
        <f t="shared" si="2234"/>
        <v>232</v>
      </c>
      <c r="W465" s="51">
        <f t="shared" si="2234"/>
        <v>233</v>
      </c>
      <c r="X465" s="51" t="str">
        <f t="shared" si="2234"/>
        <v>-</v>
      </c>
      <c r="Y465" s="51" t="str">
        <f t="shared" si="2234"/>
        <v>-</v>
      </c>
      <c r="Z465" s="51" t="str">
        <f t="shared" si="2234"/>
        <v>-</v>
      </c>
      <c r="AA465" s="51" t="str">
        <f t="shared" si="2234"/>
        <v>-</v>
      </c>
      <c r="AB465" s="51" t="str">
        <f t="shared" si="2234"/>
        <v>-</v>
      </c>
      <c r="AC465" s="51" t="str">
        <f t="shared" si="2234"/>
        <v>-</v>
      </c>
      <c r="AD465" s="51" t="str">
        <f t="shared" si="2234"/>
        <v>-</v>
      </c>
      <c r="AE465" s="51" t="str">
        <f t="shared" si="2234"/>
        <v>-</v>
      </c>
      <c r="AF465" s="51" t="str">
        <f t="shared" si="2234"/>
        <v>-</v>
      </c>
      <c r="AG465" s="51" t="str">
        <f t="shared" si="2234"/>
        <v>-</v>
      </c>
      <c r="AH465" s="51" t="str">
        <f t="shared" si="2234"/>
        <v>-</v>
      </c>
      <c r="AI465" s="51" t="str">
        <f t="shared" si="2234"/>
        <v>-</v>
      </c>
      <c r="AJ465" s="51" t="str">
        <f t="shared" si="2234"/>
        <v>-</v>
      </c>
      <c r="AK465" s="51" t="str">
        <f t="shared" si="2234"/>
        <v>-</v>
      </c>
      <c r="AL465" s="51" t="str">
        <f t="shared" si="2234"/>
        <v>-</v>
      </c>
      <c r="AM465" s="51" t="str">
        <f t="shared" si="2234"/>
        <v>-</v>
      </c>
      <c r="AN465" s="51" t="str">
        <f t="shared" si="2234"/>
        <v>-</v>
      </c>
      <c r="AO465" s="51" t="str">
        <f t="shared" si="2234"/>
        <v>-</v>
      </c>
      <c r="AP465" s="51" t="str">
        <f t="shared" si="2234"/>
        <v>-</v>
      </c>
      <c r="AQ465" s="51" t="str">
        <f t="shared" si="2234"/>
        <v>-</v>
      </c>
      <c r="AR465" s="51" t="str">
        <f t="shared" si="2234"/>
        <v>-</v>
      </c>
      <c r="AS465" s="51" t="str">
        <f t="shared" si="2234"/>
        <v>-</v>
      </c>
      <c r="AT465" s="51" t="str">
        <f t="shared" si="2234"/>
        <v>-</v>
      </c>
      <c r="AU465" s="51" t="str">
        <f t="shared" si="2234"/>
        <v>-</v>
      </c>
      <c r="AV465" s="51" t="str">
        <f t="shared" si="2234"/>
        <v>-</v>
      </c>
      <c r="AW465" s="51" t="str">
        <f t="shared" si="2234"/>
        <v>-</v>
      </c>
      <c r="AX465" s="51" t="str">
        <f t="shared" si="2234"/>
        <v>-</v>
      </c>
      <c r="AY465" s="51" t="str">
        <f t="shared" si="2234"/>
        <v>-</v>
      </c>
      <c r="AZ465" s="51" t="str">
        <f t="shared" si="2234"/>
        <v>-</v>
      </c>
      <c r="BA465" s="51" t="str">
        <f t="shared" ref="BA465:BW465" si="2235">IF(BA447="+",BA456,"-")</f>
        <v>-</v>
      </c>
      <c r="BB465" s="51" t="str">
        <f t="shared" si="2235"/>
        <v>-</v>
      </c>
      <c r="BC465" s="51" t="str">
        <f t="shared" si="2235"/>
        <v>-</v>
      </c>
      <c r="BD465" s="51" t="str">
        <f t="shared" si="2235"/>
        <v>-</v>
      </c>
      <c r="BE465" s="51" t="str">
        <f t="shared" si="2235"/>
        <v>-</v>
      </c>
      <c r="BF465" s="51" t="str">
        <f t="shared" si="2235"/>
        <v>-</v>
      </c>
      <c r="BG465" s="51" t="str">
        <f t="shared" si="2235"/>
        <v>-</v>
      </c>
      <c r="BH465" s="51" t="str">
        <f t="shared" si="2235"/>
        <v>-</v>
      </c>
      <c r="BI465" s="51" t="str">
        <f t="shared" si="2235"/>
        <v>-</v>
      </c>
      <c r="BJ465" s="51" t="str">
        <f t="shared" si="2235"/>
        <v>-</v>
      </c>
      <c r="BK465" s="51" t="str">
        <f t="shared" si="2235"/>
        <v>-</v>
      </c>
      <c r="BL465" s="51" t="str">
        <f t="shared" si="2235"/>
        <v>-</v>
      </c>
      <c r="BM465" s="51" t="str">
        <f t="shared" si="2235"/>
        <v>-</v>
      </c>
      <c r="BN465" s="51" t="str">
        <f t="shared" si="2235"/>
        <v>-</v>
      </c>
      <c r="BO465" s="51" t="str">
        <f t="shared" si="2235"/>
        <v>-</v>
      </c>
      <c r="BP465" s="51" t="str">
        <f t="shared" si="2235"/>
        <v>-</v>
      </c>
      <c r="BQ465" s="51" t="str">
        <f t="shared" si="2235"/>
        <v>-</v>
      </c>
      <c r="BR465" s="51" t="str">
        <f t="shared" si="2235"/>
        <v>-</v>
      </c>
      <c r="BS465" s="51" t="str">
        <f t="shared" si="2235"/>
        <v>-</v>
      </c>
      <c r="BT465" s="51" t="str">
        <f t="shared" si="2235"/>
        <v>-</v>
      </c>
      <c r="BU465" s="51" t="str">
        <f t="shared" si="2235"/>
        <v>-</v>
      </c>
      <c r="BV465" s="51" t="str">
        <f t="shared" si="2235"/>
        <v>-</v>
      </c>
      <c r="BW465" s="51" t="str">
        <f t="shared" si="2235"/>
        <v>-</v>
      </c>
      <c r="BX465" s="49"/>
      <c r="BY465" s="49"/>
      <c r="BZ465" s="49"/>
      <c r="CA465" s="49"/>
      <c r="CB465" s="49"/>
    </row>
    <row r="466" spans="2:80" ht="15" customHeight="1" x14ac:dyDescent="0.2">
      <c r="B466" s="214">
        <v>6</v>
      </c>
      <c r="C466" s="214"/>
      <c r="D466" s="214"/>
      <c r="E466" s="218" t="str">
        <f>$E$330</f>
        <v>Economic Cost</v>
      </c>
      <c r="F466" s="218"/>
      <c r="G466" s="218"/>
      <c r="H466" s="218"/>
      <c r="I466" s="218"/>
      <c r="J466" s="218"/>
      <c r="K466" s="218"/>
      <c r="L466" s="218"/>
      <c r="M466" s="220">
        <f>$M$330</f>
        <v>1</v>
      </c>
      <c r="N466" s="220"/>
      <c r="O466" s="220"/>
      <c r="P466" s="220"/>
      <c r="Q466" s="220">
        <f>$Q$330</f>
        <v>9</v>
      </c>
      <c r="R466" s="220"/>
      <c r="S466" s="220"/>
      <c r="T466" s="220"/>
      <c r="U466" s="51">
        <f t="shared" ref="U466:AZ466" si="2236">IF(U448="+",U457,"-")</f>
        <v>286</v>
      </c>
      <c r="V466" s="51">
        <f t="shared" si="2236"/>
        <v>287</v>
      </c>
      <c r="W466" s="51">
        <f t="shared" si="2236"/>
        <v>288</v>
      </c>
      <c r="X466" s="51" t="str">
        <f t="shared" si="2236"/>
        <v>-</v>
      </c>
      <c r="Y466" s="51" t="str">
        <f t="shared" si="2236"/>
        <v>-</v>
      </c>
      <c r="Z466" s="51" t="str">
        <f t="shared" si="2236"/>
        <v>-</v>
      </c>
      <c r="AA466" s="51" t="str">
        <f t="shared" si="2236"/>
        <v>-</v>
      </c>
      <c r="AB466" s="51" t="str">
        <f t="shared" si="2236"/>
        <v>-</v>
      </c>
      <c r="AC466" s="51" t="str">
        <f t="shared" si="2236"/>
        <v>-</v>
      </c>
      <c r="AD466" s="51" t="str">
        <f t="shared" si="2236"/>
        <v>-</v>
      </c>
      <c r="AE466" s="51" t="str">
        <f t="shared" si="2236"/>
        <v>-</v>
      </c>
      <c r="AF466" s="51" t="str">
        <f t="shared" si="2236"/>
        <v>-</v>
      </c>
      <c r="AG466" s="51" t="str">
        <f t="shared" si="2236"/>
        <v>-</v>
      </c>
      <c r="AH466" s="51" t="str">
        <f t="shared" si="2236"/>
        <v>-</v>
      </c>
      <c r="AI466" s="51" t="str">
        <f t="shared" si="2236"/>
        <v>-</v>
      </c>
      <c r="AJ466" s="51" t="str">
        <f t="shared" si="2236"/>
        <v>-</v>
      </c>
      <c r="AK466" s="51" t="str">
        <f t="shared" si="2236"/>
        <v>-</v>
      </c>
      <c r="AL466" s="51" t="str">
        <f t="shared" si="2236"/>
        <v>-</v>
      </c>
      <c r="AM466" s="51" t="str">
        <f t="shared" si="2236"/>
        <v>-</v>
      </c>
      <c r="AN466" s="51" t="str">
        <f t="shared" si="2236"/>
        <v>-</v>
      </c>
      <c r="AO466" s="51" t="str">
        <f t="shared" si="2236"/>
        <v>-</v>
      </c>
      <c r="AP466" s="51" t="str">
        <f t="shared" si="2236"/>
        <v>-</v>
      </c>
      <c r="AQ466" s="51" t="str">
        <f t="shared" si="2236"/>
        <v>-</v>
      </c>
      <c r="AR466" s="51" t="str">
        <f t="shared" si="2236"/>
        <v>-</v>
      </c>
      <c r="AS466" s="51" t="str">
        <f t="shared" si="2236"/>
        <v>-</v>
      </c>
      <c r="AT466" s="51" t="str">
        <f t="shared" si="2236"/>
        <v>-</v>
      </c>
      <c r="AU466" s="51" t="str">
        <f t="shared" si="2236"/>
        <v>-</v>
      </c>
      <c r="AV466" s="51" t="str">
        <f t="shared" si="2236"/>
        <v>-</v>
      </c>
      <c r="AW466" s="51" t="str">
        <f t="shared" si="2236"/>
        <v>-</v>
      </c>
      <c r="AX466" s="51" t="str">
        <f t="shared" si="2236"/>
        <v>-</v>
      </c>
      <c r="AY466" s="51" t="str">
        <f t="shared" si="2236"/>
        <v>-</v>
      </c>
      <c r="AZ466" s="51" t="str">
        <f t="shared" si="2236"/>
        <v>-</v>
      </c>
      <c r="BA466" s="51" t="str">
        <f t="shared" ref="BA466:BW466" si="2237">IF(BA448="+",BA457,"-")</f>
        <v>-</v>
      </c>
      <c r="BB466" s="51" t="str">
        <f t="shared" si="2237"/>
        <v>-</v>
      </c>
      <c r="BC466" s="51" t="str">
        <f t="shared" si="2237"/>
        <v>-</v>
      </c>
      <c r="BD466" s="51" t="str">
        <f t="shared" si="2237"/>
        <v>-</v>
      </c>
      <c r="BE466" s="51" t="str">
        <f t="shared" si="2237"/>
        <v>-</v>
      </c>
      <c r="BF466" s="51" t="str">
        <f t="shared" si="2237"/>
        <v>-</v>
      </c>
      <c r="BG466" s="51" t="str">
        <f t="shared" si="2237"/>
        <v>-</v>
      </c>
      <c r="BH466" s="51" t="str">
        <f t="shared" si="2237"/>
        <v>-</v>
      </c>
      <c r="BI466" s="51" t="str">
        <f t="shared" si="2237"/>
        <v>-</v>
      </c>
      <c r="BJ466" s="51" t="str">
        <f t="shared" si="2237"/>
        <v>-</v>
      </c>
      <c r="BK466" s="51" t="str">
        <f t="shared" si="2237"/>
        <v>-</v>
      </c>
      <c r="BL466" s="51" t="str">
        <f t="shared" si="2237"/>
        <v>-</v>
      </c>
      <c r="BM466" s="51" t="str">
        <f t="shared" si="2237"/>
        <v>-</v>
      </c>
      <c r="BN466" s="51" t="str">
        <f t="shared" si="2237"/>
        <v>-</v>
      </c>
      <c r="BO466" s="51" t="str">
        <f t="shared" si="2237"/>
        <v>-</v>
      </c>
      <c r="BP466" s="51" t="str">
        <f t="shared" si="2237"/>
        <v>-</v>
      </c>
      <c r="BQ466" s="51" t="str">
        <f t="shared" si="2237"/>
        <v>-</v>
      </c>
      <c r="BR466" s="51" t="str">
        <f t="shared" si="2237"/>
        <v>-</v>
      </c>
      <c r="BS466" s="51" t="str">
        <f t="shared" si="2237"/>
        <v>-</v>
      </c>
      <c r="BT466" s="51" t="str">
        <f t="shared" si="2237"/>
        <v>-</v>
      </c>
      <c r="BU466" s="51" t="str">
        <f t="shared" si="2237"/>
        <v>-</v>
      </c>
      <c r="BV466" s="51" t="str">
        <f t="shared" si="2237"/>
        <v>-</v>
      </c>
      <c r="BW466" s="51" t="str">
        <f t="shared" si="2237"/>
        <v>-</v>
      </c>
      <c r="BX466" s="49"/>
      <c r="BY466" s="49"/>
      <c r="BZ466" s="49"/>
      <c r="CA466" s="49"/>
      <c r="CB466" s="49"/>
    </row>
    <row r="467" spans="2:80" ht="15" customHeight="1" x14ac:dyDescent="0.2"/>
    <row r="468" spans="2:80" ht="15" customHeight="1" x14ac:dyDescent="0.2">
      <c r="B468" s="50" t="s">
        <v>140</v>
      </c>
      <c r="C468" s="49"/>
      <c r="D468" s="49"/>
      <c r="E468" s="49"/>
      <c r="F468" s="49"/>
      <c r="G468" s="49"/>
      <c r="H468" s="49"/>
      <c r="I468" s="49"/>
      <c r="J468" s="49"/>
      <c r="K468" s="49"/>
      <c r="L468" s="49"/>
      <c r="M468" s="49"/>
      <c r="N468" s="49"/>
      <c r="O468" s="49"/>
      <c r="P468" s="49"/>
      <c r="Q468" s="49"/>
      <c r="R468" s="49"/>
      <c r="S468" s="49"/>
      <c r="T468" s="49"/>
      <c r="U468" s="49"/>
      <c r="V468" s="49"/>
      <c r="W468" s="49"/>
      <c r="X468" s="49"/>
      <c r="Y468" s="49"/>
      <c r="Z468" s="49"/>
      <c r="AA468" s="49"/>
      <c r="AB468" s="49"/>
      <c r="AC468" s="49"/>
      <c r="AD468" s="49"/>
      <c r="AE468" s="49"/>
      <c r="AF468" s="49"/>
      <c r="AG468" s="49"/>
      <c r="AH468" s="49"/>
      <c r="AI468" s="49"/>
      <c r="AJ468" s="49"/>
      <c r="AK468" s="49"/>
      <c r="AL468" s="49"/>
      <c r="AM468" s="49"/>
      <c r="AN468" s="49"/>
      <c r="AO468" s="49"/>
      <c r="AP468" s="49"/>
      <c r="AQ468" s="49"/>
      <c r="AR468" s="49"/>
      <c r="AS468" s="49"/>
      <c r="AT468" s="49"/>
      <c r="AU468" s="49"/>
      <c r="AV468" s="49"/>
      <c r="AW468" s="49"/>
      <c r="AX468" s="49"/>
      <c r="AY468" s="49"/>
      <c r="AZ468" s="49"/>
      <c r="BA468" s="49"/>
      <c r="BB468" s="49"/>
      <c r="BC468" s="49"/>
      <c r="BD468" s="49"/>
      <c r="BE468" s="49"/>
      <c r="BF468" s="49"/>
      <c r="BG468" s="49"/>
      <c r="BH468" s="49"/>
      <c r="BI468" s="49"/>
      <c r="BJ468" s="49"/>
      <c r="BK468" s="49"/>
      <c r="BL468" s="49"/>
      <c r="BM468" s="49"/>
      <c r="BN468" s="49"/>
      <c r="BO468" s="49"/>
      <c r="BP468" s="49"/>
      <c r="BQ468" s="49"/>
      <c r="BR468" s="49"/>
      <c r="BS468" s="49"/>
      <c r="BT468" s="49"/>
      <c r="BU468" s="49"/>
      <c r="BV468" s="49"/>
      <c r="BW468" s="49"/>
      <c r="BX468" s="49"/>
      <c r="BY468" s="49"/>
      <c r="BZ468" s="49"/>
      <c r="CA468" s="49"/>
      <c r="CB468" s="49"/>
    </row>
    <row r="469" spans="2:80" ht="15" customHeight="1" x14ac:dyDescent="0.2">
      <c r="AE469" s="76"/>
      <c r="AF469" s="76"/>
      <c r="AG469" s="76"/>
      <c r="AH469" s="76"/>
      <c r="AI469" s="76"/>
      <c r="AJ469" s="76"/>
      <c r="AK469" s="76"/>
      <c r="AL469" s="76"/>
      <c r="AM469" s="76"/>
      <c r="AN469" s="76"/>
      <c r="AO469" s="76"/>
      <c r="AP469" s="76"/>
      <c r="AQ469" s="76"/>
      <c r="AR469" s="76"/>
      <c r="AS469" s="76"/>
      <c r="AT469" s="76"/>
      <c r="AU469" s="76"/>
      <c r="AV469" s="76"/>
      <c r="AW469" s="76"/>
      <c r="AX469" s="76"/>
      <c r="AY469" s="76"/>
      <c r="AZ469" s="76"/>
      <c r="BA469" s="76"/>
      <c r="BB469" s="76"/>
      <c r="BC469" s="76"/>
      <c r="BD469" s="76"/>
      <c r="BE469" s="76"/>
      <c r="BF469" s="76"/>
      <c r="BG469" s="76"/>
      <c r="BH469" s="76"/>
      <c r="BI469" s="76"/>
      <c r="BJ469" s="76"/>
      <c r="BK469" s="76"/>
      <c r="BL469" s="76"/>
      <c r="BM469" s="76"/>
      <c r="BN469" s="76"/>
      <c r="BO469" s="76"/>
      <c r="BP469" s="76"/>
      <c r="BQ469" s="76"/>
      <c r="BR469" s="76"/>
      <c r="BS469" s="76"/>
      <c r="BT469" s="76"/>
      <c r="BU469" s="76"/>
      <c r="BV469" s="76"/>
      <c r="BW469" s="76"/>
    </row>
    <row r="470" spans="2:80" ht="15" customHeight="1" x14ac:dyDescent="0.2">
      <c r="B470" s="49"/>
      <c r="C470" s="49"/>
      <c r="D470" s="49"/>
      <c r="M470" s="49"/>
      <c r="N470" s="49"/>
      <c r="O470" s="49"/>
      <c r="P470" s="49"/>
      <c r="Q470" s="49"/>
      <c r="R470" s="49"/>
      <c r="S470" s="49"/>
      <c r="T470" s="49"/>
      <c r="U470" s="51">
        <v>10</v>
      </c>
      <c r="V470" s="51">
        <f>U470+5</f>
        <v>15</v>
      </c>
      <c r="W470" s="51">
        <f t="shared" ref="W470:AE470" si="2238">V470+5</f>
        <v>20</v>
      </c>
      <c r="X470" s="51">
        <f t="shared" si="2238"/>
        <v>25</v>
      </c>
      <c r="Y470" s="51">
        <f t="shared" si="2238"/>
        <v>30</v>
      </c>
      <c r="Z470" s="51">
        <f t="shared" si="2238"/>
        <v>35</v>
      </c>
      <c r="AA470" s="51">
        <f t="shared" si="2238"/>
        <v>40</v>
      </c>
      <c r="AB470" s="51">
        <f t="shared" si="2238"/>
        <v>45</v>
      </c>
      <c r="AC470" s="51">
        <f t="shared" si="2238"/>
        <v>50</v>
      </c>
      <c r="AD470" s="51">
        <f t="shared" si="2238"/>
        <v>55</v>
      </c>
      <c r="AE470" s="51">
        <f t="shared" si="2238"/>
        <v>60</v>
      </c>
      <c r="AF470" s="51">
        <f t="shared" ref="AF470" si="2239">AE470+5</f>
        <v>65</v>
      </c>
      <c r="AG470" s="51">
        <f t="shared" ref="AG470" si="2240">AF470+5</f>
        <v>70</v>
      </c>
      <c r="AH470" s="51">
        <f t="shared" ref="AH470" si="2241">AG470+5</f>
        <v>75</v>
      </c>
      <c r="AI470" s="51">
        <f t="shared" ref="AI470" si="2242">AH470+5</f>
        <v>80</v>
      </c>
      <c r="AJ470" s="51">
        <f t="shared" ref="AJ470" si="2243">AI470+5</f>
        <v>85</v>
      </c>
      <c r="AK470" s="51">
        <f t="shared" ref="AK470" si="2244">AJ470+5</f>
        <v>90</v>
      </c>
      <c r="AL470" s="51">
        <f t="shared" ref="AL470" si="2245">AK470+5</f>
        <v>95</v>
      </c>
      <c r="AM470" s="51">
        <f t="shared" ref="AM470" si="2246">AL470+5</f>
        <v>100</v>
      </c>
      <c r="AN470" s="51">
        <f t="shared" ref="AN470" si="2247">AM470+5</f>
        <v>105</v>
      </c>
      <c r="AO470" s="51">
        <f t="shared" ref="AO470" si="2248">AN470+5</f>
        <v>110</v>
      </c>
      <c r="AP470" s="51">
        <f t="shared" ref="AP470" si="2249">AO470+5</f>
        <v>115</v>
      </c>
      <c r="AQ470" s="51">
        <f t="shared" ref="AQ470" si="2250">AP470+5</f>
        <v>120</v>
      </c>
      <c r="AR470" s="51">
        <f t="shared" ref="AR470" si="2251">AQ470+5</f>
        <v>125</v>
      </c>
      <c r="AS470" s="51">
        <f t="shared" ref="AS470" si="2252">AR470+5</f>
        <v>130</v>
      </c>
      <c r="AT470" s="51">
        <f t="shared" ref="AT470" si="2253">AS470+5</f>
        <v>135</v>
      </c>
      <c r="AU470" s="51">
        <f t="shared" ref="AU470" si="2254">AT470+5</f>
        <v>140</v>
      </c>
      <c r="AV470" s="51">
        <f t="shared" ref="AV470" si="2255">AU470+5</f>
        <v>145</v>
      </c>
      <c r="AW470" s="51">
        <f t="shared" ref="AW470" si="2256">AV470+5</f>
        <v>150</v>
      </c>
      <c r="AX470" s="51">
        <f t="shared" ref="AX470" si="2257">AW470+5</f>
        <v>155</v>
      </c>
      <c r="AY470" s="51">
        <f t="shared" ref="AY470" si="2258">AX470+5</f>
        <v>160</v>
      </c>
      <c r="AZ470" s="51">
        <f t="shared" ref="AZ470" si="2259">AY470+5</f>
        <v>165</v>
      </c>
      <c r="BA470" s="51">
        <f t="shared" ref="BA470" si="2260">AZ470+5</f>
        <v>170</v>
      </c>
      <c r="BB470" s="51">
        <f t="shared" ref="BB470" si="2261">BA470+5</f>
        <v>175</v>
      </c>
      <c r="BC470" s="51">
        <f t="shared" ref="BC470" si="2262">BB470+5</f>
        <v>180</v>
      </c>
      <c r="BD470" s="51">
        <f t="shared" ref="BD470" si="2263">BC470+5</f>
        <v>185</v>
      </c>
      <c r="BE470" s="51">
        <f t="shared" ref="BE470" si="2264">BD470+5</f>
        <v>190</v>
      </c>
      <c r="BF470" s="51">
        <f t="shared" ref="BF470" si="2265">BE470+5</f>
        <v>195</v>
      </c>
      <c r="BG470" s="51">
        <f t="shared" ref="BG470" si="2266">BF470+5</f>
        <v>200</v>
      </c>
      <c r="BH470" s="51">
        <f t="shared" ref="BH470" si="2267">BG470+5</f>
        <v>205</v>
      </c>
      <c r="BI470" s="51">
        <f t="shared" ref="BI470" si="2268">BH470+5</f>
        <v>210</v>
      </c>
      <c r="BJ470" s="51">
        <f t="shared" ref="BJ470" si="2269">BI470+5</f>
        <v>215</v>
      </c>
      <c r="BK470" s="51">
        <f t="shared" ref="BK470" si="2270">BJ470+5</f>
        <v>220</v>
      </c>
      <c r="BL470" s="51">
        <f t="shared" ref="BL470" si="2271">BK470+5</f>
        <v>225</v>
      </c>
      <c r="BM470" s="51">
        <f t="shared" ref="BM470" si="2272">BL470+5</f>
        <v>230</v>
      </c>
      <c r="BN470" s="51">
        <f t="shared" ref="BN470" si="2273">BM470+5</f>
        <v>235</v>
      </c>
      <c r="BO470" s="51">
        <f t="shared" ref="BO470" si="2274">BN470+5</f>
        <v>240</v>
      </c>
      <c r="BP470" s="51">
        <f t="shared" ref="BP470" si="2275">BO470+5</f>
        <v>245</v>
      </c>
      <c r="BQ470" s="51">
        <f t="shared" ref="BQ470" si="2276">BP470+5</f>
        <v>250</v>
      </c>
      <c r="BR470" s="51">
        <f t="shared" ref="BR470" si="2277">BQ470+5</f>
        <v>255</v>
      </c>
      <c r="BS470" s="51">
        <f t="shared" ref="BS470" si="2278">BR470+5</f>
        <v>260</v>
      </c>
      <c r="BT470" s="51">
        <f t="shared" ref="BT470" si="2279">BS470+5</f>
        <v>265</v>
      </c>
      <c r="BU470" s="51">
        <f t="shared" ref="BU470" si="2280">BT470+5</f>
        <v>270</v>
      </c>
      <c r="BV470" s="51">
        <f t="shared" ref="BV470" si="2281">BU470+5</f>
        <v>275</v>
      </c>
      <c r="BW470" s="51">
        <f t="shared" ref="BW470" si="2282">BV470+5</f>
        <v>280</v>
      </c>
      <c r="BX470" s="74"/>
      <c r="BY470" s="49"/>
      <c r="BZ470" s="49"/>
      <c r="CA470" s="49"/>
      <c r="CB470" s="49"/>
    </row>
    <row r="471" spans="2:80" ht="15" customHeight="1" x14ac:dyDescent="0.2">
      <c r="B471" s="214" t="s">
        <v>98</v>
      </c>
      <c r="C471" s="214"/>
      <c r="D471" s="214"/>
      <c r="E471" s="218" t="s">
        <v>147</v>
      </c>
      <c r="F471" s="218"/>
      <c r="G471" s="218"/>
      <c r="H471" s="218"/>
      <c r="I471" s="218"/>
      <c r="J471" s="218"/>
      <c r="K471" s="218"/>
      <c r="L471" s="218"/>
      <c r="M471" s="218" t="s">
        <v>97</v>
      </c>
      <c r="N471" s="218"/>
      <c r="O471" s="218"/>
      <c r="P471" s="218"/>
      <c r="Q471" s="218" t="s">
        <v>118</v>
      </c>
      <c r="R471" s="218"/>
      <c r="S471" s="218"/>
      <c r="T471" s="218"/>
      <c r="U471" s="52">
        <v>1</v>
      </c>
      <c r="V471" s="52">
        <v>2</v>
      </c>
      <c r="W471" s="52">
        <v>3</v>
      </c>
      <c r="X471" s="52">
        <v>4</v>
      </c>
      <c r="Y471" s="52">
        <v>5</v>
      </c>
      <c r="Z471" s="52">
        <v>6</v>
      </c>
      <c r="AA471" s="52">
        <v>7</v>
      </c>
      <c r="AB471" s="52">
        <v>8</v>
      </c>
      <c r="AC471" s="52">
        <v>9</v>
      </c>
      <c r="AD471" s="52">
        <v>10</v>
      </c>
      <c r="AE471" s="52">
        <v>11</v>
      </c>
      <c r="AF471" s="52">
        <v>12</v>
      </c>
      <c r="AG471" s="52">
        <v>13</v>
      </c>
      <c r="AH471" s="52">
        <v>14</v>
      </c>
      <c r="AI471" s="52">
        <v>15</v>
      </c>
      <c r="AJ471" s="52">
        <v>16</v>
      </c>
      <c r="AK471" s="52">
        <v>17</v>
      </c>
      <c r="AL471" s="52">
        <v>18</v>
      </c>
      <c r="AM471" s="52">
        <v>19</v>
      </c>
      <c r="AN471" s="52">
        <v>20</v>
      </c>
      <c r="AO471" s="52">
        <v>21</v>
      </c>
      <c r="AP471" s="52">
        <v>22</v>
      </c>
      <c r="AQ471" s="52">
        <v>23</v>
      </c>
      <c r="AR471" s="52">
        <v>24</v>
      </c>
      <c r="AS471" s="52">
        <v>25</v>
      </c>
      <c r="AT471" s="52">
        <v>26</v>
      </c>
      <c r="AU471" s="52">
        <v>27</v>
      </c>
      <c r="AV471" s="52">
        <v>28</v>
      </c>
      <c r="AW471" s="52">
        <v>29</v>
      </c>
      <c r="AX471" s="52">
        <v>30</v>
      </c>
      <c r="AY471" s="52">
        <v>31</v>
      </c>
      <c r="AZ471" s="52">
        <v>32</v>
      </c>
      <c r="BA471" s="52">
        <v>33</v>
      </c>
      <c r="BB471" s="52">
        <v>34</v>
      </c>
      <c r="BC471" s="52">
        <v>35</v>
      </c>
      <c r="BD471" s="52">
        <v>36</v>
      </c>
      <c r="BE471" s="52">
        <v>37</v>
      </c>
      <c r="BF471" s="52">
        <v>38</v>
      </c>
      <c r="BG471" s="52">
        <v>39</v>
      </c>
      <c r="BH471" s="52">
        <v>40</v>
      </c>
      <c r="BI471" s="52">
        <v>41</v>
      </c>
      <c r="BJ471" s="52">
        <v>42</v>
      </c>
      <c r="BK471" s="52">
        <v>43</v>
      </c>
      <c r="BL471" s="52">
        <v>44</v>
      </c>
      <c r="BM471" s="52">
        <v>45</v>
      </c>
      <c r="BN471" s="52">
        <v>46</v>
      </c>
      <c r="BO471" s="52">
        <v>47</v>
      </c>
      <c r="BP471" s="52">
        <v>48</v>
      </c>
      <c r="BQ471" s="52">
        <v>49</v>
      </c>
      <c r="BR471" s="52">
        <v>50</v>
      </c>
      <c r="BS471" s="52">
        <v>51</v>
      </c>
      <c r="BT471" s="52">
        <v>52</v>
      </c>
      <c r="BU471" s="52">
        <v>53</v>
      </c>
      <c r="BV471" s="52">
        <v>54</v>
      </c>
      <c r="BW471" s="52">
        <v>55</v>
      </c>
      <c r="BX471" s="53"/>
      <c r="BY471" s="53"/>
      <c r="BZ471" s="53"/>
      <c r="CA471" s="53"/>
      <c r="CB471" s="53"/>
    </row>
    <row r="472" spans="2:80" ht="15" customHeight="1" x14ac:dyDescent="0.2">
      <c r="B472" s="214">
        <v>1</v>
      </c>
      <c r="C472" s="214"/>
      <c r="D472" s="214"/>
      <c r="E472" s="218" t="str">
        <f>$E$325</f>
        <v>Hazard</v>
      </c>
      <c r="F472" s="218"/>
      <c r="G472" s="218"/>
      <c r="H472" s="218"/>
      <c r="I472" s="218"/>
      <c r="J472" s="218"/>
      <c r="K472" s="218"/>
      <c r="L472" s="218"/>
      <c r="M472" s="220">
        <f>$M$325</f>
        <v>1</v>
      </c>
      <c r="N472" s="220"/>
      <c r="O472" s="220"/>
      <c r="P472" s="220"/>
      <c r="Q472" s="220">
        <f>$Q$325</f>
        <v>1</v>
      </c>
      <c r="R472" s="220"/>
      <c r="S472" s="220"/>
      <c r="T472" s="220"/>
      <c r="U472" s="199"/>
      <c r="V472" s="200"/>
      <c r="W472" s="200"/>
      <c r="X472" s="200"/>
      <c r="Y472" s="200"/>
      <c r="Z472" s="200"/>
      <c r="AA472" s="200"/>
      <c r="AB472" s="200"/>
      <c r="AC472" s="200"/>
      <c r="AD472" s="200"/>
      <c r="AE472" s="200"/>
      <c r="AF472" s="200"/>
      <c r="AG472" s="200"/>
      <c r="AH472" s="200"/>
      <c r="AI472" s="200"/>
      <c r="AJ472" s="200"/>
      <c r="AK472" s="200"/>
      <c r="AL472" s="200"/>
      <c r="AM472" s="200"/>
      <c r="AN472" s="200"/>
      <c r="AO472" s="200"/>
      <c r="AP472" s="200"/>
      <c r="AQ472" s="200"/>
      <c r="AR472" s="200"/>
      <c r="AS472" s="200"/>
      <c r="AT472" s="200"/>
      <c r="AU472" s="200"/>
      <c r="AV472" s="200"/>
      <c r="AW472" s="200"/>
      <c r="AX472" s="200"/>
      <c r="AY472" s="200"/>
      <c r="AZ472" s="200"/>
      <c r="BA472" s="200"/>
      <c r="BB472" s="200"/>
      <c r="BC472" s="200"/>
      <c r="BD472" s="200"/>
      <c r="BE472" s="200"/>
      <c r="BF472" s="200"/>
      <c r="BG472" s="200"/>
      <c r="BH472" s="200"/>
      <c r="BI472" s="200"/>
      <c r="BJ472" s="200"/>
      <c r="BK472" s="200"/>
      <c r="BL472" s="200"/>
      <c r="BM472" s="200"/>
      <c r="BN472" s="200"/>
      <c r="BO472" s="200"/>
      <c r="BP472" s="200"/>
      <c r="BQ472" s="200"/>
      <c r="BR472" s="200"/>
      <c r="BS472" s="200"/>
      <c r="BT472" s="200"/>
      <c r="BU472" s="200"/>
      <c r="BV472" s="200"/>
      <c r="BW472" s="200"/>
      <c r="BX472" s="49"/>
      <c r="BY472" s="49"/>
      <c r="BZ472" s="49"/>
      <c r="CA472" s="49"/>
      <c r="CB472" s="49"/>
    </row>
    <row r="473" spans="2:80" ht="15" customHeight="1" x14ac:dyDescent="0.2">
      <c r="B473" s="214">
        <v>2</v>
      </c>
      <c r="C473" s="214"/>
      <c r="D473" s="214"/>
      <c r="E473" s="218" t="str">
        <f>$E$326</f>
        <v>Operational Performance</v>
      </c>
      <c r="F473" s="218"/>
      <c r="G473" s="218"/>
      <c r="H473" s="218"/>
      <c r="I473" s="218"/>
      <c r="J473" s="218"/>
      <c r="K473" s="218"/>
      <c r="L473" s="218"/>
      <c r="M473" s="220">
        <f>$M$326</f>
        <v>3</v>
      </c>
      <c r="N473" s="220"/>
      <c r="O473" s="220"/>
      <c r="P473" s="220"/>
      <c r="Q473" s="220">
        <f>$Q$326</f>
        <v>3</v>
      </c>
      <c r="R473" s="220"/>
      <c r="S473" s="220"/>
      <c r="T473" s="220"/>
      <c r="U473" s="202"/>
      <c r="V473" s="203"/>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3"/>
      <c r="BB473" s="203"/>
      <c r="BC473" s="203"/>
      <c r="BD473" s="203"/>
      <c r="BE473" s="203"/>
      <c r="BF473" s="203"/>
      <c r="BG473" s="203"/>
      <c r="BH473" s="203"/>
      <c r="BI473" s="203"/>
      <c r="BJ473" s="203"/>
      <c r="BK473" s="203"/>
      <c r="BL473" s="203"/>
      <c r="BM473" s="203"/>
      <c r="BN473" s="203"/>
      <c r="BO473" s="203"/>
      <c r="BP473" s="203"/>
      <c r="BQ473" s="203"/>
      <c r="BR473" s="203"/>
      <c r="BS473" s="203"/>
      <c r="BT473" s="203"/>
      <c r="BU473" s="203"/>
      <c r="BV473" s="203"/>
      <c r="BW473" s="203"/>
      <c r="BX473" s="49"/>
      <c r="BY473" s="49"/>
      <c r="BZ473" s="49"/>
      <c r="CA473" s="49"/>
      <c r="CB473" s="49"/>
    </row>
    <row r="474" spans="2:80" ht="15" customHeight="1" x14ac:dyDescent="0.2">
      <c r="B474" s="214">
        <v>3</v>
      </c>
      <c r="C474" s="214"/>
      <c r="D474" s="214"/>
      <c r="E474" s="218" t="str">
        <f>$E$327</f>
        <v>Transform</v>
      </c>
      <c r="F474" s="218"/>
      <c r="G474" s="218"/>
      <c r="H474" s="218"/>
      <c r="I474" s="218"/>
      <c r="J474" s="218"/>
      <c r="K474" s="218"/>
      <c r="L474" s="218"/>
      <c r="M474" s="220">
        <f>$M$327</f>
        <v>3</v>
      </c>
      <c r="N474" s="220"/>
      <c r="O474" s="220"/>
      <c r="P474" s="220"/>
      <c r="Q474" s="220">
        <f>$Q$327</f>
        <v>9</v>
      </c>
      <c r="R474" s="220"/>
      <c r="S474" s="220"/>
      <c r="T474" s="220"/>
      <c r="U474" s="202"/>
      <c r="V474" s="203"/>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3"/>
      <c r="BB474" s="203"/>
      <c r="BC474" s="203"/>
      <c r="BD474" s="203"/>
      <c r="BE474" s="203"/>
      <c r="BF474" s="203"/>
      <c r="BG474" s="203"/>
      <c r="BH474" s="203"/>
      <c r="BI474" s="203"/>
      <c r="BJ474" s="203"/>
      <c r="BK474" s="203"/>
      <c r="BL474" s="203"/>
      <c r="BM474" s="203"/>
      <c r="BN474" s="203"/>
      <c r="BO474" s="203"/>
      <c r="BP474" s="203"/>
      <c r="BQ474" s="203"/>
      <c r="BR474" s="203"/>
      <c r="BS474" s="203"/>
      <c r="BT474" s="203"/>
      <c r="BU474" s="203"/>
      <c r="BV474" s="203"/>
      <c r="BW474" s="203"/>
      <c r="BX474" s="49"/>
      <c r="BY474" s="49"/>
      <c r="BZ474" s="49"/>
      <c r="CA474" s="49"/>
      <c r="CB474" s="49"/>
    </row>
    <row r="475" spans="2:80" ht="15" customHeight="1" x14ac:dyDescent="0.2">
      <c r="B475" s="214">
        <v>4</v>
      </c>
      <c r="C475" s="214"/>
      <c r="D475" s="214"/>
      <c r="E475" s="218" t="str">
        <f>$E$328</f>
        <v>System Response</v>
      </c>
      <c r="F475" s="218"/>
      <c r="G475" s="218"/>
      <c r="H475" s="218"/>
      <c r="I475" s="218"/>
      <c r="J475" s="218"/>
      <c r="K475" s="218"/>
      <c r="L475" s="218"/>
      <c r="M475" s="220">
        <f>$M$328</f>
        <v>1</v>
      </c>
      <c r="N475" s="220"/>
      <c r="O475" s="220"/>
      <c r="P475" s="220"/>
      <c r="Q475" s="220">
        <f>$Q$328</f>
        <v>9</v>
      </c>
      <c r="R475" s="220"/>
      <c r="S475" s="220"/>
      <c r="T475" s="220"/>
      <c r="U475" s="205"/>
      <c r="V475" s="206"/>
      <c r="W475" s="206"/>
      <c r="X475" s="206"/>
      <c r="Y475" s="206"/>
      <c r="Z475" s="206"/>
      <c r="AA475" s="206"/>
      <c r="AB475" s="206"/>
      <c r="AC475" s="206"/>
      <c r="AD475" s="206"/>
      <c r="AE475" s="206"/>
      <c r="AF475" s="206"/>
      <c r="AG475" s="206"/>
      <c r="AH475" s="206"/>
      <c r="AI475" s="206"/>
      <c r="AJ475" s="206"/>
      <c r="AK475" s="206"/>
      <c r="AL475" s="206"/>
      <c r="AM475" s="206"/>
      <c r="AN475" s="206"/>
      <c r="AO475" s="206"/>
      <c r="AP475" s="206"/>
      <c r="AQ475" s="206"/>
      <c r="AR475" s="206"/>
      <c r="AS475" s="206"/>
      <c r="AT475" s="206"/>
      <c r="AU475" s="206"/>
      <c r="AV475" s="206"/>
      <c r="AW475" s="206"/>
      <c r="AX475" s="206"/>
      <c r="AY475" s="206"/>
      <c r="AZ475" s="206"/>
      <c r="BA475" s="206"/>
      <c r="BB475" s="206"/>
      <c r="BC475" s="206"/>
      <c r="BD475" s="206"/>
      <c r="BE475" s="206"/>
      <c r="BF475" s="206"/>
      <c r="BG475" s="206"/>
      <c r="BH475" s="206"/>
      <c r="BI475" s="206"/>
      <c r="BJ475" s="206"/>
      <c r="BK475" s="206"/>
      <c r="BL475" s="206"/>
      <c r="BM475" s="206"/>
      <c r="BN475" s="206"/>
      <c r="BO475" s="206"/>
      <c r="BP475" s="206"/>
      <c r="BQ475" s="206"/>
      <c r="BR475" s="206"/>
      <c r="BS475" s="206"/>
      <c r="BT475" s="206"/>
      <c r="BU475" s="206"/>
      <c r="BV475" s="206"/>
      <c r="BW475" s="206"/>
      <c r="BX475" s="49"/>
      <c r="BY475" s="49"/>
      <c r="BZ475" s="49"/>
      <c r="CA475" s="49"/>
      <c r="CB475" s="49"/>
    </row>
    <row r="476" spans="2:80" ht="15" customHeight="1" x14ac:dyDescent="0.2">
      <c r="B476" s="214">
        <v>5</v>
      </c>
      <c r="C476" s="214"/>
      <c r="D476" s="214"/>
      <c r="E476" s="218" t="str">
        <f>$E$329</f>
        <v>Life Loss</v>
      </c>
      <c r="F476" s="218"/>
      <c r="G476" s="218"/>
      <c r="H476" s="218"/>
      <c r="I476" s="218"/>
      <c r="J476" s="218"/>
      <c r="K476" s="218"/>
      <c r="L476" s="218"/>
      <c r="M476" s="220">
        <f>$M$329</f>
        <v>1</v>
      </c>
      <c r="N476" s="220"/>
      <c r="O476" s="220"/>
      <c r="P476" s="220"/>
      <c r="Q476" s="220">
        <f>$Q$329</f>
        <v>9</v>
      </c>
      <c r="R476" s="220"/>
      <c r="S476" s="220"/>
      <c r="T476" s="220"/>
      <c r="U476" s="51" t="str">
        <f>IF($E476&lt;&gt;"Economic Cost","-",IF(ISNUMBER(U340),"+","-"))</f>
        <v>-</v>
      </c>
      <c r="V476" s="51" t="str">
        <f t="shared" ref="V476:BW477" si="2283">IF($E476&lt;&gt;"Economic Cost","-",IF(ISNUMBER(V340),"+","-"))</f>
        <v>-</v>
      </c>
      <c r="W476" s="51" t="str">
        <f t="shared" si="2283"/>
        <v>-</v>
      </c>
      <c r="X476" s="51" t="str">
        <f t="shared" si="2283"/>
        <v>-</v>
      </c>
      <c r="Y476" s="51" t="str">
        <f t="shared" si="2283"/>
        <v>-</v>
      </c>
      <c r="Z476" s="51" t="str">
        <f t="shared" si="2283"/>
        <v>-</v>
      </c>
      <c r="AA476" s="51" t="str">
        <f t="shared" si="2283"/>
        <v>-</v>
      </c>
      <c r="AB476" s="51" t="str">
        <f t="shared" si="2283"/>
        <v>-</v>
      </c>
      <c r="AC476" s="51" t="str">
        <f t="shared" si="2283"/>
        <v>-</v>
      </c>
      <c r="AD476" s="51" t="str">
        <f t="shared" si="2283"/>
        <v>-</v>
      </c>
      <c r="AE476" s="51" t="str">
        <f t="shared" si="2283"/>
        <v>-</v>
      </c>
      <c r="AF476" s="51" t="str">
        <f t="shared" si="2283"/>
        <v>-</v>
      </c>
      <c r="AG476" s="51" t="str">
        <f t="shared" si="2283"/>
        <v>-</v>
      </c>
      <c r="AH476" s="51" t="str">
        <f t="shared" si="2283"/>
        <v>-</v>
      </c>
      <c r="AI476" s="51" t="str">
        <f t="shared" si="2283"/>
        <v>-</v>
      </c>
      <c r="AJ476" s="51" t="str">
        <f t="shared" si="2283"/>
        <v>-</v>
      </c>
      <c r="AK476" s="51" t="str">
        <f t="shared" si="2283"/>
        <v>-</v>
      </c>
      <c r="AL476" s="51" t="str">
        <f t="shared" si="2283"/>
        <v>-</v>
      </c>
      <c r="AM476" s="51" t="str">
        <f t="shared" si="2283"/>
        <v>-</v>
      </c>
      <c r="AN476" s="51" t="str">
        <f t="shared" si="2283"/>
        <v>-</v>
      </c>
      <c r="AO476" s="51" t="str">
        <f t="shared" si="2283"/>
        <v>-</v>
      </c>
      <c r="AP476" s="51" t="str">
        <f t="shared" si="2283"/>
        <v>-</v>
      </c>
      <c r="AQ476" s="51" t="str">
        <f t="shared" si="2283"/>
        <v>-</v>
      </c>
      <c r="AR476" s="51" t="str">
        <f t="shared" si="2283"/>
        <v>-</v>
      </c>
      <c r="AS476" s="51" t="str">
        <f t="shared" si="2283"/>
        <v>-</v>
      </c>
      <c r="AT476" s="51" t="str">
        <f t="shared" si="2283"/>
        <v>-</v>
      </c>
      <c r="AU476" s="51" t="str">
        <f t="shared" si="2283"/>
        <v>-</v>
      </c>
      <c r="AV476" s="51" t="str">
        <f t="shared" si="2283"/>
        <v>-</v>
      </c>
      <c r="AW476" s="51" t="str">
        <f t="shared" si="2283"/>
        <v>-</v>
      </c>
      <c r="AX476" s="51" t="str">
        <f t="shared" si="2283"/>
        <v>-</v>
      </c>
      <c r="AY476" s="51" t="str">
        <f t="shared" si="2283"/>
        <v>-</v>
      </c>
      <c r="AZ476" s="51" t="str">
        <f t="shared" si="2283"/>
        <v>-</v>
      </c>
      <c r="BA476" s="51" t="str">
        <f t="shared" si="2283"/>
        <v>-</v>
      </c>
      <c r="BB476" s="51" t="str">
        <f t="shared" si="2283"/>
        <v>-</v>
      </c>
      <c r="BC476" s="51" t="str">
        <f t="shared" si="2283"/>
        <v>-</v>
      </c>
      <c r="BD476" s="51" t="str">
        <f t="shared" si="2283"/>
        <v>-</v>
      </c>
      <c r="BE476" s="51" t="str">
        <f t="shared" si="2283"/>
        <v>-</v>
      </c>
      <c r="BF476" s="51" t="str">
        <f t="shared" si="2283"/>
        <v>-</v>
      </c>
      <c r="BG476" s="51" t="str">
        <f t="shared" si="2283"/>
        <v>-</v>
      </c>
      <c r="BH476" s="51" t="str">
        <f t="shared" si="2283"/>
        <v>-</v>
      </c>
      <c r="BI476" s="51" t="str">
        <f t="shared" si="2283"/>
        <v>-</v>
      </c>
      <c r="BJ476" s="51" t="str">
        <f t="shared" si="2283"/>
        <v>-</v>
      </c>
      <c r="BK476" s="51" t="str">
        <f t="shared" si="2283"/>
        <v>-</v>
      </c>
      <c r="BL476" s="51" t="str">
        <f t="shared" si="2283"/>
        <v>-</v>
      </c>
      <c r="BM476" s="51" t="str">
        <f t="shared" si="2283"/>
        <v>-</v>
      </c>
      <c r="BN476" s="51" t="str">
        <f t="shared" si="2283"/>
        <v>-</v>
      </c>
      <c r="BO476" s="51" t="str">
        <f t="shared" si="2283"/>
        <v>-</v>
      </c>
      <c r="BP476" s="51" t="str">
        <f t="shared" si="2283"/>
        <v>-</v>
      </c>
      <c r="BQ476" s="51" t="str">
        <f t="shared" si="2283"/>
        <v>-</v>
      </c>
      <c r="BR476" s="51" t="str">
        <f t="shared" si="2283"/>
        <v>-</v>
      </c>
      <c r="BS476" s="51" t="str">
        <f t="shared" si="2283"/>
        <v>-</v>
      </c>
      <c r="BT476" s="51" t="str">
        <f t="shared" si="2283"/>
        <v>-</v>
      </c>
      <c r="BU476" s="51" t="str">
        <f t="shared" si="2283"/>
        <v>-</v>
      </c>
      <c r="BV476" s="51" t="str">
        <f t="shared" si="2283"/>
        <v>-</v>
      </c>
      <c r="BW476" s="51" t="str">
        <f t="shared" si="2283"/>
        <v>-</v>
      </c>
      <c r="BX476" s="49"/>
      <c r="BY476" s="49"/>
      <c r="BZ476" s="49"/>
      <c r="CA476" s="49"/>
      <c r="CB476" s="49"/>
    </row>
    <row r="477" spans="2:80" ht="15" customHeight="1" x14ac:dyDescent="0.2">
      <c r="B477" s="214">
        <v>6</v>
      </c>
      <c r="C477" s="214"/>
      <c r="D477" s="214"/>
      <c r="E477" s="218" t="str">
        <f>$E$330</f>
        <v>Economic Cost</v>
      </c>
      <c r="F477" s="218"/>
      <c r="G477" s="218"/>
      <c r="H477" s="218"/>
      <c r="I477" s="218"/>
      <c r="J477" s="218"/>
      <c r="K477" s="218"/>
      <c r="L477" s="218"/>
      <c r="M477" s="220">
        <f>$M$330</f>
        <v>1</v>
      </c>
      <c r="N477" s="220"/>
      <c r="O477" s="220"/>
      <c r="P477" s="220"/>
      <c r="Q477" s="220">
        <f>$Q$330</f>
        <v>9</v>
      </c>
      <c r="R477" s="220"/>
      <c r="S477" s="220"/>
      <c r="T477" s="220"/>
      <c r="U477" s="51" t="str">
        <f>IF($E477&lt;&gt;"Economic Cost","-",IF(ISNUMBER(U341),"+","-"))</f>
        <v>+</v>
      </c>
      <c r="V477" s="51" t="str">
        <f t="shared" si="2283"/>
        <v>+</v>
      </c>
      <c r="W477" s="51" t="str">
        <f t="shared" si="2283"/>
        <v>+</v>
      </c>
      <c r="X477" s="51" t="str">
        <f t="shared" si="2283"/>
        <v>-</v>
      </c>
      <c r="Y477" s="51" t="str">
        <f t="shared" si="2283"/>
        <v>-</v>
      </c>
      <c r="Z477" s="51" t="str">
        <f t="shared" si="2283"/>
        <v>-</v>
      </c>
      <c r="AA477" s="51" t="str">
        <f t="shared" si="2283"/>
        <v>-</v>
      </c>
      <c r="AB477" s="51" t="str">
        <f t="shared" si="2283"/>
        <v>-</v>
      </c>
      <c r="AC477" s="51" t="str">
        <f t="shared" si="2283"/>
        <v>-</v>
      </c>
      <c r="AD477" s="51" t="str">
        <f t="shared" si="2283"/>
        <v>-</v>
      </c>
      <c r="AE477" s="51" t="str">
        <f t="shared" si="2283"/>
        <v>-</v>
      </c>
      <c r="AF477" s="51" t="str">
        <f t="shared" si="2283"/>
        <v>-</v>
      </c>
      <c r="AG477" s="51" t="str">
        <f t="shared" si="2283"/>
        <v>-</v>
      </c>
      <c r="AH477" s="51" t="str">
        <f t="shared" si="2283"/>
        <v>-</v>
      </c>
      <c r="AI477" s="51" t="str">
        <f t="shared" si="2283"/>
        <v>-</v>
      </c>
      <c r="AJ477" s="51" t="str">
        <f t="shared" si="2283"/>
        <v>-</v>
      </c>
      <c r="AK477" s="51" t="str">
        <f t="shared" si="2283"/>
        <v>-</v>
      </c>
      <c r="AL477" s="51" t="str">
        <f t="shared" si="2283"/>
        <v>-</v>
      </c>
      <c r="AM477" s="51" t="str">
        <f t="shared" si="2283"/>
        <v>-</v>
      </c>
      <c r="AN477" s="51" t="str">
        <f t="shared" si="2283"/>
        <v>-</v>
      </c>
      <c r="AO477" s="51" t="str">
        <f t="shared" si="2283"/>
        <v>-</v>
      </c>
      <c r="AP477" s="51" t="str">
        <f t="shared" si="2283"/>
        <v>-</v>
      </c>
      <c r="AQ477" s="51" t="str">
        <f t="shared" si="2283"/>
        <v>-</v>
      </c>
      <c r="AR477" s="51" t="str">
        <f t="shared" si="2283"/>
        <v>-</v>
      </c>
      <c r="AS477" s="51" t="str">
        <f t="shared" si="2283"/>
        <v>-</v>
      </c>
      <c r="AT477" s="51" t="str">
        <f t="shared" si="2283"/>
        <v>-</v>
      </c>
      <c r="AU477" s="51" t="str">
        <f t="shared" si="2283"/>
        <v>-</v>
      </c>
      <c r="AV477" s="51" t="str">
        <f t="shared" si="2283"/>
        <v>-</v>
      </c>
      <c r="AW477" s="51" t="str">
        <f t="shared" si="2283"/>
        <v>-</v>
      </c>
      <c r="AX477" s="51" t="str">
        <f t="shared" si="2283"/>
        <v>-</v>
      </c>
      <c r="AY477" s="51" t="str">
        <f t="shared" si="2283"/>
        <v>-</v>
      </c>
      <c r="AZ477" s="51" t="str">
        <f t="shared" si="2283"/>
        <v>-</v>
      </c>
      <c r="BA477" s="51" t="str">
        <f t="shared" si="2283"/>
        <v>-</v>
      </c>
      <c r="BB477" s="51" t="str">
        <f t="shared" si="2283"/>
        <v>-</v>
      </c>
      <c r="BC477" s="51" t="str">
        <f t="shared" si="2283"/>
        <v>-</v>
      </c>
      <c r="BD477" s="51" t="str">
        <f t="shared" si="2283"/>
        <v>-</v>
      </c>
      <c r="BE477" s="51" t="str">
        <f t="shared" si="2283"/>
        <v>-</v>
      </c>
      <c r="BF477" s="51" t="str">
        <f t="shared" si="2283"/>
        <v>-</v>
      </c>
      <c r="BG477" s="51" t="str">
        <f t="shared" si="2283"/>
        <v>-</v>
      </c>
      <c r="BH477" s="51" t="str">
        <f t="shared" si="2283"/>
        <v>-</v>
      </c>
      <c r="BI477" s="51" t="str">
        <f t="shared" si="2283"/>
        <v>-</v>
      </c>
      <c r="BJ477" s="51" t="str">
        <f t="shared" si="2283"/>
        <v>-</v>
      </c>
      <c r="BK477" s="51" t="str">
        <f t="shared" si="2283"/>
        <v>-</v>
      </c>
      <c r="BL477" s="51" t="str">
        <f t="shared" si="2283"/>
        <v>-</v>
      </c>
      <c r="BM477" s="51" t="str">
        <f t="shared" si="2283"/>
        <v>-</v>
      </c>
      <c r="BN477" s="51" t="str">
        <f t="shared" si="2283"/>
        <v>-</v>
      </c>
      <c r="BO477" s="51" t="str">
        <f t="shared" si="2283"/>
        <v>-</v>
      </c>
      <c r="BP477" s="51" t="str">
        <f t="shared" si="2283"/>
        <v>-</v>
      </c>
      <c r="BQ477" s="51" t="str">
        <f t="shared" si="2283"/>
        <v>-</v>
      </c>
      <c r="BR477" s="51" t="str">
        <f t="shared" si="2283"/>
        <v>-</v>
      </c>
      <c r="BS477" s="51" t="str">
        <f t="shared" si="2283"/>
        <v>-</v>
      </c>
      <c r="BT477" s="51" t="str">
        <f t="shared" si="2283"/>
        <v>-</v>
      </c>
      <c r="BU477" s="51" t="str">
        <f t="shared" si="2283"/>
        <v>-</v>
      </c>
      <c r="BV477" s="51" t="str">
        <f t="shared" si="2283"/>
        <v>-</v>
      </c>
      <c r="BW477" s="51" t="str">
        <f t="shared" si="2283"/>
        <v>-</v>
      </c>
      <c r="BX477" s="49"/>
      <c r="BY477" s="49"/>
      <c r="BZ477" s="49"/>
      <c r="CA477" s="49"/>
      <c r="CB477" s="49"/>
    </row>
    <row r="478" spans="2:80" ht="15" customHeight="1" x14ac:dyDescent="0.2"/>
    <row r="479" spans="2:80" ht="15" customHeight="1" x14ac:dyDescent="0.2">
      <c r="B479" s="49"/>
      <c r="C479" s="49"/>
      <c r="D479" s="49"/>
      <c r="M479" s="49"/>
      <c r="N479" s="49"/>
      <c r="O479" s="49"/>
      <c r="P479" s="49"/>
      <c r="Q479" s="49"/>
      <c r="R479" s="49"/>
      <c r="S479" s="49"/>
      <c r="T479" s="49"/>
      <c r="U479" s="51">
        <v>10</v>
      </c>
      <c r="V479" s="51">
        <f>U479+5</f>
        <v>15</v>
      </c>
      <c r="W479" s="51">
        <f t="shared" ref="W479:AE479" si="2284">V479+5</f>
        <v>20</v>
      </c>
      <c r="X479" s="51">
        <f t="shared" si="2284"/>
        <v>25</v>
      </c>
      <c r="Y479" s="51">
        <f t="shared" si="2284"/>
        <v>30</v>
      </c>
      <c r="Z479" s="51">
        <f t="shared" si="2284"/>
        <v>35</v>
      </c>
      <c r="AA479" s="51">
        <f t="shared" si="2284"/>
        <v>40</v>
      </c>
      <c r="AB479" s="51">
        <f t="shared" si="2284"/>
        <v>45</v>
      </c>
      <c r="AC479" s="51">
        <f t="shared" si="2284"/>
        <v>50</v>
      </c>
      <c r="AD479" s="51">
        <f t="shared" si="2284"/>
        <v>55</v>
      </c>
      <c r="AE479" s="51">
        <f t="shared" si="2284"/>
        <v>60</v>
      </c>
      <c r="AF479" s="51">
        <f t="shared" ref="AF479" si="2285">AE479+5</f>
        <v>65</v>
      </c>
      <c r="AG479" s="51">
        <f t="shared" ref="AG479" si="2286">AF479+5</f>
        <v>70</v>
      </c>
      <c r="AH479" s="51">
        <f t="shared" ref="AH479" si="2287">AG479+5</f>
        <v>75</v>
      </c>
      <c r="AI479" s="51">
        <f t="shared" ref="AI479" si="2288">AH479+5</f>
        <v>80</v>
      </c>
      <c r="AJ479" s="51">
        <f t="shared" ref="AJ479" si="2289">AI479+5</f>
        <v>85</v>
      </c>
      <c r="AK479" s="51">
        <f t="shared" ref="AK479" si="2290">AJ479+5</f>
        <v>90</v>
      </c>
      <c r="AL479" s="51">
        <f t="shared" ref="AL479" si="2291">AK479+5</f>
        <v>95</v>
      </c>
      <c r="AM479" s="51">
        <f t="shared" ref="AM479" si="2292">AL479+5</f>
        <v>100</v>
      </c>
      <c r="AN479" s="51">
        <f t="shared" ref="AN479" si="2293">AM479+5</f>
        <v>105</v>
      </c>
      <c r="AO479" s="51">
        <f t="shared" ref="AO479" si="2294">AN479+5</f>
        <v>110</v>
      </c>
      <c r="AP479" s="51">
        <f t="shared" ref="AP479" si="2295">AO479+5</f>
        <v>115</v>
      </c>
      <c r="AQ479" s="51">
        <f t="shared" ref="AQ479" si="2296">AP479+5</f>
        <v>120</v>
      </c>
      <c r="AR479" s="51">
        <f t="shared" ref="AR479" si="2297">AQ479+5</f>
        <v>125</v>
      </c>
      <c r="AS479" s="51">
        <f t="shared" ref="AS479" si="2298">AR479+5</f>
        <v>130</v>
      </c>
      <c r="AT479" s="51">
        <f t="shared" ref="AT479" si="2299">AS479+5</f>
        <v>135</v>
      </c>
      <c r="AU479" s="51">
        <f t="shared" ref="AU479" si="2300">AT479+5</f>
        <v>140</v>
      </c>
      <c r="AV479" s="51">
        <f t="shared" ref="AV479" si="2301">AU479+5</f>
        <v>145</v>
      </c>
      <c r="AW479" s="51">
        <f t="shared" ref="AW479" si="2302">AV479+5</f>
        <v>150</v>
      </c>
      <c r="AX479" s="51">
        <f t="shared" ref="AX479" si="2303">AW479+5</f>
        <v>155</v>
      </c>
      <c r="AY479" s="51">
        <f t="shared" ref="AY479" si="2304">AX479+5</f>
        <v>160</v>
      </c>
      <c r="AZ479" s="51">
        <f t="shared" ref="AZ479" si="2305">AY479+5</f>
        <v>165</v>
      </c>
      <c r="BA479" s="51">
        <f t="shared" ref="BA479" si="2306">AZ479+5</f>
        <v>170</v>
      </c>
      <c r="BB479" s="51">
        <f t="shared" ref="BB479" si="2307">BA479+5</f>
        <v>175</v>
      </c>
      <c r="BC479" s="51">
        <f t="shared" ref="BC479" si="2308">BB479+5</f>
        <v>180</v>
      </c>
      <c r="BD479" s="51">
        <f t="shared" ref="BD479" si="2309">BC479+5</f>
        <v>185</v>
      </c>
      <c r="BE479" s="51">
        <f t="shared" ref="BE479" si="2310">BD479+5</f>
        <v>190</v>
      </c>
      <c r="BF479" s="51">
        <f t="shared" ref="BF479" si="2311">BE479+5</f>
        <v>195</v>
      </c>
      <c r="BG479" s="51">
        <f t="shared" ref="BG479" si="2312">BF479+5</f>
        <v>200</v>
      </c>
      <c r="BH479" s="51">
        <f t="shared" ref="BH479" si="2313">BG479+5</f>
        <v>205</v>
      </c>
      <c r="BI479" s="51">
        <f t="shared" ref="BI479" si="2314">BH479+5</f>
        <v>210</v>
      </c>
      <c r="BJ479" s="51">
        <f t="shared" ref="BJ479" si="2315">BI479+5</f>
        <v>215</v>
      </c>
      <c r="BK479" s="51">
        <f t="shared" ref="BK479" si="2316">BJ479+5</f>
        <v>220</v>
      </c>
      <c r="BL479" s="51">
        <f t="shared" ref="BL479" si="2317">BK479+5</f>
        <v>225</v>
      </c>
      <c r="BM479" s="51">
        <f t="shared" ref="BM479" si="2318">BL479+5</f>
        <v>230</v>
      </c>
      <c r="BN479" s="51">
        <f t="shared" ref="BN479" si="2319">BM479+5</f>
        <v>235</v>
      </c>
      <c r="BO479" s="51">
        <f t="shared" ref="BO479" si="2320">BN479+5</f>
        <v>240</v>
      </c>
      <c r="BP479" s="51">
        <f t="shared" ref="BP479" si="2321">BO479+5</f>
        <v>245</v>
      </c>
      <c r="BQ479" s="51">
        <f t="shared" ref="BQ479" si="2322">BP479+5</f>
        <v>250</v>
      </c>
      <c r="BR479" s="51">
        <f t="shared" ref="BR479" si="2323">BQ479+5</f>
        <v>255</v>
      </c>
      <c r="BS479" s="51">
        <f t="shared" ref="BS479" si="2324">BR479+5</f>
        <v>260</v>
      </c>
      <c r="BT479" s="51">
        <f t="shared" ref="BT479" si="2325">BS479+5</f>
        <v>265</v>
      </c>
      <c r="BU479" s="51">
        <f t="shared" ref="BU479" si="2326">BT479+5</f>
        <v>270</v>
      </c>
      <c r="BV479" s="51">
        <f t="shared" ref="BV479" si="2327">BU479+5</f>
        <v>275</v>
      </c>
      <c r="BW479" s="51">
        <f t="shared" ref="BW479" si="2328">BV479+5</f>
        <v>280</v>
      </c>
      <c r="BX479" s="49"/>
      <c r="BY479" s="49"/>
      <c r="BZ479" s="49"/>
      <c r="CA479" s="49"/>
      <c r="CB479" s="49"/>
    </row>
    <row r="480" spans="2:80" ht="15" customHeight="1" x14ac:dyDescent="0.2">
      <c r="B480" s="214" t="s">
        <v>98</v>
      </c>
      <c r="C480" s="214"/>
      <c r="D480" s="214"/>
      <c r="E480" s="218" t="s">
        <v>147</v>
      </c>
      <c r="F480" s="218"/>
      <c r="G480" s="218"/>
      <c r="H480" s="218"/>
      <c r="I480" s="218"/>
      <c r="J480" s="218"/>
      <c r="K480" s="218"/>
      <c r="L480" s="218"/>
      <c r="M480" s="218" t="s">
        <v>97</v>
      </c>
      <c r="N480" s="218"/>
      <c r="O480" s="218"/>
      <c r="P480" s="218"/>
      <c r="Q480" s="218" t="s">
        <v>118</v>
      </c>
      <c r="R480" s="218"/>
      <c r="S480" s="218"/>
      <c r="T480" s="218"/>
      <c r="U480" s="52">
        <v>1</v>
      </c>
      <c r="V480" s="52">
        <v>2</v>
      </c>
      <c r="W480" s="52">
        <v>3</v>
      </c>
      <c r="X480" s="52">
        <v>4</v>
      </c>
      <c r="Y480" s="52">
        <v>5</v>
      </c>
      <c r="Z480" s="52">
        <v>6</v>
      </c>
      <c r="AA480" s="52">
        <v>7</v>
      </c>
      <c r="AB480" s="52">
        <v>8</v>
      </c>
      <c r="AC480" s="52">
        <v>9</v>
      </c>
      <c r="AD480" s="52">
        <v>10</v>
      </c>
      <c r="AE480" s="52">
        <v>11</v>
      </c>
      <c r="AF480" s="52">
        <v>12</v>
      </c>
      <c r="AG480" s="52">
        <v>13</v>
      </c>
      <c r="AH480" s="52">
        <v>14</v>
      </c>
      <c r="AI480" s="52">
        <v>15</v>
      </c>
      <c r="AJ480" s="52">
        <v>16</v>
      </c>
      <c r="AK480" s="52">
        <v>17</v>
      </c>
      <c r="AL480" s="52">
        <v>18</v>
      </c>
      <c r="AM480" s="52">
        <v>19</v>
      </c>
      <c r="AN480" s="52">
        <v>20</v>
      </c>
      <c r="AO480" s="52">
        <v>21</v>
      </c>
      <c r="AP480" s="52">
        <v>22</v>
      </c>
      <c r="AQ480" s="52">
        <v>23</v>
      </c>
      <c r="AR480" s="52">
        <v>24</v>
      </c>
      <c r="AS480" s="52">
        <v>25</v>
      </c>
      <c r="AT480" s="52">
        <v>26</v>
      </c>
      <c r="AU480" s="52">
        <v>27</v>
      </c>
      <c r="AV480" s="52">
        <v>28</v>
      </c>
      <c r="AW480" s="52">
        <v>29</v>
      </c>
      <c r="AX480" s="52">
        <v>30</v>
      </c>
      <c r="AY480" s="52">
        <v>31</v>
      </c>
      <c r="AZ480" s="52">
        <v>32</v>
      </c>
      <c r="BA480" s="52">
        <v>33</v>
      </c>
      <c r="BB480" s="52">
        <v>34</v>
      </c>
      <c r="BC480" s="52">
        <v>35</v>
      </c>
      <c r="BD480" s="52">
        <v>36</v>
      </c>
      <c r="BE480" s="52">
        <v>37</v>
      </c>
      <c r="BF480" s="52">
        <v>38</v>
      </c>
      <c r="BG480" s="52">
        <v>39</v>
      </c>
      <c r="BH480" s="52">
        <v>40</v>
      </c>
      <c r="BI480" s="52">
        <v>41</v>
      </c>
      <c r="BJ480" s="52">
        <v>42</v>
      </c>
      <c r="BK480" s="52">
        <v>43</v>
      </c>
      <c r="BL480" s="52">
        <v>44</v>
      </c>
      <c r="BM480" s="52">
        <v>45</v>
      </c>
      <c r="BN480" s="52">
        <v>46</v>
      </c>
      <c r="BO480" s="52">
        <v>47</v>
      </c>
      <c r="BP480" s="52">
        <v>48</v>
      </c>
      <c r="BQ480" s="52">
        <v>49</v>
      </c>
      <c r="BR480" s="52">
        <v>50</v>
      </c>
      <c r="BS480" s="52">
        <v>51</v>
      </c>
      <c r="BT480" s="52">
        <v>52</v>
      </c>
      <c r="BU480" s="52">
        <v>53</v>
      </c>
      <c r="BV480" s="52">
        <v>54</v>
      </c>
      <c r="BW480" s="52">
        <v>55</v>
      </c>
      <c r="BX480" s="53"/>
      <c r="BY480" s="53"/>
      <c r="BZ480" s="53"/>
      <c r="CA480" s="53"/>
      <c r="CB480" s="53"/>
    </row>
    <row r="481" spans="2:80" ht="15" customHeight="1" x14ac:dyDescent="0.2">
      <c r="B481" s="214">
        <v>1</v>
      </c>
      <c r="C481" s="214"/>
      <c r="D481" s="214"/>
      <c r="E481" s="218" t="str">
        <f>$E$325</f>
        <v>Hazard</v>
      </c>
      <c r="F481" s="218"/>
      <c r="G481" s="218"/>
      <c r="H481" s="218"/>
      <c r="I481" s="218"/>
      <c r="J481" s="218"/>
      <c r="K481" s="218"/>
      <c r="L481" s="218"/>
      <c r="M481" s="220">
        <f>$M$325</f>
        <v>1</v>
      </c>
      <c r="N481" s="220"/>
      <c r="O481" s="220"/>
      <c r="P481" s="220"/>
      <c r="Q481" s="220">
        <f>$Q$325</f>
        <v>1</v>
      </c>
      <c r="R481" s="220"/>
      <c r="S481" s="220"/>
      <c r="T481" s="220"/>
      <c r="U481" s="199"/>
      <c r="V481" s="200"/>
      <c r="W481" s="200"/>
      <c r="X481" s="200"/>
      <c r="Y481" s="200"/>
      <c r="Z481" s="200"/>
      <c r="AA481" s="200"/>
      <c r="AB481" s="200"/>
      <c r="AC481" s="200"/>
      <c r="AD481" s="200"/>
      <c r="AE481" s="200"/>
      <c r="AF481" s="200"/>
      <c r="AG481" s="200"/>
      <c r="AH481" s="200"/>
      <c r="AI481" s="200"/>
      <c r="AJ481" s="200"/>
      <c r="AK481" s="200"/>
      <c r="AL481" s="200"/>
      <c r="AM481" s="200"/>
      <c r="AN481" s="200"/>
      <c r="AO481" s="200"/>
      <c r="AP481" s="200"/>
      <c r="AQ481" s="200"/>
      <c r="AR481" s="200"/>
      <c r="AS481" s="200"/>
      <c r="AT481" s="200"/>
      <c r="AU481" s="200"/>
      <c r="AV481" s="200"/>
      <c r="AW481" s="200"/>
      <c r="AX481" s="200"/>
      <c r="AY481" s="200"/>
      <c r="AZ481" s="200"/>
      <c r="BA481" s="200"/>
      <c r="BB481" s="200"/>
      <c r="BC481" s="200"/>
      <c r="BD481" s="200"/>
      <c r="BE481" s="200"/>
      <c r="BF481" s="200"/>
      <c r="BG481" s="200"/>
      <c r="BH481" s="200"/>
      <c r="BI481" s="200"/>
      <c r="BJ481" s="200"/>
      <c r="BK481" s="200"/>
      <c r="BL481" s="200"/>
      <c r="BM481" s="200"/>
      <c r="BN481" s="200"/>
      <c r="BO481" s="200"/>
      <c r="BP481" s="200"/>
      <c r="BQ481" s="200"/>
      <c r="BR481" s="200"/>
      <c r="BS481" s="200"/>
      <c r="BT481" s="200"/>
      <c r="BU481" s="200"/>
      <c r="BV481" s="200"/>
      <c r="BW481" s="201"/>
      <c r="BX481" s="49"/>
      <c r="BY481" s="49"/>
      <c r="BZ481" s="49"/>
      <c r="CA481" s="49"/>
      <c r="CB481" s="49"/>
    </row>
    <row r="482" spans="2:80" ht="15" customHeight="1" x14ac:dyDescent="0.2">
      <c r="B482" s="214">
        <v>2</v>
      </c>
      <c r="C482" s="214"/>
      <c r="D482" s="214"/>
      <c r="E482" s="218" t="str">
        <f>$E$326</f>
        <v>Operational Performance</v>
      </c>
      <c r="F482" s="218"/>
      <c r="G482" s="218"/>
      <c r="H482" s="218"/>
      <c r="I482" s="218"/>
      <c r="J482" s="218"/>
      <c r="K482" s="218"/>
      <c r="L482" s="218"/>
      <c r="M482" s="220">
        <f>$M$326</f>
        <v>3</v>
      </c>
      <c r="N482" s="220"/>
      <c r="O482" s="220"/>
      <c r="P482" s="220"/>
      <c r="Q482" s="220">
        <f>$Q$326</f>
        <v>3</v>
      </c>
      <c r="R482" s="220"/>
      <c r="S482" s="220"/>
      <c r="T482" s="220"/>
      <c r="U482" s="202"/>
      <c r="V482" s="203"/>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3"/>
      <c r="BB482" s="203"/>
      <c r="BC482" s="203"/>
      <c r="BD482" s="203"/>
      <c r="BE482" s="203"/>
      <c r="BF482" s="203"/>
      <c r="BG482" s="203"/>
      <c r="BH482" s="203"/>
      <c r="BI482" s="203"/>
      <c r="BJ482" s="203"/>
      <c r="BK482" s="203"/>
      <c r="BL482" s="203"/>
      <c r="BM482" s="203"/>
      <c r="BN482" s="203"/>
      <c r="BO482" s="203"/>
      <c r="BP482" s="203"/>
      <c r="BQ482" s="203"/>
      <c r="BR482" s="203"/>
      <c r="BS482" s="203"/>
      <c r="BT482" s="203"/>
      <c r="BU482" s="203"/>
      <c r="BV482" s="203"/>
      <c r="BW482" s="204"/>
      <c r="BX482" s="49"/>
      <c r="BY482" s="49"/>
      <c r="BZ482" s="49"/>
      <c r="CA482" s="49"/>
      <c r="CB482" s="49"/>
    </row>
    <row r="483" spans="2:80" ht="15" customHeight="1" x14ac:dyDescent="0.2">
      <c r="B483" s="214">
        <v>3</v>
      </c>
      <c r="C483" s="214"/>
      <c r="D483" s="214"/>
      <c r="E483" s="218" t="str">
        <f>$E$327</f>
        <v>Transform</v>
      </c>
      <c r="F483" s="218"/>
      <c r="G483" s="218"/>
      <c r="H483" s="218"/>
      <c r="I483" s="218"/>
      <c r="J483" s="218"/>
      <c r="K483" s="218"/>
      <c r="L483" s="218"/>
      <c r="M483" s="220">
        <f>$M$327</f>
        <v>3</v>
      </c>
      <c r="N483" s="220"/>
      <c r="O483" s="220"/>
      <c r="P483" s="220"/>
      <c r="Q483" s="220">
        <f>$Q$327</f>
        <v>9</v>
      </c>
      <c r="R483" s="220"/>
      <c r="S483" s="220"/>
      <c r="T483" s="220"/>
      <c r="U483" s="202"/>
      <c r="V483" s="203"/>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3"/>
      <c r="BB483" s="203"/>
      <c r="BC483" s="203"/>
      <c r="BD483" s="203"/>
      <c r="BE483" s="203"/>
      <c r="BF483" s="203"/>
      <c r="BG483" s="203"/>
      <c r="BH483" s="203"/>
      <c r="BI483" s="203"/>
      <c r="BJ483" s="203"/>
      <c r="BK483" s="203"/>
      <c r="BL483" s="203"/>
      <c r="BM483" s="203"/>
      <c r="BN483" s="203"/>
      <c r="BO483" s="203"/>
      <c r="BP483" s="203"/>
      <c r="BQ483" s="203"/>
      <c r="BR483" s="203"/>
      <c r="BS483" s="203"/>
      <c r="BT483" s="203"/>
      <c r="BU483" s="203"/>
      <c r="BV483" s="203"/>
      <c r="BW483" s="204"/>
      <c r="BX483" s="49"/>
      <c r="BY483" s="49"/>
      <c r="BZ483" s="49"/>
      <c r="CA483" s="49"/>
      <c r="CB483" s="49"/>
    </row>
    <row r="484" spans="2:80" ht="15" customHeight="1" x14ac:dyDescent="0.2">
      <c r="B484" s="214">
        <v>4</v>
      </c>
      <c r="C484" s="214"/>
      <c r="D484" s="214"/>
      <c r="E484" s="218" t="str">
        <f>$E$328</f>
        <v>System Response</v>
      </c>
      <c r="F484" s="218"/>
      <c r="G484" s="218"/>
      <c r="H484" s="218"/>
      <c r="I484" s="218"/>
      <c r="J484" s="218"/>
      <c r="K484" s="218"/>
      <c r="L484" s="218"/>
      <c r="M484" s="220">
        <f>$M$328</f>
        <v>1</v>
      </c>
      <c r="N484" s="220"/>
      <c r="O484" s="220"/>
      <c r="P484" s="220"/>
      <c r="Q484" s="220">
        <f>$Q$328</f>
        <v>9</v>
      </c>
      <c r="R484" s="220"/>
      <c r="S484" s="220"/>
      <c r="T484" s="220"/>
      <c r="U484" s="205"/>
      <c r="V484" s="206"/>
      <c r="W484" s="206"/>
      <c r="X484" s="206"/>
      <c r="Y484" s="206"/>
      <c r="Z484" s="206"/>
      <c r="AA484" s="206"/>
      <c r="AB484" s="206"/>
      <c r="AC484" s="206"/>
      <c r="AD484" s="206"/>
      <c r="AE484" s="206"/>
      <c r="AF484" s="206"/>
      <c r="AG484" s="206"/>
      <c r="AH484" s="206"/>
      <c r="AI484" s="206"/>
      <c r="AJ484" s="206"/>
      <c r="AK484" s="206"/>
      <c r="AL484" s="206"/>
      <c r="AM484" s="206"/>
      <c r="AN484" s="206"/>
      <c r="AO484" s="206"/>
      <c r="AP484" s="206"/>
      <c r="AQ484" s="206"/>
      <c r="AR484" s="206"/>
      <c r="AS484" s="206"/>
      <c r="AT484" s="206"/>
      <c r="AU484" s="206"/>
      <c r="AV484" s="206"/>
      <c r="AW484" s="206"/>
      <c r="AX484" s="206"/>
      <c r="AY484" s="206"/>
      <c r="AZ484" s="206"/>
      <c r="BA484" s="206"/>
      <c r="BB484" s="206"/>
      <c r="BC484" s="206"/>
      <c r="BD484" s="206"/>
      <c r="BE484" s="206"/>
      <c r="BF484" s="206"/>
      <c r="BG484" s="206"/>
      <c r="BH484" s="206"/>
      <c r="BI484" s="206"/>
      <c r="BJ484" s="206"/>
      <c r="BK484" s="206"/>
      <c r="BL484" s="206"/>
      <c r="BM484" s="206"/>
      <c r="BN484" s="206"/>
      <c r="BO484" s="206"/>
      <c r="BP484" s="206"/>
      <c r="BQ484" s="206"/>
      <c r="BR484" s="206"/>
      <c r="BS484" s="206"/>
      <c r="BT484" s="206"/>
      <c r="BU484" s="206"/>
      <c r="BV484" s="206"/>
      <c r="BW484" s="207"/>
      <c r="BX484" s="49"/>
      <c r="BY484" s="49"/>
      <c r="BZ484" s="49"/>
      <c r="CA484" s="49"/>
      <c r="CB484" s="49"/>
    </row>
    <row r="485" spans="2:80" ht="15" customHeight="1" x14ac:dyDescent="0.2">
      <c r="B485" s="214">
        <v>5</v>
      </c>
      <c r="C485" s="214"/>
      <c r="D485" s="214"/>
      <c r="E485" s="218" t="str">
        <f>$E$329</f>
        <v>Life Loss</v>
      </c>
      <c r="F485" s="218"/>
      <c r="G485" s="218"/>
      <c r="H485" s="218"/>
      <c r="I485" s="218"/>
      <c r="J485" s="218"/>
      <c r="K485" s="218"/>
      <c r="L485" s="218"/>
      <c r="M485" s="220">
        <f>$M$329</f>
        <v>1</v>
      </c>
      <c r="N485" s="220"/>
      <c r="O485" s="220"/>
      <c r="P485" s="220"/>
      <c r="Q485" s="220">
        <f>$Q$329</f>
        <v>9</v>
      </c>
      <c r="R485" s="220"/>
      <c r="S485" s="220"/>
      <c r="T485" s="220"/>
      <c r="U485" s="51">
        <v>341</v>
      </c>
      <c r="V485" s="51">
        <f t="shared" ref="V485:AE486" si="2329">U485+1</f>
        <v>342</v>
      </c>
      <c r="W485" s="51">
        <f t="shared" si="2329"/>
        <v>343</v>
      </c>
      <c r="X485" s="51">
        <f t="shared" si="2329"/>
        <v>344</v>
      </c>
      <c r="Y485" s="51">
        <f t="shared" si="2329"/>
        <v>345</v>
      </c>
      <c r="Z485" s="51">
        <f t="shared" si="2329"/>
        <v>346</v>
      </c>
      <c r="AA485" s="51">
        <f t="shared" si="2329"/>
        <v>347</v>
      </c>
      <c r="AB485" s="51">
        <f t="shared" si="2329"/>
        <v>348</v>
      </c>
      <c r="AC485" s="51">
        <f t="shared" si="2329"/>
        <v>349</v>
      </c>
      <c r="AD485" s="51">
        <f t="shared" si="2329"/>
        <v>350</v>
      </c>
      <c r="AE485" s="51">
        <f t="shared" si="2329"/>
        <v>351</v>
      </c>
      <c r="AF485" s="51">
        <f t="shared" ref="AF485:AF486" si="2330">AE485+1</f>
        <v>352</v>
      </c>
      <c r="AG485" s="51">
        <f t="shared" ref="AG485:AG486" si="2331">AF485+1</f>
        <v>353</v>
      </c>
      <c r="AH485" s="51">
        <f t="shared" ref="AH485:AH486" si="2332">AG485+1</f>
        <v>354</v>
      </c>
      <c r="AI485" s="51">
        <f t="shared" ref="AI485:AI486" si="2333">AH485+1</f>
        <v>355</v>
      </c>
      <c r="AJ485" s="51">
        <f t="shared" ref="AJ485:AJ486" si="2334">AI485+1</f>
        <v>356</v>
      </c>
      <c r="AK485" s="51">
        <f t="shared" ref="AK485:AK486" si="2335">AJ485+1</f>
        <v>357</v>
      </c>
      <c r="AL485" s="51">
        <f t="shared" ref="AL485:AL486" si="2336">AK485+1</f>
        <v>358</v>
      </c>
      <c r="AM485" s="51">
        <f t="shared" ref="AM485:AM486" si="2337">AL485+1</f>
        <v>359</v>
      </c>
      <c r="AN485" s="51">
        <f t="shared" ref="AN485:AN486" si="2338">AM485+1</f>
        <v>360</v>
      </c>
      <c r="AO485" s="51">
        <f t="shared" ref="AO485:AO486" si="2339">AN485+1</f>
        <v>361</v>
      </c>
      <c r="AP485" s="51">
        <f t="shared" ref="AP485:AP486" si="2340">AO485+1</f>
        <v>362</v>
      </c>
      <c r="AQ485" s="51">
        <f t="shared" ref="AQ485:AQ486" si="2341">AP485+1</f>
        <v>363</v>
      </c>
      <c r="AR485" s="51">
        <f t="shared" ref="AR485:AR486" si="2342">AQ485+1</f>
        <v>364</v>
      </c>
      <c r="AS485" s="51">
        <f t="shared" ref="AS485:AS486" si="2343">AR485+1</f>
        <v>365</v>
      </c>
      <c r="AT485" s="51">
        <f t="shared" ref="AT485:AT486" si="2344">AS485+1</f>
        <v>366</v>
      </c>
      <c r="AU485" s="51">
        <f t="shared" ref="AU485:AU486" si="2345">AT485+1</f>
        <v>367</v>
      </c>
      <c r="AV485" s="51">
        <f t="shared" ref="AV485:AV486" si="2346">AU485+1</f>
        <v>368</v>
      </c>
      <c r="AW485" s="51">
        <f t="shared" ref="AW485:AW486" si="2347">AV485+1</f>
        <v>369</v>
      </c>
      <c r="AX485" s="51">
        <f t="shared" ref="AX485:AX486" si="2348">AW485+1</f>
        <v>370</v>
      </c>
      <c r="AY485" s="51">
        <f t="shared" ref="AY485:AY486" si="2349">AX485+1</f>
        <v>371</v>
      </c>
      <c r="AZ485" s="51">
        <f t="shared" ref="AZ485:AZ486" si="2350">AY485+1</f>
        <v>372</v>
      </c>
      <c r="BA485" s="51">
        <f t="shared" ref="BA485:BA486" si="2351">AZ485+1</f>
        <v>373</v>
      </c>
      <c r="BB485" s="51">
        <f t="shared" ref="BB485:BB486" si="2352">BA485+1</f>
        <v>374</v>
      </c>
      <c r="BC485" s="51">
        <f t="shared" ref="BC485:BC486" si="2353">BB485+1</f>
        <v>375</v>
      </c>
      <c r="BD485" s="51">
        <f t="shared" ref="BD485:BD486" si="2354">BC485+1</f>
        <v>376</v>
      </c>
      <c r="BE485" s="51">
        <f t="shared" ref="BE485:BE486" si="2355">BD485+1</f>
        <v>377</v>
      </c>
      <c r="BF485" s="51">
        <f t="shared" ref="BF485:BF486" si="2356">BE485+1</f>
        <v>378</v>
      </c>
      <c r="BG485" s="51">
        <f t="shared" ref="BG485:BG486" si="2357">BF485+1</f>
        <v>379</v>
      </c>
      <c r="BH485" s="51">
        <f t="shared" ref="BH485:BH486" si="2358">BG485+1</f>
        <v>380</v>
      </c>
      <c r="BI485" s="51">
        <f t="shared" ref="BI485:BI486" si="2359">BH485+1</f>
        <v>381</v>
      </c>
      <c r="BJ485" s="51">
        <f t="shared" ref="BJ485:BJ486" si="2360">BI485+1</f>
        <v>382</v>
      </c>
      <c r="BK485" s="51">
        <f t="shared" ref="BK485:BK486" si="2361">BJ485+1</f>
        <v>383</v>
      </c>
      <c r="BL485" s="51">
        <f t="shared" ref="BL485:BL486" si="2362">BK485+1</f>
        <v>384</v>
      </c>
      <c r="BM485" s="51">
        <f t="shared" ref="BM485:BM486" si="2363">BL485+1</f>
        <v>385</v>
      </c>
      <c r="BN485" s="51">
        <f t="shared" ref="BN485:BN486" si="2364">BM485+1</f>
        <v>386</v>
      </c>
      <c r="BO485" s="51">
        <f t="shared" ref="BO485:BO486" si="2365">BN485+1</f>
        <v>387</v>
      </c>
      <c r="BP485" s="51">
        <f t="shared" ref="BP485:BP486" si="2366">BO485+1</f>
        <v>388</v>
      </c>
      <c r="BQ485" s="51">
        <f t="shared" ref="BQ485:BQ486" si="2367">BP485+1</f>
        <v>389</v>
      </c>
      <c r="BR485" s="51">
        <f t="shared" ref="BR485:BR486" si="2368">BQ485+1</f>
        <v>390</v>
      </c>
      <c r="BS485" s="51">
        <f t="shared" ref="BS485:BS486" si="2369">BR485+1</f>
        <v>391</v>
      </c>
      <c r="BT485" s="51">
        <f t="shared" ref="BT485:BT486" si="2370">BS485+1</f>
        <v>392</v>
      </c>
      <c r="BU485" s="51">
        <f t="shared" ref="BU485:BU486" si="2371">BT485+1</f>
        <v>393</v>
      </c>
      <c r="BV485" s="51">
        <f t="shared" ref="BV485:BV486" si="2372">BU485+1</f>
        <v>394</v>
      </c>
      <c r="BW485" s="51">
        <f t="shared" ref="BW485:BW486" si="2373">BV485+1</f>
        <v>395</v>
      </c>
      <c r="BX485" s="49"/>
      <c r="BY485" s="49"/>
      <c r="BZ485" s="49"/>
      <c r="CA485" s="49"/>
      <c r="CB485" s="49"/>
    </row>
    <row r="486" spans="2:80" ht="15" customHeight="1" x14ac:dyDescent="0.2">
      <c r="B486" s="214">
        <v>6</v>
      </c>
      <c r="C486" s="214"/>
      <c r="D486" s="214"/>
      <c r="E486" s="218" t="str">
        <f>$E$330</f>
        <v>Economic Cost</v>
      </c>
      <c r="F486" s="218"/>
      <c r="G486" s="218"/>
      <c r="H486" s="218"/>
      <c r="I486" s="218"/>
      <c r="J486" s="218"/>
      <c r="K486" s="218"/>
      <c r="L486" s="218"/>
      <c r="M486" s="220">
        <f>$M$330</f>
        <v>1</v>
      </c>
      <c r="N486" s="220"/>
      <c r="O486" s="220"/>
      <c r="P486" s="220"/>
      <c r="Q486" s="220">
        <f>$Q$330</f>
        <v>9</v>
      </c>
      <c r="R486" s="220"/>
      <c r="S486" s="220"/>
      <c r="T486" s="220"/>
      <c r="U486" s="51">
        <f>BW485+1</f>
        <v>396</v>
      </c>
      <c r="V486" s="51">
        <f t="shared" si="2329"/>
        <v>397</v>
      </c>
      <c r="W486" s="51">
        <f t="shared" si="2329"/>
        <v>398</v>
      </c>
      <c r="X486" s="51">
        <f t="shared" si="2329"/>
        <v>399</v>
      </c>
      <c r="Y486" s="51">
        <f t="shared" si="2329"/>
        <v>400</v>
      </c>
      <c r="Z486" s="51">
        <f t="shared" si="2329"/>
        <v>401</v>
      </c>
      <c r="AA486" s="51">
        <f t="shared" si="2329"/>
        <v>402</v>
      </c>
      <c r="AB486" s="51">
        <f t="shared" si="2329"/>
        <v>403</v>
      </c>
      <c r="AC486" s="51">
        <f t="shared" si="2329"/>
        <v>404</v>
      </c>
      <c r="AD486" s="51">
        <f t="shared" si="2329"/>
        <v>405</v>
      </c>
      <c r="AE486" s="51">
        <f t="shared" si="2329"/>
        <v>406</v>
      </c>
      <c r="AF486" s="51">
        <f t="shared" si="2330"/>
        <v>407</v>
      </c>
      <c r="AG486" s="51">
        <f t="shared" si="2331"/>
        <v>408</v>
      </c>
      <c r="AH486" s="51">
        <f t="shared" si="2332"/>
        <v>409</v>
      </c>
      <c r="AI486" s="51">
        <f t="shared" si="2333"/>
        <v>410</v>
      </c>
      <c r="AJ486" s="51">
        <f t="shared" si="2334"/>
        <v>411</v>
      </c>
      <c r="AK486" s="51">
        <f t="shared" si="2335"/>
        <v>412</v>
      </c>
      <c r="AL486" s="51">
        <f t="shared" si="2336"/>
        <v>413</v>
      </c>
      <c r="AM486" s="51">
        <f t="shared" si="2337"/>
        <v>414</v>
      </c>
      <c r="AN486" s="51">
        <f t="shared" si="2338"/>
        <v>415</v>
      </c>
      <c r="AO486" s="51">
        <f t="shared" si="2339"/>
        <v>416</v>
      </c>
      <c r="AP486" s="51">
        <f t="shared" si="2340"/>
        <v>417</v>
      </c>
      <c r="AQ486" s="51">
        <f t="shared" si="2341"/>
        <v>418</v>
      </c>
      <c r="AR486" s="51">
        <f t="shared" si="2342"/>
        <v>419</v>
      </c>
      <c r="AS486" s="51">
        <f t="shared" si="2343"/>
        <v>420</v>
      </c>
      <c r="AT486" s="51">
        <f t="shared" si="2344"/>
        <v>421</v>
      </c>
      <c r="AU486" s="51">
        <f t="shared" si="2345"/>
        <v>422</v>
      </c>
      <c r="AV486" s="51">
        <f t="shared" si="2346"/>
        <v>423</v>
      </c>
      <c r="AW486" s="51">
        <f t="shared" si="2347"/>
        <v>424</v>
      </c>
      <c r="AX486" s="51">
        <f t="shared" si="2348"/>
        <v>425</v>
      </c>
      <c r="AY486" s="51">
        <f t="shared" si="2349"/>
        <v>426</v>
      </c>
      <c r="AZ486" s="51">
        <f t="shared" si="2350"/>
        <v>427</v>
      </c>
      <c r="BA486" s="51">
        <f t="shared" si="2351"/>
        <v>428</v>
      </c>
      <c r="BB486" s="51">
        <f t="shared" si="2352"/>
        <v>429</v>
      </c>
      <c r="BC486" s="51">
        <f t="shared" si="2353"/>
        <v>430</v>
      </c>
      <c r="BD486" s="51">
        <f t="shared" si="2354"/>
        <v>431</v>
      </c>
      <c r="BE486" s="51">
        <f t="shared" si="2355"/>
        <v>432</v>
      </c>
      <c r="BF486" s="51">
        <f t="shared" si="2356"/>
        <v>433</v>
      </c>
      <c r="BG486" s="51">
        <f t="shared" si="2357"/>
        <v>434</v>
      </c>
      <c r="BH486" s="51">
        <f t="shared" si="2358"/>
        <v>435</v>
      </c>
      <c r="BI486" s="51">
        <f t="shared" si="2359"/>
        <v>436</v>
      </c>
      <c r="BJ486" s="51">
        <f t="shared" si="2360"/>
        <v>437</v>
      </c>
      <c r="BK486" s="51">
        <f t="shared" si="2361"/>
        <v>438</v>
      </c>
      <c r="BL486" s="51">
        <f t="shared" si="2362"/>
        <v>439</v>
      </c>
      <c r="BM486" s="51">
        <f t="shared" si="2363"/>
        <v>440</v>
      </c>
      <c r="BN486" s="51">
        <f t="shared" si="2364"/>
        <v>441</v>
      </c>
      <c r="BO486" s="51">
        <f t="shared" si="2365"/>
        <v>442</v>
      </c>
      <c r="BP486" s="51">
        <f t="shared" si="2366"/>
        <v>443</v>
      </c>
      <c r="BQ486" s="51">
        <f t="shared" si="2367"/>
        <v>444</v>
      </c>
      <c r="BR486" s="51">
        <f t="shared" si="2368"/>
        <v>445</v>
      </c>
      <c r="BS486" s="51">
        <f t="shared" si="2369"/>
        <v>446</v>
      </c>
      <c r="BT486" s="51">
        <f t="shared" si="2370"/>
        <v>447</v>
      </c>
      <c r="BU486" s="51">
        <f t="shared" si="2371"/>
        <v>448</v>
      </c>
      <c r="BV486" s="51">
        <f t="shared" si="2372"/>
        <v>449</v>
      </c>
      <c r="BW486" s="51">
        <f t="shared" si="2373"/>
        <v>450</v>
      </c>
      <c r="BX486" s="49"/>
      <c r="BY486" s="49"/>
      <c r="BZ486" s="49"/>
      <c r="CA486" s="49"/>
      <c r="CB486" s="49"/>
    </row>
    <row r="487" spans="2:80" ht="15" customHeight="1" x14ac:dyDescent="0.2"/>
    <row r="488" spans="2:80" ht="15" customHeight="1" x14ac:dyDescent="0.2">
      <c r="B488" s="49"/>
      <c r="C488" s="49"/>
      <c r="D488" s="49"/>
      <c r="M488" s="49"/>
      <c r="N488" s="49"/>
      <c r="O488" s="49"/>
      <c r="P488" s="49"/>
      <c r="Q488" s="49"/>
      <c r="R488" s="49"/>
      <c r="S488" s="49"/>
      <c r="T488" s="49"/>
      <c r="U488" s="51">
        <v>10</v>
      </c>
      <c r="V488" s="51">
        <f>U488+5</f>
        <v>15</v>
      </c>
      <c r="W488" s="51">
        <f t="shared" ref="W488:AE488" si="2374">V488+5</f>
        <v>20</v>
      </c>
      <c r="X488" s="51">
        <f t="shared" si="2374"/>
        <v>25</v>
      </c>
      <c r="Y488" s="51">
        <f t="shared" si="2374"/>
        <v>30</v>
      </c>
      <c r="Z488" s="51">
        <f t="shared" si="2374"/>
        <v>35</v>
      </c>
      <c r="AA488" s="51">
        <f t="shared" si="2374"/>
        <v>40</v>
      </c>
      <c r="AB488" s="51">
        <f t="shared" si="2374"/>
        <v>45</v>
      </c>
      <c r="AC488" s="51">
        <f t="shared" si="2374"/>
        <v>50</v>
      </c>
      <c r="AD488" s="51">
        <f t="shared" si="2374"/>
        <v>55</v>
      </c>
      <c r="AE488" s="51">
        <f t="shared" si="2374"/>
        <v>60</v>
      </c>
      <c r="AF488" s="51">
        <f t="shared" ref="AF488" si="2375">AE488+5</f>
        <v>65</v>
      </c>
      <c r="AG488" s="51">
        <f t="shared" ref="AG488" si="2376">AF488+5</f>
        <v>70</v>
      </c>
      <c r="AH488" s="51">
        <f t="shared" ref="AH488" si="2377">AG488+5</f>
        <v>75</v>
      </c>
      <c r="AI488" s="51">
        <f t="shared" ref="AI488" si="2378">AH488+5</f>
        <v>80</v>
      </c>
      <c r="AJ488" s="51">
        <f t="shared" ref="AJ488" si="2379">AI488+5</f>
        <v>85</v>
      </c>
      <c r="AK488" s="51">
        <f t="shared" ref="AK488" si="2380">AJ488+5</f>
        <v>90</v>
      </c>
      <c r="AL488" s="51">
        <f t="shared" ref="AL488" si="2381">AK488+5</f>
        <v>95</v>
      </c>
      <c r="AM488" s="51">
        <f t="shared" ref="AM488" si="2382">AL488+5</f>
        <v>100</v>
      </c>
      <c r="AN488" s="51">
        <f t="shared" ref="AN488" si="2383">AM488+5</f>
        <v>105</v>
      </c>
      <c r="AO488" s="51">
        <f t="shared" ref="AO488" si="2384">AN488+5</f>
        <v>110</v>
      </c>
      <c r="AP488" s="51">
        <f t="shared" ref="AP488" si="2385">AO488+5</f>
        <v>115</v>
      </c>
      <c r="AQ488" s="51">
        <f t="shared" ref="AQ488" si="2386">AP488+5</f>
        <v>120</v>
      </c>
      <c r="AR488" s="51">
        <f t="shared" ref="AR488" si="2387">AQ488+5</f>
        <v>125</v>
      </c>
      <c r="AS488" s="51">
        <f t="shared" ref="AS488" si="2388">AR488+5</f>
        <v>130</v>
      </c>
      <c r="AT488" s="51">
        <f t="shared" ref="AT488" si="2389">AS488+5</f>
        <v>135</v>
      </c>
      <c r="AU488" s="51">
        <f t="shared" ref="AU488" si="2390">AT488+5</f>
        <v>140</v>
      </c>
      <c r="AV488" s="51">
        <f t="shared" ref="AV488" si="2391">AU488+5</f>
        <v>145</v>
      </c>
      <c r="AW488" s="51">
        <f t="shared" ref="AW488" si="2392">AV488+5</f>
        <v>150</v>
      </c>
      <c r="AX488" s="51">
        <f t="shared" ref="AX488" si="2393">AW488+5</f>
        <v>155</v>
      </c>
      <c r="AY488" s="51">
        <f t="shared" ref="AY488" si="2394">AX488+5</f>
        <v>160</v>
      </c>
      <c r="AZ488" s="51">
        <f t="shared" ref="AZ488" si="2395">AY488+5</f>
        <v>165</v>
      </c>
      <c r="BA488" s="51">
        <f t="shared" ref="BA488" si="2396">AZ488+5</f>
        <v>170</v>
      </c>
      <c r="BB488" s="51">
        <f t="shared" ref="BB488" si="2397">BA488+5</f>
        <v>175</v>
      </c>
      <c r="BC488" s="51">
        <f t="shared" ref="BC488" si="2398">BB488+5</f>
        <v>180</v>
      </c>
      <c r="BD488" s="51">
        <f t="shared" ref="BD488" si="2399">BC488+5</f>
        <v>185</v>
      </c>
      <c r="BE488" s="51">
        <f t="shared" ref="BE488" si="2400">BD488+5</f>
        <v>190</v>
      </c>
      <c r="BF488" s="51">
        <f t="shared" ref="BF488" si="2401">BE488+5</f>
        <v>195</v>
      </c>
      <c r="BG488" s="51">
        <f t="shared" ref="BG488" si="2402">BF488+5</f>
        <v>200</v>
      </c>
      <c r="BH488" s="51">
        <f t="shared" ref="BH488" si="2403">BG488+5</f>
        <v>205</v>
      </c>
      <c r="BI488" s="51">
        <f t="shared" ref="BI488" si="2404">BH488+5</f>
        <v>210</v>
      </c>
      <c r="BJ488" s="51">
        <f t="shared" ref="BJ488" si="2405">BI488+5</f>
        <v>215</v>
      </c>
      <c r="BK488" s="51">
        <f t="shared" ref="BK488" si="2406">BJ488+5</f>
        <v>220</v>
      </c>
      <c r="BL488" s="51">
        <f t="shared" ref="BL488" si="2407">BK488+5</f>
        <v>225</v>
      </c>
      <c r="BM488" s="51">
        <f t="shared" ref="BM488" si="2408">BL488+5</f>
        <v>230</v>
      </c>
      <c r="BN488" s="51">
        <f t="shared" ref="BN488" si="2409">BM488+5</f>
        <v>235</v>
      </c>
      <c r="BO488" s="51">
        <f t="shared" ref="BO488" si="2410">BN488+5</f>
        <v>240</v>
      </c>
      <c r="BP488" s="51">
        <f t="shared" ref="BP488" si="2411">BO488+5</f>
        <v>245</v>
      </c>
      <c r="BQ488" s="51">
        <f t="shared" ref="BQ488" si="2412">BP488+5</f>
        <v>250</v>
      </c>
      <c r="BR488" s="51">
        <f t="shared" ref="BR488" si="2413">BQ488+5</f>
        <v>255</v>
      </c>
      <c r="BS488" s="51">
        <f t="shared" ref="BS488" si="2414">BR488+5</f>
        <v>260</v>
      </c>
      <c r="BT488" s="51">
        <f t="shared" ref="BT488" si="2415">BS488+5</f>
        <v>265</v>
      </c>
      <c r="BU488" s="51">
        <f t="shared" ref="BU488" si="2416">BT488+5</f>
        <v>270</v>
      </c>
      <c r="BV488" s="51">
        <f t="shared" ref="BV488" si="2417">BU488+5</f>
        <v>275</v>
      </c>
      <c r="BW488" s="51">
        <f t="shared" ref="BW488" si="2418">BV488+5</f>
        <v>280</v>
      </c>
      <c r="BX488" s="49"/>
      <c r="BY488" s="49"/>
      <c r="BZ488" s="49"/>
      <c r="CA488" s="49"/>
      <c r="CB488" s="49"/>
    </row>
    <row r="489" spans="2:80" ht="15" customHeight="1" x14ac:dyDescent="0.2">
      <c r="B489" s="214" t="s">
        <v>98</v>
      </c>
      <c r="C489" s="214"/>
      <c r="D489" s="214"/>
      <c r="E489" s="218" t="s">
        <v>147</v>
      </c>
      <c r="F489" s="218"/>
      <c r="G489" s="218"/>
      <c r="H489" s="218"/>
      <c r="I489" s="218"/>
      <c r="J489" s="218"/>
      <c r="K489" s="218"/>
      <c r="L489" s="218"/>
      <c r="M489" s="218" t="s">
        <v>97</v>
      </c>
      <c r="N489" s="218"/>
      <c r="O489" s="218"/>
      <c r="P489" s="218"/>
      <c r="Q489" s="218" t="s">
        <v>118</v>
      </c>
      <c r="R489" s="218"/>
      <c r="S489" s="218"/>
      <c r="T489" s="218"/>
      <c r="U489" s="52">
        <v>1</v>
      </c>
      <c r="V489" s="52">
        <v>2</v>
      </c>
      <c r="W489" s="52">
        <v>3</v>
      </c>
      <c r="X489" s="52">
        <v>4</v>
      </c>
      <c r="Y489" s="52">
        <v>5</v>
      </c>
      <c r="Z489" s="52">
        <v>6</v>
      </c>
      <c r="AA489" s="52">
        <v>7</v>
      </c>
      <c r="AB489" s="52">
        <v>8</v>
      </c>
      <c r="AC489" s="52">
        <v>9</v>
      </c>
      <c r="AD489" s="52">
        <v>10</v>
      </c>
      <c r="AE489" s="52">
        <v>11</v>
      </c>
      <c r="AF489" s="52">
        <v>12</v>
      </c>
      <c r="AG489" s="52">
        <v>13</v>
      </c>
      <c r="AH489" s="52">
        <v>14</v>
      </c>
      <c r="AI489" s="52">
        <v>15</v>
      </c>
      <c r="AJ489" s="52">
        <v>16</v>
      </c>
      <c r="AK489" s="52">
        <v>17</v>
      </c>
      <c r="AL489" s="52">
        <v>18</v>
      </c>
      <c r="AM489" s="52">
        <v>19</v>
      </c>
      <c r="AN489" s="52">
        <v>20</v>
      </c>
      <c r="AO489" s="52">
        <v>21</v>
      </c>
      <c r="AP489" s="52">
        <v>22</v>
      </c>
      <c r="AQ489" s="52">
        <v>23</v>
      </c>
      <c r="AR489" s="52">
        <v>24</v>
      </c>
      <c r="AS489" s="52">
        <v>25</v>
      </c>
      <c r="AT489" s="52">
        <v>26</v>
      </c>
      <c r="AU489" s="52">
        <v>27</v>
      </c>
      <c r="AV489" s="52">
        <v>28</v>
      </c>
      <c r="AW489" s="52">
        <v>29</v>
      </c>
      <c r="AX489" s="52">
        <v>30</v>
      </c>
      <c r="AY489" s="52">
        <v>31</v>
      </c>
      <c r="AZ489" s="52">
        <v>32</v>
      </c>
      <c r="BA489" s="52">
        <v>33</v>
      </c>
      <c r="BB489" s="52">
        <v>34</v>
      </c>
      <c r="BC489" s="52">
        <v>35</v>
      </c>
      <c r="BD489" s="52">
        <v>36</v>
      </c>
      <c r="BE489" s="52">
        <v>37</v>
      </c>
      <c r="BF489" s="52">
        <v>38</v>
      </c>
      <c r="BG489" s="52">
        <v>39</v>
      </c>
      <c r="BH489" s="52">
        <v>40</v>
      </c>
      <c r="BI489" s="52">
        <v>41</v>
      </c>
      <c r="BJ489" s="52">
        <v>42</v>
      </c>
      <c r="BK489" s="52">
        <v>43</v>
      </c>
      <c r="BL489" s="52">
        <v>44</v>
      </c>
      <c r="BM489" s="52">
        <v>45</v>
      </c>
      <c r="BN489" s="52">
        <v>46</v>
      </c>
      <c r="BO489" s="52">
        <v>47</v>
      </c>
      <c r="BP489" s="52">
        <v>48</v>
      </c>
      <c r="BQ489" s="52">
        <v>49</v>
      </c>
      <c r="BR489" s="52">
        <v>50</v>
      </c>
      <c r="BS489" s="52">
        <v>51</v>
      </c>
      <c r="BT489" s="52">
        <v>52</v>
      </c>
      <c r="BU489" s="52">
        <v>53</v>
      </c>
      <c r="BV489" s="52">
        <v>54</v>
      </c>
      <c r="BW489" s="52">
        <v>55</v>
      </c>
      <c r="BX489" s="53"/>
      <c r="BY489" s="53"/>
      <c r="BZ489" s="53"/>
      <c r="CA489" s="53"/>
      <c r="CB489" s="53"/>
    </row>
    <row r="490" spans="2:80" ht="15" customHeight="1" x14ac:dyDescent="0.2">
      <c r="B490" s="214">
        <v>1</v>
      </c>
      <c r="C490" s="214"/>
      <c r="D490" s="214"/>
      <c r="E490" s="218" t="str">
        <f>$E$325</f>
        <v>Hazard</v>
      </c>
      <c r="F490" s="218"/>
      <c r="G490" s="218"/>
      <c r="H490" s="218"/>
      <c r="I490" s="218"/>
      <c r="J490" s="218"/>
      <c r="K490" s="218"/>
      <c r="L490" s="218"/>
      <c r="M490" s="220">
        <f>$M$325</f>
        <v>1</v>
      </c>
      <c r="N490" s="220"/>
      <c r="O490" s="220"/>
      <c r="P490" s="220"/>
      <c r="Q490" s="220">
        <f>$Q$325</f>
        <v>1</v>
      </c>
      <c r="R490" s="220"/>
      <c r="S490" s="220"/>
      <c r="T490" s="220"/>
      <c r="U490" s="199"/>
      <c r="V490" s="200"/>
      <c r="W490" s="200"/>
      <c r="X490" s="200"/>
      <c r="Y490" s="200"/>
      <c r="Z490" s="200"/>
      <c r="AA490" s="200"/>
      <c r="AB490" s="200"/>
      <c r="AC490" s="200"/>
      <c r="AD490" s="200"/>
      <c r="AE490" s="200"/>
      <c r="AF490" s="200"/>
      <c r="AG490" s="200"/>
      <c r="AH490" s="200"/>
      <c r="AI490" s="200"/>
      <c r="AJ490" s="200"/>
      <c r="AK490" s="200"/>
      <c r="AL490" s="200"/>
      <c r="AM490" s="200"/>
      <c r="AN490" s="200"/>
      <c r="AO490" s="200"/>
      <c r="AP490" s="200"/>
      <c r="AQ490" s="200"/>
      <c r="AR490" s="200"/>
      <c r="AS490" s="200"/>
      <c r="AT490" s="200"/>
      <c r="AU490" s="200"/>
      <c r="AV490" s="200"/>
      <c r="AW490" s="200"/>
      <c r="AX490" s="200"/>
      <c r="AY490" s="200"/>
      <c r="AZ490" s="200"/>
      <c r="BA490" s="200"/>
      <c r="BB490" s="200"/>
      <c r="BC490" s="200"/>
      <c r="BD490" s="200"/>
      <c r="BE490" s="200"/>
      <c r="BF490" s="200"/>
      <c r="BG490" s="200"/>
      <c r="BH490" s="200"/>
      <c r="BI490" s="200"/>
      <c r="BJ490" s="200"/>
      <c r="BK490" s="200"/>
      <c r="BL490" s="200"/>
      <c r="BM490" s="200"/>
      <c r="BN490" s="200"/>
      <c r="BO490" s="200"/>
      <c r="BP490" s="200"/>
      <c r="BQ490" s="200"/>
      <c r="BR490" s="200"/>
      <c r="BS490" s="200"/>
      <c r="BT490" s="200"/>
      <c r="BU490" s="200"/>
      <c r="BV490" s="200"/>
      <c r="BW490" s="201"/>
      <c r="BX490" s="49"/>
      <c r="BY490" s="49"/>
      <c r="BZ490" s="49"/>
      <c r="CA490" s="49"/>
      <c r="CB490" s="49"/>
    </row>
    <row r="491" spans="2:80" ht="15" customHeight="1" x14ac:dyDescent="0.2">
      <c r="B491" s="214">
        <v>2</v>
      </c>
      <c r="C491" s="214"/>
      <c r="D491" s="214"/>
      <c r="E491" s="218" t="str">
        <f>$E$326</f>
        <v>Operational Performance</v>
      </c>
      <c r="F491" s="218"/>
      <c r="G491" s="218"/>
      <c r="H491" s="218"/>
      <c r="I491" s="218"/>
      <c r="J491" s="218"/>
      <c r="K491" s="218"/>
      <c r="L491" s="218"/>
      <c r="M491" s="220">
        <f>$M$326</f>
        <v>3</v>
      </c>
      <c r="N491" s="220"/>
      <c r="O491" s="220"/>
      <c r="P491" s="220"/>
      <c r="Q491" s="220">
        <f>$Q$326</f>
        <v>3</v>
      </c>
      <c r="R491" s="220"/>
      <c r="S491" s="220"/>
      <c r="T491" s="220"/>
      <c r="U491" s="202"/>
      <c r="V491" s="203"/>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AZ491" s="203"/>
      <c r="BA491" s="203"/>
      <c r="BB491" s="203"/>
      <c r="BC491" s="203"/>
      <c r="BD491" s="203"/>
      <c r="BE491" s="203"/>
      <c r="BF491" s="203"/>
      <c r="BG491" s="203"/>
      <c r="BH491" s="203"/>
      <c r="BI491" s="203"/>
      <c r="BJ491" s="203"/>
      <c r="BK491" s="203"/>
      <c r="BL491" s="203"/>
      <c r="BM491" s="203"/>
      <c r="BN491" s="203"/>
      <c r="BO491" s="203"/>
      <c r="BP491" s="203"/>
      <c r="BQ491" s="203"/>
      <c r="BR491" s="203"/>
      <c r="BS491" s="203"/>
      <c r="BT491" s="203"/>
      <c r="BU491" s="203"/>
      <c r="BV491" s="203"/>
      <c r="BW491" s="204"/>
      <c r="BX491" s="49"/>
      <c r="BY491" s="49"/>
      <c r="BZ491" s="49"/>
      <c r="CA491" s="49"/>
      <c r="CB491" s="49"/>
    </row>
    <row r="492" spans="2:80" ht="15" customHeight="1" x14ac:dyDescent="0.2">
      <c r="B492" s="214">
        <v>3</v>
      </c>
      <c r="C492" s="214"/>
      <c r="D492" s="214"/>
      <c r="E492" s="218" t="str">
        <f>$E$327</f>
        <v>Transform</v>
      </c>
      <c r="F492" s="218"/>
      <c r="G492" s="218"/>
      <c r="H492" s="218"/>
      <c r="I492" s="218"/>
      <c r="J492" s="218"/>
      <c r="K492" s="218"/>
      <c r="L492" s="218"/>
      <c r="M492" s="220">
        <f>$M$327</f>
        <v>3</v>
      </c>
      <c r="N492" s="220"/>
      <c r="O492" s="220"/>
      <c r="P492" s="220"/>
      <c r="Q492" s="220">
        <f>$Q$327</f>
        <v>9</v>
      </c>
      <c r="R492" s="220"/>
      <c r="S492" s="220"/>
      <c r="T492" s="220"/>
      <c r="U492" s="202"/>
      <c r="V492" s="203"/>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AZ492" s="203"/>
      <c r="BA492" s="203"/>
      <c r="BB492" s="203"/>
      <c r="BC492" s="203"/>
      <c r="BD492" s="203"/>
      <c r="BE492" s="203"/>
      <c r="BF492" s="203"/>
      <c r="BG492" s="203"/>
      <c r="BH492" s="203"/>
      <c r="BI492" s="203"/>
      <c r="BJ492" s="203"/>
      <c r="BK492" s="203"/>
      <c r="BL492" s="203"/>
      <c r="BM492" s="203"/>
      <c r="BN492" s="203"/>
      <c r="BO492" s="203"/>
      <c r="BP492" s="203"/>
      <c r="BQ492" s="203"/>
      <c r="BR492" s="203"/>
      <c r="BS492" s="203"/>
      <c r="BT492" s="203"/>
      <c r="BU492" s="203"/>
      <c r="BV492" s="203"/>
      <c r="BW492" s="204"/>
      <c r="BX492" s="49"/>
      <c r="BY492" s="49"/>
      <c r="BZ492" s="49"/>
      <c r="CA492" s="49"/>
      <c r="CB492" s="49"/>
    </row>
    <row r="493" spans="2:80" ht="15" customHeight="1" x14ac:dyDescent="0.2">
      <c r="B493" s="214">
        <v>4</v>
      </c>
      <c r="C493" s="214"/>
      <c r="D493" s="214"/>
      <c r="E493" s="218" t="str">
        <f>$E$328</f>
        <v>System Response</v>
      </c>
      <c r="F493" s="218"/>
      <c r="G493" s="218"/>
      <c r="H493" s="218"/>
      <c r="I493" s="218"/>
      <c r="J493" s="218"/>
      <c r="K493" s="218"/>
      <c r="L493" s="218"/>
      <c r="M493" s="220">
        <f>$M$328</f>
        <v>1</v>
      </c>
      <c r="N493" s="220"/>
      <c r="O493" s="220"/>
      <c r="P493" s="220"/>
      <c r="Q493" s="220">
        <f>$Q$328</f>
        <v>9</v>
      </c>
      <c r="R493" s="220"/>
      <c r="S493" s="220"/>
      <c r="T493" s="220"/>
      <c r="U493" s="205"/>
      <c r="V493" s="206"/>
      <c r="W493" s="206"/>
      <c r="X493" s="206"/>
      <c r="Y493" s="206"/>
      <c r="Z493" s="206"/>
      <c r="AA493" s="206"/>
      <c r="AB493" s="206"/>
      <c r="AC493" s="206"/>
      <c r="AD493" s="206"/>
      <c r="AE493" s="206"/>
      <c r="AF493" s="206"/>
      <c r="AG493" s="206"/>
      <c r="AH493" s="206"/>
      <c r="AI493" s="206"/>
      <c r="AJ493" s="206"/>
      <c r="AK493" s="206"/>
      <c r="AL493" s="206"/>
      <c r="AM493" s="206"/>
      <c r="AN493" s="206"/>
      <c r="AO493" s="206"/>
      <c r="AP493" s="206"/>
      <c r="AQ493" s="206"/>
      <c r="AR493" s="206"/>
      <c r="AS493" s="206"/>
      <c r="AT493" s="206"/>
      <c r="AU493" s="206"/>
      <c r="AV493" s="206"/>
      <c r="AW493" s="206"/>
      <c r="AX493" s="206"/>
      <c r="AY493" s="206"/>
      <c r="AZ493" s="206"/>
      <c r="BA493" s="206"/>
      <c r="BB493" s="206"/>
      <c r="BC493" s="206"/>
      <c r="BD493" s="206"/>
      <c r="BE493" s="206"/>
      <c r="BF493" s="206"/>
      <c r="BG493" s="206"/>
      <c r="BH493" s="206"/>
      <c r="BI493" s="206"/>
      <c r="BJ493" s="206"/>
      <c r="BK493" s="206"/>
      <c r="BL493" s="206"/>
      <c r="BM493" s="206"/>
      <c r="BN493" s="206"/>
      <c r="BO493" s="206"/>
      <c r="BP493" s="206"/>
      <c r="BQ493" s="206"/>
      <c r="BR493" s="206"/>
      <c r="BS493" s="206"/>
      <c r="BT493" s="206"/>
      <c r="BU493" s="206"/>
      <c r="BV493" s="206"/>
      <c r="BW493" s="207"/>
      <c r="BX493" s="49"/>
      <c r="BY493" s="49"/>
      <c r="BZ493" s="49"/>
      <c r="CA493" s="49"/>
      <c r="CB493" s="49"/>
    </row>
    <row r="494" spans="2:80" ht="15" customHeight="1" x14ac:dyDescent="0.2">
      <c r="B494" s="214">
        <v>5</v>
      </c>
      <c r="C494" s="214"/>
      <c r="D494" s="214"/>
      <c r="E494" s="218" t="str">
        <f>$E$329</f>
        <v>Life Loss</v>
      </c>
      <c r="F494" s="218"/>
      <c r="G494" s="218"/>
      <c r="H494" s="218"/>
      <c r="I494" s="218"/>
      <c r="J494" s="218"/>
      <c r="K494" s="218"/>
      <c r="L494" s="218"/>
      <c r="M494" s="220">
        <f>$M$329</f>
        <v>1</v>
      </c>
      <c r="N494" s="220"/>
      <c r="O494" s="220"/>
      <c r="P494" s="220"/>
      <c r="Q494" s="220">
        <f>$Q$329</f>
        <v>9</v>
      </c>
      <c r="R494" s="220"/>
      <c r="S494" s="220"/>
      <c r="T494" s="220"/>
      <c r="U494" s="51" t="str">
        <f t="shared" ref="U494:AZ494" si="2419">IF(U476="+",U485,"-")</f>
        <v>-</v>
      </c>
      <c r="V494" s="51" t="str">
        <f t="shared" si="2419"/>
        <v>-</v>
      </c>
      <c r="W494" s="51" t="str">
        <f t="shared" si="2419"/>
        <v>-</v>
      </c>
      <c r="X494" s="51" t="str">
        <f t="shared" si="2419"/>
        <v>-</v>
      </c>
      <c r="Y494" s="51" t="str">
        <f t="shared" si="2419"/>
        <v>-</v>
      </c>
      <c r="Z494" s="51" t="str">
        <f t="shared" si="2419"/>
        <v>-</v>
      </c>
      <c r="AA494" s="51" t="str">
        <f t="shared" si="2419"/>
        <v>-</v>
      </c>
      <c r="AB494" s="51" t="str">
        <f t="shared" si="2419"/>
        <v>-</v>
      </c>
      <c r="AC494" s="51" t="str">
        <f t="shared" si="2419"/>
        <v>-</v>
      </c>
      <c r="AD494" s="51" t="str">
        <f t="shared" si="2419"/>
        <v>-</v>
      </c>
      <c r="AE494" s="51" t="str">
        <f t="shared" si="2419"/>
        <v>-</v>
      </c>
      <c r="AF494" s="51" t="str">
        <f t="shared" si="2419"/>
        <v>-</v>
      </c>
      <c r="AG494" s="51" t="str">
        <f t="shared" si="2419"/>
        <v>-</v>
      </c>
      <c r="AH494" s="51" t="str">
        <f t="shared" si="2419"/>
        <v>-</v>
      </c>
      <c r="AI494" s="51" t="str">
        <f t="shared" si="2419"/>
        <v>-</v>
      </c>
      <c r="AJ494" s="51" t="str">
        <f t="shared" si="2419"/>
        <v>-</v>
      </c>
      <c r="AK494" s="51" t="str">
        <f t="shared" si="2419"/>
        <v>-</v>
      </c>
      <c r="AL494" s="51" t="str">
        <f t="shared" si="2419"/>
        <v>-</v>
      </c>
      <c r="AM494" s="51" t="str">
        <f t="shared" si="2419"/>
        <v>-</v>
      </c>
      <c r="AN494" s="51" t="str">
        <f t="shared" si="2419"/>
        <v>-</v>
      </c>
      <c r="AO494" s="51" t="str">
        <f t="shared" si="2419"/>
        <v>-</v>
      </c>
      <c r="AP494" s="51" t="str">
        <f t="shared" si="2419"/>
        <v>-</v>
      </c>
      <c r="AQ494" s="51" t="str">
        <f t="shared" si="2419"/>
        <v>-</v>
      </c>
      <c r="AR494" s="51" t="str">
        <f t="shared" si="2419"/>
        <v>-</v>
      </c>
      <c r="AS494" s="51" t="str">
        <f t="shared" si="2419"/>
        <v>-</v>
      </c>
      <c r="AT494" s="51" t="str">
        <f t="shared" si="2419"/>
        <v>-</v>
      </c>
      <c r="AU494" s="51" t="str">
        <f t="shared" si="2419"/>
        <v>-</v>
      </c>
      <c r="AV494" s="51" t="str">
        <f t="shared" si="2419"/>
        <v>-</v>
      </c>
      <c r="AW494" s="51" t="str">
        <f t="shared" si="2419"/>
        <v>-</v>
      </c>
      <c r="AX494" s="51" t="str">
        <f t="shared" si="2419"/>
        <v>-</v>
      </c>
      <c r="AY494" s="51" t="str">
        <f t="shared" si="2419"/>
        <v>-</v>
      </c>
      <c r="AZ494" s="51" t="str">
        <f t="shared" si="2419"/>
        <v>-</v>
      </c>
      <c r="BA494" s="51" t="str">
        <f t="shared" ref="BA494:BW494" si="2420">IF(BA476="+",BA485,"-")</f>
        <v>-</v>
      </c>
      <c r="BB494" s="51" t="str">
        <f t="shared" si="2420"/>
        <v>-</v>
      </c>
      <c r="BC494" s="51" t="str">
        <f t="shared" si="2420"/>
        <v>-</v>
      </c>
      <c r="BD494" s="51" t="str">
        <f t="shared" si="2420"/>
        <v>-</v>
      </c>
      <c r="BE494" s="51" t="str">
        <f t="shared" si="2420"/>
        <v>-</v>
      </c>
      <c r="BF494" s="51" t="str">
        <f t="shared" si="2420"/>
        <v>-</v>
      </c>
      <c r="BG494" s="51" t="str">
        <f t="shared" si="2420"/>
        <v>-</v>
      </c>
      <c r="BH494" s="51" t="str">
        <f t="shared" si="2420"/>
        <v>-</v>
      </c>
      <c r="BI494" s="51" t="str">
        <f t="shared" si="2420"/>
        <v>-</v>
      </c>
      <c r="BJ494" s="51" t="str">
        <f t="shared" si="2420"/>
        <v>-</v>
      </c>
      <c r="BK494" s="51" t="str">
        <f t="shared" si="2420"/>
        <v>-</v>
      </c>
      <c r="BL494" s="51" t="str">
        <f t="shared" si="2420"/>
        <v>-</v>
      </c>
      <c r="BM494" s="51" t="str">
        <f t="shared" si="2420"/>
        <v>-</v>
      </c>
      <c r="BN494" s="51" t="str">
        <f t="shared" si="2420"/>
        <v>-</v>
      </c>
      <c r="BO494" s="51" t="str">
        <f t="shared" si="2420"/>
        <v>-</v>
      </c>
      <c r="BP494" s="51" t="str">
        <f t="shared" si="2420"/>
        <v>-</v>
      </c>
      <c r="BQ494" s="51" t="str">
        <f t="shared" si="2420"/>
        <v>-</v>
      </c>
      <c r="BR494" s="51" t="str">
        <f t="shared" si="2420"/>
        <v>-</v>
      </c>
      <c r="BS494" s="51" t="str">
        <f t="shared" si="2420"/>
        <v>-</v>
      </c>
      <c r="BT494" s="51" t="str">
        <f t="shared" si="2420"/>
        <v>-</v>
      </c>
      <c r="BU494" s="51" t="str">
        <f t="shared" si="2420"/>
        <v>-</v>
      </c>
      <c r="BV494" s="51" t="str">
        <f t="shared" si="2420"/>
        <v>-</v>
      </c>
      <c r="BW494" s="51" t="str">
        <f t="shared" si="2420"/>
        <v>-</v>
      </c>
      <c r="BX494" s="49"/>
      <c r="BY494" s="49"/>
      <c r="BZ494" s="49"/>
      <c r="CA494" s="49"/>
      <c r="CB494" s="49"/>
    </row>
    <row r="495" spans="2:80" ht="15" customHeight="1" x14ac:dyDescent="0.2">
      <c r="B495" s="214">
        <v>6</v>
      </c>
      <c r="C495" s="214"/>
      <c r="D495" s="214"/>
      <c r="E495" s="218" t="str">
        <f>$E$330</f>
        <v>Economic Cost</v>
      </c>
      <c r="F495" s="218"/>
      <c r="G495" s="218"/>
      <c r="H495" s="218"/>
      <c r="I495" s="218"/>
      <c r="J495" s="218"/>
      <c r="K495" s="218"/>
      <c r="L495" s="218"/>
      <c r="M495" s="220">
        <f>$M$330</f>
        <v>1</v>
      </c>
      <c r="N495" s="220"/>
      <c r="O495" s="220"/>
      <c r="P495" s="220"/>
      <c r="Q495" s="220">
        <f>$Q$330</f>
        <v>9</v>
      </c>
      <c r="R495" s="220"/>
      <c r="S495" s="220"/>
      <c r="T495" s="220"/>
      <c r="U495" s="51">
        <f t="shared" ref="U495:AZ495" si="2421">IF(U477="+",U486,"-")</f>
        <v>396</v>
      </c>
      <c r="V495" s="51">
        <f t="shared" si="2421"/>
        <v>397</v>
      </c>
      <c r="W495" s="51">
        <f t="shared" si="2421"/>
        <v>398</v>
      </c>
      <c r="X495" s="51" t="str">
        <f t="shared" si="2421"/>
        <v>-</v>
      </c>
      <c r="Y495" s="51" t="str">
        <f t="shared" si="2421"/>
        <v>-</v>
      </c>
      <c r="Z495" s="51" t="str">
        <f t="shared" si="2421"/>
        <v>-</v>
      </c>
      <c r="AA495" s="51" t="str">
        <f t="shared" si="2421"/>
        <v>-</v>
      </c>
      <c r="AB495" s="51" t="str">
        <f t="shared" si="2421"/>
        <v>-</v>
      </c>
      <c r="AC495" s="51" t="str">
        <f t="shared" si="2421"/>
        <v>-</v>
      </c>
      <c r="AD495" s="51" t="str">
        <f t="shared" si="2421"/>
        <v>-</v>
      </c>
      <c r="AE495" s="51" t="str">
        <f t="shared" si="2421"/>
        <v>-</v>
      </c>
      <c r="AF495" s="51" t="str">
        <f t="shared" si="2421"/>
        <v>-</v>
      </c>
      <c r="AG495" s="51" t="str">
        <f t="shared" si="2421"/>
        <v>-</v>
      </c>
      <c r="AH495" s="51" t="str">
        <f t="shared" si="2421"/>
        <v>-</v>
      </c>
      <c r="AI495" s="51" t="str">
        <f t="shared" si="2421"/>
        <v>-</v>
      </c>
      <c r="AJ495" s="51" t="str">
        <f t="shared" si="2421"/>
        <v>-</v>
      </c>
      <c r="AK495" s="51" t="str">
        <f t="shared" si="2421"/>
        <v>-</v>
      </c>
      <c r="AL495" s="51" t="str">
        <f t="shared" si="2421"/>
        <v>-</v>
      </c>
      <c r="AM495" s="51" t="str">
        <f t="shared" si="2421"/>
        <v>-</v>
      </c>
      <c r="AN495" s="51" t="str">
        <f t="shared" si="2421"/>
        <v>-</v>
      </c>
      <c r="AO495" s="51" t="str">
        <f t="shared" si="2421"/>
        <v>-</v>
      </c>
      <c r="AP495" s="51" t="str">
        <f t="shared" si="2421"/>
        <v>-</v>
      </c>
      <c r="AQ495" s="51" t="str">
        <f t="shared" si="2421"/>
        <v>-</v>
      </c>
      <c r="AR495" s="51" t="str">
        <f t="shared" si="2421"/>
        <v>-</v>
      </c>
      <c r="AS495" s="51" t="str">
        <f t="shared" si="2421"/>
        <v>-</v>
      </c>
      <c r="AT495" s="51" t="str">
        <f t="shared" si="2421"/>
        <v>-</v>
      </c>
      <c r="AU495" s="51" t="str">
        <f t="shared" si="2421"/>
        <v>-</v>
      </c>
      <c r="AV495" s="51" t="str">
        <f t="shared" si="2421"/>
        <v>-</v>
      </c>
      <c r="AW495" s="51" t="str">
        <f t="shared" si="2421"/>
        <v>-</v>
      </c>
      <c r="AX495" s="51" t="str">
        <f t="shared" si="2421"/>
        <v>-</v>
      </c>
      <c r="AY495" s="51" t="str">
        <f t="shared" si="2421"/>
        <v>-</v>
      </c>
      <c r="AZ495" s="51" t="str">
        <f t="shared" si="2421"/>
        <v>-</v>
      </c>
      <c r="BA495" s="51" t="str">
        <f t="shared" ref="BA495:BW495" si="2422">IF(BA477="+",BA486,"-")</f>
        <v>-</v>
      </c>
      <c r="BB495" s="51" t="str">
        <f t="shared" si="2422"/>
        <v>-</v>
      </c>
      <c r="BC495" s="51" t="str">
        <f t="shared" si="2422"/>
        <v>-</v>
      </c>
      <c r="BD495" s="51" t="str">
        <f t="shared" si="2422"/>
        <v>-</v>
      </c>
      <c r="BE495" s="51" t="str">
        <f t="shared" si="2422"/>
        <v>-</v>
      </c>
      <c r="BF495" s="51" t="str">
        <f t="shared" si="2422"/>
        <v>-</v>
      </c>
      <c r="BG495" s="51" t="str">
        <f t="shared" si="2422"/>
        <v>-</v>
      </c>
      <c r="BH495" s="51" t="str">
        <f t="shared" si="2422"/>
        <v>-</v>
      </c>
      <c r="BI495" s="51" t="str">
        <f t="shared" si="2422"/>
        <v>-</v>
      </c>
      <c r="BJ495" s="51" t="str">
        <f t="shared" si="2422"/>
        <v>-</v>
      </c>
      <c r="BK495" s="51" t="str">
        <f t="shared" si="2422"/>
        <v>-</v>
      </c>
      <c r="BL495" s="51" t="str">
        <f t="shared" si="2422"/>
        <v>-</v>
      </c>
      <c r="BM495" s="51" t="str">
        <f t="shared" si="2422"/>
        <v>-</v>
      </c>
      <c r="BN495" s="51" t="str">
        <f t="shared" si="2422"/>
        <v>-</v>
      </c>
      <c r="BO495" s="51" t="str">
        <f t="shared" si="2422"/>
        <v>-</v>
      </c>
      <c r="BP495" s="51" t="str">
        <f t="shared" si="2422"/>
        <v>-</v>
      </c>
      <c r="BQ495" s="51" t="str">
        <f t="shared" si="2422"/>
        <v>-</v>
      </c>
      <c r="BR495" s="51" t="str">
        <f t="shared" si="2422"/>
        <v>-</v>
      </c>
      <c r="BS495" s="51" t="str">
        <f t="shared" si="2422"/>
        <v>-</v>
      </c>
      <c r="BT495" s="51" t="str">
        <f t="shared" si="2422"/>
        <v>-</v>
      </c>
      <c r="BU495" s="51" t="str">
        <f t="shared" si="2422"/>
        <v>-</v>
      </c>
      <c r="BV495" s="51" t="str">
        <f t="shared" si="2422"/>
        <v>-</v>
      </c>
      <c r="BW495" s="51" t="str">
        <f t="shared" si="2422"/>
        <v>-</v>
      </c>
      <c r="BX495" s="49"/>
      <c r="BY495" s="49"/>
      <c r="BZ495" s="49"/>
      <c r="CA495" s="49"/>
      <c r="CB495" s="49"/>
    </row>
    <row r="496" spans="2:80" ht="15" customHeight="1" x14ac:dyDescent="0.2"/>
    <row r="497" spans="2:26" ht="15" customHeight="1" x14ac:dyDescent="0.2">
      <c r="B497" s="50" t="s">
        <v>151</v>
      </c>
      <c r="C497" s="49"/>
      <c r="D497" s="49"/>
      <c r="E497" s="49"/>
      <c r="F497" s="49"/>
      <c r="G497" s="49"/>
      <c r="H497" s="49"/>
      <c r="I497" s="49"/>
      <c r="J497" s="49"/>
      <c r="K497" s="49"/>
      <c r="L497" s="49"/>
      <c r="M497" s="49"/>
      <c r="N497" s="49"/>
      <c r="O497" s="49"/>
      <c r="P497" s="49"/>
      <c r="Q497" s="49"/>
      <c r="R497" s="49"/>
      <c r="S497" s="49"/>
      <c r="T497" s="49"/>
    </row>
    <row r="498" spans="2:26" ht="15" customHeight="1" x14ac:dyDescent="0.2"/>
    <row r="499" spans="2:26" ht="15" customHeight="1" x14ac:dyDescent="0.2">
      <c r="B499" s="33" t="s">
        <v>207</v>
      </c>
      <c r="G499" s="33" t="str">
        <f>'Project Event Tree Input'!E80</f>
        <v>Hydrologic Hazard</v>
      </c>
    </row>
    <row r="500" spans="2:26" ht="15" customHeight="1" x14ac:dyDescent="0.2">
      <c r="B500" s="33" t="s">
        <v>207</v>
      </c>
      <c r="G500" s="33" t="str">
        <f>'Project Event Tree Input'!E81</f>
        <v>Stage-Frequency</v>
      </c>
    </row>
    <row r="501" spans="2:26" ht="15" customHeight="1" x14ac:dyDescent="0.2">
      <c r="B501" s="33" t="s">
        <v>181</v>
      </c>
      <c r="G501" s="33" t="str">
        <f>'Project Event Tree Input'!E82</f>
        <v>Stage</v>
      </c>
    </row>
    <row r="502" spans="2:26" ht="15" customHeight="1" x14ac:dyDescent="0.2">
      <c r="B502" s="33" t="s">
        <v>208</v>
      </c>
      <c r="G502" s="33" t="str">
        <f>'Project Event Tree Input'!E83</f>
        <v>Total Outflow</v>
      </c>
    </row>
    <row r="503" spans="2:26" ht="15" customHeight="1" x14ac:dyDescent="0.2">
      <c r="H503" s="58"/>
      <c r="I503" s="58"/>
      <c r="J503" s="58"/>
      <c r="K503" s="58"/>
      <c r="L503" s="58"/>
      <c r="M503" s="58"/>
      <c r="N503" s="58"/>
      <c r="O503" s="58"/>
      <c r="P503" s="58"/>
      <c r="Q503" s="58"/>
      <c r="R503" s="58"/>
      <c r="S503" s="58"/>
      <c r="T503" s="58"/>
      <c r="U503" s="58"/>
      <c r="V503" s="58"/>
      <c r="W503" s="58"/>
      <c r="X503" s="58"/>
      <c r="Y503" s="58"/>
      <c r="Z503" s="58"/>
    </row>
    <row r="505" spans="2:26" x14ac:dyDescent="0.2">
      <c r="B505" s="214" t="s">
        <v>98</v>
      </c>
      <c r="C505" s="214"/>
      <c r="D505" s="214"/>
      <c r="E505" s="218" t="s">
        <v>147</v>
      </c>
      <c r="F505" s="218"/>
      <c r="G505" s="218"/>
      <c r="H505" s="218"/>
      <c r="I505" s="218"/>
      <c r="J505" s="218"/>
      <c r="K505" s="218"/>
      <c r="L505" s="218"/>
      <c r="M505" s="218" t="s">
        <v>152</v>
      </c>
      <c r="N505" s="218"/>
      <c r="O505" s="218"/>
      <c r="P505" s="218"/>
      <c r="Q505" s="218"/>
      <c r="R505" s="218"/>
      <c r="S505" s="218"/>
      <c r="T505" s="218"/>
      <c r="U505" s="218"/>
      <c r="V505" s="218"/>
      <c r="W505" s="218"/>
      <c r="X505" s="218"/>
    </row>
    <row r="506" spans="2:26" x14ac:dyDescent="0.2">
      <c r="B506" s="214">
        <v>1</v>
      </c>
      <c r="C506" s="214"/>
      <c r="D506" s="214"/>
      <c r="E506" s="215" t="str">
        <f>IF(G500=0,"","Hazard")</f>
        <v>Hazard</v>
      </c>
      <c r="F506" s="216"/>
      <c r="G506" s="216"/>
      <c r="H506" s="216"/>
      <c r="I506" s="216"/>
      <c r="J506" s="216"/>
      <c r="K506" s="216"/>
      <c r="L506" s="217"/>
      <c r="M506" s="218" t="str">
        <f>IF(E506="","",IF(ISBLANK('Project Event Tree Input'!$E$81),"",IF(OR('Project Event Tree Input'!$D$9="Seismic Hazard",'Project Event Tree Input'!$D$24="None"),'Project Event Tree Input'!$E$81,IF('Project Event Tree Input'!$D$24="Gate Inoperability","100% Reliable " &amp; 'Project Event Tree Input'!$E$81,IF('Project Event Tree Input'!$D$24="Debris Blockage","0% Debris Blockage " &amp; 'Project Event Tree Input'!$E$81,"-")))))</f>
        <v>100% Reliable Stage-Frequency</v>
      </c>
      <c r="N506" s="218"/>
      <c r="O506" s="218"/>
      <c r="P506" s="218"/>
      <c r="Q506" s="218"/>
      <c r="R506" s="218"/>
      <c r="S506" s="218"/>
      <c r="T506" s="218"/>
      <c r="U506" s="218"/>
      <c r="V506" s="218"/>
      <c r="W506" s="218"/>
      <c r="X506" s="218"/>
    </row>
    <row r="507" spans="2:26" x14ac:dyDescent="0.2">
      <c r="B507" s="214">
        <v>2</v>
      </c>
      <c r="C507" s="214"/>
      <c r="D507" s="214"/>
      <c r="E507" s="218" t="str">
        <f>IF(E506="","",IF(AND(E506="Hazard",G502=0),"","Life Loss"))</f>
        <v>Life Loss</v>
      </c>
      <c r="F507" s="218"/>
      <c r="G507" s="218"/>
      <c r="H507" s="218"/>
      <c r="I507" s="218"/>
      <c r="J507" s="218"/>
      <c r="K507" s="218"/>
      <c r="L507" s="218"/>
      <c r="M507" s="218" t="str">
        <f>IF(E507="","","Non-Breach" &amp; CHAR(10) &amp; "Life Loss (Composite)")</f>
        <v>Non-Breach
Life Loss (Composite)</v>
      </c>
      <c r="N507" s="218"/>
      <c r="O507" s="218"/>
      <c r="P507" s="218"/>
      <c r="Q507" s="218"/>
      <c r="R507" s="218"/>
      <c r="S507" s="218"/>
      <c r="T507" s="218"/>
      <c r="U507" s="218"/>
      <c r="V507" s="218"/>
      <c r="W507" s="218"/>
      <c r="X507" s="218"/>
    </row>
    <row r="508" spans="2:26" x14ac:dyDescent="0.2">
      <c r="B508" s="214">
        <v>3</v>
      </c>
      <c r="C508" s="214"/>
      <c r="D508" s="214"/>
      <c r="E508" s="218" t="str">
        <f>IF(E507="","","Economic Cost")</f>
        <v>Economic Cost</v>
      </c>
      <c r="F508" s="218"/>
      <c r="G508" s="218"/>
      <c r="H508" s="218"/>
      <c r="I508" s="218"/>
      <c r="J508" s="218"/>
      <c r="K508" s="218"/>
      <c r="L508" s="218"/>
      <c r="M508" s="218" t="str">
        <f>IF(E508="","","Non-Breach" &amp; CHAR(10) &amp; "Economic Loss")</f>
        <v>Non-Breach
Economic Loss</v>
      </c>
      <c r="N508" s="218"/>
      <c r="O508" s="218"/>
      <c r="P508" s="218"/>
      <c r="Q508" s="218"/>
      <c r="R508" s="218"/>
      <c r="S508" s="218"/>
      <c r="T508" s="218"/>
      <c r="U508" s="218"/>
      <c r="V508" s="218"/>
      <c r="W508" s="218"/>
      <c r="X508" s="218"/>
    </row>
    <row r="509" spans="2:26" x14ac:dyDescent="0.2">
      <c r="B509" s="214"/>
      <c r="C509" s="214"/>
      <c r="D509" s="214"/>
      <c r="E509" s="218"/>
      <c r="F509" s="218"/>
      <c r="G509" s="218"/>
      <c r="H509" s="218"/>
      <c r="I509" s="218"/>
      <c r="J509" s="218"/>
      <c r="K509" s="218"/>
      <c r="L509" s="218"/>
      <c r="M509" s="218"/>
      <c r="N509" s="218"/>
      <c r="O509" s="218"/>
      <c r="P509" s="218"/>
      <c r="Q509" s="218"/>
      <c r="R509" s="218"/>
      <c r="S509" s="218"/>
      <c r="T509" s="218"/>
      <c r="U509" s="218"/>
      <c r="V509" s="218"/>
      <c r="W509" s="218"/>
      <c r="X509" s="218"/>
    </row>
  </sheetData>
  <mergeCells count="879">
    <mergeCell ref="M416:BO416"/>
    <mergeCell ref="U452:BW452"/>
    <mergeCell ref="U461:BW461"/>
    <mergeCell ref="U472:BW475"/>
    <mergeCell ref="U481:BW484"/>
    <mergeCell ref="U490:BW493"/>
    <mergeCell ref="B335:D335"/>
    <mergeCell ref="E335:L335"/>
    <mergeCell ref="M335:P335"/>
    <mergeCell ref="Q335:T335"/>
    <mergeCell ref="B336:D336"/>
    <mergeCell ref="E336:L336"/>
    <mergeCell ref="M336:P336"/>
    <mergeCell ref="Q336:T336"/>
    <mergeCell ref="B337:D337"/>
    <mergeCell ref="E337:L337"/>
    <mergeCell ref="M337:P337"/>
    <mergeCell ref="Q337:T337"/>
    <mergeCell ref="B338:D338"/>
    <mergeCell ref="E338:L338"/>
    <mergeCell ref="M338:P338"/>
    <mergeCell ref="Q338:T338"/>
    <mergeCell ref="B339:D339"/>
    <mergeCell ref="E339:L339"/>
    <mergeCell ref="B309:H311"/>
    <mergeCell ref="I309:O311"/>
    <mergeCell ref="P309:V311"/>
    <mergeCell ref="W309:AC311"/>
    <mergeCell ref="AD309:AJ311"/>
    <mergeCell ref="AK309:AQ311"/>
    <mergeCell ref="AR309:AW311"/>
    <mergeCell ref="B299:H301"/>
    <mergeCell ref="I299:O301"/>
    <mergeCell ref="P299:V301"/>
    <mergeCell ref="W299:AC301"/>
    <mergeCell ref="AD299:AJ301"/>
    <mergeCell ref="AK299:AQ301"/>
    <mergeCell ref="AR299:AW301"/>
    <mergeCell ref="B304:H306"/>
    <mergeCell ref="I304:O306"/>
    <mergeCell ref="P304:V306"/>
    <mergeCell ref="W304:AC306"/>
    <mergeCell ref="AD304:AJ306"/>
    <mergeCell ref="AK304:AQ306"/>
    <mergeCell ref="AR304:AW306"/>
    <mergeCell ref="B289:H291"/>
    <mergeCell ref="I289:O291"/>
    <mergeCell ref="P289:V291"/>
    <mergeCell ref="W289:AC291"/>
    <mergeCell ref="AD289:AJ291"/>
    <mergeCell ref="AK289:AQ291"/>
    <mergeCell ref="AR289:AW291"/>
    <mergeCell ref="B294:H296"/>
    <mergeCell ref="I294:O296"/>
    <mergeCell ref="P294:V296"/>
    <mergeCell ref="W294:AC296"/>
    <mergeCell ref="AD294:AJ296"/>
    <mergeCell ref="AK294:AQ296"/>
    <mergeCell ref="AR294:AW296"/>
    <mergeCell ref="B279:H281"/>
    <mergeCell ref="I279:O281"/>
    <mergeCell ref="P279:V281"/>
    <mergeCell ref="W279:AC281"/>
    <mergeCell ref="AD279:AJ281"/>
    <mergeCell ref="AK279:AQ281"/>
    <mergeCell ref="AR279:AW281"/>
    <mergeCell ref="B284:H286"/>
    <mergeCell ref="I284:O286"/>
    <mergeCell ref="P284:V286"/>
    <mergeCell ref="W284:AC286"/>
    <mergeCell ref="AD284:AJ286"/>
    <mergeCell ref="AK284:AQ286"/>
    <mergeCell ref="AR284:AW286"/>
    <mergeCell ref="B269:H271"/>
    <mergeCell ref="I269:O271"/>
    <mergeCell ref="P269:V271"/>
    <mergeCell ref="W269:AC271"/>
    <mergeCell ref="AD269:AJ271"/>
    <mergeCell ref="AK269:AQ271"/>
    <mergeCell ref="AR269:AW271"/>
    <mergeCell ref="B274:H276"/>
    <mergeCell ref="I274:O276"/>
    <mergeCell ref="P274:V276"/>
    <mergeCell ref="W274:AC276"/>
    <mergeCell ref="AD274:AJ276"/>
    <mergeCell ref="AK274:AQ276"/>
    <mergeCell ref="AR274:AW276"/>
    <mergeCell ref="B259:H261"/>
    <mergeCell ref="I259:O261"/>
    <mergeCell ref="P259:V261"/>
    <mergeCell ref="W259:AC261"/>
    <mergeCell ref="AD259:AJ261"/>
    <mergeCell ref="AK259:AQ261"/>
    <mergeCell ref="AR259:AW261"/>
    <mergeCell ref="B264:H266"/>
    <mergeCell ref="I264:O266"/>
    <mergeCell ref="P264:V266"/>
    <mergeCell ref="W264:AC266"/>
    <mergeCell ref="AD264:AJ266"/>
    <mergeCell ref="AK264:AQ266"/>
    <mergeCell ref="AR264:AW266"/>
    <mergeCell ref="B249:H251"/>
    <mergeCell ref="I249:O251"/>
    <mergeCell ref="P249:V251"/>
    <mergeCell ref="W249:AC251"/>
    <mergeCell ref="AD249:AJ251"/>
    <mergeCell ref="AK249:AQ251"/>
    <mergeCell ref="AR249:AW251"/>
    <mergeCell ref="B254:H256"/>
    <mergeCell ref="I254:O256"/>
    <mergeCell ref="P254:V256"/>
    <mergeCell ref="W254:AC256"/>
    <mergeCell ref="AD254:AJ256"/>
    <mergeCell ref="AK254:AQ256"/>
    <mergeCell ref="AR254:AW256"/>
    <mergeCell ref="B239:H241"/>
    <mergeCell ref="I239:O241"/>
    <mergeCell ref="P239:V241"/>
    <mergeCell ref="W239:AC241"/>
    <mergeCell ref="AD239:AJ241"/>
    <mergeCell ref="AK239:AQ241"/>
    <mergeCell ref="AR239:AW241"/>
    <mergeCell ref="B244:H246"/>
    <mergeCell ref="I244:O246"/>
    <mergeCell ref="P244:V246"/>
    <mergeCell ref="W244:AC246"/>
    <mergeCell ref="AD244:AJ246"/>
    <mergeCell ref="AK244:AQ246"/>
    <mergeCell ref="AR244:AW246"/>
    <mergeCell ref="B229:H231"/>
    <mergeCell ref="I229:O231"/>
    <mergeCell ref="P229:V231"/>
    <mergeCell ref="W229:AC231"/>
    <mergeCell ref="AD229:AJ231"/>
    <mergeCell ref="AK229:AQ231"/>
    <mergeCell ref="AR229:AW231"/>
    <mergeCell ref="B234:H236"/>
    <mergeCell ref="I234:O236"/>
    <mergeCell ref="P234:V236"/>
    <mergeCell ref="W234:AC236"/>
    <mergeCell ref="AD234:AJ236"/>
    <mergeCell ref="AK234:AQ236"/>
    <mergeCell ref="AR234:AW236"/>
    <mergeCell ref="B219:H221"/>
    <mergeCell ref="I219:O221"/>
    <mergeCell ref="P219:V221"/>
    <mergeCell ref="W219:AC221"/>
    <mergeCell ref="AD219:AJ221"/>
    <mergeCell ref="AK219:AQ221"/>
    <mergeCell ref="AR219:AW221"/>
    <mergeCell ref="B224:H226"/>
    <mergeCell ref="I224:O226"/>
    <mergeCell ref="P224:V226"/>
    <mergeCell ref="W224:AC226"/>
    <mergeCell ref="AD224:AJ226"/>
    <mergeCell ref="AK224:AQ226"/>
    <mergeCell ref="AR224:AW226"/>
    <mergeCell ref="B209:H211"/>
    <mergeCell ref="I209:O211"/>
    <mergeCell ref="P209:V211"/>
    <mergeCell ref="W209:AC211"/>
    <mergeCell ref="AD209:AJ211"/>
    <mergeCell ref="AK209:AQ211"/>
    <mergeCell ref="AR209:AW211"/>
    <mergeCell ref="B214:H216"/>
    <mergeCell ref="I214:O216"/>
    <mergeCell ref="P214:V216"/>
    <mergeCell ref="W214:AC216"/>
    <mergeCell ref="AD214:AJ216"/>
    <mergeCell ref="AK214:AQ216"/>
    <mergeCell ref="AR214:AW216"/>
    <mergeCell ref="B199:H201"/>
    <mergeCell ref="I199:O201"/>
    <mergeCell ref="P199:V201"/>
    <mergeCell ref="W199:AC201"/>
    <mergeCell ref="AD199:AJ201"/>
    <mergeCell ref="AK199:AQ201"/>
    <mergeCell ref="AR199:AW201"/>
    <mergeCell ref="B204:H206"/>
    <mergeCell ref="I204:O206"/>
    <mergeCell ref="P204:V206"/>
    <mergeCell ref="W204:AC206"/>
    <mergeCell ref="AD204:AJ206"/>
    <mergeCell ref="AK204:AQ206"/>
    <mergeCell ref="AR204:AW206"/>
    <mergeCell ref="B189:H191"/>
    <mergeCell ref="I189:O191"/>
    <mergeCell ref="P189:V191"/>
    <mergeCell ref="W189:AC191"/>
    <mergeCell ref="AD189:AJ191"/>
    <mergeCell ref="AK189:AQ191"/>
    <mergeCell ref="AR189:AW191"/>
    <mergeCell ref="B194:H196"/>
    <mergeCell ref="I194:O196"/>
    <mergeCell ref="P194:V196"/>
    <mergeCell ref="W194:AC196"/>
    <mergeCell ref="AD194:AJ196"/>
    <mergeCell ref="AK194:AQ196"/>
    <mergeCell ref="AR194:AW196"/>
    <mergeCell ref="B179:H181"/>
    <mergeCell ref="I179:O181"/>
    <mergeCell ref="P179:V181"/>
    <mergeCell ref="W179:AC181"/>
    <mergeCell ref="AD179:AJ181"/>
    <mergeCell ref="AK179:AQ181"/>
    <mergeCell ref="AR179:AW181"/>
    <mergeCell ref="B184:H186"/>
    <mergeCell ref="I184:O186"/>
    <mergeCell ref="P184:V186"/>
    <mergeCell ref="W184:AC186"/>
    <mergeCell ref="AD184:AJ186"/>
    <mergeCell ref="AK184:AQ186"/>
    <mergeCell ref="AR184:AW186"/>
    <mergeCell ref="B169:H171"/>
    <mergeCell ref="I169:O171"/>
    <mergeCell ref="P169:V171"/>
    <mergeCell ref="W169:AC171"/>
    <mergeCell ref="AD169:AJ171"/>
    <mergeCell ref="AK169:AQ171"/>
    <mergeCell ref="AR169:AW171"/>
    <mergeCell ref="B174:H176"/>
    <mergeCell ref="I174:O176"/>
    <mergeCell ref="P174:V176"/>
    <mergeCell ref="W174:AC176"/>
    <mergeCell ref="AD174:AJ176"/>
    <mergeCell ref="AK174:AQ176"/>
    <mergeCell ref="AR174:AW176"/>
    <mergeCell ref="B159:H161"/>
    <mergeCell ref="I159:O161"/>
    <mergeCell ref="P159:V161"/>
    <mergeCell ref="W159:AC161"/>
    <mergeCell ref="AD159:AJ161"/>
    <mergeCell ref="AK159:AQ161"/>
    <mergeCell ref="AR159:AW161"/>
    <mergeCell ref="B164:H166"/>
    <mergeCell ref="I164:O166"/>
    <mergeCell ref="P164:V166"/>
    <mergeCell ref="W164:AC166"/>
    <mergeCell ref="AD164:AJ166"/>
    <mergeCell ref="AK164:AQ166"/>
    <mergeCell ref="AR164:AW166"/>
    <mergeCell ref="B149:H151"/>
    <mergeCell ref="I149:O151"/>
    <mergeCell ref="P149:V151"/>
    <mergeCell ref="W149:AC151"/>
    <mergeCell ref="AD149:AJ151"/>
    <mergeCell ref="AK149:AQ151"/>
    <mergeCell ref="AR149:AW151"/>
    <mergeCell ref="B154:H156"/>
    <mergeCell ref="I154:O156"/>
    <mergeCell ref="P154:V156"/>
    <mergeCell ref="W154:AC156"/>
    <mergeCell ref="AD154:AJ156"/>
    <mergeCell ref="AK154:AQ156"/>
    <mergeCell ref="AR154:AW156"/>
    <mergeCell ref="B139:H141"/>
    <mergeCell ref="I139:O141"/>
    <mergeCell ref="P139:V141"/>
    <mergeCell ref="W139:AC141"/>
    <mergeCell ref="AD139:AJ141"/>
    <mergeCell ref="AK139:AQ141"/>
    <mergeCell ref="AR139:AW141"/>
    <mergeCell ref="B144:H146"/>
    <mergeCell ref="I144:O146"/>
    <mergeCell ref="P144:V146"/>
    <mergeCell ref="W144:AC146"/>
    <mergeCell ref="AD144:AJ146"/>
    <mergeCell ref="AK144:AQ146"/>
    <mergeCell ref="AR144:AW146"/>
    <mergeCell ref="B129:H131"/>
    <mergeCell ref="I129:O131"/>
    <mergeCell ref="P129:V131"/>
    <mergeCell ref="W129:AC131"/>
    <mergeCell ref="AD129:AJ131"/>
    <mergeCell ref="AK129:AQ131"/>
    <mergeCell ref="AR129:AW131"/>
    <mergeCell ref="B134:H136"/>
    <mergeCell ref="I134:O136"/>
    <mergeCell ref="P134:V136"/>
    <mergeCell ref="W134:AC136"/>
    <mergeCell ref="AD134:AJ136"/>
    <mergeCell ref="AK134:AQ136"/>
    <mergeCell ref="AR134:AW136"/>
    <mergeCell ref="B119:H121"/>
    <mergeCell ref="I119:O121"/>
    <mergeCell ref="P119:V121"/>
    <mergeCell ref="W119:AC121"/>
    <mergeCell ref="AD119:AJ121"/>
    <mergeCell ref="AK119:AQ121"/>
    <mergeCell ref="AR119:AW121"/>
    <mergeCell ref="B124:H126"/>
    <mergeCell ref="I124:O126"/>
    <mergeCell ref="P124:V126"/>
    <mergeCell ref="W124:AC126"/>
    <mergeCell ref="AD124:AJ126"/>
    <mergeCell ref="AK124:AQ126"/>
    <mergeCell ref="AR124:AW126"/>
    <mergeCell ref="B109:H111"/>
    <mergeCell ref="I109:O111"/>
    <mergeCell ref="P109:V111"/>
    <mergeCell ref="W109:AC111"/>
    <mergeCell ref="AD109:AJ111"/>
    <mergeCell ref="AK109:AQ111"/>
    <mergeCell ref="AR109:AW111"/>
    <mergeCell ref="B114:H116"/>
    <mergeCell ref="I114:O116"/>
    <mergeCell ref="P114:V116"/>
    <mergeCell ref="W114:AC116"/>
    <mergeCell ref="AD114:AJ116"/>
    <mergeCell ref="AK114:AQ116"/>
    <mergeCell ref="AR114:AW116"/>
    <mergeCell ref="I99:O101"/>
    <mergeCell ref="P99:V101"/>
    <mergeCell ref="W99:AC101"/>
    <mergeCell ref="AD99:AJ101"/>
    <mergeCell ref="AK99:AQ101"/>
    <mergeCell ref="AR99:AW101"/>
    <mergeCell ref="B104:H106"/>
    <mergeCell ref="I104:O106"/>
    <mergeCell ref="P104:V106"/>
    <mergeCell ref="W104:AC106"/>
    <mergeCell ref="AD104:AJ106"/>
    <mergeCell ref="AK104:AQ106"/>
    <mergeCell ref="AR104:AW106"/>
    <mergeCell ref="A2:C2"/>
    <mergeCell ref="D2:Y2"/>
    <mergeCell ref="Z2:AB2"/>
    <mergeCell ref="AC2:AK2"/>
    <mergeCell ref="AL2:AN2"/>
    <mergeCell ref="AO2:AW2"/>
    <mergeCell ref="A1:C1"/>
    <mergeCell ref="D1:Y1"/>
    <mergeCell ref="Z1:AB1"/>
    <mergeCell ref="AC1:AK1"/>
    <mergeCell ref="AL1:AN1"/>
    <mergeCell ref="AO1:AW1"/>
    <mergeCell ref="B13:H15"/>
    <mergeCell ref="I13:O15"/>
    <mergeCell ref="P13:V15"/>
    <mergeCell ref="W13:AC15"/>
    <mergeCell ref="B34:H35"/>
    <mergeCell ref="I34:O35"/>
    <mergeCell ref="P34:V35"/>
    <mergeCell ref="W34:AC35"/>
    <mergeCell ref="A3:D3"/>
    <mergeCell ref="E3:AW3"/>
    <mergeCell ref="A5:AW5"/>
    <mergeCell ref="B9:H10"/>
    <mergeCell ref="I9:O10"/>
    <mergeCell ref="P9:V10"/>
    <mergeCell ref="W9:AC10"/>
    <mergeCell ref="AD34:AJ35"/>
    <mergeCell ref="AK34:AQ35"/>
    <mergeCell ref="AR34:AW35"/>
    <mergeCell ref="B39:H41"/>
    <mergeCell ref="I39:O41"/>
    <mergeCell ref="P39:V41"/>
    <mergeCell ref="W39:AC41"/>
    <mergeCell ref="AD39:AJ41"/>
    <mergeCell ref="AK39:AQ41"/>
    <mergeCell ref="AR39:AW41"/>
    <mergeCell ref="AR44:AW46"/>
    <mergeCell ref="B49:H51"/>
    <mergeCell ref="I49:O51"/>
    <mergeCell ref="P49:V51"/>
    <mergeCell ref="W49:AC51"/>
    <mergeCell ref="AD49:AJ51"/>
    <mergeCell ref="AK49:AQ51"/>
    <mergeCell ref="AR49:AW51"/>
    <mergeCell ref="B44:H46"/>
    <mergeCell ref="I44:O46"/>
    <mergeCell ref="P44:V46"/>
    <mergeCell ref="W44:AC46"/>
    <mergeCell ref="AD44:AJ46"/>
    <mergeCell ref="AK44:AQ46"/>
    <mergeCell ref="AR54:AW56"/>
    <mergeCell ref="B59:H61"/>
    <mergeCell ref="I59:O61"/>
    <mergeCell ref="P59:V61"/>
    <mergeCell ref="W59:AC61"/>
    <mergeCell ref="AD59:AJ61"/>
    <mergeCell ref="AK59:AQ61"/>
    <mergeCell ref="AR59:AW61"/>
    <mergeCell ref="B54:H56"/>
    <mergeCell ref="I54:O56"/>
    <mergeCell ref="P54:V56"/>
    <mergeCell ref="W54:AC56"/>
    <mergeCell ref="AD54:AJ56"/>
    <mergeCell ref="AK54:AQ56"/>
    <mergeCell ref="AR64:AW66"/>
    <mergeCell ref="B69:H71"/>
    <mergeCell ref="I69:O71"/>
    <mergeCell ref="P69:V71"/>
    <mergeCell ref="W69:AC71"/>
    <mergeCell ref="AD69:AJ71"/>
    <mergeCell ref="AK69:AQ71"/>
    <mergeCell ref="AR69:AW71"/>
    <mergeCell ref="B64:H66"/>
    <mergeCell ref="I64:O66"/>
    <mergeCell ref="P64:V66"/>
    <mergeCell ref="W64:AC66"/>
    <mergeCell ref="AD64:AJ66"/>
    <mergeCell ref="AK64:AQ66"/>
    <mergeCell ref="AR74:AW76"/>
    <mergeCell ref="B79:H81"/>
    <mergeCell ref="I79:O81"/>
    <mergeCell ref="P79:V81"/>
    <mergeCell ref="W79:AC81"/>
    <mergeCell ref="AD79:AJ81"/>
    <mergeCell ref="AK79:AQ81"/>
    <mergeCell ref="AR79:AW81"/>
    <mergeCell ref="B74:H76"/>
    <mergeCell ref="I74:O76"/>
    <mergeCell ref="P74:V76"/>
    <mergeCell ref="W74:AC76"/>
    <mergeCell ref="AD74:AJ76"/>
    <mergeCell ref="AK74:AQ76"/>
    <mergeCell ref="B324:D324"/>
    <mergeCell ref="E324:L324"/>
    <mergeCell ref="M324:P324"/>
    <mergeCell ref="Q324:T324"/>
    <mergeCell ref="B325:D325"/>
    <mergeCell ref="E325:L325"/>
    <mergeCell ref="M325:P325"/>
    <mergeCell ref="Q325:T325"/>
    <mergeCell ref="AR84:AW86"/>
    <mergeCell ref="B89:H91"/>
    <mergeCell ref="I89:O91"/>
    <mergeCell ref="P89:V91"/>
    <mergeCell ref="W89:AC91"/>
    <mergeCell ref="AD89:AJ91"/>
    <mergeCell ref="AK89:AQ91"/>
    <mergeCell ref="AR89:AW91"/>
    <mergeCell ref="B84:H86"/>
    <mergeCell ref="I84:O86"/>
    <mergeCell ref="P84:V86"/>
    <mergeCell ref="W84:AC86"/>
    <mergeCell ref="AD84:AJ86"/>
    <mergeCell ref="AK84:AQ86"/>
    <mergeCell ref="AR94:AW96"/>
    <mergeCell ref="B99:H101"/>
    <mergeCell ref="B328:D328"/>
    <mergeCell ref="E328:L328"/>
    <mergeCell ref="M328:P328"/>
    <mergeCell ref="Q328:T328"/>
    <mergeCell ref="B329:D329"/>
    <mergeCell ref="E329:L329"/>
    <mergeCell ref="M329:P329"/>
    <mergeCell ref="Q329:T329"/>
    <mergeCell ref="B326:D326"/>
    <mergeCell ref="E326:L326"/>
    <mergeCell ref="M326:P326"/>
    <mergeCell ref="Q326:T326"/>
    <mergeCell ref="B327:D327"/>
    <mergeCell ref="E327:L327"/>
    <mergeCell ref="M327:P327"/>
    <mergeCell ref="Q327:T327"/>
    <mergeCell ref="BH364:BJ364"/>
    <mergeCell ref="B369:T369"/>
    <mergeCell ref="B370:D370"/>
    <mergeCell ref="E370:L370"/>
    <mergeCell ref="M370:P370"/>
    <mergeCell ref="Q370:T370"/>
    <mergeCell ref="B330:D330"/>
    <mergeCell ref="E330:L330"/>
    <mergeCell ref="M330:P330"/>
    <mergeCell ref="Q330:T330"/>
    <mergeCell ref="BF363:BG363"/>
    <mergeCell ref="BH363:BJ363"/>
    <mergeCell ref="M339:P339"/>
    <mergeCell ref="Q339:T339"/>
    <mergeCell ref="B340:D340"/>
    <mergeCell ref="E340:L340"/>
    <mergeCell ref="M340:P340"/>
    <mergeCell ref="Q340:T340"/>
    <mergeCell ref="B341:D341"/>
    <mergeCell ref="E341:L341"/>
    <mergeCell ref="M341:P341"/>
    <mergeCell ref="Q341:T341"/>
    <mergeCell ref="E346:L346"/>
    <mergeCell ref="M346:P346"/>
    <mergeCell ref="B371:D371"/>
    <mergeCell ref="E371:L371"/>
    <mergeCell ref="M371:P371"/>
    <mergeCell ref="Q371:T371"/>
    <mergeCell ref="B372:D372"/>
    <mergeCell ref="E372:L372"/>
    <mergeCell ref="M372:P372"/>
    <mergeCell ref="Q372:T372"/>
    <mergeCell ref="BF364:BG364"/>
    <mergeCell ref="B375:D375"/>
    <mergeCell ref="E375:L375"/>
    <mergeCell ref="M375:P375"/>
    <mergeCell ref="Q375:T375"/>
    <mergeCell ref="B376:D376"/>
    <mergeCell ref="E376:L376"/>
    <mergeCell ref="M376:P376"/>
    <mergeCell ref="Q376:T376"/>
    <mergeCell ref="B373:D373"/>
    <mergeCell ref="E373:L373"/>
    <mergeCell ref="M373:P373"/>
    <mergeCell ref="Q373:T373"/>
    <mergeCell ref="B374:D374"/>
    <mergeCell ref="E374:L374"/>
    <mergeCell ref="M374:P374"/>
    <mergeCell ref="Q374:T374"/>
    <mergeCell ref="B378:T378"/>
    <mergeCell ref="B379:D379"/>
    <mergeCell ref="E379:L379"/>
    <mergeCell ref="M379:P379"/>
    <mergeCell ref="Q379:T379"/>
    <mergeCell ref="B380:D380"/>
    <mergeCell ref="E380:L380"/>
    <mergeCell ref="M380:P380"/>
    <mergeCell ref="Q380:T380"/>
    <mergeCell ref="B383:D383"/>
    <mergeCell ref="E383:L383"/>
    <mergeCell ref="M383:P383"/>
    <mergeCell ref="Q383:T383"/>
    <mergeCell ref="B384:D384"/>
    <mergeCell ref="E384:L384"/>
    <mergeCell ref="M384:P384"/>
    <mergeCell ref="Q384:T384"/>
    <mergeCell ref="B381:D381"/>
    <mergeCell ref="E381:L381"/>
    <mergeCell ref="M381:P381"/>
    <mergeCell ref="Q381:T381"/>
    <mergeCell ref="B382:D382"/>
    <mergeCell ref="E382:L382"/>
    <mergeCell ref="M382:P382"/>
    <mergeCell ref="Q382:T382"/>
    <mergeCell ref="B396:D396"/>
    <mergeCell ref="E396:L396"/>
    <mergeCell ref="M396:P396"/>
    <mergeCell ref="Q396:T396"/>
    <mergeCell ref="B397:D397"/>
    <mergeCell ref="E397:L397"/>
    <mergeCell ref="M397:P397"/>
    <mergeCell ref="Q397:T397"/>
    <mergeCell ref="B385:D385"/>
    <mergeCell ref="E385:L385"/>
    <mergeCell ref="M385:P385"/>
    <mergeCell ref="Q385:T385"/>
    <mergeCell ref="B394:T394"/>
    <mergeCell ref="B395:D395"/>
    <mergeCell ref="E395:L395"/>
    <mergeCell ref="M395:P395"/>
    <mergeCell ref="Q395:T395"/>
    <mergeCell ref="B400:D400"/>
    <mergeCell ref="E400:L400"/>
    <mergeCell ref="M400:P400"/>
    <mergeCell ref="Q400:T400"/>
    <mergeCell ref="B401:D401"/>
    <mergeCell ref="E401:L401"/>
    <mergeCell ref="M401:P401"/>
    <mergeCell ref="Q401:T401"/>
    <mergeCell ref="B398:D398"/>
    <mergeCell ref="E398:L398"/>
    <mergeCell ref="M398:P398"/>
    <mergeCell ref="Q398:T398"/>
    <mergeCell ref="B399:D399"/>
    <mergeCell ref="E399:L399"/>
    <mergeCell ref="M399:P399"/>
    <mergeCell ref="Q399:T399"/>
    <mergeCell ref="B403:I403"/>
    <mergeCell ref="J403:R403"/>
    <mergeCell ref="AF403:AH403"/>
    <mergeCell ref="AI403:AW403"/>
    <mergeCell ref="AX403:BH403"/>
    <mergeCell ref="B404:I404"/>
    <mergeCell ref="J404:R404"/>
    <mergeCell ref="AF404:AH404"/>
    <mergeCell ref="AI404:AW404"/>
    <mergeCell ref="AX404:BH404"/>
    <mergeCell ref="U403:AB403"/>
    <mergeCell ref="V404:AB404"/>
    <mergeCell ref="B407:F407"/>
    <mergeCell ref="G407:Q407"/>
    <mergeCell ref="AF407:AH407"/>
    <mergeCell ref="AI407:AW407"/>
    <mergeCell ref="AX407:BH407"/>
    <mergeCell ref="AF408:AH408"/>
    <mergeCell ref="AI408:AW408"/>
    <mergeCell ref="AX408:BH408"/>
    <mergeCell ref="AF405:AH405"/>
    <mergeCell ref="AI405:AW405"/>
    <mergeCell ref="AX405:BH405"/>
    <mergeCell ref="B406:F406"/>
    <mergeCell ref="G406:Q406"/>
    <mergeCell ref="AF406:AH406"/>
    <mergeCell ref="AI406:AW406"/>
    <mergeCell ref="AX406:BH406"/>
    <mergeCell ref="V405:AB405"/>
    <mergeCell ref="V406:AB406"/>
    <mergeCell ref="B409:F409"/>
    <mergeCell ref="G409:Q409"/>
    <mergeCell ref="AF409:AH409"/>
    <mergeCell ref="AI409:AW409"/>
    <mergeCell ref="AX409:BH409"/>
    <mergeCell ref="B410:F410"/>
    <mergeCell ref="G410:Q410"/>
    <mergeCell ref="AF410:AH410"/>
    <mergeCell ref="AI410:AW410"/>
    <mergeCell ref="AX410:BH410"/>
    <mergeCell ref="AF413:AH413"/>
    <mergeCell ref="AI413:AW413"/>
    <mergeCell ref="AX413:BH413"/>
    <mergeCell ref="AF414:AH414"/>
    <mergeCell ref="AI414:AW414"/>
    <mergeCell ref="AX414:BH414"/>
    <mergeCell ref="AF411:AH411"/>
    <mergeCell ref="AI411:AW411"/>
    <mergeCell ref="AX411:BH411"/>
    <mergeCell ref="AF412:AH412"/>
    <mergeCell ref="AI412:AW412"/>
    <mergeCell ref="AX412:BH412"/>
    <mergeCell ref="B419:D419"/>
    <mergeCell ref="E419:L419"/>
    <mergeCell ref="B420:D420"/>
    <mergeCell ref="E420:L420"/>
    <mergeCell ref="B421:D421"/>
    <mergeCell ref="E421:L421"/>
    <mergeCell ref="B416:L416"/>
    <mergeCell ref="B417:D417"/>
    <mergeCell ref="E417:L417"/>
    <mergeCell ref="B418:D418"/>
    <mergeCell ref="E418:L418"/>
    <mergeCell ref="B422:D422"/>
    <mergeCell ref="E422:L422"/>
    <mergeCell ref="B423:D423"/>
    <mergeCell ref="E423:L423"/>
    <mergeCell ref="B425:T425"/>
    <mergeCell ref="B426:D426"/>
    <mergeCell ref="E426:L426"/>
    <mergeCell ref="M426:P426"/>
    <mergeCell ref="Q426:T426"/>
    <mergeCell ref="B429:D429"/>
    <mergeCell ref="E429:L429"/>
    <mergeCell ref="M429:P429"/>
    <mergeCell ref="Q429:T429"/>
    <mergeCell ref="B430:D430"/>
    <mergeCell ref="E430:L430"/>
    <mergeCell ref="M430:P430"/>
    <mergeCell ref="Q430:T430"/>
    <mergeCell ref="B427:D427"/>
    <mergeCell ref="E427:L427"/>
    <mergeCell ref="M427:P427"/>
    <mergeCell ref="Q427:T427"/>
    <mergeCell ref="B428:D428"/>
    <mergeCell ref="E428:L428"/>
    <mergeCell ref="M428:P428"/>
    <mergeCell ref="Q428:T428"/>
    <mergeCell ref="B442:D442"/>
    <mergeCell ref="E442:L442"/>
    <mergeCell ref="M442:P442"/>
    <mergeCell ref="Q442:T442"/>
    <mergeCell ref="B443:D443"/>
    <mergeCell ref="E443:L443"/>
    <mergeCell ref="M443:P443"/>
    <mergeCell ref="Q443:T443"/>
    <mergeCell ref="B431:D431"/>
    <mergeCell ref="E431:L431"/>
    <mergeCell ref="M431:P431"/>
    <mergeCell ref="Q431:T431"/>
    <mergeCell ref="B432:D432"/>
    <mergeCell ref="E432:L432"/>
    <mergeCell ref="M432:P432"/>
    <mergeCell ref="Q432:T432"/>
    <mergeCell ref="B446:D446"/>
    <mergeCell ref="E446:L446"/>
    <mergeCell ref="M446:P446"/>
    <mergeCell ref="Q446:T446"/>
    <mergeCell ref="B447:D447"/>
    <mergeCell ref="E447:L447"/>
    <mergeCell ref="M447:P447"/>
    <mergeCell ref="Q447:T447"/>
    <mergeCell ref="B444:D444"/>
    <mergeCell ref="E444:L444"/>
    <mergeCell ref="M444:P444"/>
    <mergeCell ref="Q444:T444"/>
    <mergeCell ref="B445:D445"/>
    <mergeCell ref="E445:L445"/>
    <mergeCell ref="M445:P445"/>
    <mergeCell ref="Q445:T445"/>
    <mergeCell ref="B452:D452"/>
    <mergeCell ref="E452:L452"/>
    <mergeCell ref="M452:P452"/>
    <mergeCell ref="Q452:T452"/>
    <mergeCell ref="B453:D453"/>
    <mergeCell ref="E453:L453"/>
    <mergeCell ref="M453:P453"/>
    <mergeCell ref="Q453:T453"/>
    <mergeCell ref="B448:D448"/>
    <mergeCell ref="E448:L448"/>
    <mergeCell ref="M448:P448"/>
    <mergeCell ref="Q448:T448"/>
    <mergeCell ref="B451:D451"/>
    <mergeCell ref="E451:L451"/>
    <mergeCell ref="M451:P451"/>
    <mergeCell ref="Q451:T451"/>
    <mergeCell ref="B456:D456"/>
    <mergeCell ref="E456:L456"/>
    <mergeCell ref="M456:P456"/>
    <mergeCell ref="Q456:T456"/>
    <mergeCell ref="B457:D457"/>
    <mergeCell ref="E457:L457"/>
    <mergeCell ref="M457:P457"/>
    <mergeCell ref="Q457:T457"/>
    <mergeCell ref="B454:D454"/>
    <mergeCell ref="E454:L454"/>
    <mergeCell ref="M454:P454"/>
    <mergeCell ref="Q454:T454"/>
    <mergeCell ref="B455:D455"/>
    <mergeCell ref="E455:L455"/>
    <mergeCell ref="M455:P455"/>
    <mergeCell ref="Q455:T455"/>
    <mergeCell ref="B462:D462"/>
    <mergeCell ref="E462:L462"/>
    <mergeCell ref="M462:P462"/>
    <mergeCell ref="Q462:T462"/>
    <mergeCell ref="B463:D463"/>
    <mergeCell ref="E463:L463"/>
    <mergeCell ref="M463:P463"/>
    <mergeCell ref="Q463:T463"/>
    <mergeCell ref="B460:D460"/>
    <mergeCell ref="E460:L460"/>
    <mergeCell ref="M460:P460"/>
    <mergeCell ref="Q460:T460"/>
    <mergeCell ref="B461:D461"/>
    <mergeCell ref="E461:L461"/>
    <mergeCell ref="M461:P461"/>
    <mergeCell ref="Q461:T461"/>
    <mergeCell ref="B466:D466"/>
    <mergeCell ref="E466:L466"/>
    <mergeCell ref="M466:P466"/>
    <mergeCell ref="Q466:T466"/>
    <mergeCell ref="B471:D471"/>
    <mergeCell ref="E471:L471"/>
    <mergeCell ref="M471:P471"/>
    <mergeCell ref="Q471:T471"/>
    <mergeCell ref="B464:D464"/>
    <mergeCell ref="E464:L464"/>
    <mergeCell ref="M464:P464"/>
    <mergeCell ref="Q464:T464"/>
    <mergeCell ref="B465:D465"/>
    <mergeCell ref="E465:L465"/>
    <mergeCell ref="M465:P465"/>
    <mergeCell ref="Q465:T465"/>
    <mergeCell ref="E474:L474"/>
    <mergeCell ref="M474:P474"/>
    <mergeCell ref="Q474:T474"/>
    <mergeCell ref="B475:D475"/>
    <mergeCell ref="E475:L475"/>
    <mergeCell ref="M475:P475"/>
    <mergeCell ref="Q475:T475"/>
    <mergeCell ref="B472:D472"/>
    <mergeCell ref="E472:L472"/>
    <mergeCell ref="M472:P472"/>
    <mergeCell ref="Q472:T472"/>
    <mergeCell ref="B473:D473"/>
    <mergeCell ref="E473:L473"/>
    <mergeCell ref="M473:P473"/>
    <mergeCell ref="Q473:T473"/>
    <mergeCell ref="B474:D474"/>
    <mergeCell ref="B480:D480"/>
    <mergeCell ref="E480:L480"/>
    <mergeCell ref="M480:P480"/>
    <mergeCell ref="Q480:T480"/>
    <mergeCell ref="B481:D481"/>
    <mergeCell ref="E481:L481"/>
    <mergeCell ref="M481:P481"/>
    <mergeCell ref="Q481:T481"/>
    <mergeCell ref="B476:D476"/>
    <mergeCell ref="E476:L476"/>
    <mergeCell ref="M476:P476"/>
    <mergeCell ref="Q476:T476"/>
    <mergeCell ref="B477:D477"/>
    <mergeCell ref="E477:L477"/>
    <mergeCell ref="M477:P477"/>
    <mergeCell ref="Q477:T477"/>
    <mergeCell ref="B482:D482"/>
    <mergeCell ref="E482:L482"/>
    <mergeCell ref="M482:P482"/>
    <mergeCell ref="Q482:T482"/>
    <mergeCell ref="B483:D483"/>
    <mergeCell ref="E483:L483"/>
    <mergeCell ref="M483:P483"/>
    <mergeCell ref="Q483:T483"/>
    <mergeCell ref="B484:D484"/>
    <mergeCell ref="B486:D486"/>
    <mergeCell ref="E486:L486"/>
    <mergeCell ref="M486:P486"/>
    <mergeCell ref="Q486:T486"/>
    <mergeCell ref="B489:D489"/>
    <mergeCell ref="E489:L489"/>
    <mergeCell ref="M489:P489"/>
    <mergeCell ref="Q489:T489"/>
    <mergeCell ref="E484:L484"/>
    <mergeCell ref="M484:P484"/>
    <mergeCell ref="Q484:T484"/>
    <mergeCell ref="B485:D485"/>
    <mergeCell ref="E485:L485"/>
    <mergeCell ref="M485:P485"/>
    <mergeCell ref="Q485:T485"/>
    <mergeCell ref="B490:D490"/>
    <mergeCell ref="E490:L490"/>
    <mergeCell ref="M490:P490"/>
    <mergeCell ref="Q490:T490"/>
    <mergeCell ref="B491:D491"/>
    <mergeCell ref="E491:L491"/>
    <mergeCell ref="M491:P491"/>
    <mergeCell ref="Q491:T491"/>
    <mergeCell ref="B492:D492"/>
    <mergeCell ref="M494:P494"/>
    <mergeCell ref="Q494:T494"/>
    <mergeCell ref="B495:D495"/>
    <mergeCell ref="E495:L495"/>
    <mergeCell ref="M495:P495"/>
    <mergeCell ref="Q495:T495"/>
    <mergeCell ref="E492:L492"/>
    <mergeCell ref="M492:P492"/>
    <mergeCell ref="Q492:T492"/>
    <mergeCell ref="B493:D493"/>
    <mergeCell ref="E493:L493"/>
    <mergeCell ref="M493:P493"/>
    <mergeCell ref="Q493:T493"/>
    <mergeCell ref="B94:H96"/>
    <mergeCell ref="I94:O96"/>
    <mergeCell ref="P94:V96"/>
    <mergeCell ref="W94:AC96"/>
    <mergeCell ref="AD94:AJ96"/>
    <mergeCell ref="AK94:AQ96"/>
    <mergeCell ref="B509:D509"/>
    <mergeCell ref="E509:L509"/>
    <mergeCell ref="M509:X509"/>
    <mergeCell ref="B507:D507"/>
    <mergeCell ref="E507:L507"/>
    <mergeCell ref="M507:X507"/>
    <mergeCell ref="B508:D508"/>
    <mergeCell ref="E508:L508"/>
    <mergeCell ref="M508:X508"/>
    <mergeCell ref="B505:D505"/>
    <mergeCell ref="E505:L505"/>
    <mergeCell ref="M505:X505"/>
    <mergeCell ref="B506:D506"/>
    <mergeCell ref="E506:L506"/>
    <mergeCell ref="M506:X506"/>
    <mergeCell ref="B494:D494"/>
    <mergeCell ref="E494:L494"/>
    <mergeCell ref="B346:D346"/>
    <mergeCell ref="Q346:T346"/>
    <mergeCell ref="B347:D347"/>
    <mergeCell ref="E347:L347"/>
    <mergeCell ref="M347:P347"/>
    <mergeCell ref="Q347:T347"/>
    <mergeCell ref="B348:D348"/>
    <mergeCell ref="E348:L348"/>
    <mergeCell ref="M348:P348"/>
    <mergeCell ref="Q348:T348"/>
    <mergeCell ref="B356:H356"/>
    <mergeCell ref="B357:H357"/>
    <mergeCell ref="B358:H358"/>
    <mergeCell ref="B359:H359"/>
    <mergeCell ref="B352:D352"/>
    <mergeCell ref="E352:L352"/>
    <mergeCell ref="M352:P352"/>
    <mergeCell ref="Q352:T352"/>
    <mergeCell ref="B349:D349"/>
    <mergeCell ref="E349:L349"/>
    <mergeCell ref="M349:P349"/>
    <mergeCell ref="Q349:T349"/>
    <mergeCell ref="B350:D350"/>
    <mergeCell ref="E350:L350"/>
    <mergeCell ref="M350:P350"/>
    <mergeCell ref="Q350:T350"/>
    <mergeCell ref="B351:D351"/>
    <mergeCell ref="E351:L351"/>
    <mergeCell ref="M351:P351"/>
    <mergeCell ref="Q351:T351"/>
  </mergeCells>
  <conditionalFormatting sqref="B11:V11">
    <cfRule type="expression" dxfId="1485" priority="4543">
      <formula>B$11="-"</formula>
    </cfRule>
  </conditionalFormatting>
  <conditionalFormatting sqref="B38:AQ38">
    <cfRule type="expression" dxfId="1484" priority="2866">
      <formula>B37="-"</formula>
    </cfRule>
  </conditionalFormatting>
  <conditionalFormatting sqref="B38">
    <cfRule type="expression" dxfId="1483" priority="2865">
      <formula>B43="+"</formula>
    </cfRule>
  </conditionalFormatting>
  <conditionalFormatting sqref="B39:H41">
    <cfRule type="expression" dxfId="1482" priority="2864">
      <formula>B43="+"</formula>
    </cfRule>
  </conditionalFormatting>
  <conditionalFormatting sqref="B37">
    <cfRule type="expression" dxfId="1481" priority="2856">
      <formula>B38="+"</formula>
    </cfRule>
    <cfRule type="expression" dxfId="1480" priority="2862">
      <formula>B37="+"</formula>
    </cfRule>
  </conditionalFormatting>
  <conditionalFormatting sqref="I38">
    <cfRule type="expression" dxfId="1479" priority="2830">
      <formula>I43="+"</formula>
    </cfRule>
  </conditionalFormatting>
  <conditionalFormatting sqref="I39:O41">
    <cfRule type="expression" dxfId="1478" priority="2829">
      <formula>I43="+"</formula>
    </cfRule>
  </conditionalFormatting>
  <conditionalFormatting sqref="P38">
    <cfRule type="expression" dxfId="1477" priority="2828">
      <formula>P43="+"</formula>
    </cfRule>
  </conditionalFormatting>
  <conditionalFormatting sqref="P39:V41">
    <cfRule type="expression" dxfId="1476" priority="2827">
      <formula>P43="+"</formula>
    </cfRule>
  </conditionalFormatting>
  <conditionalFormatting sqref="W38">
    <cfRule type="expression" dxfId="1475" priority="2826">
      <formula>W43="+"</formula>
    </cfRule>
  </conditionalFormatting>
  <conditionalFormatting sqref="W39:AC41">
    <cfRule type="expression" dxfId="1474" priority="2825">
      <formula>W43="+"</formula>
    </cfRule>
  </conditionalFormatting>
  <conditionalFormatting sqref="AD38">
    <cfRule type="expression" dxfId="1473" priority="2824">
      <formula>AD43="+"</formula>
    </cfRule>
  </conditionalFormatting>
  <conditionalFormatting sqref="AD39:AJ41">
    <cfRule type="expression" dxfId="1472" priority="2823">
      <formula>AD43="+"</formula>
    </cfRule>
  </conditionalFormatting>
  <conditionalFormatting sqref="AK38">
    <cfRule type="expression" dxfId="1471" priority="2822">
      <formula>AK43="+"</formula>
    </cfRule>
  </conditionalFormatting>
  <conditionalFormatting sqref="AK39:AQ41">
    <cfRule type="expression" dxfId="1470" priority="2821">
      <formula>AK43="+"</formula>
    </cfRule>
  </conditionalFormatting>
  <conditionalFormatting sqref="I37">
    <cfRule type="expression" dxfId="1469" priority="1469">
      <formula>I38="+"</formula>
    </cfRule>
    <cfRule type="expression" dxfId="1468" priority="1470">
      <formula>I37="+"</formula>
    </cfRule>
  </conditionalFormatting>
  <conditionalFormatting sqref="P37">
    <cfRule type="expression" dxfId="1467" priority="1467">
      <formula>P38="+"</formula>
    </cfRule>
    <cfRule type="expression" dxfId="1466" priority="1468">
      <formula>P37="+"</formula>
    </cfRule>
  </conditionalFormatting>
  <conditionalFormatting sqref="W37">
    <cfRule type="expression" dxfId="1465" priority="1465">
      <formula>W38="+"</formula>
    </cfRule>
    <cfRule type="expression" dxfId="1464" priority="1466">
      <formula>W37="+"</formula>
    </cfRule>
  </conditionalFormatting>
  <conditionalFormatting sqref="AD37">
    <cfRule type="expression" dxfId="1463" priority="1463">
      <formula>AD38="+"</formula>
    </cfRule>
    <cfRule type="expression" dxfId="1462" priority="1464">
      <formula>AD37="+"</formula>
    </cfRule>
  </conditionalFormatting>
  <conditionalFormatting sqref="AK37">
    <cfRule type="expression" dxfId="1461" priority="1461">
      <formula>AK38="+"</formula>
    </cfRule>
    <cfRule type="expression" dxfId="1460" priority="1462">
      <formula>AK37="+"</formula>
    </cfRule>
  </conditionalFormatting>
  <conditionalFormatting sqref="AR37">
    <cfRule type="expression" dxfId="1459" priority="1459">
      <formula>AR38="+"</formula>
    </cfRule>
    <cfRule type="expression" dxfId="1458" priority="1460">
      <formula>AR37="+"</formula>
    </cfRule>
  </conditionalFormatting>
  <conditionalFormatting sqref="B43:AQ43">
    <cfRule type="expression" dxfId="1457" priority="1458">
      <formula>B42="-"</formula>
    </cfRule>
  </conditionalFormatting>
  <conditionalFormatting sqref="B43">
    <cfRule type="expression" dxfId="1456" priority="1457">
      <formula>B48="+"</formula>
    </cfRule>
  </conditionalFormatting>
  <conditionalFormatting sqref="B44:H46">
    <cfRule type="expression" dxfId="1455" priority="1456">
      <formula>B48="+"</formula>
    </cfRule>
  </conditionalFormatting>
  <conditionalFormatting sqref="B42">
    <cfRule type="expression" dxfId="1454" priority="1454">
      <formula>B43="+"</formula>
    </cfRule>
    <cfRule type="expression" dxfId="1453" priority="1455">
      <formula>B42="+"</formula>
    </cfRule>
  </conditionalFormatting>
  <conditionalFormatting sqref="I43">
    <cfRule type="expression" dxfId="1452" priority="1453">
      <formula>I48="+"</formula>
    </cfRule>
  </conditionalFormatting>
  <conditionalFormatting sqref="I44:O46">
    <cfRule type="expression" dxfId="1451" priority="1452">
      <formula>I48="+"</formula>
    </cfRule>
  </conditionalFormatting>
  <conditionalFormatting sqref="P43">
    <cfRule type="expression" dxfId="1450" priority="1451">
      <formula>P48="+"</formula>
    </cfRule>
  </conditionalFormatting>
  <conditionalFormatting sqref="P44:V46">
    <cfRule type="expression" dxfId="1449" priority="1450">
      <formula>P48="+"</formula>
    </cfRule>
  </conditionalFormatting>
  <conditionalFormatting sqref="W43">
    <cfRule type="expression" dxfId="1448" priority="1449">
      <formula>W48="+"</formula>
    </cfRule>
  </conditionalFormatting>
  <conditionalFormatting sqref="W44:AC46">
    <cfRule type="expression" dxfId="1447" priority="1448">
      <formula>W48="+"</formula>
    </cfRule>
  </conditionalFormatting>
  <conditionalFormatting sqref="AD43">
    <cfRule type="expression" dxfId="1446" priority="1447">
      <formula>AD48="+"</formula>
    </cfRule>
  </conditionalFormatting>
  <conditionalFormatting sqref="AD44:AJ46">
    <cfRule type="expression" dxfId="1445" priority="1446">
      <formula>AD48="+"</formula>
    </cfRule>
  </conditionalFormatting>
  <conditionalFormatting sqref="AK43">
    <cfRule type="expression" dxfId="1444" priority="1445">
      <formula>AK48="+"</formula>
    </cfRule>
  </conditionalFormatting>
  <conditionalFormatting sqref="AK44:AQ46">
    <cfRule type="expression" dxfId="1443" priority="1444">
      <formula>AK48="+"</formula>
    </cfRule>
  </conditionalFormatting>
  <conditionalFormatting sqref="I42">
    <cfRule type="expression" dxfId="1442" priority="1442">
      <formula>I43="+"</formula>
    </cfRule>
    <cfRule type="expression" dxfId="1441" priority="1443">
      <formula>I42="+"</formula>
    </cfRule>
  </conditionalFormatting>
  <conditionalFormatting sqref="P42">
    <cfRule type="expression" dxfId="1440" priority="1440">
      <formula>P43="+"</formula>
    </cfRule>
    <cfRule type="expression" dxfId="1439" priority="1441">
      <formula>P42="+"</formula>
    </cfRule>
  </conditionalFormatting>
  <conditionalFormatting sqref="W42">
    <cfRule type="expression" dxfId="1438" priority="1438">
      <formula>W43="+"</formula>
    </cfRule>
    <cfRule type="expression" dxfId="1437" priority="1439">
      <formula>W42="+"</formula>
    </cfRule>
  </conditionalFormatting>
  <conditionalFormatting sqref="AD42">
    <cfRule type="expression" dxfId="1436" priority="1436">
      <formula>AD43="+"</formula>
    </cfRule>
    <cfRule type="expression" dxfId="1435" priority="1437">
      <formula>AD42="+"</formula>
    </cfRule>
  </conditionalFormatting>
  <conditionalFormatting sqref="AK42">
    <cfRule type="expression" dxfId="1434" priority="1434">
      <formula>AK43="+"</formula>
    </cfRule>
    <cfRule type="expression" dxfId="1433" priority="1435">
      <formula>AK42="+"</formula>
    </cfRule>
  </conditionalFormatting>
  <conditionalFormatting sqref="AR42">
    <cfRule type="expression" dxfId="1432" priority="1432">
      <formula>AR43="+"</formula>
    </cfRule>
    <cfRule type="expression" dxfId="1431" priority="1433">
      <formula>AR42="+"</formula>
    </cfRule>
  </conditionalFormatting>
  <conditionalFormatting sqref="B48:AQ48">
    <cfRule type="expression" dxfId="1430" priority="1431">
      <formula>B47="-"</formula>
    </cfRule>
  </conditionalFormatting>
  <conditionalFormatting sqref="B48">
    <cfRule type="expression" dxfId="1429" priority="1430">
      <formula>B53="+"</formula>
    </cfRule>
  </conditionalFormatting>
  <conditionalFormatting sqref="B49:H51">
    <cfRule type="expression" dxfId="1428" priority="1429">
      <formula>B53="+"</formula>
    </cfRule>
  </conditionalFormatting>
  <conditionalFormatting sqref="B47">
    <cfRule type="expression" dxfId="1427" priority="1427">
      <formula>B48="+"</formula>
    </cfRule>
    <cfRule type="expression" dxfId="1426" priority="1428">
      <formula>B47="+"</formula>
    </cfRule>
  </conditionalFormatting>
  <conditionalFormatting sqref="I48">
    <cfRule type="expression" dxfId="1425" priority="1426">
      <formula>I53="+"</formula>
    </cfRule>
  </conditionalFormatting>
  <conditionalFormatting sqref="I49:O51">
    <cfRule type="expression" dxfId="1424" priority="1425">
      <formula>I53="+"</formula>
    </cfRule>
  </conditionalFormatting>
  <conditionalFormatting sqref="P48">
    <cfRule type="expression" dxfId="1423" priority="1424">
      <formula>P53="+"</formula>
    </cfRule>
  </conditionalFormatting>
  <conditionalFormatting sqref="P49:V51">
    <cfRule type="expression" dxfId="1422" priority="1423">
      <formula>P53="+"</formula>
    </cfRule>
  </conditionalFormatting>
  <conditionalFormatting sqref="W48">
    <cfRule type="expression" dxfId="1421" priority="1422">
      <formula>W53="+"</formula>
    </cfRule>
  </conditionalFormatting>
  <conditionalFormatting sqref="W49:AC51">
    <cfRule type="expression" dxfId="1420" priority="1421">
      <formula>W53="+"</formula>
    </cfRule>
  </conditionalFormatting>
  <conditionalFormatting sqref="AD48">
    <cfRule type="expression" dxfId="1419" priority="1420">
      <formula>AD53="+"</formula>
    </cfRule>
  </conditionalFormatting>
  <conditionalFormatting sqref="AD49:AJ51">
    <cfRule type="expression" dxfId="1418" priority="1419">
      <formula>AD53="+"</formula>
    </cfRule>
  </conditionalFormatting>
  <conditionalFormatting sqref="AK48">
    <cfRule type="expression" dxfId="1417" priority="1418">
      <formula>AK53="+"</formula>
    </cfRule>
  </conditionalFormatting>
  <conditionalFormatting sqref="AK49:AQ51">
    <cfRule type="expression" dxfId="1416" priority="1417">
      <formula>AK53="+"</formula>
    </cfRule>
  </conditionalFormatting>
  <conditionalFormatting sqref="I47">
    <cfRule type="expression" dxfId="1415" priority="1415">
      <formula>I48="+"</formula>
    </cfRule>
    <cfRule type="expression" dxfId="1414" priority="1416">
      <formula>I47="+"</formula>
    </cfRule>
  </conditionalFormatting>
  <conditionalFormatting sqref="P47">
    <cfRule type="expression" dxfId="1413" priority="1413">
      <formula>P48="+"</formula>
    </cfRule>
    <cfRule type="expression" dxfId="1412" priority="1414">
      <formula>P47="+"</formula>
    </cfRule>
  </conditionalFormatting>
  <conditionalFormatting sqref="W47">
    <cfRule type="expression" dxfId="1411" priority="1411">
      <formula>W48="+"</formula>
    </cfRule>
    <cfRule type="expression" dxfId="1410" priority="1412">
      <formula>W47="+"</formula>
    </cfRule>
  </conditionalFormatting>
  <conditionalFormatting sqref="AD47">
    <cfRule type="expression" dxfId="1409" priority="1409">
      <formula>AD48="+"</formula>
    </cfRule>
    <cfRule type="expression" dxfId="1408" priority="1410">
      <formula>AD47="+"</formula>
    </cfRule>
  </conditionalFormatting>
  <conditionalFormatting sqref="AK47">
    <cfRule type="expression" dxfId="1407" priority="1407">
      <formula>AK48="+"</formula>
    </cfRule>
    <cfRule type="expression" dxfId="1406" priority="1408">
      <formula>AK47="+"</formula>
    </cfRule>
  </conditionalFormatting>
  <conditionalFormatting sqref="AR47">
    <cfRule type="expression" dxfId="1405" priority="1405">
      <formula>AR48="+"</formula>
    </cfRule>
    <cfRule type="expression" dxfId="1404" priority="1406">
      <formula>AR47="+"</formula>
    </cfRule>
  </conditionalFormatting>
  <conditionalFormatting sqref="B53:AQ53">
    <cfRule type="expression" dxfId="1403" priority="1404">
      <formula>B52="-"</formula>
    </cfRule>
  </conditionalFormatting>
  <conditionalFormatting sqref="B53">
    <cfRule type="expression" dxfId="1402" priority="1403">
      <formula>B58="+"</formula>
    </cfRule>
  </conditionalFormatting>
  <conditionalFormatting sqref="B54:H56">
    <cfRule type="expression" dxfId="1401" priority="1402">
      <formula>B58="+"</formula>
    </cfRule>
  </conditionalFormatting>
  <conditionalFormatting sqref="B52">
    <cfRule type="expression" dxfId="1400" priority="1400">
      <formula>B53="+"</formula>
    </cfRule>
    <cfRule type="expression" dxfId="1399" priority="1401">
      <formula>B52="+"</formula>
    </cfRule>
  </conditionalFormatting>
  <conditionalFormatting sqref="I53">
    <cfRule type="expression" dxfId="1398" priority="1399">
      <formula>I58="+"</formula>
    </cfRule>
  </conditionalFormatting>
  <conditionalFormatting sqref="I54:O56">
    <cfRule type="expression" dxfId="1397" priority="1398">
      <formula>I58="+"</formula>
    </cfRule>
  </conditionalFormatting>
  <conditionalFormatting sqref="P53">
    <cfRule type="expression" dxfId="1396" priority="1397">
      <formula>P58="+"</formula>
    </cfRule>
  </conditionalFormatting>
  <conditionalFormatting sqref="P54:V56">
    <cfRule type="expression" dxfId="1395" priority="1396">
      <formula>P58="+"</formula>
    </cfRule>
  </conditionalFormatting>
  <conditionalFormatting sqref="W53">
    <cfRule type="expression" dxfId="1394" priority="1395">
      <formula>W58="+"</formula>
    </cfRule>
  </conditionalFormatting>
  <conditionalFormatting sqref="W54:AC56">
    <cfRule type="expression" dxfId="1393" priority="1394">
      <formula>W58="+"</formula>
    </cfRule>
  </conditionalFormatting>
  <conditionalFormatting sqref="AD53">
    <cfRule type="expression" dxfId="1392" priority="1393">
      <formula>AD58="+"</formula>
    </cfRule>
  </conditionalFormatting>
  <conditionalFormatting sqref="AD54:AJ56">
    <cfRule type="expression" dxfId="1391" priority="1392">
      <formula>AD58="+"</formula>
    </cfRule>
  </conditionalFormatting>
  <conditionalFormatting sqref="AK53">
    <cfRule type="expression" dxfId="1390" priority="1391">
      <formula>AK58="+"</formula>
    </cfRule>
  </conditionalFormatting>
  <conditionalFormatting sqref="AK54:AQ56">
    <cfRule type="expression" dxfId="1389" priority="1390">
      <formula>AK58="+"</formula>
    </cfRule>
  </conditionalFormatting>
  <conditionalFormatting sqref="I52">
    <cfRule type="expression" dxfId="1388" priority="1388">
      <formula>I53="+"</formula>
    </cfRule>
    <cfRule type="expression" dxfId="1387" priority="1389">
      <formula>I52="+"</formula>
    </cfRule>
  </conditionalFormatting>
  <conditionalFormatting sqref="P52">
    <cfRule type="expression" dxfId="1386" priority="1386">
      <formula>P53="+"</formula>
    </cfRule>
    <cfRule type="expression" dxfId="1385" priority="1387">
      <formula>P52="+"</formula>
    </cfRule>
  </conditionalFormatting>
  <conditionalFormatting sqref="W52">
    <cfRule type="expression" dxfId="1384" priority="1384">
      <formula>W53="+"</formula>
    </cfRule>
    <cfRule type="expression" dxfId="1383" priority="1385">
      <formula>W52="+"</formula>
    </cfRule>
  </conditionalFormatting>
  <conditionalFormatting sqref="AD52">
    <cfRule type="expression" dxfId="1382" priority="1382">
      <formula>AD53="+"</formula>
    </cfRule>
    <cfRule type="expression" dxfId="1381" priority="1383">
      <formula>AD52="+"</formula>
    </cfRule>
  </conditionalFormatting>
  <conditionalFormatting sqref="AK52">
    <cfRule type="expression" dxfId="1380" priority="1380">
      <formula>AK53="+"</formula>
    </cfRule>
    <cfRule type="expression" dxfId="1379" priority="1381">
      <formula>AK52="+"</formula>
    </cfRule>
  </conditionalFormatting>
  <conditionalFormatting sqref="AR52">
    <cfRule type="expression" dxfId="1378" priority="1378">
      <formula>AR53="+"</formula>
    </cfRule>
    <cfRule type="expression" dxfId="1377" priority="1379">
      <formula>AR52="+"</formula>
    </cfRule>
  </conditionalFormatting>
  <conditionalFormatting sqref="B58:AQ58">
    <cfRule type="expression" dxfId="1376" priority="1377">
      <formula>B57="-"</formula>
    </cfRule>
  </conditionalFormatting>
  <conditionalFormatting sqref="B58">
    <cfRule type="expression" dxfId="1375" priority="1376">
      <formula>B63="+"</formula>
    </cfRule>
  </conditionalFormatting>
  <conditionalFormatting sqref="B59:H61">
    <cfRule type="expression" dxfId="1374" priority="1375">
      <formula>B63="+"</formula>
    </cfRule>
  </conditionalFormatting>
  <conditionalFormatting sqref="B57">
    <cfRule type="expression" dxfId="1373" priority="1373">
      <formula>B58="+"</formula>
    </cfRule>
    <cfRule type="expression" dxfId="1372" priority="1374">
      <formula>B57="+"</formula>
    </cfRule>
  </conditionalFormatting>
  <conditionalFormatting sqref="I58">
    <cfRule type="expression" dxfId="1371" priority="1372">
      <formula>I63="+"</formula>
    </cfRule>
  </conditionalFormatting>
  <conditionalFormatting sqref="I59:O61">
    <cfRule type="expression" dxfId="1370" priority="1371">
      <formula>I63="+"</formula>
    </cfRule>
  </conditionalFormatting>
  <conditionalFormatting sqref="P58">
    <cfRule type="expression" dxfId="1369" priority="1370">
      <formula>P63="+"</formula>
    </cfRule>
  </conditionalFormatting>
  <conditionalFormatting sqref="P59:V61">
    <cfRule type="expression" dxfId="1368" priority="1369">
      <formula>P63="+"</formula>
    </cfRule>
  </conditionalFormatting>
  <conditionalFormatting sqref="W58">
    <cfRule type="expression" dxfId="1367" priority="1368">
      <formula>W63="+"</formula>
    </cfRule>
  </conditionalFormatting>
  <conditionalFormatting sqref="W59:AC61">
    <cfRule type="expression" dxfId="1366" priority="1367">
      <formula>W63="+"</formula>
    </cfRule>
  </conditionalFormatting>
  <conditionalFormatting sqref="AD58">
    <cfRule type="expression" dxfId="1365" priority="1366">
      <formula>AD63="+"</formula>
    </cfRule>
  </conditionalFormatting>
  <conditionalFormatting sqref="AD59:AJ61">
    <cfRule type="expression" dxfId="1364" priority="1365">
      <formula>AD63="+"</formula>
    </cfRule>
  </conditionalFormatting>
  <conditionalFormatting sqref="AK58">
    <cfRule type="expression" dxfId="1363" priority="1364">
      <formula>AK63="+"</formula>
    </cfRule>
  </conditionalFormatting>
  <conditionalFormatting sqref="AK59:AQ61">
    <cfRule type="expression" dxfId="1362" priority="1363">
      <formula>AK63="+"</formula>
    </cfRule>
  </conditionalFormatting>
  <conditionalFormatting sqref="I57">
    <cfRule type="expression" dxfId="1361" priority="1361">
      <formula>I58="+"</formula>
    </cfRule>
    <cfRule type="expression" dxfId="1360" priority="1362">
      <formula>I57="+"</formula>
    </cfRule>
  </conditionalFormatting>
  <conditionalFormatting sqref="P57">
    <cfRule type="expression" dxfId="1359" priority="1359">
      <formula>P58="+"</formula>
    </cfRule>
    <cfRule type="expression" dxfId="1358" priority="1360">
      <formula>P57="+"</formula>
    </cfRule>
  </conditionalFormatting>
  <conditionalFormatting sqref="W57">
    <cfRule type="expression" dxfId="1357" priority="1357">
      <formula>W58="+"</formula>
    </cfRule>
    <cfRule type="expression" dxfId="1356" priority="1358">
      <formula>W57="+"</formula>
    </cfRule>
  </conditionalFormatting>
  <conditionalFormatting sqref="AD57">
    <cfRule type="expression" dxfId="1355" priority="1355">
      <formula>AD58="+"</formula>
    </cfRule>
    <cfRule type="expression" dxfId="1354" priority="1356">
      <formula>AD57="+"</formula>
    </cfRule>
  </conditionalFormatting>
  <conditionalFormatting sqref="AK57">
    <cfRule type="expression" dxfId="1353" priority="1353">
      <formula>AK58="+"</formula>
    </cfRule>
    <cfRule type="expression" dxfId="1352" priority="1354">
      <formula>AK57="+"</formula>
    </cfRule>
  </conditionalFormatting>
  <conditionalFormatting sqref="AR57">
    <cfRule type="expression" dxfId="1351" priority="1351">
      <formula>AR58="+"</formula>
    </cfRule>
    <cfRule type="expression" dxfId="1350" priority="1352">
      <formula>AR57="+"</formula>
    </cfRule>
  </conditionalFormatting>
  <conditionalFormatting sqref="B63:AQ63">
    <cfRule type="expression" dxfId="1349" priority="1350">
      <formula>B62="-"</formula>
    </cfRule>
  </conditionalFormatting>
  <conditionalFormatting sqref="B63">
    <cfRule type="expression" dxfId="1348" priority="1349">
      <formula>B68="+"</formula>
    </cfRule>
  </conditionalFormatting>
  <conditionalFormatting sqref="B64:H66">
    <cfRule type="expression" dxfId="1347" priority="1348">
      <formula>B68="+"</formula>
    </cfRule>
  </conditionalFormatting>
  <conditionalFormatting sqref="B62">
    <cfRule type="expression" dxfId="1346" priority="1346">
      <formula>B63="+"</formula>
    </cfRule>
    <cfRule type="expression" dxfId="1345" priority="1347">
      <formula>B62="+"</formula>
    </cfRule>
  </conditionalFormatting>
  <conditionalFormatting sqref="I63">
    <cfRule type="expression" dxfId="1344" priority="1345">
      <formula>I68="+"</formula>
    </cfRule>
  </conditionalFormatting>
  <conditionalFormatting sqref="I64:O66">
    <cfRule type="expression" dxfId="1343" priority="1344">
      <formula>I68="+"</formula>
    </cfRule>
  </conditionalFormatting>
  <conditionalFormatting sqref="P63">
    <cfRule type="expression" dxfId="1342" priority="1343">
      <formula>P68="+"</formula>
    </cfRule>
  </conditionalFormatting>
  <conditionalFormatting sqref="P64:V66">
    <cfRule type="expression" dxfId="1341" priority="1342">
      <formula>P68="+"</formula>
    </cfRule>
  </conditionalFormatting>
  <conditionalFormatting sqref="W63">
    <cfRule type="expression" dxfId="1340" priority="1341">
      <formula>W68="+"</formula>
    </cfRule>
  </conditionalFormatting>
  <conditionalFormatting sqref="W64:AC66">
    <cfRule type="expression" dxfId="1339" priority="1340">
      <formula>W68="+"</formula>
    </cfRule>
  </conditionalFormatting>
  <conditionalFormatting sqref="AD63">
    <cfRule type="expression" dxfId="1338" priority="1339">
      <formula>AD68="+"</formula>
    </cfRule>
  </conditionalFormatting>
  <conditionalFormatting sqref="AD64:AJ66">
    <cfRule type="expression" dxfId="1337" priority="1338">
      <formula>AD68="+"</formula>
    </cfRule>
  </conditionalFormatting>
  <conditionalFormatting sqref="AK63">
    <cfRule type="expression" dxfId="1336" priority="1337">
      <formula>AK68="+"</formula>
    </cfRule>
  </conditionalFormatting>
  <conditionalFormatting sqref="AK64:AQ66">
    <cfRule type="expression" dxfId="1335" priority="1336">
      <formula>AK68="+"</formula>
    </cfRule>
  </conditionalFormatting>
  <conditionalFormatting sqref="I62">
    <cfRule type="expression" dxfId="1334" priority="1334">
      <formula>I63="+"</formula>
    </cfRule>
    <cfRule type="expression" dxfId="1333" priority="1335">
      <formula>I62="+"</formula>
    </cfRule>
  </conditionalFormatting>
  <conditionalFormatting sqref="P62">
    <cfRule type="expression" dxfId="1332" priority="1332">
      <formula>P63="+"</formula>
    </cfRule>
    <cfRule type="expression" dxfId="1331" priority="1333">
      <formula>P62="+"</formula>
    </cfRule>
  </conditionalFormatting>
  <conditionalFormatting sqref="W62">
    <cfRule type="expression" dxfId="1330" priority="1330">
      <formula>W63="+"</formula>
    </cfRule>
    <cfRule type="expression" dxfId="1329" priority="1331">
      <formula>W62="+"</formula>
    </cfRule>
  </conditionalFormatting>
  <conditionalFormatting sqref="AD62">
    <cfRule type="expression" dxfId="1328" priority="1328">
      <formula>AD63="+"</formula>
    </cfRule>
    <cfRule type="expression" dxfId="1327" priority="1329">
      <formula>AD62="+"</formula>
    </cfRule>
  </conditionalFormatting>
  <conditionalFormatting sqref="AK62">
    <cfRule type="expression" dxfId="1326" priority="1326">
      <formula>AK63="+"</formula>
    </cfRule>
    <cfRule type="expression" dxfId="1325" priority="1327">
      <formula>AK62="+"</formula>
    </cfRule>
  </conditionalFormatting>
  <conditionalFormatting sqref="AR62">
    <cfRule type="expression" dxfId="1324" priority="1324">
      <formula>AR63="+"</formula>
    </cfRule>
    <cfRule type="expression" dxfId="1323" priority="1325">
      <formula>AR62="+"</formula>
    </cfRule>
  </conditionalFormatting>
  <conditionalFormatting sqref="B68:AQ68">
    <cfRule type="expression" dxfId="1322" priority="1323">
      <formula>B67="-"</formula>
    </cfRule>
  </conditionalFormatting>
  <conditionalFormatting sqref="B68">
    <cfRule type="expression" dxfId="1321" priority="1322">
      <formula>B73="+"</formula>
    </cfRule>
  </conditionalFormatting>
  <conditionalFormatting sqref="B69:H71">
    <cfRule type="expression" dxfId="1320" priority="1321">
      <formula>B73="+"</formula>
    </cfRule>
  </conditionalFormatting>
  <conditionalFormatting sqref="B67">
    <cfRule type="expression" dxfId="1319" priority="1319">
      <formula>B68="+"</formula>
    </cfRule>
    <cfRule type="expression" dxfId="1318" priority="1320">
      <formula>B67="+"</formula>
    </cfRule>
  </conditionalFormatting>
  <conditionalFormatting sqref="I68">
    <cfRule type="expression" dxfId="1317" priority="1318">
      <formula>I73="+"</formula>
    </cfRule>
  </conditionalFormatting>
  <conditionalFormatting sqref="I69:O71">
    <cfRule type="expression" dxfId="1316" priority="1317">
      <formula>I73="+"</formula>
    </cfRule>
  </conditionalFormatting>
  <conditionalFormatting sqref="P68">
    <cfRule type="expression" dxfId="1315" priority="1316">
      <formula>P73="+"</formula>
    </cfRule>
  </conditionalFormatting>
  <conditionalFormatting sqref="P69:V71">
    <cfRule type="expression" dxfId="1314" priority="1315">
      <formula>P73="+"</formula>
    </cfRule>
  </conditionalFormatting>
  <conditionalFormatting sqref="W68">
    <cfRule type="expression" dxfId="1313" priority="1314">
      <formula>W73="+"</formula>
    </cfRule>
  </conditionalFormatting>
  <conditionalFormatting sqref="W69:AC71">
    <cfRule type="expression" dxfId="1312" priority="1313">
      <formula>W73="+"</formula>
    </cfRule>
  </conditionalFormatting>
  <conditionalFormatting sqref="AD68">
    <cfRule type="expression" dxfId="1311" priority="1312">
      <formula>AD73="+"</formula>
    </cfRule>
  </conditionalFormatting>
  <conditionalFormatting sqref="AD69:AJ71">
    <cfRule type="expression" dxfId="1310" priority="1311">
      <formula>AD73="+"</formula>
    </cfRule>
  </conditionalFormatting>
  <conditionalFormatting sqref="AK68">
    <cfRule type="expression" dxfId="1309" priority="1310">
      <formula>AK73="+"</formula>
    </cfRule>
  </conditionalFormatting>
  <conditionalFormatting sqref="AK69:AQ71">
    <cfRule type="expression" dxfId="1308" priority="1309">
      <formula>AK73="+"</formula>
    </cfRule>
  </conditionalFormatting>
  <conditionalFormatting sqref="I67">
    <cfRule type="expression" dxfId="1307" priority="1307">
      <formula>I68="+"</formula>
    </cfRule>
    <cfRule type="expression" dxfId="1306" priority="1308">
      <formula>I67="+"</formula>
    </cfRule>
  </conditionalFormatting>
  <conditionalFormatting sqref="P67">
    <cfRule type="expression" dxfId="1305" priority="1305">
      <formula>P68="+"</formula>
    </cfRule>
    <cfRule type="expression" dxfId="1304" priority="1306">
      <formula>P67="+"</formula>
    </cfRule>
  </conditionalFormatting>
  <conditionalFormatting sqref="W67">
    <cfRule type="expression" dxfId="1303" priority="1303">
      <formula>W68="+"</formula>
    </cfRule>
    <cfRule type="expression" dxfId="1302" priority="1304">
      <formula>W67="+"</formula>
    </cfRule>
  </conditionalFormatting>
  <conditionalFormatting sqref="AD67">
    <cfRule type="expression" dxfId="1301" priority="1301">
      <formula>AD68="+"</formula>
    </cfRule>
    <cfRule type="expression" dxfId="1300" priority="1302">
      <formula>AD67="+"</formula>
    </cfRule>
  </conditionalFormatting>
  <conditionalFormatting sqref="AK67">
    <cfRule type="expression" dxfId="1299" priority="1299">
      <formula>AK68="+"</formula>
    </cfRule>
    <cfRule type="expression" dxfId="1298" priority="1300">
      <formula>AK67="+"</formula>
    </cfRule>
  </conditionalFormatting>
  <conditionalFormatting sqref="AR67">
    <cfRule type="expression" dxfId="1297" priority="1297">
      <formula>AR68="+"</formula>
    </cfRule>
    <cfRule type="expression" dxfId="1296" priority="1298">
      <formula>AR67="+"</formula>
    </cfRule>
  </conditionalFormatting>
  <conditionalFormatting sqref="B73:AQ73">
    <cfRule type="expression" dxfId="1295" priority="1296">
      <formula>B72="-"</formula>
    </cfRule>
  </conditionalFormatting>
  <conditionalFormatting sqref="B73">
    <cfRule type="expression" dxfId="1294" priority="1295">
      <formula>B78="+"</formula>
    </cfRule>
  </conditionalFormatting>
  <conditionalFormatting sqref="B74:H76">
    <cfRule type="expression" dxfId="1293" priority="1294">
      <formula>B78="+"</formula>
    </cfRule>
  </conditionalFormatting>
  <conditionalFormatting sqref="B72">
    <cfRule type="expression" dxfId="1292" priority="1292">
      <formula>B73="+"</formula>
    </cfRule>
    <cfRule type="expression" dxfId="1291" priority="1293">
      <formula>B72="+"</formula>
    </cfRule>
  </conditionalFormatting>
  <conditionalFormatting sqref="I73">
    <cfRule type="expression" dxfId="1290" priority="1291">
      <formula>I78="+"</formula>
    </cfRule>
  </conditionalFormatting>
  <conditionalFormatting sqref="I74:O76">
    <cfRule type="expression" dxfId="1289" priority="1290">
      <formula>I78="+"</formula>
    </cfRule>
  </conditionalFormatting>
  <conditionalFormatting sqref="P73">
    <cfRule type="expression" dxfId="1288" priority="1289">
      <formula>P78="+"</formula>
    </cfRule>
  </conditionalFormatting>
  <conditionalFormatting sqref="P74:V76">
    <cfRule type="expression" dxfId="1287" priority="1288">
      <formula>P78="+"</formula>
    </cfRule>
  </conditionalFormatting>
  <conditionalFormatting sqref="W73">
    <cfRule type="expression" dxfId="1286" priority="1287">
      <formula>W78="+"</formula>
    </cfRule>
  </conditionalFormatting>
  <conditionalFormatting sqref="W74:AC76">
    <cfRule type="expression" dxfId="1285" priority="1286">
      <formula>W78="+"</formula>
    </cfRule>
  </conditionalFormatting>
  <conditionalFormatting sqref="AD73">
    <cfRule type="expression" dxfId="1284" priority="1285">
      <formula>AD78="+"</formula>
    </cfRule>
  </conditionalFormatting>
  <conditionalFormatting sqref="AD74:AJ76">
    <cfRule type="expression" dxfId="1283" priority="1284">
      <formula>AD78="+"</formula>
    </cfRule>
  </conditionalFormatting>
  <conditionalFormatting sqref="AK73">
    <cfRule type="expression" dxfId="1282" priority="1283">
      <formula>AK78="+"</formula>
    </cfRule>
  </conditionalFormatting>
  <conditionalFormatting sqref="AK74:AQ76">
    <cfRule type="expression" dxfId="1281" priority="1282">
      <formula>AK78="+"</formula>
    </cfRule>
  </conditionalFormatting>
  <conditionalFormatting sqref="I72">
    <cfRule type="expression" dxfId="1280" priority="1280">
      <formula>I73="+"</formula>
    </cfRule>
    <cfRule type="expression" dxfId="1279" priority="1281">
      <formula>I72="+"</formula>
    </cfRule>
  </conditionalFormatting>
  <conditionalFormatting sqref="P72">
    <cfRule type="expression" dxfId="1278" priority="1278">
      <formula>P73="+"</formula>
    </cfRule>
    <cfRule type="expression" dxfId="1277" priority="1279">
      <formula>P72="+"</formula>
    </cfRule>
  </conditionalFormatting>
  <conditionalFormatting sqref="W72">
    <cfRule type="expression" dxfId="1276" priority="1276">
      <formula>W73="+"</formula>
    </cfRule>
    <cfRule type="expression" dxfId="1275" priority="1277">
      <formula>W72="+"</formula>
    </cfRule>
  </conditionalFormatting>
  <conditionalFormatting sqref="AD72">
    <cfRule type="expression" dxfId="1274" priority="1274">
      <formula>AD73="+"</formula>
    </cfRule>
    <cfRule type="expression" dxfId="1273" priority="1275">
      <formula>AD72="+"</formula>
    </cfRule>
  </conditionalFormatting>
  <conditionalFormatting sqref="AK72">
    <cfRule type="expression" dxfId="1272" priority="1272">
      <formula>AK73="+"</formula>
    </cfRule>
    <cfRule type="expression" dxfId="1271" priority="1273">
      <formula>AK72="+"</formula>
    </cfRule>
  </conditionalFormatting>
  <conditionalFormatting sqref="AR72">
    <cfRule type="expression" dxfId="1270" priority="1270">
      <formula>AR73="+"</formula>
    </cfRule>
    <cfRule type="expression" dxfId="1269" priority="1271">
      <formula>AR72="+"</formula>
    </cfRule>
  </conditionalFormatting>
  <conditionalFormatting sqref="B78:AQ78">
    <cfRule type="expression" dxfId="1268" priority="1269">
      <formula>B77="-"</formula>
    </cfRule>
  </conditionalFormatting>
  <conditionalFormatting sqref="B78">
    <cfRule type="expression" dxfId="1267" priority="1268">
      <formula>B83="+"</formula>
    </cfRule>
  </conditionalFormatting>
  <conditionalFormatting sqref="B79:H81">
    <cfRule type="expression" dxfId="1266" priority="1267">
      <formula>B83="+"</formula>
    </cfRule>
  </conditionalFormatting>
  <conditionalFormatting sqref="B77">
    <cfRule type="expression" dxfId="1265" priority="1265">
      <formula>B78="+"</formula>
    </cfRule>
    <cfRule type="expression" dxfId="1264" priority="1266">
      <formula>B77="+"</formula>
    </cfRule>
  </conditionalFormatting>
  <conditionalFormatting sqref="I78">
    <cfRule type="expression" dxfId="1263" priority="1264">
      <formula>I83="+"</formula>
    </cfRule>
  </conditionalFormatting>
  <conditionalFormatting sqref="I79:O81">
    <cfRule type="expression" dxfId="1262" priority="1263">
      <formula>I83="+"</formula>
    </cfRule>
  </conditionalFormatting>
  <conditionalFormatting sqref="P78">
    <cfRule type="expression" dxfId="1261" priority="1262">
      <formula>P83="+"</formula>
    </cfRule>
  </conditionalFormatting>
  <conditionalFormatting sqref="P79:V81">
    <cfRule type="expression" dxfId="1260" priority="1261">
      <formula>P83="+"</formula>
    </cfRule>
  </conditionalFormatting>
  <conditionalFormatting sqref="W78">
    <cfRule type="expression" dxfId="1259" priority="1260">
      <formula>W83="+"</formula>
    </cfRule>
  </conditionalFormatting>
  <conditionalFormatting sqref="W79:AC81">
    <cfRule type="expression" dxfId="1258" priority="1259">
      <formula>W83="+"</formula>
    </cfRule>
  </conditionalFormatting>
  <conditionalFormatting sqref="AD78">
    <cfRule type="expression" dxfId="1257" priority="1258">
      <formula>AD83="+"</formula>
    </cfRule>
  </conditionalFormatting>
  <conditionalFormatting sqref="AD79:AJ81">
    <cfRule type="expression" dxfId="1256" priority="1257">
      <formula>AD83="+"</formula>
    </cfRule>
  </conditionalFormatting>
  <conditionalFormatting sqref="AK78">
    <cfRule type="expression" dxfId="1255" priority="1256">
      <formula>AK83="+"</formula>
    </cfRule>
  </conditionalFormatting>
  <conditionalFormatting sqref="AK79:AQ81">
    <cfRule type="expression" dxfId="1254" priority="1255">
      <formula>AK83="+"</formula>
    </cfRule>
  </conditionalFormatting>
  <conditionalFormatting sqref="I77">
    <cfRule type="expression" dxfId="1253" priority="1253">
      <formula>I78="+"</formula>
    </cfRule>
    <cfRule type="expression" dxfId="1252" priority="1254">
      <formula>I77="+"</formula>
    </cfRule>
  </conditionalFormatting>
  <conditionalFormatting sqref="P77">
    <cfRule type="expression" dxfId="1251" priority="1251">
      <formula>P78="+"</formula>
    </cfRule>
    <cfRule type="expression" dxfId="1250" priority="1252">
      <formula>P77="+"</formula>
    </cfRule>
  </conditionalFormatting>
  <conditionalFormatting sqref="W77">
    <cfRule type="expression" dxfId="1249" priority="1249">
      <formula>W78="+"</formula>
    </cfRule>
    <cfRule type="expression" dxfId="1248" priority="1250">
      <formula>W77="+"</formula>
    </cfRule>
  </conditionalFormatting>
  <conditionalFormatting sqref="AD77">
    <cfRule type="expression" dxfId="1247" priority="1247">
      <formula>AD78="+"</formula>
    </cfRule>
    <cfRule type="expression" dxfId="1246" priority="1248">
      <formula>AD77="+"</formula>
    </cfRule>
  </conditionalFormatting>
  <conditionalFormatting sqref="AK77">
    <cfRule type="expression" dxfId="1245" priority="1245">
      <formula>AK78="+"</formula>
    </cfRule>
    <cfRule type="expression" dxfId="1244" priority="1246">
      <formula>AK77="+"</formula>
    </cfRule>
  </conditionalFormatting>
  <conditionalFormatting sqref="AR77">
    <cfRule type="expression" dxfId="1243" priority="1243">
      <formula>AR78="+"</formula>
    </cfRule>
    <cfRule type="expression" dxfId="1242" priority="1244">
      <formula>AR77="+"</formula>
    </cfRule>
  </conditionalFormatting>
  <conditionalFormatting sqref="B83:AQ83">
    <cfRule type="expression" dxfId="1241" priority="1242">
      <formula>B82="-"</formula>
    </cfRule>
  </conditionalFormatting>
  <conditionalFormatting sqref="B83">
    <cfRule type="expression" dxfId="1240" priority="1241">
      <formula>B88="+"</formula>
    </cfRule>
  </conditionalFormatting>
  <conditionalFormatting sqref="B84:H86">
    <cfRule type="expression" dxfId="1239" priority="1240">
      <formula>B88="+"</formula>
    </cfRule>
  </conditionalFormatting>
  <conditionalFormatting sqref="B82">
    <cfRule type="expression" dxfId="1238" priority="1238">
      <formula>B83="+"</formula>
    </cfRule>
    <cfRule type="expression" dxfId="1237" priority="1239">
      <formula>B82="+"</formula>
    </cfRule>
  </conditionalFormatting>
  <conditionalFormatting sqref="I83">
    <cfRule type="expression" dxfId="1236" priority="1237">
      <formula>I88="+"</formula>
    </cfRule>
  </conditionalFormatting>
  <conditionalFormatting sqref="I84:O86">
    <cfRule type="expression" dxfId="1235" priority="1236">
      <formula>I88="+"</formula>
    </cfRule>
  </conditionalFormatting>
  <conditionalFormatting sqref="P83">
    <cfRule type="expression" dxfId="1234" priority="1235">
      <formula>P88="+"</formula>
    </cfRule>
  </conditionalFormatting>
  <conditionalFormatting sqref="P84:V86">
    <cfRule type="expression" dxfId="1233" priority="1234">
      <formula>P88="+"</formula>
    </cfRule>
  </conditionalFormatting>
  <conditionalFormatting sqref="W83">
    <cfRule type="expression" dxfId="1232" priority="1233">
      <formula>W88="+"</formula>
    </cfRule>
  </conditionalFormatting>
  <conditionalFormatting sqref="W84:AC86">
    <cfRule type="expression" dxfId="1231" priority="1232">
      <formula>W88="+"</formula>
    </cfRule>
  </conditionalFormatting>
  <conditionalFormatting sqref="AD83">
    <cfRule type="expression" dxfId="1230" priority="1231">
      <formula>AD88="+"</formula>
    </cfRule>
  </conditionalFormatting>
  <conditionalFormatting sqref="AD84:AJ86">
    <cfRule type="expression" dxfId="1229" priority="1230">
      <formula>AD88="+"</formula>
    </cfRule>
  </conditionalFormatting>
  <conditionalFormatting sqref="AK83">
    <cfRule type="expression" dxfId="1228" priority="1229">
      <formula>AK88="+"</formula>
    </cfRule>
  </conditionalFormatting>
  <conditionalFormatting sqref="AK84:AQ86">
    <cfRule type="expression" dxfId="1227" priority="1228">
      <formula>AK88="+"</formula>
    </cfRule>
  </conditionalFormatting>
  <conditionalFormatting sqref="I82">
    <cfRule type="expression" dxfId="1226" priority="1226">
      <formula>I83="+"</formula>
    </cfRule>
    <cfRule type="expression" dxfId="1225" priority="1227">
      <formula>I82="+"</formula>
    </cfRule>
  </conditionalFormatting>
  <conditionalFormatting sqref="P82">
    <cfRule type="expression" dxfId="1224" priority="1224">
      <formula>P83="+"</formula>
    </cfRule>
    <cfRule type="expression" dxfId="1223" priority="1225">
      <formula>P82="+"</formula>
    </cfRule>
  </conditionalFormatting>
  <conditionalFormatting sqref="W82">
    <cfRule type="expression" dxfId="1222" priority="1222">
      <formula>W83="+"</formula>
    </cfRule>
    <cfRule type="expression" dxfId="1221" priority="1223">
      <formula>W82="+"</formula>
    </cfRule>
  </conditionalFormatting>
  <conditionalFormatting sqref="AD82">
    <cfRule type="expression" dxfId="1220" priority="1220">
      <formula>AD83="+"</formula>
    </cfRule>
    <cfRule type="expression" dxfId="1219" priority="1221">
      <formula>AD82="+"</formula>
    </cfRule>
  </conditionalFormatting>
  <conditionalFormatting sqref="AK82">
    <cfRule type="expression" dxfId="1218" priority="1218">
      <formula>AK83="+"</formula>
    </cfRule>
    <cfRule type="expression" dxfId="1217" priority="1219">
      <formula>AK82="+"</formula>
    </cfRule>
  </conditionalFormatting>
  <conditionalFormatting sqref="AR82">
    <cfRule type="expression" dxfId="1216" priority="1216">
      <formula>AR83="+"</formula>
    </cfRule>
    <cfRule type="expression" dxfId="1215" priority="1217">
      <formula>AR82="+"</formula>
    </cfRule>
  </conditionalFormatting>
  <conditionalFormatting sqref="B88:AQ88">
    <cfRule type="expression" dxfId="1214" priority="1215">
      <formula>B87="-"</formula>
    </cfRule>
  </conditionalFormatting>
  <conditionalFormatting sqref="B88">
    <cfRule type="expression" dxfId="1213" priority="1214">
      <formula>B93="+"</formula>
    </cfRule>
  </conditionalFormatting>
  <conditionalFormatting sqref="B89:H91">
    <cfRule type="expression" dxfId="1212" priority="1213">
      <formula>B93="+"</formula>
    </cfRule>
  </conditionalFormatting>
  <conditionalFormatting sqref="B87">
    <cfRule type="expression" dxfId="1211" priority="1211">
      <formula>B88="+"</formula>
    </cfRule>
    <cfRule type="expression" dxfId="1210" priority="1212">
      <formula>B87="+"</formula>
    </cfRule>
  </conditionalFormatting>
  <conditionalFormatting sqref="I88">
    <cfRule type="expression" dxfId="1209" priority="1210">
      <formula>I93="+"</formula>
    </cfRule>
  </conditionalFormatting>
  <conditionalFormatting sqref="I89:O91">
    <cfRule type="expression" dxfId="1208" priority="1209">
      <formula>I93="+"</formula>
    </cfRule>
  </conditionalFormatting>
  <conditionalFormatting sqref="P88">
    <cfRule type="expression" dxfId="1207" priority="1208">
      <formula>P93="+"</formula>
    </cfRule>
  </conditionalFormatting>
  <conditionalFormatting sqref="P89:V91">
    <cfRule type="expression" dxfId="1206" priority="1207">
      <formula>P93="+"</formula>
    </cfRule>
  </conditionalFormatting>
  <conditionalFormatting sqref="W88">
    <cfRule type="expression" dxfId="1205" priority="1206">
      <formula>W93="+"</formula>
    </cfRule>
  </conditionalFormatting>
  <conditionalFormatting sqref="W89:AC91">
    <cfRule type="expression" dxfId="1204" priority="1205">
      <formula>W93="+"</formula>
    </cfRule>
  </conditionalFormatting>
  <conditionalFormatting sqref="AD88">
    <cfRule type="expression" dxfId="1203" priority="1204">
      <formula>AD93="+"</formula>
    </cfRule>
  </conditionalFormatting>
  <conditionalFormatting sqref="AD89:AJ91">
    <cfRule type="expression" dxfId="1202" priority="1203">
      <formula>AD93="+"</formula>
    </cfRule>
  </conditionalFormatting>
  <conditionalFormatting sqref="AK88">
    <cfRule type="expression" dxfId="1201" priority="1202">
      <formula>AK93="+"</formula>
    </cfRule>
  </conditionalFormatting>
  <conditionalFormatting sqref="AK89:AQ91">
    <cfRule type="expression" dxfId="1200" priority="1201">
      <formula>AK93="+"</formula>
    </cfRule>
  </conditionalFormatting>
  <conditionalFormatting sqref="I87">
    <cfRule type="expression" dxfId="1199" priority="1199">
      <formula>I88="+"</formula>
    </cfRule>
    <cfRule type="expression" dxfId="1198" priority="1200">
      <formula>I87="+"</formula>
    </cfRule>
  </conditionalFormatting>
  <conditionalFormatting sqref="P87">
    <cfRule type="expression" dxfId="1197" priority="1197">
      <formula>P88="+"</formula>
    </cfRule>
    <cfRule type="expression" dxfId="1196" priority="1198">
      <formula>P87="+"</formula>
    </cfRule>
  </conditionalFormatting>
  <conditionalFormatting sqref="W87">
    <cfRule type="expression" dxfId="1195" priority="1195">
      <formula>W88="+"</formula>
    </cfRule>
    <cfRule type="expression" dxfId="1194" priority="1196">
      <formula>W87="+"</formula>
    </cfRule>
  </conditionalFormatting>
  <conditionalFormatting sqref="AD87">
    <cfRule type="expression" dxfId="1193" priority="1193">
      <formula>AD88="+"</formula>
    </cfRule>
    <cfRule type="expression" dxfId="1192" priority="1194">
      <formula>AD87="+"</formula>
    </cfRule>
  </conditionalFormatting>
  <conditionalFormatting sqref="AK87">
    <cfRule type="expression" dxfId="1191" priority="1191">
      <formula>AK88="+"</formula>
    </cfRule>
    <cfRule type="expression" dxfId="1190" priority="1192">
      <formula>AK87="+"</formula>
    </cfRule>
  </conditionalFormatting>
  <conditionalFormatting sqref="AR87">
    <cfRule type="expression" dxfId="1189" priority="1189">
      <formula>AR88="+"</formula>
    </cfRule>
    <cfRule type="expression" dxfId="1188" priority="1190">
      <formula>AR87="+"</formula>
    </cfRule>
  </conditionalFormatting>
  <conditionalFormatting sqref="B93:AQ93">
    <cfRule type="expression" dxfId="1187" priority="1188">
      <formula>B92="-"</formula>
    </cfRule>
  </conditionalFormatting>
  <conditionalFormatting sqref="B93">
    <cfRule type="expression" dxfId="1186" priority="1187">
      <formula>B98="+"</formula>
    </cfRule>
  </conditionalFormatting>
  <conditionalFormatting sqref="B94:H96">
    <cfRule type="expression" dxfId="1185" priority="1186">
      <formula>B98="+"</formula>
    </cfRule>
  </conditionalFormatting>
  <conditionalFormatting sqref="B92">
    <cfRule type="expression" dxfId="1184" priority="1184">
      <formula>B93="+"</formula>
    </cfRule>
    <cfRule type="expression" dxfId="1183" priority="1185">
      <formula>B92="+"</formula>
    </cfRule>
  </conditionalFormatting>
  <conditionalFormatting sqref="I93">
    <cfRule type="expression" dxfId="1182" priority="1183">
      <formula>I98="+"</formula>
    </cfRule>
  </conditionalFormatting>
  <conditionalFormatting sqref="I94:O96">
    <cfRule type="expression" dxfId="1181" priority="1182">
      <formula>I98="+"</formula>
    </cfRule>
  </conditionalFormatting>
  <conditionalFormatting sqref="P93">
    <cfRule type="expression" dxfId="1180" priority="1181">
      <formula>P98="+"</formula>
    </cfRule>
  </conditionalFormatting>
  <conditionalFormatting sqref="P94:V96">
    <cfRule type="expression" dxfId="1179" priority="1180">
      <formula>P98="+"</formula>
    </cfRule>
  </conditionalFormatting>
  <conditionalFormatting sqref="W93">
    <cfRule type="expression" dxfId="1178" priority="1179">
      <formula>W98="+"</formula>
    </cfRule>
  </conditionalFormatting>
  <conditionalFormatting sqref="W94:AC96">
    <cfRule type="expression" dxfId="1177" priority="1178">
      <formula>W98="+"</formula>
    </cfRule>
  </conditionalFormatting>
  <conditionalFormatting sqref="AD93">
    <cfRule type="expression" dxfId="1176" priority="1177">
      <formula>AD98="+"</formula>
    </cfRule>
  </conditionalFormatting>
  <conditionalFormatting sqref="AD94:AJ96">
    <cfRule type="expression" dxfId="1175" priority="1176">
      <formula>AD98="+"</formula>
    </cfRule>
  </conditionalFormatting>
  <conditionalFormatting sqref="AK93">
    <cfRule type="expression" dxfId="1174" priority="1175">
      <formula>AK98="+"</formula>
    </cfRule>
  </conditionalFormatting>
  <conditionalFormatting sqref="AK94:AQ96">
    <cfRule type="expression" dxfId="1173" priority="1174">
      <formula>AK98="+"</formula>
    </cfRule>
  </conditionalFormatting>
  <conditionalFormatting sqref="I92">
    <cfRule type="expression" dxfId="1172" priority="1172">
      <formula>I93="+"</formula>
    </cfRule>
    <cfRule type="expression" dxfId="1171" priority="1173">
      <formula>I92="+"</formula>
    </cfRule>
  </conditionalFormatting>
  <conditionalFormatting sqref="P92">
    <cfRule type="expression" dxfId="1170" priority="1170">
      <formula>P93="+"</formula>
    </cfRule>
    <cfRule type="expression" dxfId="1169" priority="1171">
      <formula>P92="+"</formula>
    </cfRule>
  </conditionalFormatting>
  <conditionalFormatting sqref="W92">
    <cfRule type="expression" dxfId="1168" priority="1168">
      <formula>W93="+"</formula>
    </cfRule>
    <cfRule type="expression" dxfId="1167" priority="1169">
      <formula>W92="+"</formula>
    </cfRule>
  </conditionalFormatting>
  <conditionalFormatting sqref="AD92">
    <cfRule type="expression" dxfId="1166" priority="1166">
      <formula>AD93="+"</formula>
    </cfRule>
    <cfRule type="expression" dxfId="1165" priority="1167">
      <formula>AD92="+"</formula>
    </cfRule>
  </conditionalFormatting>
  <conditionalFormatting sqref="AK92">
    <cfRule type="expression" dxfId="1164" priority="1164">
      <formula>AK93="+"</formula>
    </cfRule>
    <cfRule type="expression" dxfId="1163" priority="1165">
      <formula>AK92="+"</formula>
    </cfRule>
  </conditionalFormatting>
  <conditionalFormatting sqref="AR92">
    <cfRule type="expression" dxfId="1162" priority="1162">
      <formula>AR93="+"</formula>
    </cfRule>
    <cfRule type="expression" dxfId="1161" priority="1163">
      <formula>AR92="+"</formula>
    </cfRule>
  </conditionalFormatting>
  <conditionalFormatting sqref="B98:AQ98">
    <cfRule type="expression" dxfId="1160" priority="1161">
      <formula>B97="-"</formula>
    </cfRule>
  </conditionalFormatting>
  <conditionalFormatting sqref="B98">
    <cfRule type="expression" dxfId="1159" priority="1160">
      <formula>B103="+"</formula>
    </cfRule>
  </conditionalFormatting>
  <conditionalFormatting sqref="B99:H101">
    <cfRule type="expression" dxfId="1158" priority="1159">
      <formula>B103="+"</formula>
    </cfRule>
  </conditionalFormatting>
  <conditionalFormatting sqref="B97">
    <cfRule type="expression" dxfId="1157" priority="1157">
      <formula>B98="+"</formula>
    </cfRule>
    <cfRule type="expression" dxfId="1156" priority="1158">
      <formula>B97="+"</formula>
    </cfRule>
  </conditionalFormatting>
  <conditionalFormatting sqref="I98">
    <cfRule type="expression" dxfId="1155" priority="1156">
      <formula>I103="+"</formula>
    </cfRule>
  </conditionalFormatting>
  <conditionalFormatting sqref="I99:O101">
    <cfRule type="expression" dxfId="1154" priority="1155">
      <formula>I103="+"</formula>
    </cfRule>
  </conditionalFormatting>
  <conditionalFormatting sqref="P98">
    <cfRule type="expression" dxfId="1153" priority="1154">
      <formula>P103="+"</formula>
    </cfRule>
  </conditionalFormatting>
  <conditionalFormatting sqref="P99:V101">
    <cfRule type="expression" dxfId="1152" priority="1153">
      <formula>P103="+"</formula>
    </cfRule>
  </conditionalFormatting>
  <conditionalFormatting sqref="W98">
    <cfRule type="expression" dxfId="1151" priority="1152">
      <formula>W103="+"</formula>
    </cfRule>
  </conditionalFormatting>
  <conditionalFormatting sqref="W99:AC101">
    <cfRule type="expression" dxfId="1150" priority="1151">
      <formula>W103="+"</formula>
    </cfRule>
  </conditionalFormatting>
  <conditionalFormatting sqref="AD98">
    <cfRule type="expression" dxfId="1149" priority="1150">
      <formula>AD103="+"</formula>
    </cfRule>
  </conditionalFormatting>
  <conditionalFormatting sqref="AD99:AJ101">
    <cfRule type="expression" dxfId="1148" priority="1149">
      <formula>AD103="+"</formula>
    </cfRule>
  </conditionalFormatting>
  <conditionalFormatting sqref="AK98">
    <cfRule type="expression" dxfId="1147" priority="1148">
      <formula>AK103="+"</formula>
    </cfRule>
  </conditionalFormatting>
  <conditionalFormatting sqref="AK99:AQ101">
    <cfRule type="expression" dxfId="1146" priority="1147">
      <formula>AK103="+"</formula>
    </cfRule>
  </conditionalFormatting>
  <conditionalFormatting sqref="I97">
    <cfRule type="expression" dxfId="1145" priority="1145">
      <formula>I98="+"</formula>
    </cfRule>
    <cfRule type="expression" dxfId="1144" priority="1146">
      <formula>I97="+"</formula>
    </cfRule>
  </conditionalFormatting>
  <conditionalFormatting sqref="P97">
    <cfRule type="expression" dxfId="1143" priority="1143">
      <formula>P98="+"</formula>
    </cfRule>
    <cfRule type="expression" dxfId="1142" priority="1144">
      <formula>P97="+"</formula>
    </cfRule>
  </conditionalFormatting>
  <conditionalFormatting sqref="W97">
    <cfRule type="expression" dxfId="1141" priority="1141">
      <formula>W98="+"</formula>
    </cfRule>
    <cfRule type="expression" dxfId="1140" priority="1142">
      <formula>W97="+"</formula>
    </cfRule>
  </conditionalFormatting>
  <conditionalFormatting sqref="AD97">
    <cfRule type="expression" dxfId="1139" priority="1139">
      <formula>AD98="+"</formula>
    </cfRule>
    <cfRule type="expression" dxfId="1138" priority="1140">
      <formula>AD97="+"</formula>
    </cfRule>
  </conditionalFormatting>
  <conditionalFormatting sqref="AK97">
    <cfRule type="expression" dxfId="1137" priority="1137">
      <formula>AK98="+"</formula>
    </cfRule>
    <cfRule type="expression" dxfId="1136" priority="1138">
      <formula>AK97="+"</formula>
    </cfRule>
  </conditionalFormatting>
  <conditionalFormatting sqref="AR97">
    <cfRule type="expression" dxfId="1135" priority="1135">
      <formula>AR98="+"</formula>
    </cfRule>
    <cfRule type="expression" dxfId="1134" priority="1136">
      <formula>AR97="+"</formula>
    </cfRule>
  </conditionalFormatting>
  <conditionalFormatting sqref="B103:AQ103">
    <cfRule type="expression" dxfId="1133" priority="1134">
      <formula>B102="-"</formula>
    </cfRule>
  </conditionalFormatting>
  <conditionalFormatting sqref="B103">
    <cfRule type="expression" dxfId="1132" priority="1133">
      <formula>B108="+"</formula>
    </cfRule>
  </conditionalFormatting>
  <conditionalFormatting sqref="B104:H106">
    <cfRule type="expression" dxfId="1131" priority="1132">
      <formula>B108="+"</formula>
    </cfRule>
  </conditionalFormatting>
  <conditionalFormatting sqref="B102">
    <cfRule type="expression" dxfId="1130" priority="1130">
      <formula>B103="+"</formula>
    </cfRule>
    <cfRule type="expression" dxfId="1129" priority="1131">
      <formula>B102="+"</formula>
    </cfRule>
  </conditionalFormatting>
  <conditionalFormatting sqref="I103">
    <cfRule type="expression" dxfId="1128" priority="1129">
      <formula>I108="+"</formula>
    </cfRule>
  </conditionalFormatting>
  <conditionalFormatting sqref="I104:O106">
    <cfRule type="expression" dxfId="1127" priority="1128">
      <formula>I108="+"</formula>
    </cfRule>
  </conditionalFormatting>
  <conditionalFormatting sqref="P103">
    <cfRule type="expression" dxfId="1126" priority="1127">
      <formula>P108="+"</formula>
    </cfRule>
  </conditionalFormatting>
  <conditionalFormatting sqref="P104:V106">
    <cfRule type="expression" dxfId="1125" priority="1126">
      <formula>P108="+"</formula>
    </cfRule>
  </conditionalFormatting>
  <conditionalFormatting sqref="W103">
    <cfRule type="expression" dxfId="1124" priority="1125">
      <formula>W108="+"</formula>
    </cfRule>
  </conditionalFormatting>
  <conditionalFormatting sqref="W104:AC106">
    <cfRule type="expression" dxfId="1123" priority="1124">
      <formula>W108="+"</formula>
    </cfRule>
  </conditionalFormatting>
  <conditionalFormatting sqref="AD103">
    <cfRule type="expression" dxfId="1122" priority="1123">
      <formula>AD108="+"</formula>
    </cfRule>
  </conditionalFormatting>
  <conditionalFormatting sqref="AD104:AJ106">
    <cfRule type="expression" dxfId="1121" priority="1122">
      <formula>AD108="+"</formula>
    </cfRule>
  </conditionalFormatting>
  <conditionalFormatting sqref="AK103">
    <cfRule type="expression" dxfId="1120" priority="1121">
      <formula>AK108="+"</formula>
    </cfRule>
  </conditionalFormatting>
  <conditionalFormatting sqref="AK104:AQ106">
    <cfRule type="expression" dxfId="1119" priority="1120">
      <formula>AK108="+"</formula>
    </cfRule>
  </conditionalFormatting>
  <conditionalFormatting sqref="I102">
    <cfRule type="expression" dxfId="1118" priority="1118">
      <formula>I103="+"</formula>
    </cfRule>
    <cfRule type="expression" dxfId="1117" priority="1119">
      <formula>I102="+"</formula>
    </cfRule>
  </conditionalFormatting>
  <conditionalFormatting sqref="P102">
    <cfRule type="expression" dxfId="1116" priority="1116">
      <formula>P103="+"</formula>
    </cfRule>
    <cfRule type="expression" dxfId="1115" priority="1117">
      <formula>P102="+"</formula>
    </cfRule>
  </conditionalFormatting>
  <conditionalFormatting sqref="W102">
    <cfRule type="expression" dxfId="1114" priority="1114">
      <formula>W103="+"</formula>
    </cfRule>
    <cfRule type="expression" dxfId="1113" priority="1115">
      <formula>W102="+"</formula>
    </cfRule>
  </conditionalFormatting>
  <conditionalFormatting sqref="AD102">
    <cfRule type="expression" dxfId="1112" priority="1112">
      <formula>AD103="+"</formula>
    </cfRule>
    <cfRule type="expression" dxfId="1111" priority="1113">
      <formula>AD102="+"</formula>
    </cfRule>
  </conditionalFormatting>
  <conditionalFormatting sqref="AK102">
    <cfRule type="expression" dxfId="1110" priority="1110">
      <formula>AK103="+"</formula>
    </cfRule>
    <cfRule type="expression" dxfId="1109" priority="1111">
      <formula>AK102="+"</formula>
    </cfRule>
  </conditionalFormatting>
  <conditionalFormatting sqref="AR102">
    <cfRule type="expression" dxfId="1108" priority="1108">
      <formula>AR103="+"</formula>
    </cfRule>
    <cfRule type="expression" dxfId="1107" priority="1109">
      <formula>AR102="+"</formula>
    </cfRule>
  </conditionalFormatting>
  <conditionalFormatting sqref="B108:AQ108">
    <cfRule type="expression" dxfId="1106" priority="1107">
      <formula>B107="-"</formula>
    </cfRule>
  </conditionalFormatting>
  <conditionalFormatting sqref="B108">
    <cfRule type="expression" dxfId="1105" priority="1106">
      <formula>B113="+"</formula>
    </cfRule>
  </conditionalFormatting>
  <conditionalFormatting sqref="B109:H111">
    <cfRule type="expression" dxfId="1104" priority="1105">
      <formula>B113="+"</formula>
    </cfRule>
  </conditionalFormatting>
  <conditionalFormatting sqref="B107">
    <cfRule type="expression" dxfId="1103" priority="1103">
      <formula>B108="+"</formula>
    </cfRule>
    <cfRule type="expression" dxfId="1102" priority="1104">
      <formula>B107="+"</formula>
    </cfRule>
  </conditionalFormatting>
  <conditionalFormatting sqref="I108">
    <cfRule type="expression" dxfId="1101" priority="1102">
      <formula>I113="+"</formula>
    </cfRule>
  </conditionalFormatting>
  <conditionalFormatting sqref="I109:O111">
    <cfRule type="expression" dxfId="1100" priority="1101">
      <formula>I113="+"</formula>
    </cfRule>
  </conditionalFormatting>
  <conditionalFormatting sqref="P108">
    <cfRule type="expression" dxfId="1099" priority="1100">
      <formula>P113="+"</formula>
    </cfRule>
  </conditionalFormatting>
  <conditionalFormatting sqref="P109:V111">
    <cfRule type="expression" dxfId="1098" priority="1099">
      <formula>P113="+"</formula>
    </cfRule>
  </conditionalFormatting>
  <conditionalFormatting sqref="W108">
    <cfRule type="expression" dxfId="1097" priority="1098">
      <formula>W113="+"</formula>
    </cfRule>
  </conditionalFormatting>
  <conditionalFormatting sqref="W109:AC111">
    <cfRule type="expression" dxfId="1096" priority="1097">
      <formula>W113="+"</formula>
    </cfRule>
  </conditionalFormatting>
  <conditionalFormatting sqref="AD108">
    <cfRule type="expression" dxfId="1095" priority="1096">
      <formula>AD113="+"</formula>
    </cfRule>
  </conditionalFormatting>
  <conditionalFormatting sqref="AD109:AJ111">
    <cfRule type="expression" dxfId="1094" priority="1095">
      <formula>AD113="+"</formula>
    </cfRule>
  </conditionalFormatting>
  <conditionalFormatting sqref="AK108">
    <cfRule type="expression" dxfId="1093" priority="1094">
      <formula>AK113="+"</formula>
    </cfRule>
  </conditionalFormatting>
  <conditionalFormatting sqref="AK109:AQ111">
    <cfRule type="expression" dxfId="1092" priority="1093">
      <formula>AK113="+"</formula>
    </cfRule>
  </conditionalFormatting>
  <conditionalFormatting sqref="I107">
    <cfRule type="expression" dxfId="1091" priority="1091">
      <formula>I108="+"</formula>
    </cfRule>
    <cfRule type="expression" dxfId="1090" priority="1092">
      <formula>I107="+"</formula>
    </cfRule>
  </conditionalFormatting>
  <conditionalFormatting sqref="P107">
    <cfRule type="expression" dxfId="1089" priority="1089">
      <formula>P108="+"</formula>
    </cfRule>
    <cfRule type="expression" dxfId="1088" priority="1090">
      <formula>P107="+"</formula>
    </cfRule>
  </conditionalFormatting>
  <conditionalFormatting sqref="W107">
    <cfRule type="expression" dxfId="1087" priority="1087">
      <formula>W108="+"</formula>
    </cfRule>
    <cfRule type="expression" dxfId="1086" priority="1088">
      <formula>W107="+"</formula>
    </cfRule>
  </conditionalFormatting>
  <conditionalFormatting sqref="AD107">
    <cfRule type="expression" dxfId="1085" priority="1085">
      <formula>AD108="+"</formula>
    </cfRule>
    <cfRule type="expression" dxfId="1084" priority="1086">
      <formula>AD107="+"</formula>
    </cfRule>
  </conditionalFormatting>
  <conditionalFormatting sqref="AK107">
    <cfRule type="expression" dxfId="1083" priority="1083">
      <formula>AK108="+"</formula>
    </cfRule>
    <cfRule type="expression" dxfId="1082" priority="1084">
      <formula>AK107="+"</formula>
    </cfRule>
  </conditionalFormatting>
  <conditionalFormatting sqref="AR107">
    <cfRule type="expression" dxfId="1081" priority="1081">
      <formula>AR108="+"</formula>
    </cfRule>
    <cfRule type="expression" dxfId="1080" priority="1082">
      <formula>AR107="+"</formula>
    </cfRule>
  </conditionalFormatting>
  <conditionalFormatting sqref="B113:AQ113">
    <cfRule type="expression" dxfId="1079" priority="1080">
      <formula>B112="-"</formula>
    </cfRule>
  </conditionalFormatting>
  <conditionalFormatting sqref="B113">
    <cfRule type="expression" dxfId="1078" priority="1079">
      <formula>B118="+"</formula>
    </cfRule>
  </conditionalFormatting>
  <conditionalFormatting sqref="B114:H116">
    <cfRule type="expression" dxfId="1077" priority="1078">
      <formula>B118="+"</formula>
    </cfRule>
  </conditionalFormatting>
  <conditionalFormatting sqref="B112">
    <cfRule type="expression" dxfId="1076" priority="1076">
      <formula>B113="+"</formula>
    </cfRule>
    <cfRule type="expression" dxfId="1075" priority="1077">
      <formula>B112="+"</formula>
    </cfRule>
  </conditionalFormatting>
  <conditionalFormatting sqref="I113">
    <cfRule type="expression" dxfId="1074" priority="1075">
      <formula>I118="+"</formula>
    </cfRule>
  </conditionalFormatting>
  <conditionalFormatting sqref="I114:O116">
    <cfRule type="expression" dxfId="1073" priority="1074">
      <formula>I118="+"</formula>
    </cfRule>
  </conditionalFormatting>
  <conditionalFormatting sqref="P113">
    <cfRule type="expression" dxfId="1072" priority="1073">
      <formula>P118="+"</formula>
    </cfRule>
  </conditionalFormatting>
  <conditionalFormatting sqref="P114:V116">
    <cfRule type="expression" dxfId="1071" priority="1072">
      <formula>P118="+"</formula>
    </cfRule>
  </conditionalFormatting>
  <conditionalFormatting sqref="W113">
    <cfRule type="expression" dxfId="1070" priority="1071">
      <formula>W118="+"</formula>
    </cfRule>
  </conditionalFormatting>
  <conditionalFormatting sqref="W114:AC116">
    <cfRule type="expression" dxfId="1069" priority="1070">
      <formula>W118="+"</formula>
    </cfRule>
  </conditionalFormatting>
  <conditionalFormatting sqref="AD113">
    <cfRule type="expression" dxfId="1068" priority="1069">
      <formula>AD118="+"</formula>
    </cfRule>
  </conditionalFormatting>
  <conditionalFormatting sqref="AD114:AJ116">
    <cfRule type="expression" dxfId="1067" priority="1068">
      <formula>AD118="+"</formula>
    </cfRule>
  </conditionalFormatting>
  <conditionalFormatting sqref="AK113">
    <cfRule type="expression" dxfId="1066" priority="1067">
      <formula>AK118="+"</formula>
    </cfRule>
  </conditionalFormatting>
  <conditionalFormatting sqref="AK114:AQ116">
    <cfRule type="expression" dxfId="1065" priority="1066">
      <formula>AK118="+"</formula>
    </cfRule>
  </conditionalFormatting>
  <conditionalFormatting sqref="I112">
    <cfRule type="expression" dxfId="1064" priority="1064">
      <formula>I113="+"</formula>
    </cfRule>
    <cfRule type="expression" dxfId="1063" priority="1065">
      <formula>I112="+"</formula>
    </cfRule>
  </conditionalFormatting>
  <conditionalFormatting sqref="P112">
    <cfRule type="expression" dxfId="1062" priority="1062">
      <formula>P113="+"</formula>
    </cfRule>
    <cfRule type="expression" dxfId="1061" priority="1063">
      <formula>P112="+"</formula>
    </cfRule>
  </conditionalFormatting>
  <conditionalFormatting sqref="W112">
    <cfRule type="expression" dxfId="1060" priority="1060">
      <formula>W113="+"</formula>
    </cfRule>
    <cfRule type="expression" dxfId="1059" priority="1061">
      <formula>W112="+"</formula>
    </cfRule>
  </conditionalFormatting>
  <conditionalFormatting sqref="AD112">
    <cfRule type="expression" dxfId="1058" priority="1058">
      <formula>AD113="+"</formula>
    </cfRule>
    <cfRule type="expression" dxfId="1057" priority="1059">
      <formula>AD112="+"</formula>
    </cfRule>
  </conditionalFormatting>
  <conditionalFormatting sqref="AK112">
    <cfRule type="expression" dxfId="1056" priority="1056">
      <formula>AK113="+"</formula>
    </cfRule>
    <cfRule type="expression" dxfId="1055" priority="1057">
      <formula>AK112="+"</formula>
    </cfRule>
  </conditionalFormatting>
  <conditionalFormatting sqref="AR112">
    <cfRule type="expression" dxfId="1054" priority="1054">
      <formula>AR113="+"</formula>
    </cfRule>
    <cfRule type="expression" dxfId="1053" priority="1055">
      <formula>AR112="+"</formula>
    </cfRule>
  </conditionalFormatting>
  <conditionalFormatting sqref="B118:AQ118">
    <cfRule type="expression" dxfId="1052" priority="1053">
      <formula>B117="-"</formula>
    </cfRule>
  </conditionalFormatting>
  <conditionalFormatting sqref="B118">
    <cfRule type="expression" dxfId="1051" priority="1052">
      <formula>B123="+"</formula>
    </cfRule>
  </conditionalFormatting>
  <conditionalFormatting sqref="B119:H121">
    <cfRule type="expression" dxfId="1050" priority="1051">
      <formula>B123="+"</formula>
    </cfRule>
  </conditionalFormatting>
  <conditionalFormatting sqref="B117">
    <cfRule type="expression" dxfId="1049" priority="1049">
      <formula>B118="+"</formula>
    </cfRule>
    <cfRule type="expression" dxfId="1048" priority="1050">
      <formula>B117="+"</formula>
    </cfRule>
  </conditionalFormatting>
  <conditionalFormatting sqref="I118">
    <cfRule type="expression" dxfId="1047" priority="1048">
      <formula>I123="+"</formula>
    </cfRule>
  </conditionalFormatting>
  <conditionalFormatting sqref="I119:O121">
    <cfRule type="expression" dxfId="1046" priority="1047">
      <formula>I123="+"</formula>
    </cfRule>
  </conditionalFormatting>
  <conditionalFormatting sqref="P118">
    <cfRule type="expression" dxfId="1045" priority="1046">
      <formula>P123="+"</formula>
    </cfRule>
  </conditionalFormatting>
  <conditionalFormatting sqref="P119:V121">
    <cfRule type="expression" dxfId="1044" priority="1045">
      <formula>P123="+"</formula>
    </cfRule>
  </conditionalFormatting>
  <conditionalFormatting sqref="W118">
    <cfRule type="expression" dxfId="1043" priority="1044">
      <formula>W123="+"</formula>
    </cfRule>
  </conditionalFormatting>
  <conditionalFormatting sqref="W119:AC121">
    <cfRule type="expression" dxfId="1042" priority="1043">
      <formula>W123="+"</formula>
    </cfRule>
  </conditionalFormatting>
  <conditionalFormatting sqref="AD118">
    <cfRule type="expression" dxfId="1041" priority="1042">
      <formula>AD123="+"</formula>
    </cfRule>
  </conditionalFormatting>
  <conditionalFormatting sqref="AD119:AJ121">
    <cfRule type="expression" dxfId="1040" priority="1041">
      <formula>AD123="+"</formula>
    </cfRule>
  </conditionalFormatting>
  <conditionalFormatting sqref="AK118">
    <cfRule type="expression" dxfId="1039" priority="1040">
      <formula>AK123="+"</formula>
    </cfRule>
  </conditionalFormatting>
  <conditionalFormatting sqref="AK119:AQ121">
    <cfRule type="expression" dxfId="1038" priority="1039">
      <formula>AK123="+"</formula>
    </cfRule>
  </conditionalFormatting>
  <conditionalFormatting sqref="I117">
    <cfRule type="expression" dxfId="1037" priority="1037">
      <formula>I118="+"</formula>
    </cfRule>
    <cfRule type="expression" dxfId="1036" priority="1038">
      <formula>I117="+"</formula>
    </cfRule>
  </conditionalFormatting>
  <conditionalFormatting sqref="P117">
    <cfRule type="expression" dxfId="1035" priority="1035">
      <formula>P118="+"</formula>
    </cfRule>
    <cfRule type="expression" dxfId="1034" priority="1036">
      <formula>P117="+"</formula>
    </cfRule>
  </conditionalFormatting>
  <conditionalFormatting sqref="W117">
    <cfRule type="expression" dxfId="1033" priority="1033">
      <formula>W118="+"</formula>
    </cfRule>
    <cfRule type="expression" dxfId="1032" priority="1034">
      <formula>W117="+"</formula>
    </cfRule>
  </conditionalFormatting>
  <conditionalFormatting sqref="AD117">
    <cfRule type="expression" dxfId="1031" priority="1031">
      <formula>AD118="+"</formula>
    </cfRule>
    <cfRule type="expression" dxfId="1030" priority="1032">
      <formula>AD117="+"</formula>
    </cfRule>
  </conditionalFormatting>
  <conditionalFormatting sqref="AK117">
    <cfRule type="expression" dxfId="1029" priority="1029">
      <formula>AK118="+"</formula>
    </cfRule>
    <cfRule type="expression" dxfId="1028" priority="1030">
      <formula>AK117="+"</formula>
    </cfRule>
  </conditionalFormatting>
  <conditionalFormatting sqref="AR117">
    <cfRule type="expression" dxfId="1027" priority="1027">
      <formula>AR118="+"</formula>
    </cfRule>
    <cfRule type="expression" dxfId="1026" priority="1028">
      <formula>AR117="+"</formula>
    </cfRule>
  </conditionalFormatting>
  <conditionalFormatting sqref="B123:AQ123">
    <cfRule type="expression" dxfId="1025" priority="1026">
      <formula>B122="-"</formula>
    </cfRule>
  </conditionalFormatting>
  <conditionalFormatting sqref="B123">
    <cfRule type="expression" dxfId="1024" priority="1025">
      <formula>B128="+"</formula>
    </cfRule>
  </conditionalFormatting>
  <conditionalFormatting sqref="B124:H126">
    <cfRule type="expression" dxfId="1023" priority="1024">
      <formula>B128="+"</formula>
    </cfRule>
  </conditionalFormatting>
  <conditionalFormatting sqref="B122">
    <cfRule type="expression" dxfId="1022" priority="1022">
      <formula>B123="+"</formula>
    </cfRule>
    <cfRule type="expression" dxfId="1021" priority="1023">
      <formula>B122="+"</formula>
    </cfRule>
  </conditionalFormatting>
  <conditionalFormatting sqref="I123">
    <cfRule type="expression" dxfId="1020" priority="1021">
      <formula>I128="+"</formula>
    </cfRule>
  </conditionalFormatting>
  <conditionalFormatting sqref="I124:O126">
    <cfRule type="expression" dxfId="1019" priority="1020">
      <formula>I128="+"</formula>
    </cfRule>
  </conditionalFormatting>
  <conditionalFormatting sqref="P123">
    <cfRule type="expression" dxfId="1018" priority="1019">
      <formula>P128="+"</formula>
    </cfRule>
  </conditionalFormatting>
  <conditionalFormatting sqref="P124:V126">
    <cfRule type="expression" dxfId="1017" priority="1018">
      <formula>P128="+"</formula>
    </cfRule>
  </conditionalFormatting>
  <conditionalFormatting sqref="W123">
    <cfRule type="expression" dxfId="1016" priority="1017">
      <formula>W128="+"</formula>
    </cfRule>
  </conditionalFormatting>
  <conditionalFormatting sqref="W124:AC126">
    <cfRule type="expression" dxfId="1015" priority="1016">
      <formula>W128="+"</formula>
    </cfRule>
  </conditionalFormatting>
  <conditionalFormatting sqref="AD123">
    <cfRule type="expression" dxfId="1014" priority="1015">
      <formula>AD128="+"</formula>
    </cfRule>
  </conditionalFormatting>
  <conditionalFormatting sqref="AD124:AJ126">
    <cfRule type="expression" dxfId="1013" priority="1014">
      <formula>AD128="+"</formula>
    </cfRule>
  </conditionalFormatting>
  <conditionalFormatting sqref="AK123">
    <cfRule type="expression" dxfId="1012" priority="1013">
      <formula>AK128="+"</formula>
    </cfRule>
  </conditionalFormatting>
  <conditionalFormatting sqref="AK124:AQ126">
    <cfRule type="expression" dxfId="1011" priority="1012">
      <formula>AK128="+"</formula>
    </cfRule>
  </conditionalFormatting>
  <conditionalFormatting sqref="I122">
    <cfRule type="expression" dxfId="1010" priority="1010">
      <formula>I123="+"</formula>
    </cfRule>
    <cfRule type="expression" dxfId="1009" priority="1011">
      <formula>I122="+"</formula>
    </cfRule>
  </conditionalFormatting>
  <conditionalFormatting sqref="P122">
    <cfRule type="expression" dxfId="1008" priority="1008">
      <formula>P123="+"</formula>
    </cfRule>
    <cfRule type="expression" dxfId="1007" priority="1009">
      <formula>P122="+"</formula>
    </cfRule>
  </conditionalFormatting>
  <conditionalFormatting sqref="W122">
    <cfRule type="expression" dxfId="1006" priority="1006">
      <formula>W123="+"</formula>
    </cfRule>
    <cfRule type="expression" dxfId="1005" priority="1007">
      <formula>W122="+"</formula>
    </cfRule>
  </conditionalFormatting>
  <conditionalFormatting sqref="AD122">
    <cfRule type="expression" dxfId="1004" priority="1004">
      <formula>AD123="+"</formula>
    </cfRule>
    <cfRule type="expression" dxfId="1003" priority="1005">
      <formula>AD122="+"</formula>
    </cfRule>
  </conditionalFormatting>
  <conditionalFormatting sqref="AK122">
    <cfRule type="expression" dxfId="1002" priority="1002">
      <formula>AK123="+"</formula>
    </cfRule>
    <cfRule type="expression" dxfId="1001" priority="1003">
      <formula>AK122="+"</formula>
    </cfRule>
  </conditionalFormatting>
  <conditionalFormatting sqref="AR122">
    <cfRule type="expression" dxfId="1000" priority="1000">
      <formula>AR123="+"</formula>
    </cfRule>
    <cfRule type="expression" dxfId="999" priority="1001">
      <formula>AR122="+"</formula>
    </cfRule>
  </conditionalFormatting>
  <conditionalFormatting sqref="B128:AQ128">
    <cfRule type="expression" dxfId="998" priority="999">
      <formula>B127="-"</formula>
    </cfRule>
  </conditionalFormatting>
  <conditionalFormatting sqref="B128">
    <cfRule type="expression" dxfId="997" priority="998">
      <formula>B133="+"</formula>
    </cfRule>
  </conditionalFormatting>
  <conditionalFormatting sqref="B129:H131">
    <cfRule type="expression" dxfId="996" priority="997">
      <formula>B133="+"</formula>
    </cfRule>
  </conditionalFormatting>
  <conditionalFormatting sqref="B127">
    <cfRule type="expression" dxfId="995" priority="995">
      <formula>B128="+"</formula>
    </cfRule>
    <cfRule type="expression" dxfId="994" priority="996">
      <formula>B127="+"</formula>
    </cfRule>
  </conditionalFormatting>
  <conditionalFormatting sqref="I128">
    <cfRule type="expression" dxfId="993" priority="994">
      <formula>I133="+"</formula>
    </cfRule>
  </conditionalFormatting>
  <conditionalFormatting sqref="I129:O131">
    <cfRule type="expression" dxfId="992" priority="993">
      <formula>I133="+"</formula>
    </cfRule>
  </conditionalFormatting>
  <conditionalFormatting sqref="P128">
    <cfRule type="expression" dxfId="991" priority="992">
      <formula>P133="+"</formula>
    </cfRule>
  </conditionalFormatting>
  <conditionalFormatting sqref="P129:V131">
    <cfRule type="expression" dxfId="990" priority="991">
      <formula>P133="+"</formula>
    </cfRule>
  </conditionalFormatting>
  <conditionalFormatting sqref="W128">
    <cfRule type="expression" dxfId="989" priority="990">
      <formula>W133="+"</formula>
    </cfRule>
  </conditionalFormatting>
  <conditionalFormatting sqref="W129:AC131">
    <cfRule type="expression" dxfId="988" priority="989">
      <formula>W133="+"</formula>
    </cfRule>
  </conditionalFormatting>
  <conditionalFormatting sqref="AD128">
    <cfRule type="expression" dxfId="987" priority="988">
      <formula>AD133="+"</formula>
    </cfRule>
  </conditionalFormatting>
  <conditionalFormatting sqref="AD129:AJ131">
    <cfRule type="expression" dxfId="986" priority="987">
      <formula>AD133="+"</formula>
    </cfRule>
  </conditionalFormatting>
  <conditionalFormatting sqref="AK128">
    <cfRule type="expression" dxfId="985" priority="986">
      <formula>AK133="+"</formula>
    </cfRule>
  </conditionalFormatting>
  <conditionalFormatting sqref="AK129:AQ131">
    <cfRule type="expression" dxfId="984" priority="985">
      <formula>AK133="+"</formula>
    </cfRule>
  </conditionalFormatting>
  <conditionalFormatting sqref="I127">
    <cfRule type="expression" dxfId="983" priority="983">
      <formula>I128="+"</formula>
    </cfRule>
    <cfRule type="expression" dxfId="982" priority="984">
      <formula>I127="+"</formula>
    </cfRule>
  </conditionalFormatting>
  <conditionalFormatting sqref="P127">
    <cfRule type="expression" dxfId="981" priority="981">
      <formula>P128="+"</formula>
    </cfRule>
    <cfRule type="expression" dxfId="980" priority="982">
      <formula>P127="+"</formula>
    </cfRule>
  </conditionalFormatting>
  <conditionalFormatting sqref="W127">
    <cfRule type="expression" dxfId="979" priority="979">
      <formula>W128="+"</formula>
    </cfRule>
    <cfRule type="expression" dxfId="978" priority="980">
      <formula>W127="+"</formula>
    </cfRule>
  </conditionalFormatting>
  <conditionalFormatting sqref="AD127">
    <cfRule type="expression" dxfId="977" priority="977">
      <formula>AD128="+"</formula>
    </cfRule>
    <cfRule type="expression" dxfId="976" priority="978">
      <formula>AD127="+"</formula>
    </cfRule>
  </conditionalFormatting>
  <conditionalFormatting sqref="AK127">
    <cfRule type="expression" dxfId="975" priority="975">
      <formula>AK128="+"</formula>
    </cfRule>
    <cfRule type="expression" dxfId="974" priority="976">
      <formula>AK127="+"</formula>
    </cfRule>
  </conditionalFormatting>
  <conditionalFormatting sqref="AR127">
    <cfRule type="expression" dxfId="973" priority="973">
      <formula>AR128="+"</formula>
    </cfRule>
    <cfRule type="expression" dxfId="972" priority="974">
      <formula>AR127="+"</formula>
    </cfRule>
  </conditionalFormatting>
  <conditionalFormatting sqref="B133:AQ133">
    <cfRule type="expression" dxfId="971" priority="972">
      <formula>B132="-"</formula>
    </cfRule>
  </conditionalFormatting>
  <conditionalFormatting sqref="B133">
    <cfRule type="expression" dxfId="970" priority="971">
      <formula>B138="+"</formula>
    </cfRule>
  </conditionalFormatting>
  <conditionalFormatting sqref="B134:H136">
    <cfRule type="expression" dxfId="969" priority="970">
      <formula>B138="+"</formula>
    </cfRule>
  </conditionalFormatting>
  <conditionalFormatting sqref="B132">
    <cfRule type="expression" dxfId="968" priority="968">
      <formula>B133="+"</formula>
    </cfRule>
    <cfRule type="expression" dxfId="967" priority="969">
      <formula>B132="+"</formula>
    </cfRule>
  </conditionalFormatting>
  <conditionalFormatting sqref="I133">
    <cfRule type="expression" dxfId="966" priority="967">
      <formula>I138="+"</formula>
    </cfRule>
  </conditionalFormatting>
  <conditionalFormatting sqref="I134:O136">
    <cfRule type="expression" dxfId="965" priority="966">
      <formula>I138="+"</formula>
    </cfRule>
  </conditionalFormatting>
  <conditionalFormatting sqref="P133">
    <cfRule type="expression" dxfId="964" priority="965">
      <formula>P138="+"</formula>
    </cfRule>
  </conditionalFormatting>
  <conditionalFormatting sqref="P134:V136">
    <cfRule type="expression" dxfId="963" priority="964">
      <formula>P138="+"</formula>
    </cfRule>
  </conditionalFormatting>
  <conditionalFormatting sqref="W133">
    <cfRule type="expression" dxfId="962" priority="963">
      <formula>W138="+"</formula>
    </cfRule>
  </conditionalFormatting>
  <conditionalFormatting sqref="W134:AC136">
    <cfRule type="expression" dxfId="961" priority="962">
      <formula>W138="+"</formula>
    </cfRule>
  </conditionalFormatting>
  <conditionalFormatting sqref="AD133">
    <cfRule type="expression" dxfId="960" priority="961">
      <formula>AD138="+"</formula>
    </cfRule>
  </conditionalFormatting>
  <conditionalFormatting sqref="AD134:AJ136">
    <cfRule type="expression" dxfId="959" priority="960">
      <formula>AD138="+"</formula>
    </cfRule>
  </conditionalFormatting>
  <conditionalFormatting sqref="AK133">
    <cfRule type="expression" dxfId="958" priority="959">
      <formula>AK138="+"</formula>
    </cfRule>
  </conditionalFormatting>
  <conditionalFormatting sqref="AK134:AQ136">
    <cfRule type="expression" dxfId="957" priority="958">
      <formula>AK138="+"</formula>
    </cfRule>
  </conditionalFormatting>
  <conditionalFormatting sqref="I132">
    <cfRule type="expression" dxfId="956" priority="956">
      <formula>I133="+"</formula>
    </cfRule>
    <cfRule type="expression" dxfId="955" priority="957">
      <formula>I132="+"</formula>
    </cfRule>
  </conditionalFormatting>
  <conditionalFormatting sqref="P132">
    <cfRule type="expression" dxfId="954" priority="954">
      <formula>P133="+"</formula>
    </cfRule>
    <cfRule type="expression" dxfId="953" priority="955">
      <formula>P132="+"</formula>
    </cfRule>
  </conditionalFormatting>
  <conditionalFormatting sqref="W132">
    <cfRule type="expression" dxfId="952" priority="952">
      <formula>W133="+"</formula>
    </cfRule>
    <cfRule type="expression" dxfId="951" priority="953">
      <formula>W132="+"</formula>
    </cfRule>
  </conditionalFormatting>
  <conditionalFormatting sqref="AD132">
    <cfRule type="expression" dxfId="950" priority="950">
      <formula>AD133="+"</formula>
    </cfRule>
    <cfRule type="expression" dxfId="949" priority="951">
      <formula>AD132="+"</formula>
    </cfRule>
  </conditionalFormatting>
  <conditionalFormatting sqref="AK132">
    <cfRule type="expression" dxfId="948" priority="948">
      <formula>AK133="+"</formula>
    </cfRule>
    <cfRule type="expression" dxfId="947" priority="949">
      <formula>AK132="+"</formula>
    </cfRule>
  </conditionalFormatting>
  <conditionalFormatting sqref="AR132">
    <cfRule type="expression" dxfId="946" priority="946">
      <formula>AR133="+"</formula>
    </cfRule>
    <cfRule type="expression" dxfId="945" priority="947">
      <formula>AR132="+"</formula>
    </cfRule>
  </conditionalFormatting>
  <conditionalFormatting sqref="B138:AQ138">
    <cfRule type="expression" dxfId="944" priority="945">
      <formula>B137="-"</formula>
    </cfRule>
  </conditionalFormatting>
  <conditionalFormatting sqref="B138">
    <cfRule type="expression" dxfId="943" priority="944">
      <formula>B143="+"</formula>
    </cfRule>
  </conditionalFormatting>
  <conditionalFormatting sqref="B139:H141">
    <cfRule type="expression" dxfId="942" priority="943">
      <formula>B143="+"</formula>
    </cfRule>
  </conditionalFormatting>
  <conditionalFormatting sqref="B137">
    <cfRule type="expression" dxfId="941" priority="941">
      <formula>B138="+"</formula>
    </cfRule>
    <cfRule type="expression" dxfId="940" priority="942">
      <formula>B137="+"</formula>
    </cfRule>
  </conditionalFormatting>
  <conditionalFormatting sqref="I138">
    <cfRule type="expression" dxfId="939" priority="940">
      <formula>I143="+"</formula>
    </cfRule>
  </conditionalFormatting>
  <conditionalFormatting sqref="I139:O141">
    <cfRule type="expression" dxfId="938" priority="939">
      <formula>I143="+"</formula>
    </cfRule>
  </conditionalFormatting>
  <conditionalFormatting sqref="P138">
    <cfRule type="expression" dxfId="937" priority="938">
      <formula>P143="+"</formula>
    </cfRule>
  </conditionalFormatting>
  <conditionalFormatting sqref="P139:V141">
    <cfRule type="expression" dxfId="936" priority="937">
      <formula>P143="+"</formula>
    </cfRule>
  </conditionalFormatting>
  <conditionalFormatting sqref="W138">
    <cfRule type="expression" dxfId="935" priority="936">
      <formula>W143="+"</formula>
    </cfRule>
  </conditionalFormatting>
  <conditionalFormatting sqref="W139:AC141">
    <cfRule type="expression" dxfId="934" priority="935">
      <formula>W143="+"</formula>
    </cfRule>
  </conditionalFormatting>
  <conditionalFormatting sqref="AD138">
    <cfRule type="expression" dxfId="933" priority="934">
      <formula>AD143="+"</formula>
    </cfRule>
  </conditionalFormatting>
  <conditionalFormatting sqref="AD139:AJ141">
    <cfRule type="expression" dxfId="932" priority="933">
      <formula>AD143="+"</formula>
    </cfRule>
  </conditionalFormatting>
  <conditionalFormatting sqref="AK138">
    <cfRule type="expression" dxfId="931" priority="932">
      <formula>AK143="+"</formula>
    </cfRule>
  </conditionalFormatting>
  <conditionalFormatting sqref="AK139:AQ141">
    <cfRule type="expression" dxfId="930" priority="931">
      <formula>AK143="+"</formula>
    </cfRule>
  </conditionalFormatting>
  <conditionalFormatting sqref="I137">
    <cfRule type="expression" dxfId="929" priority="929">
      <formula>I138="+"</formula>
    </cfRule>
    <cfRule type="expression" dxfId="928" priority="930">
      <formula>I137="+"</formula>
    </cfRule>
  </conditionalFormatting>
  <conditionalFormatting sqref="P137">
    <cfRule type="expression" dxfId="927" priority="927">
      <formula>P138="+"</formula>
    </cfRule>
    <cfRule type="expression" dxfId="926" priority="928">
      <formula>P137="+"</formula>
    </cfRule>
  </conditionalFormatting>
  <conditionalFormatting sqref="W137">
    <cfRule type="expression" dxfId="925" priority="925">
      <formula>W138="+"</formula>
    </cfRule>
    <cfRule type="expression" dxfId="924" priority="926">
      <formula>W137="+"</formula>
    </cfRule>
  </conditionalFormatting>
  <conditionalFormatting sqref="AD137">
    <cfRule type="expression" dxfId="923" priority="923">
      <formula>AD138="+"</formula>
    </cfRule>
    <cfRule type="expression" dxfId="922" priority="924">
      <formula>AD137="+"</formula>
    </cfRule>
  </conditionalFormatting>
  <conditionalFormatting sqref="AK137">
    <cfRule type="expression" dxfId="921" priority="921">
      <formula>AK138="+"</formula>
    </cfRule>
    <cfRule type="expression" dxfId="920" priority="922">
      <formula>AK137="+"</formula>
    </cfRule>
  </conditionalFormatting>
  <conditionalFormatting sqref="AR137">
    <cfRule type="expression" dxfId="919" priority="919">
      <formula>AR138="+"</formula>
    </cfRule>
    <cfRule type="expression" dxfId="918" priority="920">
      <formula>AR137="+"</formula>
    </cfRule>
  </conditionalFormatting>
  <conditionalFormatting sqref="B143:AQ143">
    <cfRule type="expression" dxfId="917" priority="918">
      <formula>B142="-"</formula>
    </cfRule>
  </conditionalFormatting>
  <conditionalFormatting sqref="B143">
    <cfRule type="expression" dxfId="916" priority="917">
      <formula>B148="+"</formula>
    </cfRule>
  </conditionalFormatting>
  <conditionalFormatting sqref="B144:H146">
    <cfRule type="expression" dxfId="915" priority="916">
      <formula>B148="+"</formula>
    </cfRule>
  </conditionalFormatting>
  <conditionalFormatting sqref="B142">
    <cfRule type="expression" dxfId="914" priority="914">
      <formula>B143="+"</formula>
    </cfRule>
    <cfRule type="expression" dxfId="913" priority="915">
      <formula>B142="+"</formula>
    </cfRule>
  </conditionalFormatting>
  <conditionalFormatting sqref="I143">
    <cfRule type="expression" dxfId="912" priority="913">
      <formula>I148="+"</formula>
    </cfRule>
  </conditionalFormatting>
  <conditionalFormatting sqref="I144:O146">
    <cfRule type="expression" dxfId="911" priority="912">
      <formula>I148="+"</formula>
    </cfRule>
  </conditionalFormatting>
  <conditionalFormatting sqref="P143">
    <cfRule type="expression" dxfId="910" priority="911">
      <formula>P148="+"</formula>
    </cfRule>
  </conditionalFormatting>
  <conditionalFormatting sqref="P144:V146">
    <cfRule type="expression" dxfId="909" priority="910">
      <formula>P148="+"</formula>
    </cfRule>
  </conditionalFormatting>
  <conditionalFormatting sqref="W143">
    <cfRule type="expression" dxfId="908" priority="909">
      <formula>W148="+"</formula>
    </cfRule>
  </conditionalFormatting>
  <conditionalFormatting sqref="W144:AC146">
    <cfRule type="expression" dxfId="907" priority="908">
      <formula>W148="+"</formula>
    </cfRule>
  </conditionalFormatting>
  <conditionalFormatting sqref="AD143">
    <cfRule type="expression" dxfId="906" priority="907">
      <formula>AD148="+"</formula>
    </cfRule>
  </conditionalFormatting>
  <conditionalFormatting sqref="AD144:AJ146">
    <cfRule type="expression" dxfId="905" priority="906">
      <formula>AD148="+"</formula>
    </cfRule>
  </conditionalFormatting>
  <conditionalFormatting sqref="AK143">
    <cfRule type="expression" dxfId="904" priority="905">
      <formula>AK148="+"</formula>
    </cfRule>
  </conditionalFormatting>
  <conditionalFormatting sqref="AK144:AQ146">
    <cfRule type="expression" dxfId="903" priority="904">
      <formula>AK148="+"</formula>
    </cfRule>
  </conditionalFormatting>
  <conditionalFormatting sqref="I142">
    <cfRule type="expression" dxfId="902" priority="902">
      <formula>I143="+"</formula>
    </cfRule>
    <cfRule type="expression" dxfId="901" priority="903">
      <formula>I142="+"</formula>
    </cfRule>
  </conditionalFormatting>
  <conditionalFormatting sqref="P142">
    <cfRule type="expression" dxfId="900" priority="900">
      <formula>P143="+"</formula>
    </cfRule>
    <cfRule type="expression" dxfId="899" priority="901">
      <formula>P142="+"</formula>
    </cfRule>
  </conditionalFormatting>
  <conditionalFormatting sqref="W142">
    <cfRule type="expression" dxfId="898" priority="898">
      <formula>W143="+"</formula>
    </cfRule>
    <cfRule type="expression" dxfId="897" priority="899">
      <formula>W142="+"</formula>
    </cfRule>
  </conditionalFormatting>
  <conditionalFormatting sqref="AD142">
    <cfRule type="expression" dxfId="896" priority="896">
      <formula>AD143="+"</formula>
    </cfRule>
    <cfRule type="expression" dxfId="895" priority="897">
      <formula>AD142="+"</formula>
    </cfRule>
  </conditionalFormatting>
  <conditionalFormatting sqref="AK142">
    <cfRule type="expression" dxfId="894" priority="894">
      <formula>AK143="+"</formula>
    </cfRule>
    <cfRule type="expression" dxfId="893" priority="895">
      <formula>AK142="+"</formula>
    </cfRule>
  </conditionalFormatting>
  <conditionalFormatting sqref="AR142">
    <cfRule type="expression" dxfId="892" priority="892">
      <formula>AR143="+"</formula>
    </cfRule>
    <cfRule type="expression" dxfId="891" priority="893">
      <formula>AR142="+"</formula>
    </cfRule>
  </conditionalFormatting>
  <conditionalFormatting sqref="B148:AQ148">
    <cfRule type="expression" dxfId="890" priority="891">
      <formula>B147="-"</formula>
    </cfRule>
  </conditionalFormatting>
  <conditionalFormatting sqref="B148">
    <cfRule type="expression" dxfId="889" priority="890">
      <formula>B153="+"</formula>
    </cfRule>
  </conditionalFormatting>
  <conditionalFormatting sqref="B149:H151">
    <cfRule type="expression" dxfId="888" priority="889">
      <formula>B153="+"</formula>
    </cfRule>
  </conditionalFormatting>
  <conditionalFormatting sqref="B147">
    <cfRule type="expression" dxfId="887" priority="887">
      <formula>B148="+"</formula>
    </cfRule>
    <cfRule type="expression" dxfId="886" priority="888">
      <formula>B147="+"</formula>
    </cfRule>
  </conditionalFormatting>
  <conditionalFormatting sqref="I148">
    <cfRule type="expression" dxfId="885" priority="886">
      <formula>I153="+"</formula>
    </cfRule>
  </conditionalFormatting>
  <conditionalFormatting sqref="I149:O151">
    <cfRule type="expression" dxfId="884" priority="885">
      <formula>I153="+"</formula>
    </cfRule>
  </conditionalFormatting>
  <conditionalFormatting sqref="P148">
    <cfRule type="expression" dxfId="883" priority="884">
      <formula>P153="+"</formula>
    </cfRule>
  </conditionalFormatting>
  <conditionalFormatting sqref="P149:V151">
    <cfRule type="expression" dxfId="882" priority="883">
      <formula>P153="+"</formula>
    </cfRule>
  </conditionalFormatting>
  <conditionalFormatting sqref="W148">
    <cfRule type="expression" dxfId="881" priority="882">
      <formula>W153="+"</formula>
    </cfRule>
  </conditionalFormatting>
  <conditionalFormatting sqref="W149:AC151">
    <cfRule type="expression" dxfId="880" priority="881">
      <formula>W153="+"</formula>
    </cfRule>
  </conditionalFormatting>
  <conditionalFormatting sqref="AD148">
    <cfRule type="expression" dxfId="879" priority="880">
      <formula>AD153="+"</formula>
    </cfRule>
  </conditionalFormatting>
  <conditionalFormatting sqref="AD149:AJ151">
    <cfRule type="expression" dxfId="878" priority="879">
      <formula>AD153="+"</formula>
    </cfRule>
  </conditionalFormatting>
  <conditionalFormatting sqref="AK148">
    <cfRule type="expression" dxfId="877" priority="878">
      <formula>AK153="+"</formula>
    </cfRule>
  </conditionalFormatting>
  <conditionalFormatting sqref="AK149:AQ151">
    <cfRule type="expression" dxfId="876" priority="877">
      <formula>AK153="+"</formula>
    </cfRule>
  </conditionalFormatting>
  <conditionalFormatting sqref="I147">
    <cfRule type="expression" dxfId="875" priority="875">
      <formula>I148="+"</formula>
    </cfRule>
    <cfRule type="expression" dxfId="874" priority="876">
      <formula>I147="+"</formula>
    </cfRule>
  </conditionalFormatting>
  <conditionalFormatting sqref="P147">
    <cfRule type="expression" dxfId="873" priority="873">
      <formula>P148="+"</formula>
    </cfRule>
    <cfRule type="expression" dxfId="872" priority="874">
      <formula>P147="+"</formula>
    </cfRule>
  </conditionalFormatting>
  <conditionalFormatting sqref="W147">
    <cfRule type="expression" dxfId="871" priority="871">
      <formula>W148="+"</formula>
    </cfRule>
    <cfRule type="expression" dxfId="870" priority="872">
      <formula>W147="+"</formula>
    </cfRule>
  </conditionalFormatting>
  <conditionalFormatting sqref="AD147">
    <cfRule type="expression" dxfId="869" priority="869">
      <formula>AD148="+"</formula>
    </cfRule>
    <cfRule type="expression" dxfId="868" priority="870">
      <formula>AD147="+"</formula>
    </cfRule>
  </conditionalFormatting>
  <conditionalFormatting sqref="AK147">
    <cfRule type="expression" dxfId="867" priority="867">
      <formula>AK148="+"</formula>
    </cfRule>
    <cfRule type="expression" dxfId="866" priority="868">
      <formula>AK147="+"</formula>
    </cfRule>
  </conditionalFormatting>
  <conditionalFormatting sqref="AR147">
    <cfRule type="expression" dxfId="865" priority="865">
      <formula>AR148="+"</formula>
    </cfRule>
    <cfRule type="expression" dxfId="864" priority="866">
      <formula>AR147="+"</formula>
    </cfRule>
  </conditionalFormatting>
  <conditionalFormatting sqref="B153:AQ153">
    <cfRule type="expression" dxfId="863" priority="864">
      <formula>B152="-"</formula>
    </cfRule>
  </conditionalFormatting>
  <conditionalFormatting sqref="B153">
    <cfRule type="expression" dxfId="862" priority="863">
      <formula>B158="+"</formula>
    </cfRule>
  </conditionalFormatting>
  <conditionalFormatting sqref="B154:H156">
    <cfRule type="expression" dxfId="861" priority="862">
      <formula>B158="+"</formula>
    </cfRule>
  </conditionalFormatting>
  <conditionalFormatting sqref="B152">
    <cfRule type="expression" dxfId="860" priority="860">
      <formula>B153="+"</formula>
    </cfRule>
    <cfRule type="expression" dxfId="859" priority="861">
      <formula>B152="+"</formula>
    </cfRule>
  </conditionalFormatting>
  <conditionalFormatting sqref="I153">
    <cfRule type="expression" dxfId="858" priority="859">
      <formula>I158="+"</formula>
    </cfRule>
  </conditionalFormatting>
  <conditionalFormatting sqref="I154:O156">
    <cfRule type="expression" dxfId="857" priority="858">
      <formula>I158="+"</formula>
    </cfRule>
  </conditionalFormatting>
  <conditionalFormatting sqref="P153">
    <cfRule type="expression" dxfId="856" priority="857">
      <formula>P158="+"</formula>
    </cfRule>
  </conditionalFormatting>
  <conditionalFormatting sqref="P154:V156">
    <cfRule type="expression" dxfId="855" priority="856">
      <formula>P158="+"</formula>
    </cfRule>
  </conditionalFormatting>
  <conditionalFormatting sqref="W153">
    <cfRule type="expression" dxfId="854" priority="855">
      <formula>W158="+"</formula>
    </cfRule>
  </conditionalFormatting>
  <conditionalFormatting sqref="W154:AC156">
    <cfRule type="expression" dxfId="853" priority="854">
      <formula>W158="+"</formula>
    </cfRule>
  </conditionalFormatting>
  <conditionalFormatting sqref="AD153">
    <cfRule type="expression" dxfId="852" priority="853">
      <formula>AD158="+"</formula>
    </cfRule>
  </conditionalFormatting>
  <conditionalFormatting sqref="AD154:AJ156">
    <cfRule type="expression" dxfId="851" priority="852">
      <formula>AD158="+"</formula>
    </cfRule>
  </conditionalFormatting>
  <conditionalFormatting sqref="AK153">
    <cfRule type="expression" dxfId="850" priority="851">
      <formula>AK158="+"</formula>
    </cfRule>
  </conditionalFormatting>
  <conditionalFormatting sqref="AK154:AQ156">
    <cfRule type="expression" dxfId="849" priority="850">
      <formula>AK158="+"</formula>
    </cfRule>
  </conditionalFormatting>
  <conditionalFormatting sqref="I152">
    <cfRule type="expression" dxfId="848" priority="848">
      <formula>I153="+"</formula>
    </cfRule>
    <cfRule type="expression" dxfId="847" priority="849">
      <formula>I152="+"</formula>
    </cfRule>
  </conditionalFormatting>
  <conditionalFormatting sqref="P152">
    <cfRule type="expression" dxfId="846" priority="846">
      <formula>P153="+"</formula>
    </cfRule>
    <cfRule type="expression" dxfId="845" priority="847">
      <formula>P152="+"</formula>
    </cfRule>
  </conditionalFormatting>
  <conditionalFormatting sqref="W152">
    <cfRule type="expression" dxfId="844" priority="844">
      <formula>W153="+"</formula>
    </cfRule>
    <cfRule type="expression" dxfId="843" priority="845">
      <formula>W152="+"</formula>
    </cfRule>
  </conditionalFormatting>
  <conditionalFormatting sqref="AD152">
    <cfRule type="expression" dxfId="842" priority="842">
      <formula>AD153="+"</formula>
    </cfRule>
    <cfRule type="expression" dxfId="841" priority="843">
      <formula>AD152="+"</formula>
    </cfRule>
  </conditionalFormatting>
  <conditionalFormatting sqref="AK152">
    <cfRule type="expression" dxfId="840" priority="840">
      <formula>AK153="+"</formula>
    </cfRule>
    <cfRule type="expression" dxfId="839" priority="841">
      <formula>AK152="+"</formula>
    </cfRule>
  </conditionalFormatting>
  <conditionalFormatting sqref="AR152">
    <cfRule type="expression" dxfId="838" priority="838">
      <formula>AR153="+"</formula>
    </cfRule>
    <cfRule type="expression" dxfId="837" priority="839">
      <formula>AR152="+"</formula>
    </cfRule>
  </conditionalFormatting>
  <conditionalFormatting sqref="B158:AQ158">
    <cfRule type="expression" dxfId="836" priority="837">
      <formula>B157="-"</formula>
    </cfRule>
  </conditionalFormatting>
  <conditionalFormatting sqref="B158">
    <cfRule type="expression" dxfId="835" priority="836">
      <formula>B163="+"</formula>
    </cfRule>
  </conditionalFormatting>
  <conditionalFormatting sqref="B159:H161">
    <cfRule type="expression" dxfId="834" priority="835">
      <formula>B163="+"</formula>
    </cfRule>
  </conditionalFormatting>
  <conditionalFormatting sqref="B157">
    <cfRule type="expression" dxfId="833" priority="833">
      <formula>B158="+"</formula>
    </cfRule>
    <cfRule type="expression" dxfId="832" priority="834">
      <formula>B157="+"</formula>
    </cfRule>
  </conditionalFormatting>
  <conditionalFormatting sqref="I158">
    <cfRule type="expression" dxfId="831" priority="832">
      <formula>I163="+"</formula>
    </cfRule>
  </conditionalFormatting>
  <conditionalFormatting sqref="I159:O161">
    <cfRule type="expression" dxfId="830" priority="831">
      <formula>I163="+"</formula>
    </cfRule>
  </conditionalFormatting>
  <conditionalFormatting sqref="P158">
    <cfRule type="expression" dxfId="829" priority="830">
      <formula>P163="+"</formula>
    </cfRule>
  </conditionalFormatting>
  <conditionalFormatting sqref="P159:V161">
    <cfRule type="expression" dxfId="828" priority="829">
      <formula>P163="+"</formula>
    </cfRule>
  </conditionalFormatting>
  <conditionalFormatting sqref="W158">
    <cfRule type="expression" dxfId="827" priority="828">
      <formula>W163="+"</formula>
    </cfRule>
  </conditionalFormatting>
  <conditionalFormatting sqref="W159:AC161">
    <cfRule type="expression" dxfId="826" priority="827">
      <formula>W163="+"</formula>
    </cfRule>
  </conditionalFormatting>
  <conditionalFormatting sqref="AD158">
    <cfRule type="expression" dxfId="825" priority="826">
      <formula>AD163="+"</formula>
    </cfRule>
  </conditionalFormatting>
  <conditionalFormatting sqref="AD159:AJ161">
    <cfRule type="expression" dxfId="824" priority="825">
      <formula>AD163="+"</formula>
    </cfRule>
  </conditionalFormatting>
  <conditionalFormatting sqref="AK158">
    <cfRule type="expression" dxfId="823" priority="824">
      <formula>AK163="+"</formula>
    </cfRule>
  </conditionalFormatting>
  <conditionalFormatting sqref="AK159:AQ161">
    <cfRule type="expression" dxfId="822" priority="823">
      <formula>AK163="+"</formula>
    </cfRule>
  </conditionalFormatting>
  <conditionalFormatting sqref="I157">
    <cfRule type="expression" dxfId="821" priority="821">
      <formula>I158="+"</formula>
    </cfRule>
    <cfRule type="expression" dxfId="820" priority="822">
      <formula>I157="+"</formula>
    </cfRule>
  </conditionalFormatting>
  <conditionalFormatting sqref="P157">
    <cfRule type="expression" dxfId="819" priority="819">
      <formula>P158="+"</formula>
    </cfRule>
    <cfRule type="expression" dxfId="818" priority="820">
      <formula>P157="+"</formula>
    </cfRule>
  </conditionalFormatting>
  <conditionalFormatting sqref="W157">
    <cfRule type="expression" dxfId="817" priority="817">
      <formula>W158="+"</formula>
    </cfRule>
    <cfRule type="expression" dxfId="816" priority="818">
      <formula>W157="+"</formula>
    </cfRule>
  </conditionalFormatting>
  <conditionalFormatting sqref="AD157">
    <cfRule type="expression" dxfId="815" priority="815">
      <formula>AD158="+"</formula>
    </cfRule>
    <cfRule type="expression" dxfId="814" priority="816">
      <formula>AD157="+"</formula>
    </cfRule>
  </conditionalFormatting>
  <conditionalFormatting sqref="AK157">
    <cfRule type="expression" dxfId="813" priority="813">
      <formula>AK158="+"</formula>
    </cfRule>
    <cfRule type="expression" dxfId="812" priority="814">
      <formula>AK157="+"</formula>
    </cfRule>
  </conditionalFormatting>
  <conditionalFormatting sqref="AR157">
    <cfRule type="expression" dxfId="811" priority="811">
      <formula>AR158="+"</formula>
    </cfRule>
    <cfRule type="expression" dxfId="810" priority="812">
      <formula>AR157="+"</formula>
    </cfRule>
  </conditionalFormatting>
  <conditionalFormatting sqref="B163:AQ163">
    <cfRule type="expression" dxfId="809" priority="810">
      <formula>B162="-"</formula>
    </cfRule>
  </conditionalFormatting>
  <conditionalFormatting sqref="B163">
    <cfRule type="expression" dxfId="808" priority="809">
      <formula>B168="+"</formula>
    </cfRule>
  </conditionalFormatting>
  <conditionalFormatting sqref="B164:H166">
    <cfRule type="expression" dxfId="807" priority="808">
      <formula>B168="+"</formula>
    </cfRule>
  </conditionalFormatting>
  <conditionalFormatting sqref="B162">
    <cfRule type="expression" dxfId="806" priority="806">
      <formula>B163="+"</formula>
    </cfRule>
    <cfRule type="expression" dxfId="805" priority="807">
      <formula>B162="+"</formula>
    </cfRule>
  </conditionalFormatting>
  <conditionalFormatting sqref="I163">
    <cfRule type="expression" dxfId="804" priority="805">
      <formula>I168="+"</formula>
    </cfRule>
  </conditionalFormatting>
  <conditionalFormatting sqref="I164:O166">
    <cfRule type="expression" dxfId="803" priority="804">
      <formula>I168="+"</formula>
    </cfRule>
  </conditionalFormatting>
  <conditionalFormatting sqref="P163">
    <cfRule type="expression" dxfId="802" priority="803">
      <formula>P168="+"</formula>
    </cfRule>
  </conditionalFormatting>
  <conditionalFormatting sqref="P164:V166">
    <cfRule type="expression" dxfId="801" priority="802">
      <formula>P168="+"</formula>
    </cfRule>
  </conditionalFormatting>
  <conditionalFormatting sqref="W163">
    <cfRule type="expression" dxfId="800" priority="801">
      <formula>W168="+"</formula>
    </cfRule>
  </conditionalFormatting>
  <conditionalFormatting sqref="W164:AC166">
    <cfRule type="expression" dxfId="799" priority="800">
      <formula>W168="+"</formula>
    </cfRule>
  </conditionalFormatting>
  <conditionalFormatting sqref="AD163">
    <cfRule type="expression" dxfId="798" priority="799">
      <formula>AD168="+"</formula>
    </cfRule>
  </conditionalFormatting>
  <conditionalFormatting sqref="AD164:AJ166">
    <cfRule type="expression" dxfId="797" priority="798">
      <formula>AD168="+"</formula>
    </cfRule>
  </conditionalFormatting>
  <conditionalFormatting sqref="AK163">
    <cfRule type="expression" dxfId="796" priority="797">
      <formula>AK168="+"</formula>
    </cfRule>
  </conditionalFormatting>
  <conditionalFormatting sqref="AK164:AQ166">
    <cfRule type="expression" dxfId="795" priority="796">
      <formula>AK168="+"</formula>
    </cfRule>
  </conditionalFormatting>
  <conditionalFormatting sqref="I162">
    <cfRule type="expression" dxfId="794" priority="794">
      <formula>I163="+"</formula>
    </cfRule>
    <cfRule type="expression" dxfId="793" priority="795">
      <formula>I162="+"</formula>
    </cfRule>
  </conditionalFormatting>
  <conditionalFormatting sqref="P162">
    <cfRule type="expression" dxfId="792" priority="792">
      <formula>P163="+"</formula>
    </cfRule>
    <cfRule type="expression" dxfId="791" priority="793">
      <formula>P162="+"</formula>
    </cfRule>
  </conditionalFormatting>
  <conditionalFormatting sqref="W162">
    <cfRule type="expression" dxfId="790" priority="790">
      <formula>W163="+"</formula>
    </cfRule>
    <cfRule type="expression" dxfId="789" priority="791">
      <formula>W162="+"</formula>
    </cfRule>
  </conditionalFormatting>
  <conditionalFormatting sqref="AD162">
    <cfRule type="expression" dxfId="788" priority="788">
      <formula>AD163="+"</formula>
    </cfRule>
    <cfRule type="expression" dxfId="787" priority="789">
      <formula>AD162="+"</formula>
    </cfRule>
  </conditionalFormatting>
  <conditionalFormatting sqref="AK162">
    <cfRule type="expression" dxfId="786" priority="786">
      <formula>AK163="+"</formula>
    </cfRule>
    <cfRule type="expression" dxfId="785" priority="787">
      <formula>AK162="+"</formula>
    </cfRule>
  </conditionalFormatting>
  <conditionalFormatting sqref="AR162">
    <cfRule type="expression" dxfId="784" priority="784">
      <formula>AR163="+"</formula>
    </cfRule>
    <cfRule type="expression" dxfId="783" priority="785">
      <formula>AR162="+"</formula>
    </cfRule>
  </conditionalFormatting>
  <conditionalFormatting sqref="B168:AQ168">
    <cfRule type="expression" dxfId="782" priority="783">
      <formula>B167="-"</formula>
    </cfRule>
  </conditionalFormatting>
  <conditionalFormatting sqref="B168">
    <cfRule type="expression" dxfId="781" priority="782">
      <formula>B173="+"</formula>
    </cfRule>
  </conditionalFormatting>
  <conditionalFormatting sqref="B169:H171">
    <cfRule type="expression" dxfId="780" priority="781">
      <formula>B173="+"</formula>
    </cfRule>
  </conditionalFormatting>
  <conditionalFormatting sqref="B167">
    <cfRule type="expression" dxfId="779" priority="779">
      <formula>B168="+"</formula>
    </cfRule>
    <cfRule type="expression" dxfId="778" priority="780">
      <formula>B167="+"</formula>
    </cfRule>
  </conditionalFormatting>
  <conditionalFormatting sqref="I168">
    <cfRule type="expression" dxfId="777" priority="778">
      <formula>I173="+"</formula>
    </cfRule>
  </conditionalFormatting>
  <conditionalFormatting sqref="I169:O171">
    <cfRule type="expression" dxfId="776" priority="777">
      <formula>I173="+"</formula>
    </cfRule>
  </conditionalFormatting>
  <conditionalFormatting sqref="P168">
    <cfRule type="expression" dxfId="775" priority="776">
      <formula>P173="+"</formula>
    </cfRule>
  </conditionalFormatting>
  <conditionalFormatting sqref="P169:V171">
    <cfRule type="expression" dxfId="774" priority="775">
      <formula>P173="+"</formula>
    </cfRule>
  </conditionalFormatting>
  <conditionalFormatting sqref="W168">
    <cfRule type="expression" dxfId="773" priority="774">
      <formula>W173="+"</formula>
    </cfRule>
  </conditionalFormatting>
  <conditionalFormatting sqref="W169:AC171">
    <cfRule type="expression" dxfId="772" priority="773">
      <formula>W173="+"</formula>
    </cfRule>
  </conditionalFormatting>
  <conditionalFormatting sqref="AD168">
    <cfRule type="expression" dxfId="771" priority="772">
      <formula>AD173="+"</formula>
    </cfRule>
  </conditionalFormatting>
  <conditionalFormatting sqref="AD169:AJ171">
    <cfRule type="expression" dxfId="770" priority="771">
      <formula>AD173="+"</formula>
    </cfRule>
  </conditionalFormatting>
  <conditionalFormatting sqref="AK168">
    <cfRule type="expression" dxfId="769" priority="770">
      <formula>AK173="+"</formula>
    </cfRule>
  </conditionalFormatting>
  <conditionalFormatting sqref="AK169:AQ171">
    <cfRule type="expression" dxfId="768" priority="769">
      <formula>AK173="+"</formula>
    </cfRule>
  </conditionalFormatting>
  <conditionalFormatting sqref="I167">
    <cfRule type="expression" dxfId="767" priority="767">
      <formula>I168="+"</formula>
    </cfRule>
    <cfRule type="expression" dxfId="766" priority="768">
      <formula>I167="+"</formula>
    </cfRule>
  </conditionalFormatting>
  <conditionalFormatting sqref="P167">
    <cfRule type="expression" dxfId="765" priority="765">
      <formula>P168="+"</formula>
    </cfRule>
    <cfRule type="expression" dxfId="764" priority="766">
      <formula>P167="+"</formula>
    </cfRule>
  </conditionalFormatting>
  <conditionalFormatting sqref="W167">
    <cfRule type="expression" dxfId="763" priority="763">
      <formula>W168="+"</formula>
    </cfRule>
    <cfRule type="expression" dxfId="762" priority="764">
      <formula>W167="+"</formula>
    </cfRule>
  </conditionalFormatting>
  <conditionalFormatting sqref="AD167">
    <cfRule type="expression" dxfId="761" priority="761">
      <formula>AD168="+"</formula>
    </cfRule>
    <cfRule type="expression" dxfId="760" priority="762">
      <formula>AD167="+"</formula>
    </cfRule>
  </conditionalFormatting>
  <conditionalFormatting sqref="AK167">
    <cfRule type="expression" dxfId="759" priority="759">
      <formula>AK168="+"</formula>
    </cfRule>
    <cfRule type="expression" dxfId="758" priority="760">
      <formula>AK167="+"</formula>
    </cfRule>
  </conditionalFormatting>
  <conditionalFormatting sqref="AR167">
    <cfRule type="expression" dxfId="757" priority="757">
      <formula>AR168="+"</formula>
    </cfRule>
    <cfRule type="expression" dxfId="756" priority="758">
      <formula>AR167="+"</formula>
    </cfRule>
  </conditionalFormatting>
  <conditionalFormatting sqref="B173:AQ173">
    <cfRule type="expression" dxfId="755" priority="756">
      <formula>B172="-"</formula>
    </cfRule>
  </conditionalFormatting>
  <conditionalFormatting sqref="B173">
    <cfRule type="expression" dxfId="754" priority="755">
      <formula>B178="+"</formula>
    </cfRule>
  </conditionalFormatting>
  <conditionalFormatting sqref="B174:H176">
    <cfRule type="expression" dxfId="753" priority="754">
      <formula>B178="+"</formula>
    </cfRule>
  </conditionalFormatting>
  <conditionalFormatting sqref="B172">
    <cfRule type="expression" dxfId="752" priority="752">
      <formula>B173="+"</formula>
    </cfRule>
    <cfRule type="expression" dxfId="751" priority="753">
      <formula>B172="+"</formula>
    </cfRule>
  </conditionalFormatting>
  <conditionalFormatting sqref="I173">
    <cfRule type="expression" dxfId="750" priority="751">
      <formula>I178="+"</formula>
    </cfRule>
  </conditionalFormatting>
  <conditionalFormatting sqref="I174:O176">
    <cfRule type="expression" dxfId="749" priority="750">
      <formula>I178="+"</formula>
    </cfRule>
  </conditionalFormatting>
  <conditionalFormatting sqref="P173">
    <cfRule type="expression" dxfId="748" priority="749">
      <formula>P178="+"</formula>
    </cfRule>
  </conditionalFormatting>
  <conditionalFormatting sqref="P174:V176">
    <cfRule type="expression" dxfId="747" priority="748">
      <formula>P178="+"</formula>
    </cfRule>
  </conditionalFormatting>
  <conditionalFormatting sqref="W173">
    <cfRule type="expression" dxfId="746" priority="747">
      <formula>W178="+"</formula>
    </cfRule>
  </conditionalFormatting>
  <conditionalFormatting sqref="W174:AC176">
    <cfRule type="expression" dxfId="745" priority="746">
      <formula>W178="+"</formula>
    </cfRule>
  </conditionalFormatting>
  <conditionalFormatting sqref="AD173">
    <cfRule type="expression" dxfId="744" priority="745">
      <formula>AD178="+"</formula>
    </cfRule>
  </conditionalFormatting>
  <conditionalFormatting sqref="AD174:AJ176">
    <cfRule type="expression" dxfId="743" priority="744">
      <formula>AD178="+"</formula>
    </cfRule>
  </conditionalFormatting>
  <conditionalFormatting sqref="AK173">
    <cfRule type="expression" dxfId="742" priority="743">
      <formula>AK178="+"</formula>
    </cfRule>
  </conditionalFormatting>
  <conditionalFormatting sqref="AK174:AQ176">
    <cfRule type="expression" dxfId="741" priority="742">
      <formula>AK178="+"</formula>
    </cfRule>
  </conditionalFormatting>
  <conditionalFormatting sqref="I172">
    <cfRule type="expression" dxfId="740" priority="740">
      <formula>I173="+"</formula>
    </cfRule>
    <cfRule type="expression" dxfId="739" priority="741">
      <formula>I172="+"</formula>
    </cfRule>
  </conditionalFormatting>
  <conditionalFormatting sqref="P172">
    <cfRule type="expression" dxfId="738" priority="738">
      <formula>P173="+"</formula>
    </cfRule>
    <cfRule type="expression" dxfId="737" priority="739">
      <formula>P172="+"</formula>
    </cfRule>
  </conditionalFormatting>
  <conditionalFormatting sqref="W172">
    <cfRule type="expression" dxfId="736" priority="736">
      <formula>W173="+"</formula>
    </cfRule>
    <cfRule type="expression" dxfId="735" priority="737">
      <formula>W172="+"</formula>
    </cfRule>
  </conditionalFormatting>
  <conditionalFormatting sqref="AD172">
    <cfRule type="expression" dxfId="734" priority="734">
      <formula>AD173="+"</formula>
    </cfRule>
    <cfRule type="expression" dxfId="733" priority="735">
      <formula>AD172="+"</formula>
    </cfRule>
  </conditionalFormatting>
  <conditionalFormatting sqref="AK172">
    <cfRule type="expression" dxfId="732" priority="732">
      <formula>AK173="+"</formula>
    </cfRule>
    <cfRule type="expression" dxfId="731" priority="733">
      <formula>AK172="+"</formula>
    </cfRule>
  </conditionalFormatting>
  <conditionalFormatting sqref="AR172">
    <cfRule type="expression" dxfId="730" priority="730">
      <formula>AR173="+"</formula>
    </cfRule>
    <cfRule type="expression" dxfId="729" priority="731">
      <formula>AR172="+"</formula>
    </cfRule>
  </conditionalFormatting>
  <conditionalFormatting sqref="B178:AQ178">
    <cfRule type="expression" dxfId="728" priority="729">
      <formula>B177="-"</formula>
    </cfRule>
  </conditionalFormatting>
  <conditionalFormatting sqref="B178">
    <cfRule type="expression" dxfId="727" priority="728">
      <formula>B183="+"</formula>
    </cfRule>
  </conditionalFormatting>
  <conditionalFormatting sqref="B179:H181">
    <cfRule type="expression" dxfId="726" priority="727">
      <formula>B183="+"</formula>
    </cfRule>
  </conditionalFormatting>
  <conditionalFormatting sqref="B177">
    <cfRule type="expression" dxfId="725" priority="725">
      <formula>B178="+"</formula>
    </cfRule>
    <cfRule type="expression" dxfId="724" priority="726">
      <formula>B177="+"</formula>
    </cfRule>
  </conditionalFormatting>
  <conditionalFormatting sqref="I178">
    <cfRule type="expression" dxfId="723" priority="724">
      <formula>I183="+"</formula>
    </cfRule>
  </conditionalFormatting>
  <conditionalFormatting sqref="I179:O181">
    <cfRule type="expression" dxfId="722" priority="723">
      <formula>I183="+"</formula>
    </cfRule>
  </conditionalFormatting>
  <conditionalFormatting sqref="P178">
    <cfRule type="expression" dxfId="721" priority="722">
      <formula>P183="+"</formula>
    </cfRule>
  </conditionalFormatting>
  <conditionalFormatting sqref="P179:V181">
    <cfRule type="expression" dxfId="720" priority="721">
      <formula>P183="+"</formula>
    </cfRule>
  </conditionalFormatting>
  <conditionalFormatting sqref="W178">
    <cfRule type="expression" dxfId="719" priority="720">
      <formula>W183="+"</formula>
    </cfRule>
  </conditionalFormatting>
  <conditionalFormatting sqref="W179:AC181">
    <cfRule type="expression" dxfId="718" priority="719">
      <formula>W183="+"</formula>
    </cfRule>
  </conditionalFormatting>
  <conditionalFormatting sqref="AD178">
    <cfRule type="expression" dxfId="717" priority="718">
      <formula>AD183="+"</formula>
    </cfRule>
  </conditionalFormatting>
  <conditionalFormatting sqref="AD179:AJ181">
    <cfRule type="expression" dxfId="716" priority="717">
      <formula>AD183="+"</formula>
    </cfRule>
  </conditionalFormatting>
  <conditionalFormatting sqref="AK178">
    <cfRule type="expression" dxfId="715" priority="716">
      <formula>AK183="+"</formula>
    </cfRule>
  </conditionalFormatting>
  <conditionalFormatting sqref="AK179:AQ181">
    <cfRule type="expression" dxfId="714" priority="715">
      <formula>AK183="+"</formula>
    </cfRule>
  </conditionalFormatting>
  <conditionalFormatting sqref="I177">
    <cfRule type="expression" dxfId="713" priority="713">
      <formula>I178="+"</formula>
    </cfRule>
    <cfRule type="expression" dxfId="712" priority="714">
      <formula>I177="+"</formula>
    </cfRule>
  </conditionalFormatting>
  <conditionalFormatting sqref="P177">
    <cfRule type="expression" dxfId="711" priority="711">
      <formula>P178="+"</formula>
    </cfRule>
    <cfRule type="expression" dxfId="710" priority="712">
      <formula>P177="+"</formula>
    </cfRule>
  </conditionalFormatting>
  <conditionalFormatting sqref="W177">
    <cfRule type="expression" dxfId="709" priority="709">
      <formula>W178="+"</formula>
    </cfRule>
    <cfRule type="expression" dxfId="708" priority="710">
      <formula>W177="+"</formula>
    </cfRule>
  </conditionalFormatting>
  <conditionalFormatting sqref="AD177">
    <cfRule type="expression" dxfId="707" priority="707">
      <formula>AD178="+"</formula>
    </cfRule>
    <cfRule type="expression" dxfId="706" priority="708">
      <formula>AD177="+"</formula>
    </cfRule>
  </conditionalFormatting>
  <conditionalFormatting sqref="AK177">
    <cfRule type="expression" dxfId="705" priority="705">
      <formula>AK178="+"</formula>
    </cfRule>
    <cfRule type="expression" dxfId="704" priority="706">
      <formula>AK177="+"</formula>
    </cfRule>
  </conditionalFormatting>
  <conditionalFormatting sqref="AR177">
    <cfRule type="expression" dxfId="703" priority="703">
      <formula>AR178="+"</formula>
    </cfRule>
    <cfRule type="expression" dxfId="702" priority="704">
      <formula>AR177="+"</formula>
    </cfRule>
  </conditionalFormatting>
  <conditionalFormatting sqref="B183:AQ183">
    <cfRule type="expression" dxfId="701" priority="702">
      <formula>B182="-"</formula>
    </cfRule>
  </conditionalFormatting>
  <conditionalFormatting sqref="B183">
    <cfRule type="expression" dxfId="700" priority="701">
      <formula>B188="+"</formula>
    </cfRule>
  </conditionalFormatting>
  <conditionalFormatting sqref="B184:H186">
    <cfRule type="expression" dxfId="699" priority="700">
      <formula>B188="+"</formula>
    </cfRule>
  </conditionalFormatting>
  <conditionalFormatting sqref="B182">
    <cfRule type="expression" dxfId="698" priority="698">
      <formula>B183="+"</formula>
    </cfRule>
    <cfRule type="expression" dxfId="697" priority="699">
      <formula>B182="+"</formula>
    </cfRule>
  </conditionalFormatting>
  <conditionalFormatting sqref="I183">
    <cfRule type="expression" dxfId="696" priority="697">
      <formula>I188="+"</formula>
    </cfRule>
  </conditionalFormatting>
  <conditionalFormatting sqref="I184:O186">
    <cfRule type="expression" dxfId="695" priority="696">
      <formula>I188="+"</formula>
    </cfRule>
  </conditionalFormatting>
  <conditionalFormatting sqref="P183">
    <cfRule type="expression" dxfId="694" priority="695">
      <formula>P188="+"</formula>
    </cfRule>
  </conditionalFormatting>
  <conditionalFormatting sqref="P184:V186">
    <cfRule type="expression" dxfId="693" priority="694">
      <formula>P188="+"</formula>
    </cfRule>
  </conditionalFormatting>
  <conditionalFormatting sqref="W183">
    <cfRule type="expression" dxfId="692" priority="693">
      <formula>W188="+"</formula>
    </cfRule>
  </conditionalFormatting>
  <conditionalFormatting sqref="W184:AC186">
    <cfRule type="expression" dxfId="691" priority="692">
      <formula>W188="+"</formula>
    </cfRule>
  </conditionalFormatting>
  <conditionalFormatting sqref="AD183">
    <cfRule type="expression" dxfId="690" priority="691">
      <formula>AD188="+"</formula>
    </cfRule>
  </conditionalFormatting>
  <conditionalFormatting sqref="AD184:AJ186">
    <cfRule type="expression" dxfId="689" priority="690">
      <formula>AD188="+"</formula>
    </cfRule>
  </conditionalFormatting>
  <conditionalFormatting sqref="AK183">
    <cfRule type="expression" dxfId="688" priority="689">
      <formula>AK188="+"</formula>
    </cfRule>
  </conditionalFormatting>
  <conditionalFormatting sqref="AK184:AQ186">
    <cfRule type="expression" dxfId="687" priority="688">
      <formula>AK188="+"</formula>
    </cfRule>
  </conditionalFormatting>
  <conditionalFormatting sqref="I182">
    <cfRule type="expression" dxfId="686" priority="686">
      <formula>I183="+"</formula>
    </cfRule>
    <cfRule type="expression" dxfId="685" priority="687">
      <formula>I182="+"</formula>
    </cfRule>
  </conditionalFormatting>
  <conditionalFormatting sqref="P182">
    <cfRule type="expression" dxfId="684" priority="684">
      <formula>P183="+"</formula>
    </cfRule>
    <cfRule type="expression" dxfId="683" priority="685">
      <formula>P182="+"</formula>
    </cfRule>
  </conditionalFormatting>
  <conditionalFormatting sqref="W182">
    <cfRule type="expression" dxfId="682" priority="682">
      <formula>W183="+"</formula>
    </cfRule>
    <cfRule type="expression" dxfId="681" priority="683">
      <formula>W182="+"</formula>
    </cfRule>
  </conditionalFormatting>
  <conditionalFormatting sqref="AD182">
    <cfRule type="expression" dxfId="680" priority="680">
      <formula>AD183="+"</formula>
    </cfRule>
    <cfRule type="expression" dxfId="679" priority="681">
      <formula>AD182="+"</formula>
    </cfRule>
  </conditionalFormatting>
  <conditionalFormatting sqref="AK182">
    <cfRule type="expression" dxfId="678" priority="678">
      <formula>AK183="+"</formula>
    </cfRule>
    <cfRule type="expression" dxfId="677" priority="679">
      <formula>AK182="+"</formula>
    </cfRule>
  </conditionalFormatting>
  <conditionalFormatting sqref="AR182">
    <cfRule type="expression" dxfId="676" priority="676">
      <formula>AR183="+"</formula>
    </cfRule>
    <cfRule type="expression" dxfId="675" priority="677">
      <formula>AR182="+"</formula>
    </cfRule>
  </conditionalFormatting>
  <conditionalFormatting sqref="B188:AQ188">
    <cfRule type="expression" dxfId="674" priority="675">
      <formula>B187="-"</formula>
    </cfRule>
  </conditionalFormatting>
  <conditionalFormatting sqref="B188">
    <cfRule type="expression" dxfId="673" priority="674">
      <formula>B193="+"</formula>
    </cfRule>
  </conditionalFormatting>
  <conditionalFormatting sqref="B189:H191">
    <cfRule type="expression" dxfId="672" priority="673">
      <formula>B193="+"</formula>
    </cfRule>
  </conditionalFormatting>
  <conditionalFormatting sqref="B187">
    <cfRule type="expression" dxfId="671" priority="671">
      <formula>B188="+"</formula>
    </cfRule>
    <cfRule type="expression" dxfId="670" priority="672">
      <formula>B187="+"</formula>
    </cfRule>
  </conditionalFormatting>
  <conditionalFormatting sqref="I188">
    <cfRule type="expression" dxfId="669" priority="670">
      <formula>I193="+"</formula>
    </cfRule>
  </conditionalFormatting>
  <conditionalFormatting sqref="I189:O191">
    <cfRule type="expression" dxfId="668" priority="669">
      <formula>I193="+"</formula>
    </cfRule>
  </conditionalFormatting>
  <conditionalFormatting sqref="P188">
    <cfRule type="expression" dxfId="667" priority="668">
      <formula>P193="+"</formula>
    </cfRule>
  </conditionalFormatting>
  <conditionalFormatting sqref="P189:V191">
    <cfRule type="expression" dxfId="666" priority="667">
      <formula>P193="+"</formula>
    </cfRule>
  </conditionalFormatting>
  <conditionalFormatting sqref="W188">
    <cfRule type="expression" dxfId="665" priority="666">
      <formula>W193="+"</formula>
    </cfRule>
  </conditionalFormatting>
  <conditionalFormatting sqref="W189:AC191">
    <cfRule type="expression" dxfId="664" priority="665">
      <formula>W193="+"</formula>
    </cfRule>
  </conditionalFormatting>
  <conditionalFormatting sqref="AD188">
    <cfRule type="expression" dxfId="663" priority="664">
      <formula>AD193="+"</formula>
    </cfRule>
  </conditionalFormatting>
  <conditionalFormatting sqref="AD189:AJ191">
    <cfRule type="expression" dxfId="662" priority="663">
      <formula>AD193="+"</formula>
    </cfRule>
  </conditionalFormatting>
  <conditionalFormatting sqref="AK188">
    <cfRule type="expression" dxfId="661" priority="662">
      <formula>AK193="+"</formula>
    </cfRule>
  </conditionalFormatting>
  <conditionalFormatting sqref="AK189:AQ191">
    <cfRule type="expression" dxfId="660" priority="661">
      <formula>AK193="+"</formula>
    </cfRule>
  </conditionalFormatting>
  <conditionalFormatting sqref="I187">
    <cfRule type="expression" dxfId="659" priority="659">
      <formula>I188="+"</formula>
    </cfRule>
    <cfRule type="expression" dxfId="658" priority="660">
      <formula>I187="+"</formula>
    </cfRule>
  </conditionalFormatting>
  <conditionalFormatting sqref="P187">
    <cfRule type="expression" dxfId="657" priority="657">
      <formula>P188="+"</formula>
    </cfRule>
    <cfRule type="expression" dxfId="656" priority="658">
      <formula>P187="+"</formula>
    </cfRule>
  </conditionalFormatting>
  <conditionalFormatting sqref="W187">
    <cfRule type="expression" dxfId="655" priority="655">
      <formula>W188="+"</formula>
    </cfRule>
    <cfRule type="expression" dxfId="654" priority="656">
      <formula>W187="+"</formula>
    </cfRule>
  </conditionalFormatting>
  <conditionalFormatting sqref="AD187">
    <cfRule type="expression" dxfId="653" priority="653">
      <formula>AD188="+"</formula>
    </cfRule>
    <cfRule type="expression" dxfId="652" priority="654">
      <formula>AD187="+"</formula>
    </cfRule>
  </conditionalFormatting>
  <conditionalFormatting sqref="AK187">
    <cfRule type="expression" dxfId="651" priority="651">
      <formula>AK188="+"</formula>
    </cfRule>
    <cfRule type="expression" dxfId="650" priority="652">
      <formula>AK187="+"</formula>
    </cfRule>
  </conditionalFormatting>
  <conditionalFormatting sqref="AR187">
    <cfRule type="expression" dxfId="649" priority="649">
      <formula>AR188="+"</formula>
    </cfRule>
    <cfRule type="expression" dxfId="648" priority="650">
      <formula>AR187="+"</formula>
    </cfRule>
  </conditionalFormatting>
  <conditionalFormatting sqref="B193:AQ193">
    <cfRule type="expression" dxfId="647" priority="648">
      <formula>B192="-"</formula>
    </cfRule>
  </conditionalFormatting>
  <conditionalFormatting sqref="B193">
    <cfRule type="expression" dxfId="646" priority="647">
      <formula>B198="+"</formula>
    </cfRule>
  </conditionalFormatting>
  <conditionalFormatting sqref="B194:H196">
    <cfRule type="expression" dxfId="645" priority="646">
      <formula>B198="+"</formula>
    </cfRule>
  </conditionalFormatting>
  <conditionalFormatting sqref="B192">
    <cfRule type="expression" dxfId="644" priority="644">
      <formula>B193="+"</formula>
    </cfRule>
    <cfRule type="expression" dxfId="643" priority="645">
      <formula>B192="+"</formula>
    </cfRule>
  </conditionalFormatting>
  <conditionalFormatting sqref="I193">
    <cfRule type="expression" dxfId="642" priority="643">
      <formula>I198="+"</formula>
    </cfRule>
  </conditionalFormatting>
  <conditionalFormatting sqref="I194:O196">
    <cfRule type="expression" dxfId="641" priority="642">
      <formula>I198="+"</formula>
    </cfRule>
  </conditionalFormatting>
  <conditionalFormatting sqref="P193">
    <cfRule type="expression" dxfId="640" priority="641">
      <formula>P198="+"</formula>
    </cfRule>
  </conditionalFormatting>
  <conditionalFormatting sqref="P194:V196">
    <cfRule type="expression" dxfId="639" priority="640">
      <formula>P198="+"</formula>
    </cfRule>
  </conditionalFormatting>
  <conditionalFormatting sqref="W193">
    <cfRule type="expression" dxfId="638" priority="639">
      <formula>W198="+"</formula>
    </cfRule>
  </conditionalFormatting>
  <conditionalFormatting sqref="W194:AC196">
    <cfRule type="expression" dxfId="637" priority="638">
      <formula>W198="+"</formula>
    </cfRule>
  </conditionalFormatting>
  <conditionalFormatting sqref="AD193">
    <cfRule type="expression" dxfId="636" priority="637">
      <formula>AD198="+"</formula>
    </cfRule>
  </conditionalFormatting>
  <conditionalFormatting sqref="AD194:AJ196">
    <cfRule type="expression" dxfId="635" priority="636">
      <formula>AD198="+"</formula>
    </cfRule>
  </conditionalFormatting>
  <conditionalFormatting sqref="AK193">
    <cfRule type="expression" dxfId="634" priority="635">
      <formula>AK198="+"</formula>
    </cfRule>
  </conditionalFormatting>
  <conditionalFormatting sqref="AK194:AQ196">
    <cfRule type="expression" dxfId="633" priority="634">
      <formula>AK198="+"</formula>
    </cfRule>
  </conditionalFormatting>
  <conditionalFormatting sqref="I192">
    <cfRule type="expression" dxfId="632" priority="632">
      <formula>I193="+"</formula>
    </cfRule>
    <cfRule type="expression" dxfId="631" priority="633">
      <formula>I192="+"</formula>
    </cfRule>
  </conditionalFormatting>
  <conditionalFormatting sqref="P192">
    <cfRule type="expression" dxfId="630" priority="630">
      <formula>P193="+"</formula>
    </cfRule>
    <cfRule type="expression" dxfId="629" priority="631">
      <formula>P192="+"</formula>
    </cfRule>
  </conditionalFormatting>
  <conditionalFormatting sqref="W192">
    <cfRule type="expression" dxfId="628" priority="628">
      <formula>W193="+"</formula>
    </cfRule>
    <cfRule type="expression" dxfId="627" priority="629">
      <formula>W192="+"</formula>
    </cfRule>
  </conditionalFormatting>
  <conditionalFormatting sqref="AD192">
    <cfRule type="expression" dxfId="626" priority="626">
      <formula>AD193="+"</formula>
    </cfRule>
    <cfRule type="expression" dxfId="625" priority="627">
      <formula>AD192="+"</formula>
    </cfRule>
  </conditionalFormatting>
  <conditionalFormatting sqref="AK192">
    <cfRule type="expression" dxfId="624" priority="624">
      <formula>AK193="+"</formula>
    </cfRule>
    <cfRule type="expression" dxfId="623" priority="625">
      <formula>AK192="+"</formula>
    </cfRule>
  </conditionalFormatting>
  <conditionalFormatting sqref="AR192">
    <cfRule type="expression" dxfId="622" priority="622">
      <formula>AR193="+"</formula>
    </cfRule>
    <cfRule type="expression" dxfId="621" priority="623">
      <formula>AR192="+"</formula>
    </cfRule>
  </conditionalFormatting>
  <conditionalFormatting sqref="B198:AQ198">
    <cfRule type="expression" dxfId="620" priority="621">
      <formula>B197="-"</formula>
    </cfRule>
  </conditionalFormatting>
  <conditionalFormatting sqref="B198">
    <cfRule type="expression" dxfId="619" priority="620">
      <formula>B203="+"</formula>
    </cfRule>
  </conditionalFormatting>
  <conditionalFormatting sqref="B199:H201">
    <cfRule type="expression" dxfId="618" priority="619">
      <formula>B203="+"</formula>
    </cfRule>
  </conditionalFormatting>
  <conditionalFormatting sqref="B197">
    <cfRule type="expression" dxfId="617" priority="617">
      <formula>B198="+"</formula>
    </cfRule>
    <cfRule type="expression" dxfId="616" priority="618">
      <formula>B197="+"</formula>
    </cfRule>
  </conditionalFormatting>
  <conditionalFormatting sqref="I198">
    <cfRule type="expression" dxfId="615" priority="616">
      <formula>I203="+"</formula>
    </cfRule>
  </conditionalFormatting>
  <conditionalFormatting sqref="I199:O201">
    <cfRule type="expression" dxfId="614" priority="615">
      <formula>I203="+"</formula>
    </cfRule>
  </conditionalFormatting>
  <conditionalFormatting sqref="P198">
    <cfRule type="expression" dxfId="613" priority="614">
      <formula>P203="+"</formula>
    </cfRule>
  </conditionalFormatting>
  <conditionalFormatting sqref="P199:V201">
    <cfRule type="expression" dxfId="612" priority="613">
      <formula>P203="+"</formula>
    </cfRule>
  </conditionalFormatting>
  <conditionalFormatting sqref="W198">
    <cfRule type="expression" dxfId="611" priority="612">
      <formula>W203="+"</formula>
    </cfRule>
  </conditionalFormatting>
  <conditionalFormatting sqref="W199:AC201">
    <cfRule type="expression" dxfId="610" priority="611">
      <formula>W203="+"</formula>
    </cfRule>
  </conditionalFormatting>
  <conditionalFormatting sqref="AD198">
    <cfRule type="expression" dxfId="609" priority="610">
      <formula>AD203="+"</formula>
    </cfRule>
  </conditionalFormatting>
  <conditionalFormatting sqref="AD199:AJ201">
    <cfRule type="expression" dxfId="608" priority="609">
      <formula>AD203="+"</formula>
    </cfRule>
  </conditionalFormatting>
  <conditionalFormatting sqref="AK198">
    <cfRule type="expression" dxfId="607" priority="608">
      <formula>AK203="+"</formula>
    </cfRule>
  </conditionalFormatting>
  <conditionalFormatting sqref="AK199:AQ201">
    <cfRule type="expression" dxfId="606" priority="607">
      <formula>AK203="+"</formula>
    </cfRule>
  </conditionalFormatting>
  <conditionalFormatting sqref="I197">
    <cfRule type="expression" dxfId="605" priority="605">
      <formula>I198="+"</formula>
    </cfRule>
    <cfRule type="expression" dxfId="604" priority="606">
      <formula>I197="+"</formula>
    </cfRule>
  </conditionalFormatting>
  <conditionalFormatting sqref="P197">
    <cfRule type="expression" dxfId="603" priority="603">
      <formula>P198="+"</formula>
    </cfRule>
    <cfRule type="expression" dxfId="602" priority="604">
      <formula>P197="+"</formula>
    </cfRule>
  </conditionalFormatting>
  <conditionalFormatting sqref="W197">
    <cfRule type="expression" dxfId="601" priority="601">
      <formula>W198="+"</formula>
    </cfRule>
    <cfRule type="expression" dxfId="600" priority="602">
      <formula>W197="+"</formula>
    </cfRule>
  </conditionalFormatting>
  <conditionalFormatting sqref="AD197">
    <cfRule type="expression" dxfId="599" priority="599">
      <formula>AD198="+"</formula>
    </cfRule>
    <cfRule type="expression" dxfId="598" priority="600">
      <formula>AD197="+"</formula>
    </cfRule>
  </conditionalFormatting>
  <conditionalFormatting sqref="AK197">
    <cfRule type="expression" dxfId="597" priority="597">
      <formula>AK198="+"</formula>
    </cfRule>
    <cfRule type="expression" dxfId="596" priority="598">
      <formula>AK197="+"</formula>
    </cfRule>
  </conditionalFormatting>
  <conditionalFormatting sqref="AR197">
    <cfRule type="expression" dxfId="595" priority="595">
      <formula>AR198="+"</formula>
    </cfRule>
    <cfRule type="expression" dxfId="594" priority="596">
      <formula>AR197="+"</formula>
    </cfRule>
  </conditionalFormatting>
  <conditionalFormatting sqref="B203:AQ203">
    <cfRule type="expression" dxfId="593" priority="594">
      <formula>B202="-"</formula>
    </cfRule>
  </conditionalFormatting>
  <conditionalFormatting sqref="B203">
    <cfRule type="expression" dxfId="592" priority="593">
      <formula>B208="+"</formula>
    </cfRule>
  </conditionalFormatting>
  <conditionalFormatting sqref="B204:H206">
    <cfRule type="expression" dxfId="591" priority="592">
      <formula>B208="+"</formula>
    </cfRule>
  </conditionalFormatting>
  <conditionalFormatting sqref="B202">
    <cfRule type="expression" dxfId="590" priority="590">
      <formula>B203="+"</formula>
    </cfRule>
    <cfRule type="expression" dxfId="589" priority="591">
      <formula>B202="+"</formula>
    </cfRule>
  </conditionalFormatting>
  <conditionalFormatting sqref="I203">
    <cfRule type="expression" dxfId="588" priority="589">
      <formula>I208="+"</formula>
    </cfRule>
  </conditionalFormatting>
  <conditionalFormatting sqref="I204:O206">
    <cfRule type="expression" dxfId="587" priority="588">
      <formula>I208="+"</formula>
    </cfRule>
  </conditionalFormatting>
  <conditionalFormatting sqref="P203">
    <cfRule type="expression" dxfId="586" priority="587">
      <formula>P208="+"</formula>
    </cfRule>
  </conditionalFormatting>
  <conditionalFormatting sqref="P204:V206">
    <cfRule type="expression" dxfId="585" priority="586">
      <formula>P208="+"</formula>
    </cfRule>
  </conditionalFormatting>
  <conditionalFormatting sqref="W203">
    <cfRule type="expression" dxfId="584" priority="585">
      <formula>W208="+"</formula>
    </cfRule>
  </conditionalFormatting>
  <conditionalFormatting sqref="W204:AC206">
    <cfRule type="expression" dxfId="583" priority="584">
      <formula>W208="+"</formula>
    </cfRule>
  </conditionalFormatting>
  <conditionalFormatting sqref="AD203">
    <cfRule type="expression" dxfId="582" priority="583">
      <formula>AD208="+"</formula>
    </cfRule>
  </conditionalFormatting>
  <conditionalFormatting sqref="AD204:AJ206">
    <cfRule type="expression" dxfId="581" priority="582">
      <formula>AD208="+"</formula>
    </cfRule>
  </conditionalFormatting>
  <conditionalFormatting sqref="AK203">
    <cfRule type="expression" dxfId="580" priority="581">
      <formula>AK208="+"</formula>
    </cfRule>
  </conditionalFormatting>
  <conditionalFormatting sqref="AK204:AQ206">
    <cfRule type="expression" dxfId="579" priority="580">
      <formula>AK208="+"</formula>
    </cfRule>
  </conditionalFormatting>
  <conditionalFormatting sqref="I202">
    <cfRule type="expression" dxfId="578" priority="578">
      <formula>I203="+"</formula>
    </cfRule>
    <cfRule type="expression" dxfId="577" priority="579">
      <formula>I202="+"</formula>
    </cfRule>
  </conditionalFormatting>
  <conditionalFormatting sqref="P202">
    <cfRule type="expression" dxfId="576" priority="576">
      <formula>P203="+"</formula>
    </cfRule>
    <cfRule type="expression" dxfId="575" priority="577">
      <formula>P202="+"</formula>
    </cfRule>
  </conditionalFormatting>
  <conditionalFormatting sqref="W202">
    <cfRule type="expression" dxfId="574" priority="574">
      <formula>W203="+"</formula>
    </cfRule>
    <cfRule type="expression" dxfId="573" priority="575">
      <formula>W202="+"</formula>
    </cfRule>
  </conditionalFormatting>
  <conditionalFormatting sqref="AD202">
    <cfRule type="expression" dxfId="572" priority="572">
      <formula>AD203="+"</formula>
    </cfRule>
    <cfRule type="expression" dxfId="571" priority="573">
      <formula>AD202="+"</formula>
    </cfRule>
  </conditionalFormatting>
  <conditionalFormatting sqref="AK202">
    <cfRule type="expression" dxfId="570" priority="570">
      <formula>AK203="+"</formula>
    </cfRule>
    <cfRule type="expression" dxfId="569" priority="571">
      <formula>AK202="+"</formula>
    </cfRule>
  </conditionalFormatting>
  <conditionalFormatting sqref="AR202">
    <cfRule type="expression" dxfId="568" priority="568">
      <formula>AR203="+"</formula>
    </cfRule>
    <cfRule type="expression" dxfId="567" priority="569">
      <formula>AR202="+"</formula>
    </cfRule>
  </conditionalFormatting>
  <conditionalFormatting sqref="B208:AQ208">
    <cfRule type="expression" dxfId="566" priority="567">
      <formula>B207="-"</formula>
    </cfRule>
  </conditionalFormatting>
  <conditionalFormatting sqref="B208">
    <cfRule type="expression" dxfId="565" priority="566">
      <formula>B213="+"</formula>
    </cfRule>
  </conditionalFormatting>
  <conditionalFormatting sqref="B209:H211">
    <cfRule type="expression" dxfId="564" priority="565">
      <formula>B213="+"</formula>
    </cfRule>
  </conditionalFormatting>
  <conditionalFormatting sqref="B207">
    <cfRule type="expression" dxfId="563" priority="563">
      <formula>B208="+"</formula>
    </cfRule>
    <cfRule type="expression" dxfId="562" priority="564">
      <formula>B207="+"</formula>
    </cfRule>
  </conditionalFormatting>
  <conditionalFormatting sqref="I208">
    <cfRule type="expression" dxfId="561" priority="562">
      <formula>I213="+"</formula>
    </cfRule>
  </conditionalFormatting>
  <conditionalFormatting sqref="I209:O211">
    <cfRule type="expression" dxfId="560" priority="561">
      <formula>I213="+"</formula>
    </cfRule>
  </conditionalFormatting>
  <conditionalFormatting sqref="P208">
    <cfRule type="expression" dxfId="559" priority="560">
      <formula>P213="+"</formula>
    </cfRule>
  </conditionalFormatting>
  <conditionalFormatting sqref="P209:V211">
    <cfRule type="expression" dxfId="558" priority="559">
      <formula>P213="+"</formula>
    </cfRule>
  </conditionalFormatting>
  <conditionalFormatting sqref="W208">
    <cfRule type="expression" dxfId="557" priority="558">
      <formula>W213="+"</formula>
    </cfRule>
  </conditionalFormatting>
  <conditionalFormatting sqref="W209:AC211">
    <cfRule type="expression" dxfId="556" priority="557">
      <formula>W213="+"</formula>
    </cfRule>
  </conditionalFormatting>
  <conditionalFormatting sqref="AD208">
    <cfRule type="expression" dxfId="555" priority="556">
      <formula>AD213="+"</formula>
    </cfRule>
  </conditionalFormatting>
  <conditionalFormatting sqref="AD209:AJ211">
    <cfRule type="expression" dxfId="554" priority="555">
      <formula>AD213="+"</formula>
    </cfRule>
  </conditionalFormatting>
  <conditionalFormatting sqref="AK208">
    <cfRule type="expression" dxfId="553" priority="554">
      <formula>AK213="+"</formula>
    </cfRule>
  </conditionalFormatting>
  <conditionalFormatting sqref="AK209:AQ211">
    <cfRule type="expression" dxfId="552" priority="553">
      <formula>AK213="+"</formula>
    </cfRule>
  </conditionalFormatting>
  <conditionalFormatting sqref="I207">
    <cfRule type="expression" dxfId="551" priority="551">
      <formula>I208="+"</formula>
    </cfRule>
    <cfRule type="expression" dxfId="550" priority="552">
      <formula>I207="+"</formula>
    </cfRule>
  </conditionalFormatting>
  <conditionalFormatting sqref="P207">
    <cfRule type="expression" dxfId="549" priority="549">
      <formula>P208="+"</formula>
    </cfRule>
    <cfRule type="expression" dxfId="548" priority="550">
      <formula>P207="+"</formula>
    </cfRule>
  </conditionalFormatting>
  <conditionalFormatting sqref="W207">
    <cfRule type="expression" dxfId="547" priority="547">
      <formula>W208="+"</formula>
    </cfRule>
    <cfRule type="expression" dxfId="546" priority="548">
      <formula>W207="+"</formula>
    </cfRule>
  </conditionalFormatting>
  <conditionalFormatting sqref="AD207">
    <cfRule type="expression" dxfId="545" priority="545">
      <formula>AD208="+"</formula>
    </cfRule>
    <cfRule type="expression" dxfId="544" priority="546">
      <formula>AD207="+"</formula>
    </cfRule>
  </conditionalFormatting>
  <conditionalFormatting sqref="AK207">
    <cfRule type="expression" dxfId="543" priority="543">
      <formula>AK208="+"</formula>
    </cfRule>
    <cfRule type="expression" dxfId="542" priority="544">
      <formula>AK207="+"</formula>
    </cfRule>
  </conditionalFormatting>
  <conditionalFormatting sqref="AR207">
    <cfRule type="expression" dxfId="541" priority="541">
      <formula>AR208="+"</formula>
    </cfRule>
    <cfRule type="expression" dxfId="540" priority="542">
      <formula>AR207="+"</formula>
    </cfRule>
  </conditionalFormatting>
  <conditionalFormatting sqref="B213:AQ213">
    <cfRule type="expression" dxfId="539" priority="540">
      <formula>B212="-"</formula>
    </cfRule>
  </conditionalFormatting>
  <conditionalFormatting sqref="B213">
    <cfRule type="expression" dxfId="538" priority="539">
      <formula>B218="+"</formula>
    </cfRule>
  </conditionalFormatting>
  <conditionalFormatting sqref="B214:H216">
    <cfRule type="expression" dxfId="537" priority="538">
      <formula>B218="+"</formula>
    </cfRule>
  </conditionalFormatting>
  <conditionalFormatting sqref="B212">
    <cfRule type="expression" dxfId="536" priority="536">
      <formula>B213="+"</formula>
    </cfRule>
    <cfRule type="expression" dxfId="535" priority="537">
      <formula>B212="+"</formula>
    </cfRule>
  </conditionalFormatting>
  <conditionalFormatting sqref="I213">
    <cfRule type="expression" dxfId="534" priority="535">
      <formula>I218="+"</formula>
    </cfRule>
  </conditionalFormatting>
  <conditionalFormatting sqref="I214:O216">
    <cfRule type="expression" dxfId="533" priority="534">
      <formula>I218="+"</formula>
    </cfRule>
  </conditionalFormatting>
  <conditionalFormatting sqref="P213">
    <cfRule type="expression" dxfId="532" priority="533">
      <formula>P218="+"</formula>
    </cfRule>
  </conditionalFormatting>
  <conditionalFormatting sqref="P214:V216">
    <cfRule type="expression" dxfId="531" priority="532">
      <formula>P218="+"</formula>
    </cfRule>
  </conditionalFormatting>
  <conditionalFormatting sqref="W213">
    <cfRule type="expression" dxfId="530" priority="531">
      <formula>W218="+"</formula>
    </cfRule>
  </conditionalFormatting>
  <conditionalFormatting sqref="W214:AC216">
    <cfRule type="expression" dxfId="529" priority="530">
      <formula>W218="+"</formula>
    </cfRule>
  </conditionalFormatting>
  <conditionalFormatting sqref="AD213">
    <cfRule type="expression" dxfId="528" priority="529">
      <formula>AD218="+"</formula>
    </cfRule>
  </conditionalFormatting>
  <conditionalFormatting sqref="AD214:AJ216">
    <cfRule type="expression" dxfId="527" priority="528">
      <formula>AD218="+"</formula>
    </cfRule>
  </conditionalFormatting>
  <conditionalFormatting sqref="AK213">
    <cfRule type="expression" dxfId="526" priority="527">
      <formula>AK218="+"</formula>
    </cfRule>
  </conditionalFormatting>
  <conditionalFormatting sqref="AK214:AQ216">
    <cfRule type="expression" dxfId="525" priority="526">
      <formula>AK218="+"</formula>
    </cfRule>
  </conditionalFormatting>
  <conditionalFormatting sqref="I212">
    <cfRule type="expression" dxfId="524" priority="524">
      <formula>I213="+"</formula>
    </cfRule>
    <cfRule type="expression" dxfId="523" priority="525">
      <formula>I212="+"</formula>
    </cfRule>
  </conditionalFormatting>
  <conditionalFormatting sqref="P212">
    <cfRule type="expression" dxfId="522" priority="522">
      <formula>P213="+"</formula>
    </cfRule>
    <cfRule type="expression" dxfId="521" priority="523">
      <formula>P212="+"</formula>
    </cfRule>
  </conditionalFormatting>
  <conditionalFormatting sqref="W212">
    <cfRule type="expression" dxfId="520" priority="520">
      <formula>W213="+"</formula>
    </cfRule>
    <cfRule type="expression" dxfId="519" priority="521">
      <formula>W212="+"</formula>
    </cfRule>
  </conditionalFormatting>
  <conditionalFormatting sqref="AD212">
    <cfRule type="expression" dxfId="518" priority="518">
      <formula>AD213="+"</formula>
    </cfRule>
    <cfRule type="expression" dxfId="517" priority="519">
      <formula>AD212="+"</formula>
    </cfRule>
  </conditionalFormatting>
  <conditionalFormatting sqref="AK212">
    <cfRule type="expression" dxfId="516" priority="516">
      <formula>AK213="+"</formula>
    </cfRule>
    <cfRule type="expression" dxfId="515" priority="517">
      <formula>AK212="+"</formula>
    </cfRule>
  </conditionalFormatting>
  <conditionalFormatting sqref="AR212">
    <cfRule type="expression" dxfId="514" priority="514">
      <formula>AR213="+"</formula>
    </cfRule>
    <cfRule type="expression" dxfId="513" priority="515">
      <formula>AR212="+"</formula>
    </cfRule>
  </conditionalFormatting>
  <conditionalFormatting sqref="B218:AQ218">
    <cfRule type="expression" dxfId="512" priority="513">
      <formula>B217="-"</formula>
    </cfRule>
  </conditionalFormatting>
  <conditionalFormatting sqref="B218">
    <cfRule type="expression" dxfId="511" priority="512">
      <formula>B223="+"</formula>
    </cfRule>
  </conditionalFormatting>
  <conditionalFormatting sqref="B219:H221">
    <cfRule type="expression" dxfId="510" priority="511">
      <formula>B223="+"</formula>
    </cfRule>
  </conditionalFormatting>
  <conditionalFormatting sqref="B217">
    <cfRule type="expression" dxfId="509" priority="509">
      <formula>B218="+"</formula>
    </cfRule>
    <cfRule type="expression" dxfId="508" priority="510">
      <formula>B217="+"</formula>
    </cfRule>
  </conditionalFormatting>
  <conditionalFormatting sqref="I218">
    <cfRule type="expression" dxfId="507" priority="508">
      <formula>I223="+"</formula>
    </cfRule>
  </conditionalFormatting>
  <conditionalFormatting sqref="I219:O221">
    <cfRule type="expression" dxfId="506" priority="507">
      <formula>I223="+"</formula>
    </cfRule>
  </conditionalFormatting>
  <conditionalFormatting sqref="P218">
    <cfRule type="expression" dxfId="505" priority="506">
      <formula>P223="+"</formula>
    </cfRule>
  </conditionalFormatting>
  <conditionalFormatting sqref="P219:V221">
    <cfRule type="expression" dxfId="504" priority="505">
      <formula>P223="+"</formula>
    </cfRule>
  </conditionalFormatting>
  <conditionalFormatting sqref="W218">
    <cfRule type="expression" dxfId="503" priority="504">
      <formula>W223="+"</formula>
    </cfRule>
  </conditionalFormatting>
  <conditionalFormatting sqref="W219:AC221">
    <cfRule type="expression" dxfId="502" priority="503">
      <formula>W223="+"</formula>
    </cfRule>
  </conditionalFormatting>
  <conditionalFormatting sqref="AD218">
    <cfRule type="expression" dxfId="501" priority="502">
      <formula>AD223="+"</formula>
    </cfRule>
  </conditionalFormatting>
  <conditionalFormatting sqref="AD219:AJ221">
    <cfRule type="expression" dxfId="500" priority="501">
      <formula>AD223="+"</formula>
    </cfRule>
  </conditionalFormatting>
  <conditionalFormatting sqref="AK218">
    <cfRule type="expression" dxfId="499" priority="500">
      <formula>AK223="+"</formula>
    </cfRule>
  </conditionalFormatting>
  <conditionalFormatting sqref="AK219:AQ221">
    <cfRule type="expression" dxfId="498" priority="499">
      <formula>AK223="+"</formula>
    </cfRule>
  </conditionalFormatting>
  <conditionalFormatting sqref="I217">
    <cfRule type="expression" dxfId="497" priority="497">
      <formula>I218="+"</formula>
    </cfRule>
    <cfRule type="expression" dxfId="496" priority="498">
      <formula>I217="+"</formula>
    </cfRule>
  </conditionalFormatting>
  <conditionalFormatting sqref="P217">
    <cfRule type="expression" dxfId="495" priority="495">
      <formula>P218="+"</formula>
    </cfRule>
    <cfRule type="expression" dxfId="494" priority="496">
      <formula>P217="+"</formula>
    </cfRule>
  </conditionalFormatting>
  <conditionalFormatting sqref="W217">
    <cfRule type="expression" dxfId="493" priority="493">
      <formula>W218="+"</formula>
    </cfRule>
    <cfRule type="expression" dxfId="492" priority="494">
      <formula>W217="+"</formula>
    </cfRule>
  </conditionalFormatting>
  <conditionalFormatting sqref="AD217">
    <cfRule type="expression" dxfId="491" priority="491">
      <formula>AD218="+"</formula>
    </cfRule>
    <cfRule type="expression" dxfId="490" priority="492">
      <formula>AD217="+"</formula>
    </cfRule>
  </conditionalFormatting>
  <conditionalFormatting sqref="AK217">
    <cfRule type="expression" dxfId="489" priority="489">
      <formula>AK218="+"</formula>
    </cfRule>
    <cfRule type="expression" dxfId="488" priority="490">
      <formula>AK217="+"</formula>
    </cfRule>
  </conditionalFormatting>
  <conditionalFormatting sqref="AR217">
    <cfRule type="expression" dxfId="487" priority="487">
      <formula>AR218="+"</formula>
    </cfRule>
    <cfRule type="expression" dxfId="486" priority="488">
      <formula>AR217="+"</formula>
    </cfRule>
  </conditionalFormatting>
  <conditionalFormatting sqref="B223:AQ223">
    <cfRule type="expression" dxfId="485" priority="486">
      <formula>B222="-"</formula>
    </cfRule>
  </conditionalFormatting>
  <conditionalFormatting sqref="B223">
    <cfRule type="expression" dxfId="484" priority="485">
      <formula>B228="+"</formula>
    </cfRule>
  </conditionalFormatting>
  <conditionalFormatting sqref="B224:H226">
    <cfRule type="expression" dxfId="483" priority="484">
      <formula>B228="+"</formula>
    </cfRule>
  </conditionalFormatting>
  <conditionalFormatting sqref="B222">
    <cfRule type="expression" dxfId="482" priority="482">
      <formula>B223="+"</formula>
    </cfRule>
    <cfRule type="expression" dxfId="481" priority="483">
      <formula>B222="+"</formula>
    </cfRule>
  </conditionalFormatting>
  <conditionalFormatting sqref="I223">
    <cfRule type="expression" dxfId="480" priority="481">
      <formula>I228="+"</formula>
    </cfRule>
  </conditionalFormatting>
  <conditionalFormatting sqref="I224:O226">
    <cfRule type="expression" dxfId="479" priority="480">
      <formula>I228="+"</formula>
    </cfRule>
  </conditionalFormatting>
  <conditionalFormatting sqref="P223">
    <cfRule type="expression" dxfId="478" priority="479">
      <formula>P228="+"</formula>
    </cfRule>
  </conditionalFormatting>
  <conditionalFormatting sqref="P224:V226">
    <cfRule type="expression" dxfId="477" priority="478">
      <formula>P228="+"</formula>
    </cfRule>
  </conditionalFormatting>
  <conditionalFormatting sqref="W223">
    <cfRule type="expression" dxfId="476" priority="477">
      <formula>W228="+"</formula>
    </cfRule>
  </conditionalFormatting>
  <conditionalFormatting sqref="W224:AC226">
    <cfRule type="expression" dxfId="475" priority="476">
      <formula>W228="+"</formula>
    </cfRule>
  </conditionalFormatting>
  <conditionalFormatting sqref="AD223">
    <cfRule type="expression" dxfId="474" priority="475">
      <formula>AD228="+"</formula>
    </cfRule>
  </conditionalFormatting>
  <conditionalFormatting sqref="AD224:AJ226">
    <cfRule type="expression" dxfId="473" priority="474">
      <formula>AD228="+"</formula>
    </cfRule>
  </conditionalFormatting>
  <conditionalFormatting sqref="AK223">
    <cfRule type="expression" dxfId="472" priority="473">
      <formula>AK228="+"</formula>
    </cfRule>
  </conditionalFormatting>
  <conditionalFormatting sqref="AK224:AQ226">
    <cfRule type="expression" dxfId="471" priority="472">
      <formula>AK228="+"</formula>
    </cfRule>
  </conditionalFormatting>
  <conditionalFormatting sqref="I222">
    <cfRule type="expression" dxfId="470" priority="470">
      <formula>I223="+"</formula>
    </cfRule>
    <cfRule type="expression" dxfId="469" priority="471">
      <formula>I222="+"</formula>
    </cfRule>
  </conditionalFormatting>
  <conditionalFormatting sqref="P222">
    <cfRule type="expression" dxfId="468" priority="468">
      <formula>P223="+"</formula>
    </cfRule>
    <cfRule type="expression" dxfId="467" priority="469">
      <formula>P222="+"</formula>
    </cfRule>
  </conditionalFormatting>
  <conditionalFormatting sqref="W222">
    <cfRule type="expression" dxfId="466" priority="466">
      <formula>W223="+"</formula>
    </cfRule>
    <cfRule type="expression" dxfId="465" priority="467">
      <formula>W222="+"</formula>
    </cfRule>
  </conditionalFormatting>
  <conditionalFormatting sqref="AD222">
    <cfRule type="expression" dxfId="464" priority="464">
      <formula>AD223="+"</formula>
    </cfRule>
    <cfRule type="expression" dxfId="463" priority="465">
      <formula>AD222="+"</formula>
    </cfRule>
  </conditionalFormatting>
  <conditionalFormatting sqref="AK222">
    <cfRule type="expression" dxfId="462" priority="462">
      <formula>AK223="+"</formula>
    </cfRule>
    <cfRule type="expression" dxfId="461" priority="463">
      <formula>AK222="+"</formula>
    </cfRule>
  </conditionalFormatting>
  <conditionalFormatting sqref="AR222">
    <cfRule type="expression" dxfId="460" priority="460">
      <formula>AR223="+"</formula>
    </cfRule>
    <cfRule type="expression" dxfId="459" priority="461">
      <formula>AR222="+"</formula>
    </cfRule>
  </conditionalFormatting>
  <conditionalFormatting sqref="B228:AQ228">
    <cfRule type="expression" dxfId="458" priority="459">
      <formula>B227="-"</formula>
    </cfRule>
  </conditionalFormatting>
  <conditionalFormatting sqref="B228">
    <cfRule type="expression" dxfId="457" priority="458">
      <formula>B233="+"</formula>
    </cfRule>
  </conditionalFormatting>
  <conditionalFormatting sqref="B229:H231">
    <cfRule type="expression" dxfId="456" priority="457">
      <formula>B233="+"</formula>
    </cfRule>
  </conditionalFormatting>
  <conditionalFormatting sqref="B227">
    <cfRule type="expression" dxfId="455" priority="455">
      <formula>B228="+"</formula>
    </cfRule>
    <cfRule type="expression" dxfId="454" priority="456">
      <formula>B227="+"</formula>
    </cfRule>
  </conditionalFormatting>
  <conditionalFormatting sqref="I228">
    <cfRule type="expression" dxfId="453" priority="454">
      <formula>I233="+"</formula>
    </cfRule>
  </conditionalFormatting>
  <conditionalFormatting sqref="I229:O231">
    <cfRule type="expression" dxfId="452" priority="453">
      <formula>I233="+"</formula>
    </cfRule>
  </conditionalFormatting>
  <conditionalFormatting sqref="P228">
    <cfRule type="expression" dxfId="451" priority="452">
      <formula>P233="+"</formula>
    </cfRule>
  </conditionalFormatting>
  <conditionalFormatting sqref="P229:V231">
    <cfRule type="expression" dxfId="450" priority="451">
      <formula>P233="+"</formula>
    </cfRule>
  </conditionalFormatting>
  <conditionalFormatting sqref="W228">
    <cfRule type="expression" dxfId="449" priority="450">
      <formula>W233="+"</formula>
    </cfRule>
  </conditionalFormatting>
  <conditionalFormatting sqref="W229:AC231">
    <cfRule type="expression" dxfId="448" priority="449">
      <formula>W233="+"</formula>
    </cfRule>
  </conditionalFormatting>
  <conditionalFormatting sqref="AD228">
    <cfRule type="expression" dxfId="447" priority="448">
      <formula>AD233="+"</formula>
    </cfRule>
  </conditionalFormatting>
  <conditionalFormatting sqref="AD229:AJ231">
    <cfRule type="expression" dxfId="446" priority="447">
      <formula>AD233="+"</formula>
    </cfRule>
  </conditionalFormatting>
  <conditionalFormatting sqref="AK228">
    <cfRule type="expression" dxfId="445" priority="446">
      <formula>AK233="+"</formula>
    </cfRule>
  </conditionalFormatting>
  <conditionalFormatting sqref="AK229:AQ231">
    <cfRule type="expression" dxfId="444" priority="445">
      <formula>AK233="+"</formula>
    </cfRule>
  </conditionalFormatting>
  <conditionalFormatting sqref="I227">
    <cfRule type="expression" dxfId="443" priority="443">
      <formula>I228="+"</formula>
    </cfRule>
    <cfRule type="expression" dxfId="442" priority="444">
      <formula>I227="+"</formula>
    </cfRule>
  </conditionalFormatting>
  <conditionalFormatting sqref="P227">
    <cfRule type="expression" dxfId="441" priority="441">
      <formula>P228="+"</formula>
    </cfRule>
    <cfRule type="expression" dxfId="440" priority="442">
      <formula>P227="+"</formula>
    </cfRule>
  </conditionalFormatting>
  <conditionalFormatting sqref="W227">
    <cfRule type="expression" dxfId="439" priority="439">
      <formula>W228="+"</formula>
    </cfRule>
    <cfRule type="expression" dxfId="438" priority="440">
      <formula>W227="+"</formula>
    </cfRule>
  </conditionalFormatting>
  <conditionalFormatting sqref="AD227">
    <cfRule type="expression" dxfId="437" priority="437">
      <formula>AD228="+"</formula>
    </cfRule>
    <cfRule type="expression" dxfId="436" priority="438">
      <formula>AD227="+"</formula>
    </cfRule>
  </conditionalFormatting>
  <conditionalFormatting sqref="AK227">
    <cfRule type="expression" dxfId="435" priority="435">
      <formula>AK228="+"</formula>
    </cfRule>
    <cfRule type="expression" dxfId="434" priority="436">
      <formula>AK227="+"</formula>
    </cfRule>
  </conditionalFormatting>
  <conditionalFormatting sqref="AR227">
    <cfRule type="expression" dxfId="433" priority="433">
      <formula>AR228="+"</formula>
    </cfRule>
    <cfRule type="expression" dxfId="432" priority="434">
      <formula>AR227="+"</formula>
    </cfRule>
  </conditionalFormatting>
  <conditionalFormatting sqref="B233:AQ233">
    <cfRule type="expression" dxfId="431" priority="432">
      <formula>B232="-"</formula>
    </cfRule>
  </conditionalFormatting>
  <conditionalFormatting sqref="B233">
    <cfRule type="expression" dxfId="430" priority="431">
      <formula>B238="+"</formula>
    </cfRule>
  </conditionalFormatting>
  <conditionalFormatting sqref="B234:H236">
    <cfRule type="expression" dxfId="429" priority="430">
      <formula>B238="+"</formula>
    </cfRule>
  </conditionalFormatting>
  <conditionalFormatting sqref="B232">
    <cfRule type="expression" dxfId="428" priority="428">
      <formula>B233="+"</formula>
    </cfRule>
    <cfRule type="expression" dxfId="427" priority="429">
      <formula>B232="+"</formula>
    </cfRule>
  </conditionalFormatting>
  <conditionalFormatting sqref="I233">
    <cfRule type="expression" dxfId="426" priority="427">
      <formula>I238="+"</formula>
    </cfRule>
  </conditionalFormatting>
  <conditionalFormatting sqref="I234:O236">
    <cfRule type="expression" dxfId="425" priority="426">
      <formula>I238="+"</formula>
    </cfRule>
  </conditionalFormatting>
  <conditionalFormatting sqref="P233">
    <cfRule type="expression" dxfId="424" priority="425">
      <formula>P238="+"</formula>
    </cfRule>
  </conditionalFormatting>
  <conditionalFormatting sqref="P234:V236">
    <cfRule type="expression" dxfId="423" priority="424">
      <formula>P238="+"</formula>
    </cfRule>
  </conditionalFormatting>
  <conditionalFormatting sqref="W233">
    <cfRule type="expression" dxfId="422" priority="423">
      <formula>W238="+"</formula>
    </cfRule>
  </conditionalFormatting>
  <conditionalFormatting sqref="W234:AC236">
    <cfRule type="expression" dxfId="421" priority="422">
      <formula>W238="+"</formula>
    </cfRule>
  </conditionalFormatting>
  <conditionalFormatting sqref="AD233">
    <cfRule type="expression" dxfId="420" priority="421">
      <formula>AD238="+"</formula>
    </cfRule>
  </conditionalFormatting>
  <conditionalFormatting sqref="AD234:AJ236">
    <cfRule type="expression" dxfId="419" priority="420">
      <formula>AD238="+"</formula>
    </cfRule>
  </conditionalFormatting>
  <conditionalFormatting sqref="AK233">
    <cfRule type="expression" dxfId="418" priority="419">
      <formula>AK238="+"</formula>
    </cfRule>
  </conditionalFormatting>
  <conditionalFormatting sqref="AK234:AQ236">
    <cfRule type="expression" dxfId="417" priority="418">
      <formula>AK238="+"</formula>
    </cfRule>
  </conditionalFormatting>
  <conditionalFormatting sqref="I232">
    <cfRule type="expression" dxfId="416" priority="416">
      <formula>I233="+"</formula>
    </cfRule>
    <cfRule type="expression" dxfId="415" priority="417">
      <formula>I232="+"</formula>
    </cfRule>
  </conditionalFormatting>
  <conditionalFormatting sqref="P232">
    <cfRule type="expression" dxfId="414" priority="414">
      <formula>P233="+"</formula>
    </cfRule>
    <cfRule type="expression" dxfId="413" priority="415">
      <formula>P232="+"</formula>
    </cfRule>
  </conditionalFormatting>
  <conditionalFormatting sqref="W232">
    <cfRule type="expression" dxfId="412" priority="412">
      <formula>W233="+"</formula>
    </cfRule>
    <cfRule type="expression" dxfId="411" priority="413">
      <formula>W232="+"</formula>
    </cfRule>
  </conditionalFormatting>
  <conditionalFormatting sqref="AD232">
    <cfRule type="expression" dxfId="410" priority="410">
      <formula>AD233="+"</formula>
    </cfRule>
    <cfRule type="expression" dxfId="409" priority="411">
      <formula>AD232="+"</formula>
    </cfRule>
  </conditionalFormatting>
  <conditionalFormatting sqref="AK232">
    <cfRule type="expression" dxfId="408" priority="408">
      <formula>AK233="+"</formula>
    </cfRule>
    <cfRule type="expression" dxfId="407" priority="409">
      <formula>AK232="+"</formula>
    </cfRule>
  </conditionalFormatting>
  <conditionalFormatting sqref="AR232">
    <cfRule type="expression" dxfId="406" priority="406">
      <formula>AR233="+"</formula>
    </cfRule>
    <cfRule type="expression" dxfId="405" priority="407">
      <formula>AR232="+"</formula>
    </cfRule>
  </conditionalFormatting>
  <conditionalFormatting sqref="B238:AQ238">
    <cfRule type="expression" dxfId="404" priority="405">
      <formula>B237="-"</formula>
    </cfRule>
  </conditionalFormatting>
  <conditionalFormatting sqref="B238">
    <cfRule type="expression" dxfId="403" priority="404">
      <formula>B243="+"</formula>
    </cfRule>
  </conditionalFormatting>
  <conditionalFormatting sqref="B239:H241">
    <cfRule type="expression" dxfId="402" priority="403">
      <formula>B243="+"</formula>
    </cfRule>
  </conditionalFormatting>
  <conditionalFormatting sqref="B237">
    <cfRule type="expression" dxfId="401" priority="401">
      <formula>B238="+"</formula>
    </cfRule>
    <cfRule type="expression" dxfId="400" priority="402">
      <formula>B237="+"</formula>
    </cfRule>
  </conditionalFormatting>
  <conditionalFormatting sqref="I238">
    <cfRule type="expression" dxfId="399" priority="400">
      <formula>I243="+"</formula>
    </cfRule>
  </conditionalFormatting>
  <conditionalFormatting sqref="I239:O241">
    <cfRule type="expression" dxfId="398" priority="399">
      <formula>I243="+"</formula>
    </cfRule>
  </conditionalFormatting>
  <conditionalFormatting sqref="P238">
    <cfRule type="expression" dxfId="397" priority="398">
      <formula>P243="+"</formula>
    </cfRule>
  </conditionalFormatting>
  <conditionalFormatting sqref="P239:V241">
    <cfRule type="expression" dxfId="396" priority="397">
      <formula>P243="+"</formula>
    </cfRule>
  </conditionalFormatting>
  <conditionalFormatting sqref="W238">
    <cfRule type="expression" dxfId="395" priority="396">
      <formula>W243="+"</formula>
    </cfRule>
  </conditionalFormatting>
  <conditionalFormatting sqref="W239:AC241">
    <cfRule type="expression" dxfId="394" priority="395">
      <formula>W243="+"</formula>
    </cfRule>
  </conditionalFormatting>
  <conditionalFormatting sqref="AD238">
    <cfRule type="expression" dxfId="393" priority="394">
      <formula>AD243="+"</formula>
    </cfRule>
  </conditionalFormatting>
  <conditionalFormatting sqref="AD239:AJ241">
    <cfRule type="expression" dxfId="392" priority="393">
      <formula>AD243="+"</formula>
    </cfRule>
  </conditionalFormatting>
  <conditionalFormatting sqref="AK238">
    <cfRule type="expression" dxfId="391" priority="392">
      <formula>AK243="+"</formula>
    </cfRule>
  </conditionalFormatting>
  <conditionalFormatting sqref="AK239:AQ241">
    <cfRule type="expression" dxfId="390" priority="391">
      <formula>AK243="+"</formula>
    </cfRule>
  </conditionalFormatting>
  <conditionalFormatting sqref="I237">
    <cfRule type="expression" dxfId="389" priority="389">
      <formula>I238="+"</formula>
    </cfRule>
    <cfRule type="expression" dxfId="388" priority="390">
      <formula>I237="+"</formula>
    </cfRule>
  </conditionalFormatting>
  <conditionalFormatting sqref="P237">
    <cfRule type="expression" dxfId="387" priority="387">
      <formula>P238="+"</formula>
    </cfRule>
    <cfRule type="expression" dxfId="386" priority="388">
      <formula>P237="+"</formula>
    </cfRule>
  </conditionalFormatting>
  <conditionalFormatting sqref="W237">
    <cfRule type="expression" dxfId="385" priority="385">
      <formula>W238="+"</formula>
    </cfRule>
    <cfRule type="expression" dxfId="384" priority="386">
      <formula>W237="+"</formula>
    </cfRule>
  </conditionalFormatting>
  <conditionalFormatting sqref="AD237">
    <cfRule type="expression" dxfId="383" priority="383">
      <formula>AD238="+"</formula>
    </cfRule>
    <cfRule type="expression" dxfId="382" priority="384">
      <formula>AD237="+"</formula>
    </cfRule>
  </conditionalFormatting>
  <conditionalFormatting sqref="AK237">
    <cfRule type="expression" dxfId="381" priority="381">
      <formula>AK238="+"</formula>
    </cfRule>
    <cfRule type="expression" dxfId="380" priority="382">
      <formula>AK237="+"</formula>
    </cfRule>
  </conditionalFormatting>
  <conditionalFormatting sqref="AR237">
    <cfRule type="expression" dxfId="379" priority="379">
      <formula>AR238="+"</formula>
    </cfRule>
    <cfRule type="expression" dxfId="378" priority="380">
      <formula>AR237="+"</formula>
    </cfRule>
  </conditionalFormatting>
  <conditionalFormatting sqref="B243:AQ243">
    <cfRule type="expression" dxfId="377" priority="378">
      <formula>B242="-"</formula>
    </cfRule>
  </conditionalFormatting>
  <conditionalFormatting sqref="B243">
    <cfRule type="expression" dxfId="376" priority="377">
      <formula>B248="+"</formula>
    </cfRule>
  </conditionalFormatting>
  <conditionalFormatting sqref="B244:H246">
    <cfRule type="expression" dxfId="375" priority="376">
      <formula>B248="+"</formula>
    </cfRule>
  </conditionalFormatting>
  <conditionalFormatting sqref="B242">
    <cfRule type="expression" dxfId="374" priority="374">
      <formula>B243="+"</formula>
    </cfRule>
    <cfRule type="expression" dxfId="373" priority="375">
      <formula>B242="+"</formula>
    </cfRule>
  </conditionalFormatting>
  <conditionalFormatting sqref="I243">
    <cfRule type="expression" dxfId="372" priority="373">
      <formula>I248="+"</formula>
    </cfRule>
  </conditionalFormatting>
  <conditionalFormatting sqref="I244:O246">
    <cfRule type="expression" dxfId="371" priority="372">
      <formula>I248="+"</formula>
    </cfRule>
  </conditionalFormatting>
  <conditionalFormatting sqref="P243">
    <cfRule type="expression" dxfId="370" priority="371">
      <formula>P248="+"</formula>
    </cfRule>
  </conditionalFormatting>
  <conditionalFormatting sqref="P244:V246">
    <cfRule type="expression" dxfId="369" priority="370">
      <formula>P248="+"</formula>
    </cfRule>
  </conditionalFormatting>
  <conditionalFormatting sqref="W243">
    <cfRule type="expression" dxfId="368" priority="369">
      <formula>W248="+"</formula>
    </cfRule>
  </conditionalFormatting>
  <conditionalFormatting sqref="W244:AC246">
    <cfRule type="expression" dxfId="367" priority="368">
      <formula>W248="+"</formula>
    </cfRule>
  </conditionalFormatting>
  <conditionalFormatting sqref="AD243">
    <cfRule type="expression" dxfId="366" priority="367">
      <formula>AD248="+"</formula>
    </cfRule>
  </conditionalFormatting>
  <conditionalFormatting sqref="AD244:AJ246">
    <cfRule type="expression" dxfId="365" priority="366">
      <formula>AD248="+"</formula>
    </cfRule>
  </conditionalFormatting>
  <conditionalFormatting sqref="AK243">
    <cfRule type="expression" dxfId="364" priority="365">
      <formula>AK248="+"</formula>
    </cfRule>
  </conditionalFormatting>
  <conditionalFormatting sqref="AK244:AQ246">
    <cfRule type="expression" dxfId="363" priority="364">
      <formula>AK248="+"</formula>
    </cfRule>
  </conditionalFormatting>
  <conditionalFormatting sqref="I242">
    <cfRule type="expression" dxfId="362" priority="362">
      <formula>I243="+"</formula>
    </cfRule>
    <cfRule type="expression" dxfId="361" priority="363">
      <formula>I242="+"</formula>
    </cfRule>
  </conditionalFormatting>
  <conditionalFormatting sqref="P242">
    <cfRule type="expression" dxfId="360" priority="360">
      <formula>P243="+"</formula>
    </cfRule>
    <cfRule type="expression" dxfId="359" priority="361">
      <formula>P242="+"</formula>
    </cfRule>
  </conditionalFormatting>
  <conditionalFormatting sqref="W242">
    <cfRule type="expression" dxfId="358" priority="358">
      <formula>W243="+"</formula>
    </cfRule>
    <cfRule type="expression" dxfId="357" priority="359">
      <formula>W242="+"</formula>
    </cfRule>
  </conditionalFormatting>
  <conditionalFormatting sqref="AD242">
    <cfRule type="expression" dxfId="356" priority="356">
      <formula>AD243="+"</formula>
    </cfRule>
    <cfRule type="expression" dxfId="355" priority="357">
      <formula>AD242="+"</formula>
    </cfRule>
  </conditionalFormatting>
  <conditionalFormatting sqref="AK242">
    <cfRule type="expression" dxfId="354" priority="354">
      <formula>AK243="+"</formula>
    </cfRule>
    <cfRule type="expression" dxfId="353" priority="355">
      <formula>AK242="+"</formula>
    </cfRule>
  </conditionalFormatting>
  <conditionalFormatting sqref="AR242">
    <cfRule type="expression" dxfId="352" priority="352">
      <formula>AR243="+"</formula>
    </cfRule>
    <cfRule type="expression" dxfId="351" priority="353">
      <formula>AR242="+"</formula>
    </cfRule>
  </conditionalFormatting>
  <conditionalFormatting sqref="B248:AQ248">
    <cfRule type="expression" dxfId="350" priority="351">
      <formula>B247="-"</formula>
    </cfRule>
  </conditionalFormatting>
  <conditionalFormatting sqref="B248">
    <cfRule type="expression" dxfId="349" priority="350">
      <formula>B253="+"</formula>
    </cfRule>
  </conditionalFormatting>
  <conditionalFormatting sqref="B249:H251">
    <cfRule type="expression" dxfId="348" priority="349">
      <formula>B253="+"</formula>
    </cfRule>
  </conditionalFormatting>
  <conditionalFormatting sqref="B247">
    <cfRule type="expression" dxfId="347" priority="347">
      <formula>B248="+"</formula>
    </cfRule>
    <cfRule type="expression" dxfId="346" priority="348">
      <formula>B247="+"</formula>
    </cfRule>
  </conditionalFormatting>
  <conditionalFormatting sqref="I248">
    <cfRule type="expression" dxfId="345" priority="346">
      <formula>I253="+"</formula>
    </cfRule>
  </conditionalFormatting>
  <conditionalFormatting sqref="I249:O251">
    <cfRule type="expression" dxfId="344" priority="345">
      <formula>I253="+"</formula>
    </cfRule>
  </conditionalFormatting>
  <conditionalFormatting sqref="P248">
    <cfRule type="expression" dxfId="343" priority="344">
      <formula>P253="+"</formula>
    </cfRule>
  </conditionalFormatting>
  <conditionalFormatting sqref="P249:V251">
    <cfRule type="expression" dxfId="342" priority="343">
      <formula>P253="+"</formula>
    </cfRule>
  </conditionalFormatting>
  <conditionalFormatting sqref="W248">
    <cfRule type="expression" dxfId="341" priority="342">
      <formula>W253="+"</formula>
    </cfRule>
  </conditionalFormatting>
  <conditionalFormatting sqref="W249:AC251">
    <cfRule type="expression" dxfId="340" priority="341">
      <formula>W253="+"</formula>
    </cfRule>
  </conditionalFormatting>
  <conditionalFormatting sqref="AD248">
    <cfRule type="expression" dxfId="339" priority="340">
      <formula>AD253="+"</formula>
    </cfRule>
  </conditionalFormatting>
  <conditionalFormatting sqref="AD249:AJ251">
    <cfRule type="expression" dxfId="338" priority="339">
      <formula>AD253="+"</formula>
    </cfRule>
  </conditionalFormatting>
  <conditionalFormatting sqref="AK248">
    <cfRule type="expression" dxfId="337" priority="338">
      <formula>AK253="+"</formula>
    </cfRule>
  </conditionalFormatting>
  <conditionalFormatting sqref="AK249:AQ251">
    <cfRule type="expression" dxfId="336" priority="337">
      <formula>AK253="+"</formula>
    </cfRule>
  </conditionalFormatting>
  <conditionalFormatting sqref="I247">
    <cfRule type="expression" dxfId="335" priority="335">
      <formula>I248="+"</formula>
    </cfRule>
    <cfRule type="expression" dxfId="334" priority="336">
      <formula>I247="+"</formula>
    </cfRule>
  </conditionalFormatting>
  <conditionalFormatting sqref="P247">
    <cfRule type="expression" dxfId="333" priority="333">
      <formula>P248="+"</formula>
    </cfRule>
    <cfRule type="expression" dxfId="332" priority="334">
      <formula>P247="+"</formula>
    </cfRule>
  </conditionalFormatting>
  <conditionalFormatting sqref="W247">
    <cfRule type="expression" dxfId="331" priority="331">
      <formula>W248="+"</formula>
    </cfRule>
    <cfRule type="expression" dxfId="330" priority="332">
      <formula>W247="+"</formula>
    </cfRule>
  </conditionalFormatting>
  <conditionalFormatting sqref="AD247">
    <cfRule type="expression" dxfId="329" priority="329">
      <formula>AD248="+"</formula>
    </cfRule>
    <cfRule type="expression" dxfId="328" priority="330">
      <formula>AD247="+"</formula>
    </cfRule>
  </conditionalFormatting>
  <conditionalFormatting sqref="AK247">
    <cfRule type="expression" dxfId="327" priority="327">
      <formula>AK248="+"</formula>
    </cfRule>
    <cfRule type="expression" dxfId="326" priority="328">
      <formula>AK247="+"</formula>
    </cfRule>
  </conditionalFormatting>
  <conditionalFormatting sqref="AR247">
    <cfRule type="expression" dxfId="325" priority="325">
      <formula>AR248="+"</formula>
    </cfRule>
    <cfRule type="expression" dxfId="324" priority="326">
      <formula>AR247="+"</formula>
    </cfRule>
  </conditionalFormatting>
  <conditionalFormatting sqref="B253:AQ253">
    <cfRule type="expression" dxfId="323" priority="324">
      <formula>B252="-"</formula>
    </cfRule>
  </conditionalFormatting>
  <conditionalFormatting sqref="B253">
    <cfRule type="expression" dxfId="322" priority="323">
      <formula>B258="+"</formula>
    </cfRule>
  </conditionalFormatting>
  <conditionalFormatting sqref="B254:H256">
    <cfRule type="expression" dxfId="321" priority="322">
      <formula>B258="+"</formula>
    </cfRule>
  </conditionalFormatting>
  <conditionalFormatting sqref="B252">
    <cfRule type="expression" dxfId="320" priority="320">
      <formula>B253="+"</formula>
    </cfRule>
    <cfRule type="expression" dxfId="319" priority="321">
      <formula>B252="+"</formula>
    </cfRule>
  </conditionalFormatting>
  <conditionalFormatting sqref="I253">
    <cfRule type="expression" dxfId="318" priority="319">
      <formula>I258="+"</formula>
    </cfRule>
  </conditionalFormatting>
  <conditionalFormatting sqref="I254:O256">
    <cfRule type="expression" dxfId="317" priority="318">
      <formula>I258="+"</formula>
    </cfRule>
  </conditionalFormatting>
  <conditionalFormatting sqref="P253">
    <cfRule type="expression" dxfId="316" priority="317">
      <formula>P258="+"</formula>
    </cfRule>
  </conditionalFormatting>
  <conditionalFormatting sqref="P254:V256">
    <cfRule type="expression" dxfId="315" priority="316">
      <formula>P258="+"</formula>
    </cfRule>
  </conditionalFormatting>
  <conditionalFormatting sqref="W253">
    <cfRule type="expression" dxfId="314" priority="315">
      <formula>W258="+"</formula>
    </cfRule>
  </conditionalFormatting>
  <conditionalFormatting sqref="W254:AC256">
    <cfRule type="expression" dxfId="313" priority="314">
      <formula>W258="+"</formula>
    </cfRule>
  </conditionalFormatting>
  <conditionalFormatting sqref="AD253">
    <cfRule type="expression" dxfId="312" priority="313">
      <formula>AD258="+"</formula>
    </cfRule>
  </conditionalFormatting>
  <conditionalFormatting sqref="AD254:AJ256">
    <cfRule type="expression" dxfId="311" priority="312">
      <formula>AD258="+"</formula>
    </cfRule>
  </conditionalFormatting>
  <conditionalFormatting sqref="AK253">
    <cfRule type="expression" dxfId="310" priority="311">
      <formula>AK258="+"</formula>
    </cfRule>
  </conditionalFormatting>
  <conditionalFormatting sqref="AK254:AQ256">
    <cfRule type="expression" dxfId="309" priority="310">
      <formula>AK258="+"</formula>
    </cfRule>
  </conditionalFormatting>
  <conditionalFormatting sqref="I252">
    <cfRule type="expression" dxfId="308" priority="308">
      <formula>I253="+"</formula>
    </cfRule>
    <cfRule type="expression" dxfId="307" priority="309">
      <formula>I252="+"</formula>
    </cfRule>
  </conditionalFormatting>
  <conditionalFormatting sqref="P252">
    <cfRule type="expression" dxfId="306" priority="306">
      <formula>P253="+"</formula>
    </cfRule>
    <cfRule type="expression" dxfId="305" priority="307">
      <formula>P252="+"</formula>
    </cfRule>
  </conditionalFormatting>
  <conditionalFormatting sqref="W252">
    <cfRule type="expression" dxfId="304" priority="304">
      <formula>W253="+"</formula>
    </cfRule>
    <cfRule type="expression" dxfId="303" priority="305">
      <formula>W252="+"</formula>
    </cfRule>
  </conditionalFormatting>
  <conditionalFormatting sqref="AD252">
    <cfRule type="expression" dxfId="302" priority="302">
      <formula>AD253="+"</formula>
    </cfRule>
    <cfRule type="expression" dxfId="301" priority="303">
      <formula>AD252="+"</formula>
    </cfRule>
  </conditionalFormatting>
  <conditionalFormatting sqref="AK252">
    <cfRule type="expression" dxfId="300" priority="300">
      <formula>AK253="+"</formula>
    </cfRule>
    <cfRule type="expression" dxfId="299" priority="301">
      <formula>AK252="+"</formula>
    </cfRule>
  </conditionalFormatting>
  <conditionalFormatting sqref="AR252">
    <cfRule type="expression" dxfId="298" priority="298">
      <formula>AR253="+"</formula>
    </cfRule>
    <cfRule type="expression" dxfId="297" priority="299">
      <formula>AR252="+"</formula>
    </cfRule>
  </conditionalFormatting>
  <conditionalFormatting sqref="B258:AQ258">
    <cfRule type="expression" dxfId="296" priority="297">
      <formula>B257="-"</formula>
    </cfRule>
  </conditionalFormatting>
  <conditionalFormatting sqref="B258">
    <cfRule type="expression" dxfId="295" priority="296">
      <formula>B263="+"</formula>
    </cfRule>
  </conditionalFormatting>
  <conditionalFormatting sqref="B259:H261">
    <cfRule type="expression" dxfId="294" priority="295">
      <formula>B263="+"</formula>
    </cfRule>
  </conditionalFormatting>
  <conditionalFormatting sqref="B257">
    <cfRule type="expression" dxfId="293" priority="293">
      <formula>B258="+"</formula>
    </cfRule>
    <cfRule type="expression" dxfId="292" priority="294">
      <formula>B257="+"</formula>
    </cfRule>
  </conditionalFormatting>
  <conditionalFormatting sqref="I258">
    <cfRule type="expression" dxfId="291" priority="292">
      <formula>I263="+"</formula>
    </cfRule>
  </conditionalFormatting>
  <conditionalFormatting sqref="I259:O261">
    <cfRule type="expression" dxfId="290" priority="291">
      <formula>I263="+"</formula>
    </cfRule>
  </conditionalFormatting>
  <conditionalFormatting sqref="P258">
    <cfRule type="expression" dxfId="289" priority="290">
      <formula>P263="+"</formula>
    </cfRule>
  </conditionalFormatting>
  <conditionalFormatting sqref="P259:V261">
    <cfRule type="expression" dxfId="288" priority="289">
      <formula>P263="+"</formula>
    </cfRule>
  </conditionalFormatting>
  <conditionalFormatting sqref="W258">
    <cfRule type="expression" dxfId="287" priority="288">
      <formula>W263="+"</formula>
    </cfRule>
  </conditionalFormatting>
  <conditionalFormatting sqref="W259:AC261">
    <cfRule type="expression" dxfId="286" priority="287">
      <formula>W263="+"</formula>
    </cfRule>
  </conditionalFormatting>
  <conditionalFormatting sqref="AD258">
    <cfRule type="expression" dxfId="285" priority="286">
      <formula>AD263="+"</formula>
    </cfRule>
  </conditionalFormatting>
  <conditionalFormatting sqref="AD259:AJ261">
    <cfRule type="expression" dxfId="284" priority="285">
      <formula>AD263="+"</formula>
    </cfRule>
  </conditionalFormatting>
  <conditionalFormatting sqref="AK258">
    <cfRule type="expression" dxfId="283" priority="284">
      <formula>AK263="+"</formula>
    </cfRule>
  </conditionalFormatting>
  <conditionalFormatting sqref="AK259:AQ261">
    <cfRule type="expression" dxfId="282" priority="283">
      <formula>AK263="+"</formula>
    </cfRule>
  </conditionalFormatting>
  <conditionalFormatting sqref="I257">
    <cfRule type="expression" dxfId="281" priority="281">
      <formula>I258="+"</formula>
    </cfRule>
    <cfRule type="expression" dxfId="280" priority="282">
      <formula>I257="+"</formula>
    </cfRule>
  </conditionalFormatting>
  <conditionalFormatting sqref="P257">
    <cfRule type="expression" dxfId="279" priority="279">
      <formula>P258="+"</formula>
    </cfRule>
    <cfRule type="expression" dxfId="278" priority="280">
      <formula>P257="+"</formula>
    </cfRule>
  </conditionalFormatting>
  <conditionalFormatting sqref="W257">
    <cfRule type="expression" dxfId="277" priority="277">
      <formula>W258="+"</formula>
    </cfRule>
    <cfRule type="expression" dxfId="276" priority="278">
      <formula>W257="+"</formula>
    </cfRule>
  </conditionalFormatting>
  <conditionalFormatting sqref="AD257">
    <cfRule type="expression" dxfId="275" priority="275">
      <formula>AD258="+"</formula>
    </cfRule>
    <cfRule type="expression" dxfId="274" priority="276">
      <formula>AD257="+"</formula>
    </cfRule>
  </conditionalFormatting>
  <conditionalFormatting sqref="AK257">
    <cfRule type="expression" dxfId="273" priority="273">
      <formula>AK258="+"</formula>
    </cfRule>
    <cfRule type="expression" dxfId="272" priority="274">
      <formula>AK257="+"</formula>
    </cfRule>
  </conditionalFormatting>
  <conditionalFormatting sqref="AR257">
    <cfRule type="expression" dxfId="271" priority="271">
      <formula>AR258="+"</formula>
    </cfRule>
    <cfRule type="expression" dxfId="270" priority="272">
      <formula>AR257="+"</formula>
    </cfRule>
  </conditionalFormatting>
  <conditionalFormatting sqref="B263:AQ263">
    <cfRule type="expression" dxfId="269" priority="270">
      <formula>B262="-"</formula>
    </cfRule>
  </conditionalFormatting>
  <conditionalFormatting sqref="B263">
    <cfRule type="expression" dxfId="268" priority="269">
      <formula>B268="+"</formula>
    </cfRule>
  </conditionalFormatting>
  <conditionalFormatting sqref="B264:H266">
    <cfRule type="expression" dxfId="267" priority="268">
      <formula>B268="+"</formula>
    </cfRule>
  </conditionalFormatting>
  <conditionalFormatting sqref="B262">
    <cfRule type="expression" dxfId="266" priority="266">
      <formula>B263="+"</formula>
    </cfRule>
    <cfRule type="expression" dxfId="265" priority="267">
      <formula>B262="+"</formula>
    </cfRule>
  </conditionalFormatting>
  <conditionalFormatting sqref="I263">
    <cfRule type="expression" dxfId="264" priority="265">
      <formula>I268="+"</formula>
    </cfRule>
  </conditionalFormatting>
  <conditionalFormatting sqref="I264:O266">
    <cfRule type="expression" dxfId="263" priority="264">
      <formula>I268="+"</formula>
    </cfRule>
  </conditionalFormatting>
  <conditionalFormatting sqref="P263">
    <cfRule type="expression" dxfId="262" priority="263">
      <formula>P268="+"</formula>
    </cfRule>
  </conditionalFormatting>
  <conditionalFormatting sqref="P264:V266">
    <cfRule type="expression" dxfId="261" priority="262">
      <formula>P268="+"</formula>
    </cfRule>
  </conditionalFormatting>
  <conditionalFormatting sqref="W263">
    <cfRule type="expression" dxfId="260" priority="261">
      <formula>W268="+"</formula>
    </cfRule>
  </conditionalFormatting>
  <conditionalFormatting sqref="W264:AC266">
    <cfRule type="expression" dxfId="259" priority="260">
      <formula>W268="+"</formula>
    </cfRule>
  </conditionalFormatting>
  <conditionalFormatting sqref="AD263">
    <cfRule type="expression" dxfId="258" priority="259">
      <formula>AD268="+"</formula>
    </cfRule>
  </conditionalFormatting>
  <conditionalFormatting sqref="AD264:AJ266">
    <cfRule type="expression" dxfId="257" priority="258">
      <formula>AD268="+"</formula>
    </cfRule>
  </conditionalFormatting>
  <conditionalFormatting sqref="AK263">
    <cfRule type="expression" dxfId="256" priority="257">
      <formula>AK268="+"</formula>
    </cfRule>
  </conditionalFormatting>
  <conditionalFormatting sqref="AK264:AQ266">
    <cfRule type="expression" dxfId="255" priority="256">
      <formula>AK268="+"</formula>
    </cfRule>
  </conditionalFormatting>
  <conditionalFormatting sqref="I262">
    <cfRule type="expression" dxfId="254" priority="254">
      <formula>I263="+"</formula>
    </cfRule>
    <cfRule type="expression" dxfId="253" priority="255">
      <formula>I262="+"</formula>
    </cfRule>
  </conditionalFormatting>
  <conditionalFormatting sqref="P262">
    <cfRule type="expression" dxfId="252" priority="252">
      <formula>P263="+"</formula>
    </cfRule>
    <cfRule type="expression" dxfId="251" priority="253">
      <formula>P262="+"</formula>
    </cfRule>
  </conditionalFormatting>
  <conditionalFormatting sqref="W262">
    <cfRule type="expression" dxfId="250" priority="250">
      <formula>W263="+"</formula>
    </cfRule>
    <cfRule type="expression" dxfId="249" priority="251">
      <formula>W262="+"</formula>
    </cfRule>
  </conditionalFormatting>
  <conditionalFormatting sqref="AD262">
    <cfRule type="expression" dxfId="248" priority="248">
      <formula>AD263="+"</formula>
    </cfRule>
    <cfRule type="expression" dxfId="247" priority="249">
      <formula>AD262="+"</formula>
    </cfRule>
  </conditionalFormatting>
  <conditionalFormatting sqref="AK262">
    <cfRule type="expression" dxfId="246" priority="246">
      <formula>AK263="+"</formula>
    </cfRule>
    <cfRule type="expression" dxfId="245" priority="247">
      <formula>AK262="+"</formula>
    </cfRule>
  </conditionalFormatting>
  <conditionalFormatting sqref="AR262">
    <cfRule type="expression" dxfId="244" priority="244">
      <formula>AR263="+"</formula>
    </cfRule>
    <cfRule type="expression" dxfId="243" priority="245">
      <formula>AR262="+"</formula>
    </cfRule>
  </conditionalFormatting>
  <conditionalFormatting sqref="B268:AQ268">
    <cfRule type="expression" dxfId="242" priority="243">
      <formula>B267="-"</formula>
    </cfRule>
  </conditionalFormatting>
  <conditionalFormatting sqref="B268">
    <cfRule type="expression" dxfId="241" priority="242">
      <formula>B273="+"</formula>
    </cfRule>
  </conditionalFormatting>
  <conditionalFormatting sqref="B269:H271">
    <cfRule type="expression" dxfId="240" priority="241">
      <formula>B273="+"</formula>
    </cfRule>
  </conditionalFormatting>
  <conditionalFormatting sqref="B267">
    <cfRule type="expression" dxfId="239" priority="239">
      <formula>B268="+"</formula>
    </cfRule>
    <cfRule type="expression" dxfId="238" priority="240">
      <formula>B267="+"</formula>
    </cfRule>
  </conditionalFormatting>
  <conditionalFormatting sqref="I268">
    <cfRule type="expression" dxfId="237" priority="238">
      <formula>I273="+"</formula>
    </cfRule>
  </conditionalFormatting>
  <conditionalFormatting sqref="I269:O271">
    <cfRule type="expression" dxfId="236" priority="237">
      <formula>I273="+"</formula>
    </cfRule>
  </conditionalFormatting>
  <conditionalFormatting sqref="P268">
    <cfRule type="expression" dxfId="235" priority="236">
      <formula>P273="+"</formula>
    </cfRule>
  </conditionalFormatting>
  <conditionalFormatting sqref="P269:V271">
    <cfRule type="expression" dxfId="234" priority="235">
      <formula>P273="+"</formula>
    </cfRule>
  </conditionalFormatting>
  <conditionalFormatting sqref="W268">
    <cfRule type="expression" dxfId="233" priority="234">
      <formula>W273="+"</formula>
    </cfRule>
  </conditionalFormatting>
  <conditionalFormatting sqref="W269:AC271">
    <cfRule type="expression" dxfId="232" priority="233">
      <formula>W273="+"</formula>
    </cfRule>
  </conditionalFormatting>
  <conditionalFormatting sqref="AD268">
    <cfRule type="expression" dxfId="231" priority="232">
      <formula>AD273="+"</formula>
    </cfRule>
  </conditionalFormatting>
  <conditionalFormatting sqref="AD269:AJ271">
    <cfRule type="expression" dxfId="230" priority="231">
      <formula>AD273="+"</formula>
    </cfRule>
  </conditionalFormatting>
  <conditionalFormatting sqref="AK268">
    <cfRule type="expression" dxfId="229" priority="230">
      <formula>AK273="+"</formula>
    </cfRule>
  </conditionalFormatting>
  <conditionalFormatting sqref="AK269:AQ271">
    <cfRule type="expression" dxfId="228" priority="229">
      <formula>AK273="+"</formula>
    </cfRule>
  </conditionalFormatting>
  <conditionalFormatting sqref="I267">
    <cfRule type="expression" dxfId="227" priority="227">
      <formula>I268="+"</formula>
    </cfRule>
    <cfRule type="expression" dxfId="226" priority="228">
      <formula>I267="+"</formula>
    </cfRule>
  </conditionalFormatting>
  <conditionalFormatting sqref="P267">
    <cfRule type="expression" dxfId="225" priority="225">
      <formula>P268="+"</formula>
    </cfRule>
    <cfRule type="expression" dxfId="224" priority="226">
      <formula>P267="+"</formula>
    </cfRule>
  </conditionalFormatting>
  <conditionalFormatting sqref="W267">
    <cfRule type="expression" dxfId="223" priority="223">
      <formula>W268="+"</formula>
    </cfRule>
    <cfRule type="expression" dxfId="222" priority="224">
      <formula>W267="+"</formula>
    </cfRule>
  </conditionalFormatting>
  <conditionalFormatting sqref="AD267">
    <cfRule type="expression" dxfId="221" priority="221">
      <formula>AD268="+"</formula>
    </cfRule>
    <cfRule type="expression" dxfId="220" priority="222">
      <formula>AD267="+"</formula>
    </cfRule>
  </conditionalFormatting>
  <conditionalFormatting sqref="AK267">
    <cfRule type="expression" dxfId="219" priority="219">
      <formula>AK268="+"</formula>
    </cfRule>
    <cfRule type="expression" dxfId="218" priority="220">
      <formula>AK267="+"</formula>
    </cfRule>
  </conditionalFormatting>
  <conditionalFormatting sqref="AR267">
    <cfRule type="expression" dxfId="217" priority="217">
      <formula>AR268="+"</formula>
    </cfRule>
    <cfRule type="expression" dxfId="216" priority="218">
      <formula>AR267="+"</formula>
    </cfRule>
  </conditionalFormatting>
  <conditionalFormatting sqref="B273:AQ273">
    <cfRule type="expression" dxfId="215" priority="216">
      <formula>B272="-"</formula>
    </cfRule>
  </conditionalFormatting>
  <conditionalFormatting sqref="B273">
    <cfRule type="expression" dxfId="214" priority="215">
      <formula>B278="+"</formula>
    </cfRule>
  </conditionalFormatting>
  <conditionalFormatting sqref="B274:H276">
    <cfRule type="expression" dxfId="213" priority="214">
      <formula>B278="+"</formula>
    </cfRule>
  </conditionalFormatting>
  <conditionalFormatting sqref="B272">
    <cfRule type="expression" dxfId="212" priority="212">
      <formula>B273="+"</formula>
    </cfRule>
    <cfRule type="expression" dxfId="211" priority="213">
      <formula>B272="+"</formula>
    </cfRule>
  </conditionalFormatting>
  <conditionalFormatting sqref="I273">
    <cfRule type="expression" dxfId="210" priority="211">
      <formula>I278="+"</formula>
    </cfRule>
  </conditionalFormatting>
  <conditionalFormatting sqref="I274:O276">
    <cfRule type="expression" dxfId="209" priority="210">
      <formula>I278="+"</formula>
    </cfRule>
  </conditionalFormatting>
  <conditionalFormatting sqref="P273">
    <cfRule type="expression" dxfId="208" priority="209">
      <formula>P278="+"</formula>
    </cfRule>
  </conditionalFormatting>
  <conditionalFormatting sqref="P274:V276">
    <cfRule type="expression" dxfId="207" priority="208">
      <formula>P278="+"</formula>
    </cfRule>
  </conditionalFormatting>
  <conditionalFormatting sqref="W273">
    <cfRule type="expression" dxfId="206" priority="207">
      <formula>W278="+"</formula>
    </cfRule>
  </conditionalFormatting>
  <conditionalFormatting sqref="W274:AC276">
    <cfRule type="expression" dxfId="205" priority="206">
      <formula>W278="+"</formula>
    </cfRule>
  </conditionalFormatting>
  <conditionalFormatting sqref="AD273">
    <cfRule type="expression" dxfId="204" priority="205">
      <formula>AD278="+"</formula>
    </cfRule>
  </conditionalFormatting>
  <conditionalFormatting sqref="AD274:AJ276">
    <cfRule type="expression" dxfId="203" priority="204">
      <formula>AD278="+"</formula>
    </cfRule>
  </conditionalFormatting>
  <conditionalFormatting sqref="AK273">
    <cfRule type="expression" dxfId="202" priority="203">
      <formula>AK278="+"</formula>
    </cfRule>
  </conditionalFormatting>
  <conditionalFormatting sqref="AK274:AQ276">
    <cfRule type="expression" dxfId="201" priority="202">
      <formula>AK278="+"</formula>
    </cfRule>
  </conditionalFormatting>
  <conditionalFormatting sqref="I272">
    <cfRule type="expression" dxfId="200" priority="200">
      <formula>I273="+"</formula>
    </cfRule>
    <cfRule type="expression" dxfId="199" priority="201">
      <formula>I272="+"</formula>
    </cfRule>
  </conditionalFormatting>
  <conditionalFormatting sqref="P272">
    <cfRule type="expression" dxfId="198" priority="198">
      <formula>P273="+"</formula>
    </cfRule>
    <cfRule type="expression" dxfId="197" priority="199">
      <formula>P272="+"</formula>
    </cfRule>
  </conditionalFormatting>
  <conditionalFormatting sqref="W272">
    <cfRule type="expression" dxfId="196" priority="196">
      <formula>W273="+"</formula>
    </cfRule>
    <cfRule type="expression" dxfId="195" priority="197">
      <formula>W272="+"</formula>
    </cfRule>
  </conditionalFormatting>
  <conditionalFormatting sqref="AD272">
    <cfRule type="expression" dxfId="194" priority="194">
      <formula>AD273="+"</formula>
    </cfRule>
    <cfRule type="expression" dxfId="193" priority="195">
      <formula>AD272="+"</formula>
    </cfRule>
  </conditionalFormatting>
  <conditionalFormatting sqref="AK272">
    <cfRule type="expression" dxfId="192" priority="192">
      <formula>AK273="+"</formula>
    </cfRule>
    <cfRule type="expression" dxfId="191" priority="193">
      <formula>AK272="+"</formula>
    </cfRule>
  </conditionalFormatting>
  <conditionalFormatting sqref="AR272">
    <cfRule type="expression" dxfId="190" priority="190">
      <formula>AR273="+"</formula>
    </cfRule>
    <cfRule type="expression" dxfId="189" priority="191">
      <formula>AR272="+"</formula>
    </cfRule>
  </conditionalFormatting>
  <conditionalFormatting sqref="B278:AQ278">
    <cfRule type="expression" dxfId="188" priority="189">
      <formula>B277="-"</formula>
    </cfRule>
  </conditionalFormatting>
  <conditionalFormatting sqref="B278">
    <cfRule type="expression" dxfId="187" priority="188">
      <formula>B283="+"</formula>
    </cfRule>
  </conditionalFormatting>
  <conditionalFormatting sqref="B279:H281">
    <cfRule type="expression" dxfId="186" priority="187">
      <formula>B283="+"</formula>
    </cfRule>
  </conditionalFormatting>
  <conditionalFormatting sqref="B277">
    <cfRule type="expression" dxfId="185" priority="185">
      <formula>B278="+"</formula>
    </cfRule>
    <cfRule type="expression" dxfId="184" priority="186">
      <formula>B277="+"</formula>
    </cfRule>
  </conditionalFormatting>
  <conditionalFormatting sqref="I278">
    <cfRule type="expression" dxfId="183" priority="184">
      <formula>I283="+"</formula>
    </cfRule>
  </conditionalFormatting>
  <conditionalFormatting sqref="I279:O281">
    <cfRule type="expression" dxfId="182" priority="183">
      <formula>I283="+"</formula>
    </cfRule>
  </conditionalFormatting>
  <conditionalFormatting sqref="P278">
    <cfRule type="expression" dxfId="181" priority="182">
      <formula>P283="+"</formula>
    </cfRule>
  </conditionalFormatting>
  <conditionalFormatting sqref="P279:V281">
    <cfRule type="expression" dxfId="180" priority="181">
      <formula>P283="+"</formula>
    </cfRule>
  </conditionalFormatting>
  <conditionalFormatting sqref="W278">
    <cfRule type="expression" dxfId="179" priority="180">
      <formula>W283="+"</formula>
    </cfRule>
  </conditionalFormatting>
  <conditionalFormatting sqref="W279:AC281">
    <cfRule type="expression" dxfId="178" priority="179">
      <formula>W283="+"</formula>
    </cfRule>
  </conditionalFormatting>
  <conditionalFormatting sqref="AD278">
    <cfRule type="expression" dxfId="177" priority="178">
      <formula>AD283="+"</formula>
    </cfRule>
  </conditionalFormatting>
  <conditionalFormatting sqref="AD279:AJ281">
    <cfRule type="expression" dxfId="176" priority="177">
      <formula>AD283="+"</formula>
    </cfRule>
  </conditionalFormatting>
  <conditionalFormatting sqref="AK278">
    <cfRule type="expression" dxfId="175" priority="176">
      <formula>AK283="+"</formula>
    </cfRule>
  </conditionalFormatting>
  <conditionalFormatting sqref="AK279:AQ281">
    <cfRule type="expression" dxfId="174" priority="175">
      <formula>AK283="+"</formula>
    </cfRule>
  </conditionalFormatting>
  <conditionalFormatting sqref="I277">
    <cfRule type="expression" dxfId="173" priority="173">
      <formula>I278="+"</formula>
    </cfRule>
    <cfRule type="expression" dxfId="172" priority="174">
      <formula>I277="+"</formula>
    </cfRule>
  </conditionalFormatting>
  <conditionalFormatting sqref="P277">
    <cfRule type="expression" dxfId="171" priority="171">
      <formula>P278="+"</formula>
    </cfRule>
    <cfRule type="expression" dxfId="170" priority="172">
      <formula>P277="+"</formula>
    </cfRule>
  </conditionalFormatting>
  <conditionalFormatting sqref="W277">
    <cfRule type="expression" dxfId="169" priority="169">
      <formula>W278="+"</formula>
    </cfRule>
    <cfRule type="expression" dxfId="168" priority="170">
      <formula>W277="+"</formula>
    </cfRule>
  </conditionalFormatting>
  <conditionalFormatting sqref="AD277">
    <cfRule type="expression" dxfId="167" priority="167">
      <formula>AD278="+"</formula>
    </cfRule>
    <cfRule type="expression" dxfId="166" priority="168">
      <formula>AD277="+"</formula>
    </cfRule>
  </conditionalFormatting>
  <conditionalFormatting sqref="AK277">
    <cfRule type="expression" dxfId="165" priority="165">
      <formula>AK278="+"</formula>
    </cfRule>
    <cfRule type="expression" dxfId="164" priority="166">
      <formula>AK277="+"</formula>
    </cfRule>
  </conditionalFormatting>
  <conditionalFormatting sqref="AR277">
    <cfRule type="expression" dxfId="163" priority="163">
      <formula>AR278="+"</formula>
    </cfRule>
    <cfRule type="expression" dxfId="162" priority="164">
      <formula>AR277="+"</formula>
    </cfRule>
  </conditionalFormatting>
  <conditionalFormatting sqref="B283:AQ283">
    <cfRule type="expression" dxfId="161" priority="162">
      <formula>B282="-"</formula>
    </cfRule>
  </conditionalFormatting>
  <conditionalFormatting sqref="B283">
    <cfRule type="expression" dxfId="160" priority="161">
      <formula>B288="+"</formula>
    </cfRule>
  </conditionalFormatting>
  <conditionalFormatting sqref="B284:H286">
    <cfRule type="expression" dxfId="159" priority="160">
      <formula>B288="+"</formula>
    </cfRule>
  </conditionalFormatting>
  <conditionalFormatting sqref="B282">
    <cfRule type="expression" dxfId="158" priority="158">
      <formula>B283="+"</formula>
    </cfRule>
    <cfRule type="expression" dxfId="157" priority="159">
      <formula>B282="+"</formula>
    </cfRule>
  </conditionalFormatting>
  <conditionalFormatting sqref="I283">
    <cfRule type="expression" dxfId="156" priority="157">
      <formula>I288="+"</formula>
    </cfRule>
  </conditionalFormatting>
  <conditionalFormatting sqref="I284:O286">
    <cfRule type="expression" dxfId="155" priority="156">
      <formula>I288="+"</formula>
    </cfRule>
  </conditionalFormatting>
  <conditionalFormatting sqref="P283">
    <cfRule type="expression" dxfId="154" priority="155">
      <formula>P288="+"</formula>
    </cfRule>
  </conditionalFormatting>
  <conditionalFormatting sqref="P284:V286">
    <cfRule type="expression" dxfId="153" priority="154">
      <formula>P288="+"</formula>
    </cfRule>
  </conditionalFormatting>
  <conditionalFormatting sqref="W283">
    <cfRule type="expression" dxfId="152" priority="153">
      <formula>W288="+"</formula>
    </cfRule>
  </conditionalFormatting>
  <conditionalFormatting sqref="W284:AC286">
    <cfRule type="expression" dxfId="151" priority="152">
      <formula>W288="+"</formula>
    </cfRule>
  </conditionalFormatting>
  <conditionalFormatting sqref="AD283">
    <cfRule type="expression" dxfId="150" priority="151">
      <formula>AD288="+"</formula>
    </cfRule>
  </conditionalFormatting>
  <conditionalFormatting sqref="AD284:AJ286">
    <cfRule type="expression" dxfId="149" priority="150">
      <formula>AD288="+"</formula>
    </cfRule>
  </conditionalFormatting>
  <conditionalFormatting sqref="AK283">
    <cfRule type="expression" dxfId="148" priority="149">
      <formula>AK288="+"</formula>
    </cfRule>
  </conditionalFormatting>
  <conditionalFormatting sqref="AK284:AQ286">
    <cfRule type="expression" dxfId="147" priority="148">
      <formula>AK288="+"</formula>
    </cfRule>
  </conditionalFormatting>
  <conditionalFormatting sqref="I282">
    <cfRule type="expression" dxfId="146" priority="146">
      <formula>I283="+"</formula>
    </cfRule>
    <cfRule type="expression" dxfId="145" priority="147">
      <formula>I282="+"</formula>
    </cfRule>
  </conditionalFormatting>
  <conditionalFormatting sqref="P282">
    <cfRule type="expression" dxfId="144" priority="144">
      <formula>P283="+"</formula>
    </cfRule>
    <cfRule type="expression" dxfId="143" priority="145">
      <formula>P282="+"</formula>
    </cfRule>
  </conditionalFormatting>
  <conditionalFormatting sqref="W282">
    <cfRule type="expression" dxfId="142" priority="142">
      <formula>W283="+"</formula>
    </cfRule>
    <cfRule type="expression" dxfId="141" priority="143">
      <formula>W282="+"</formula>
    </cfRule>
  </conditionalFormatting>
  <conditionalFormatting sqref="AD282">
    <cfRule type="expression" dxfId="140" priority="140">
      <formula>AD283="+"</formula>
    </cfRule>
    <cfRule type="expression" dxfId="139" priority="141">
      <formula>AD282="+"</formula>
    </cfRule>
  </conditionalFormatting>
  <conditionalFormatting sqref="AK282">
    <cfRule type="expression" dxfId="138" priority="138">
      <formula>AK283="+"</formula>
    </cfRule>
    <cfRule type="expression" dxfId="137" priority="139">
      <formula>AK282="+"</formula>
    </cfRule>
  </conditionalFormatting>
  <conditionalFormatting sqref="AR282">
    <cfRule type="expression" dxfId="136" priority="136">
      <formula>AR283="+"</formula>
    </cfRule>
    <cfRule type="expression" dxfId="135" priority="137">
      <formula>AR282="+"</formula>
    </cfRule>
  </conditionalFormatting>
  <conditionalFormatting sqref="B288:AQ288">
    <cfRule type="expression" dxfId="134" priority="135">
      <formula>B287="-"</formula>
    </cfRule>
  </conditionalFormatting>
  <conditionalFormatting sqref="B288">
    <cfRule type="expression" dxfId="133" priority="134">
      <formula>B293="+"</formula>
    </cfRule>
  </conditionalFormatting>
  <conditionalFormatting sqref="B289:H291">
    <cfRule type="expression" dxfId="132" priority="133">
      <formula>B293="+"</formula>
    </cfRule>
  </conditionalFormatting>
  <conditionalFormatting sqref="B287">
    <cfRule type="expression" dxfId="131" priority="131">
      <formula>B288="+"</formula>
    </cfRule>
    <cfRule type="expression" dxfId="130" priority="132">
      <formula>B287="+"</formula>
    </cfRule>
  </conditionalFormatting>
  <conditionalFormatting sqref="I288">
    <cfRule type="expression" dxfId="129" priority="130">
      <formula>I293="+"</formula>
    </cfRule>
  </conditionalFormatting>
  <conditionalFormatting sqref="I289:O291">
    <cfRule type="expression" dxfId="128" priority="129">
      <formula>I293="+"</formula>
    </cfRule>
  </conditionalFormatting>
  <conditionalFormatting sqref="P288">
    <cfRule type="expression" dxfId="127" priority="128">
      <formula>P293="+"</formula>
    </cfRule>
  </conditionalFormatting>
  <conditionalFormatting sqref="P289:V291">
    <cfRule type="expression" dxfId="126" priority="127">
      <formula>P293="+"</formula>
    </cfRule>
  </conditionalFormatting>
  <conditionalFormatting sqref="W288">
    <cfRule type="expression" dxfId="125" priority="126">
      <formula>W293="+"</formula>
    </cfRule>
  </conditionalFormatting>
  <conditionalFormatting sqref="W289:AC291">
    <cfRule type="expression" dxfId="124" priority="125">
      <formula>W293="+"</formula>
    </cfRule>
  </conditionalFormatting>
  <conditionalFormatting sqref="AD288">
    <cfRule type="expression" dxfId="123" priority="124">
      <formula>AD293="+"</formula>
    </cfRule>
  </conditionalFormatting>
  <conditionalFormatting sqref="AD289:AJ291">
    <cfRule type="expression" dxfId="122" priority="123">
      <formula>AD293="+"</formula>
    </cfRule>
  </conditionalFormatting>
  <conditionalFormatting sqref="AK288">
    <cfRule type="expression" dxfId="121" priority="122">
      <formula>AK293="+"</formula>
    </cfRule>
  </conditionalFormatting>
  <conditionalFormatting sqref="AK289:AQ291">
    <cfRule type="expression" dxfId="120" priority="121">
      <formula>AK293="+"</formula>
    </cfRule>
  </conditionalFormatting>
  <conditionalFormatting sqref="I287">
    <cfRule type="expression" dxfId="119" priority="119">
      <formula>I288="+"</formula>
    </cfRule>
    <cfRule type="expression" dxfId="118" priority="120">
      <formula>I287="+"</formula>
    </cfRule>
  </conditionalFormatting>
  <conditionalFormatting sqref="P287">
    <cfRule type="expression" dxfId="117" priority="117">
      <formula>P288="+"</formula>
    </cfRule>
    <cfRule type="expression" dxfId="116" priority="118">
      <formula>P287="+"</formula>
    </cfRule>
  </conditionalFormatting>
  <conditionalFormatting sqref="W287">
    <cfRule type="expression" dxfId="115" priority="115">
      <formula>W288="+"</formula>
    </cfRule>
    <cfRule type="expression" dxfId="114" priority="116">
      <formula>W287="+"</formula>
    </cfRule>
  </conditionalFormatting>
  <conditionalFormatting sqref="AD287">
    <cfRule type="expression" dxfId="113" priority="113">
      <formula>AD288="+"</formula>
    </cfRule>
    <cfRule type="expression" dxfId="112" priority="114">
      <formula>AD287="+"</formula>
    </cfRule>
  </conditionalFormatting>
  <conditionalFormatting sqref="AK287">
    <cfRule type="expression" dxfId="111" priority="111">
      <formula>AK288="+"</formula>
    </cfRule>
    <cfRule type="expression" dxfId="110" priority="112">
      <formula>AK287="+"</formula>
    </cfRule>
  </conditionalFormatting>
  <conditionalFormatting sqref="AR287">
    <cfRule type="expression" dxfId="109" priority="109">
      <formula>AR288="+"</formula>
    </cfRule>
    <cfRule type="expression" dxfId="108" priority="110">
      <formula>AR287="+"</formula>
    </cfRule>
  </conditionalFormatting>
  <conditionalFormatting sqref="B293:AQ293">
    <cfRule type="expression" dxfId="107" priority="108">
      <formula>B292="-"</formula>
    </cfRule>
  </conditionalFormatting>
  <conditionalFormatting sqref="B293">
    <cfRule type="expression" dxfId="106" priority="107">
      <formula>B298="+"</formula>
    </cfRule>
  </conditionalFormatting>
  <conditionalFormatting sqref="B294:H296">
    <cfRule type="expression" dxfId="105" priority="106">
      <formula>B298="+"</formula>
    </cfRule>
  </conditionalFormatting>
  <conditionalFormatting sqref="B292">
    <cfRule type="expression" dxfId="104" priority="104">
      <formula>B293="+"</formula>
    </cfRule>
    <cfRule type="expression" dxfId="103" priority="105">
      <formula>B292="+"</formula>
    </cfRule>
  </conditionalFormatting>
  <conditionalFormatting sqref="I293">
    <cfRule type="expression" dxfId="102" priority="103">
      <formula>I298="+"</formula>
    </cfRule>
  </conditionalFormatting>
  <conditionalFormatting sqref="I294:O296">
    <cfRule type="expression" dxfId="101" priority="102">
      <formula>I298="+"</formula>
    </cfRule>
  </conditionalFormatting>
  <conditionalFormatting sqref="P293">
    <cfRule type="expression" dxfId="100" priority="101">
      <formula>P298="+"</formula>
    </cfRule>
  </conditionalFormatting>
  <conditionalFormatting sqref="P294:V296">
    <cfRule type="expression" dxfId="99" priority="100">
      <formula>P298="+"</formula>
    </cfRule>
  </conditionalFormatting>
  <conditionalFormatting sqref="W293">
    <cfRule type="expression" dxfId="98" priority="99">
      <formula>W298="+"</formula>
    </cfRule>
  </conditionalFormatting>
  <conditionalFormatting sqref="W294:AC296">
    <cfRule type="expression" dxfId="97" priority="98">
      <formula>W298="+"</formula>
    </cfRule>
  </conditionalFormatting>
  <conditionalFormatting sqref="AD293">
    <cfRule type="expression" dxfId="96" priority="97">
      <formula>AD298="+"</formula>
    </cfRule>
  </conditionalFormatting>
  <conditionalFormatting sqref="AD294:AJ296">
    <cfRule type="expression" dxfId="95" priority="96">
      <formula>AD298="+"</formula>
    </cfRule>
  </conditionalFormatting>
  <conditionalFormatting sqref="AK293">
    <cfRule type="expression" dxfId="94" priority="95">
      <formula>AK298="+"</formula>
    </cfRule>
  </conditionalFormatting>
  <conditionalFormatting sqref="AK294:AQ296">
    <cfRule type="expression" dxfId="93" priority="94">
      <formula>AK298="+"</formula>
    </cfRule>
  </conditionalFormatting>
  <conditionalFormatting sqref="I292">
    <cfRule type="expression" dxfId="92" priority="92">
      <formula>I293="+"</formula>
    </cfRule>
    <cfRule type="expression" dxfId="91" priority="93">
      <formula>I292="+"</formula>
    </cfRule>
  </conditionalFormatting>
  <conditionalFormatting sqref="P292">
    <cfRule type="expression" dxfId="90" priority="90">
      <formula>P293="+"</formula>
    </cfRule>
    <cfRule type="expression" dxfId="89" priority="91">
      <formula>P292="+"</formula>
    </cfRule>
  </conditionalFormatting>
  <conditionalFormatting sqref="W292">
    <cfRule type="expression" dxfId="88" priority="88">
      <formula>W293="+"</formula>
    </cfRule>
    <cfRule type="expression" dxfId="87" priority="89">
      <formula>W292="+"</formula>
    </cfRule>
  </conditionalFormatting>
  <conditionalFormatting sqref="AD292">
    <cfRule type="expression" dxfId="86" priority="86">
      <formula>AD293="+"</formula>
    </cfRule>
    <cfRule type="expression" dxfId="85" priority="87">
      <formula>AD292="+"</formula>
    </cfRule>
  </conditionalFormatting>
  <conditionalFormatting sqref="AK292">
    <cfRule type="expression" dxfId="84" priority="84">
      <formula>AK293="+"</formula>
    </cfRule>
    <cfRule type="expression" dxfId="83" priority="85">
      <formula>AK292="+"</formula>
    </cfRule>
  </conditionalFormatting>
  <conditionalFormatting sqref="AR292">
    <cfRule type="expression" dxfId="82" priority="82">
      <formula>AR293="+"</formula>
    </cfRule>
    <cfRule type="expression" dxfId="81" priority="83">
      <formula>AR292="+"</formula>
    </cfRule>
  </conditionalFormatting>
  <conditionalFormatting sqref="B298:AQ298">
    <cfRule type="expression" dxfId="80" priority="81">
      <formula>B297="-"</formula>
    </cfRule>
  </conditionalFormatting>
  <conditionalFormatting sqref="B298">
    <cfRule type="expression" dxfId="79" priority="80">
      <formula>B303="+"</formula>
    </cfRule>
  </conditionalFormatting>
  <conditionalFormatting sqref="B299:H301">
    <cfRule type="expression" dxfId="78" priority="79">
      <formula>B303="+"</formula>
    </cfRule>
  </conditionalFormatting>
  <conditionalFormatting sqref="B297">
    <cfRule type="expression" dxfId="77" priority="77">
      <formula>B298="+"</formula>
    </cfRule>
    <cfRule type="expression" dxfId="76" priority="78">
      <formula>B297="+"</formula>
    </cfRule>
  </conditionalFormatting>
  <conditionalFormatting sqref="I298">
    <cfRule type="expression" dxfId="75" priority="76">
      <formula>I303="+"</formula>
    </cfRule>
  </conditionalFormatting>
  <conditionalFormatting sqref="I299:O301">
    <cfRule type="expression" dxfId="74" priority="75">
      <formula>I303="+"</formula>
    </cfRule>
  </conditionalFormatting>
  <conditionalFormatting sqref="P298">
    <cfRule type="expression" dxfId="73" priority="74">
      <formula>P303="+"</formula>
    </cfRule>
  </conditionalFormatting>
  <conditionalFormatting sqref="P299:V301">
    <cfRule type="expression" dxfId="72" priority="73">
      <formula>P303="+"</formula>
    </cfRule>
  </conditionalFormatting>
  <conditionalFormatting sqref="W298">
    <cfRule type="expression" dxfId="71" priority="72">
      <formula>W303="+"</formula>
    </cfRule>
  </conditionalFormatting>
  <conditionalFormatting sqref="W299:AC301">
    <cfRule type="expression" dxfId="70" priority="71">
      <formula>W303="+"</formula>
    </cfRule>
  </conditionalFormatting>
  <conditionalFormatting sqref="AD298">
    <cfRule type="expression" dxfId="69" priority="70">
      <formula>AD303="+"</formula>
    </cfRule>
  </conditionalFormatting>
  <conditionalFormatting sqref="AD299:AJ301">
    <cfRule type="expression" dxfId="68" priority="69">
      <formula>AD303="+"</formula>
    </cfRule>
  </conditionalFormatting>
  <conditionalFormatting sqref="AK298">
    <cfRule type="expression" dxfId="67" priority="68">
      <formula>AK303="+"</formula>
    </cfRule>
  </conditionalFormatting>
  <conditionalFormatting sqref="AK299:AQ301">
    <cfRule type="expression" dxfId="66" priority="67">
      <formula>AK303="+"</formula>
    </cfRule>
  </conditionalFormatting>
  <conditionalFormatting sqref="I297">
    <cfRule type="expression" dxfId="65" priority="65">
      <formula>I298="+"</formula>
    </cfRule>
    <cfRule type="expression" dxfId="64" priority="66">
      <formula>I297="+"</formula>
    </cfRule>
  </conditionalFormatting>
  <conditionalFormatting sqref="P297">
    <cfRule type="expression" dxfId="63" priority="63">
      <formula>P298="+"</formula>
    </cfRule>
    <cfRule type="expression" dxfId="62" priority="64">
      <formula>P297="+"</formula>
    </cfRule>
  </conditionalFormatting>
  <conditionalFormatting sqref="W297">
    <cfRule type="expression" dxfId="61" priority="61">
      <formula>W298="+"</formula>
    </cfRule>
    <cfRule type="expression" dxfId="60" priority="62">
      <formula>W297="+"</formula>
    </cfRule>
  </conditionalFormatting>
  <conditionalFormatting sqref="AD297">
    <cfRule type="expression" dxfId="59" priority="59">
      <formula>AD298="+"</formula>
    </cfRule>
    <cfRule type="expression" dxfId="58" priority="60">
      <formula>AD297="+"</formula>
    </cfRule>
  </conditionalFormatting>
  <conditionalFormatting sqref="AK297">
    <cfRule type="expression" dxfId="57" priority="57">
      <formula>AK298="+"</formula>
    </cfRule>
    <cfRule type="expression" dxfId="56" priority="58">
      <formula>AK297="+"</formula>
    </cfRule>
  </conditionalFormatting>
  <conditionalFormatting sqref="AR297">
    <cfRule type="expression" dxfId="55" priority="55">
      <formula>AR298="+"</formula>
    </cfRule>
    <cfRule type="expression" dxfId="54" priority="56">
      <formula>AR297="+"</formula>
    </cfRule>
  </conditionalFormatting>
  <conditionalFormatting sqref="B303:AQ303">
    <cfRule type="expression" dxfId="53" priority="54">
      <formula>B302="-"</formula>
    </cfRule>
  </conditionalFormatting>
  <conditionalFormatting sqref="B303">
    <cfRule type="expression" dxfId="52" priority="53">
      <formula>B308="+"</formula>
    </cfRule>
  </conditionalFormatting>
  <conditionalFormatting sqref="B304:H306">
    <cfRule type="expression" dxfId="51" priority="52">
      <formula>B308="+"</formula>
    </cfRule>
  </conditionalFormatting>
  <conditionalFormatting sqref="B302">
    <cfRule type="expression" dxfId="50" priority="50">
      <formula>B303="+"</formula>
    </cfRule>
    <cfRule type="expression" dxfId="49" priority="51">
      <formula>B302="+"</formula>
    </cfRule>
  </conditionalFormatting>
  <conditionalFormatting sqref="I303">
    <cfRule type="expression" dxfId="48" priority="49">
      <formula>I308="+"</formula>
    </cfRule>
  </conditionalFormatting>
  <conditionalFormatting sqref="I304:O306">
    <cfRule type="expression" dxfId="47" priority="48">
      <formula>I308="+"</formula>
    </cfRule>
  </conditionalFormatting>
  <conditionalFormatting sqref="P303">
    <cfRule type="expression" dxfId="46" priority="47">
      <formula>P308="+"</formula>
    </cfRule>
  </conditionalFormatting>
  <conditionalFormatting sqref="P304:V306">
    <cfRule type="expression" dxfId="45" priority="46">
      <formula>P308="+"</formula>
    </cfRule>
  </conditionalFormatting>
  <conditionalFormatting sqref="W303">
    <cfRule type="expression" dxfId="44" priority="45">
      <formula>W308="+"</formula>
    </cfRule>
  </conditionalFormatting>
  <conditionalFormatting sqref="W304:AC306">
    <cfRule type="expression" dxfId="43" priority="44">
      <formula>W308="+"</formula>
    </cfRule>
  </conditionalFormatting>
  <conditionalFormatting sqref="AD303">
    <cfRule type="expression" dxfId="42" priority="43">
      <formula>AD308="+"</formula>
    </cfRule>
  </conditionalFormatting>
  <conditionalFormatting sqref="AD304:AJ306">
    <cfRule type="expression" dxfId="41" priority="42">
      <formula>AD308="+"</formula>
    </cfRule>
  </conditionalFormatting>
  <conditionalFormatting sqref="AK303">
    <cfRule type="expression" dxfId="40" priority="41">
      <formula>AK308="+"</formula>
    </cfRule>
  </conditionalFormatting>
  <conditionalFormatting sqref="AK304:AQ306">
    <cfRule type="expression" dxfId="39" priority="40">
      <formula>AK308="+"</formula>
    </cfRule>
  </conditionalFormatting>
  <conditionalFormatting sqref="I302">
    <cfRule type="expression" dxfId="38" priority="38">
      <formula>I303="+"</formula>
    </cfRule>
    <cfRule type="expression" dxfId="37" priority="39">
      <formula>I302="+"</formula>
    </cfRule>
  </conditionalFormatting>
  <conditionalFormatting sqref="P302">
    <cfRule type="expression" dxfId="36" priority="36">
      <formula>P303="+"</formula>
    </cfRule>
    <cfRule type="expression" dxfId="35" priority="37">
      <formula>P302="+"</formula>
    </cfRule>
  </conditionalFormatting>
  <conditionalFormatting sqref="W302">
    <cfRule type="expression" dxfId="34" priority="34">
      <formula>W303="+"</formula>
    </cfRule>
    <cfRule type="expression" dxfId="33" priority="35">
      <formula>W302="+"</formula>
    </cfRule>
  </conditionalFormatting>
  <conditionalFormatting sqref="AD302">
    <cfRule type="expression" dxfId="32" priority="32">
      <formula>AD303="+"</formula>
    </cfRule>
    <cfRule type="expression" dxfId="31" priority="33">
      <formula>AD302="+"</formula>
    </cfRule>
  </conditionalFormatting>
  <conditionalFormatting sqref="AK302">
    <cfRule type="expression" dxfId="30" priority="30">
      <formula>AK303="+"</formula>
    </cfRule>
    <cfRule type="expression" dxfId="29" priority="31">
      <formula>AK302="+"</formula>
    </cfRule>
  </conditionalFormatting>
  <conditionalFormatting sqref="AR302">
    <cfRule type="expression" dxfId="28" priority="28">
      <formula>AR303="+"</formula>
    </cfRule>
    <cfRule type="expression" dxfId="27" priority="29">
      <formula>AR302="+"</formula>
    </cfRule>
  </conditionalFormatting>
  <conditionalFormatting sqref="B308:AQ308">
    <cfRule type="expression" dxfId="26" priority="27">
      <formula>B307="-"</formula>
    </cfRule>
  </conditionalFormatting>
  <conditionalFormatting sqref="B308">
    <cfRule type="expression" dxfId="25" priority="26">
      <formula>B313="+"</formula>
    </cfRule>
  </conditionalFormatting>
  <conditionalFormatting sqref="B309:H311">
    <cfRule type="expression" dxfId="24" priority="25">
      <formula>B313="+"</formula>
    </cfRule>
  </conditionalFormatting>
  <conditionalFormatting sqref="B307">
    <cfRule type="expression" dxfId="23" priority="23">
      <formula>B308="+"</formula>
    </cfRule>
    <cfRule type="expression" dxfId="22" priority="24">
      <formula>B307="+"</formula>
    </cfRule>
  </conditionalFormatting>
  <conditionalFormatting sqref="I308">
    <cfRule type="expression" dxfId="21" priority="22">
      <formula>I313="+"</formula>
    </cfRule>
  </conditionalFormatting>
  <conditionalFormatting sqref="I309:O311">
    <cfRule type="expression" dxfId="20" priority="21">
      <formula>I313="+"</formula>
    </cfRule>
  </conditionalFormatting>
  <conditionalFormatting sqref="P308">
    <cfRule type="expression" dxfId="19" priority="20">
      <formula>P313="+"</formula>
    </cfRule>
  </conditionalFormatting>
  <conditionalFormatting sqref="P309:V311">
    <cfRule type="expression" dxfId="18" priority="19">
      <formula>P313="+"</formula>
    </cfRule>
  </conditionalFormatting>
  <conditionalFormatting sqref="W308">
    <cfRule type="expression" dxfId="17" priority="18">
      <formula>W313="+"</formula>
    </cfRule>
  </conditionalFormatting>
  <conditionalFormatting sqref="W309:AC311">
    <cfRule type="expression" dxfId="16" priority="17">
      <formula>W313="+"</formula>
    </cfRule>
  </conditionalFormatting>
  <conditionalFormatting sqref="AD308">
    <cfRule type="expression" dxfId="15" priority="16">
      <formula>AD313="+"</formula>
    </cfRule>
  </conditionalFormatting>
  <conditionalFormatting sqref="AD309:AJ311">
    <cfRule type="expression" dxfId="14" priority="15">
      <formula>AD313="+"</formula>
    </cfRule>
  </conditionalFormatting>
  <conditionalFormatting sqref="AK308">
    <cfRule type="expression" dxfId="13" priority="14">
      <formula>AK313="+"</formula>
    </cfRule>
  </conditionalFormatting>
  <conditionalFormatting sqref="AK309:AQ311">
    <cfRule type="expression" dxfId="12" priority="13">
      <formula>AK313="+"</formula>
    </cfRule>
  </conditionalFormatting>
  <conditionalFormatting sqref="I307">
    <cfRule type="expression" dxfId="11" priority="11">
      <formula>I308="+"</formula>
    </cfRule>
    <cfRule type="expression" dxfId="10" priority="12">
      <formula>I307="+"</formula>
    </cfRule>
  </conditionalFormatting>
  <conditionalFormatting sqref="P307">
    <cfRule type="expression" dxfId="9" priority="9">
      <formula>P308="+"</formula>
    </cfRule>
    <cfRule type="expression" dxfId="8" priority="10">
      <formula>P307="+"</formula>
    </cfRule>
  </conditionalFormatting>
  <conditionalFormatting sqref="W307">
    <cfRule type="expression" dxfId="7" priority="7">
      <formula>W308="+"</formula>
    </cfRule>
    <cfRule type="expression" dxfId="6" priority="8">
      <formula>W307="+"</formula>
    </cfRule>
  </conditionalFormatting>
  <conditionalFormatting sqref="AD307">
    <cfRule type="expression" dxfId="5" priority="5">
      <formula>AD308="+"</formula>
    </cfRule>
    <cfRule type="expression" dxfId="4" priority="6">
      <formula>AD307="+"</formula>
    </cfRule>
  </conditionalFormatting>
  <conditionalFormatting sqref="AK307">
    <cfRule type="expression" dxfId="3" priority="3">
      <formula>AK308="+"</formula>
    </cfRule>
    <cfRule type="expression" dxfId="2" priority="4">
      <formula>AK307="+"</formula>
    </cfRule>
  </conditionalFormatting>
  <conditionalFormatting sqref="AR307">
    <cfRule type="expression" dxfId="1" priority="1">
      <formula>AR308="+"</formula>
    </cfRule>
    <cfRule type="expression" dxfId="0" priority="2">
      <formula>AR307="+"</formula>
    </cfRule>
  </conditionalFormatting>
  <pageMargins left="0.7" right="0.7" top="0.75" bottom="0.75" header="0.3" footer="0.3"/>
  <pageSetup scale="46" orientation="portrait" r:id="rId1"/>
  <rowBreaks count="1" manualBreakCount="1">
    <brk id="31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eet2.Hide_Collapsed_Rows">
                <anchor moveWithCells="1" sizeWithCells="1">
                  <from>
                    <xdr:col>1</xdr:col>
                    <xdr:colOff>19050</xdr:colOff>
                    <xdr:row>28</xdr:row>
                    <xdr:rowOff>9525</xdr:rowOff>
                  </from>
                  <to>
                    <xdr:col>5</xdr:col>
                    <xdr:colOff>133350</xdr:colOff>
                    <xdr:row>30</xdr:row>
                    <xdr:rowOff>95250</xdr:rowOff>
                  </to>
                </anchor>
              </controlPr>
            </control>
          </mc:Choice>
        </mc:AlternateContent>
        <mc:AlternateContent xmlns:mc="http://schemas.openxmlformats.org/markup-compatibility/2006">
          <mc:Choice Requires="x14">
            <control shapeId="4098" r:id="rId5" name="Button 2">
              <controlPr defaultSize="0" print="0" autoFill="0" autoPict="0" macro="[0]!Sheet2.Show_All_Rows">
                <anchor moveWithCells="1" sizeWithCells="1">
                  <from>
                    <xdr:col>5</xdr:col>
                    <xdr:colOff>257175</xdr:colOff>
                    <xdr:row>28</xdr:row>
                    <xdr:rowOff>9525</xdr:rowOff>
                  </from>
                  <to>
                    <xdr:col>10</xdr:col>
                    <xdr:colOff>171450</xdr:colOff>
                    <xdr:row>30</xdr:row>
                    <xdr:rowOff>85725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77</vt:i4>
      </vt:variant>
    </vt:vector>
  </HeadingPairs>
  <TitlesOfParts>
    <vt:vector size="87" baseType="lpstr">
      <vt:lpstr>About</vt:lpstr>
      <vt:lpstr>Terms and Conditions</vt:lpstr>
      <vt:lpstr>Version History</vt:lpstr>
      <vt:lpstr>References</vt:lpstr>
      <vt:lpstr>Instructions</vt:lpstr>
      <vt:lpstr>Event Tree Input</vt:lpstr>
      <vt:lpstr>Event Tree</vt:lpstr>
      <vt:lpstr>Project Event Tree Input</vt:lpstr>
      <vt:lpstr>Project Event Tree</vt:lpstr>
      <vt:lpstr>P2</vt:lpstr>
      <vt:lpstr>Callouts</vt:lpstr>
      <vt:lpstr>ConsIncRef1</vt:lpstr>
      <vt:lpstr>ConsIncRef2</vt:lpstr>
      <vt:lpstr>ConsNBRef1</vt:lpstr>
      <vt:lpstr>ConsNBRef2</vt:lpstr>
      <vt:lpstr>'Project Event Tree Input'!Cont_Reference</vt:lpstr>
      <vt:lpstr>N1B1Shape</vt:lpstr>
      <vt:lpstr>N1B2Shape</vt:lpstr>
      <vt:lpstr>N1Call</vt:lpstr>
      <vt:lpstr>N1CallText</vt:lpstr>
      <vt:lpstr>N1Name</vt:lpstr>
      <vt:lpstr>N2B1Shape</vt:lpstr>
      <vt:lpstr>N2B2Shape</vt:lpstr>
      <vt:lpstr>N2Call</vt:lpstr>
      <vt:lpstr>N2CallText</vt:lpstr>
      <vt:lpstr>N2Name</vt:lpstr>
      <vt:lpstr>N3B1Shape</vt:lpstr>
      <vt:lpstr>N3B2Shape</vt:lpstr>
      <vt:lpstr>N3Call</vt:lpstr>
      <vt:lpstr>N3CallText</vt:lpstr>
      <vt:lpstr>N3Name</vt:lpstr>
      <vt:lpstr>N4B1Shape</vt:lpstr>
      <vt:lpstr>N4B2Shape</vt:lpstr>
      <vt:lpstr>N4Call</vt:lpstr>
      <vt:lpstr>N4CallText</vt:lpstr>
      <vt:lpstr>N4Name</vt:lpstr>
      <vt:lpstr>N5B1Shape</vt:lpstr>
      <vt:lpstr>N5B2Shape</vt:lpstr>
      <vt:lpstr>N5Call</vt:lpstr>
      <vt:lpstr>N5CallText</vt:lpstr>
      <vt:lpstr>N5Name</vt:lpstr>
      <vt:lpstr>N6B1Shape</vt:lpstr>
      <vt:lpstr>N6B2Shape</vt:lpstr>
      <vt:lpstr>N6Call</vt:lpstr>
      <vt:lpstr>N6CallText</vt:lpstr>
      <vt:lpstr>N6Name</vt:lpstr>
      <vt:lpstr>N7B1Shape</vt:lpstr>
      <vt:lpstr>N7B2Shape</vt:lpstr>
      <vt:lpstr>N7Call</vt:lpstr>
      <vt:lpstr>N7CallText</vt:lpstr>
      <vt:lpstr>N7Name</vt:lpstr>
      <vt:lpstr>N8B1Shape</vt:lpstr>
      <vt:lpstr>N8B2Shape</vt:lpstr>
      <vt:lpstr>N8Call</vt:lpstr>
      <vt:lpstr>N8CallText</vt:lpstr>
      <vt:lpstr>N8Name</vt:lpstr>
      <vt:lpstr>N9B1Shape</vt:lpstr>
      <vt:lpstr>N9B2Shape</vt:lpstr>
      <vt:lpstr>N9Call</vt:lpstr>
      <vt:lpstr>N9CallText</vt:lpstr>
      <vt:lpstr>N9Name</vt:lpstr>
      <vt:lpstr>'P2'!Oval_Reference</vt:lpstr>
      <vt:lpstr>Oval_Reference</vt:lpstr>
      <vt:lpstr>About!Print_Area</vt:lpstr>
      <vt:lpstr>'Event Tree'!Print_Area</vt:lpstr>
      <vt:lpstr>'Event Tree Input'!Print_Area</vt:lpstr>
      <vt:lpstr>Instructions!Print_Area</vt:lpstr>
      <vt:lpstr>'P2'!Print_Area</vt:lpstr>
      <vt:lpstr>'Project Event Tree'!Print_Area</vt:lpstr>
      <vt:lpstr>'Project Event Tree Input'!Print_Area</vt:lpstr>
      <vt:lpstr>References!Print_Area</vt:lpstr>
      <vt:lpstr>'Terms and Conditions'!Print_Area</vt:lpstr>
      <vt:lpstr>'Version History'!Print_Area</vt:lpstr>
      <vt:lpstr>SeismicLoad</vt:lpstr>
      <vt:lpstr>Instructions!Toolbox_Name</vt:lpstr>
      <vt:lpstr>References!Toolbox_Name</vt:lpstr>
      <vt:lpstr>'Terms and Conditions'!Toolbox_Name</vt:lpstr>
      <vt:lpstr>'Version History'!Toolbox_Name</vt:lpstr>
      <vt:lpstr>Toolbox_Name</vt:lpstr>
      <vt:lpstr>Instructions!Toolbox_Suite</vt:lpstr>
      <vt:lpstr>References!Toolbox_Suite</vt:lpstr>
      <vt:lpstr>'Terms and Conditions'!Toolbox_Suite</vt:lpstr>
      <vt:lpstr>'Version History'!Toolbox_Suite</vt:lpstr>
      <vt:lpstr>Toolbox_Suite</vt:lpstr>
      <vt:lpstr>Toolbox_Version</vt:lpstr>
      <vt:lpstr>'P2'!Triangle_Reference</vt:lpstr>
      <vt:lpstr>Triangle_Reference</vt:lpstr>
    </vt:vector>
  </TitlesOfParts>
  <Company>USACE Risk Management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RMC Event Tree Toolbox</dc:title>
  <dc:subject>RMC Risk Calculations Suite</dc:subject>
  <dc:creator>Adam C. Gohs, P.E.</dc:creator>
  <cp:lastModifiedBy>USACE Risk Management Center</cp:lastModifiedBy>
  <cp:lastPrinted>2023-12-07T21:31:15Z</cp:lastPrinted>
  <dcterms:created xsi:type="dcterms:W3CDTF">2016-11-03T19:42:04Z</dcterms:created>
  <dcterms:modified xsi:type="dcterms:W3CDTF">2025-08-16T16:36:11Z</dcterms:modified>
</cp:coreProperties>
</file>