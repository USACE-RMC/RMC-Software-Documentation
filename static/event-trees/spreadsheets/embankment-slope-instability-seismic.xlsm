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A665F10-EABC-4DF3-BA66-403B9A4199CB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4" i="14" l="1"/>
  <c r="E34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<sst xmlns="http://schemas.openxmlformats.org/spreadsheetml/2006/main" count="139" uniqueCount="71">
  <si>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</si>
  <si>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</si>
  <si>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</si>
  <si>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</si>
  <si>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</si>
  <si>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</si>
  <si>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</si>
  <si>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</si>
  <si>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</si>
  <si>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</si>
  <si>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</si>
  <si>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</si>
  <si>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</si>
  <si>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</si>
  <si>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</si>
  <si>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</si>
  <si>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</si>
  <si>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</si>
  <si>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</si>
  <si>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</si>
  <si>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</si>
  <si>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</si>
  <si>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</si>
  <si>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</si>
  <si>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</si>
  <si>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</si>
  <si>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</si>
  <si>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</si>
  <si>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</si>
  <si>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</si>
  <si>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</si>
  <si>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</si>
  <si>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</si>
  <si>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</si>
  <si>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</si>
  <si>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</si>
  <si>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</si>
  <si>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</si>
  <si>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</si>
  <si>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</si>
  <si>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</si>
  <si>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</si>
  <si>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</si>
  <si>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</si>
  <si>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</si>
  <si>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</si>
  <si>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</si>
  <si>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</si>
  <si>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</si>
  <si>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</si>
  <si>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</si>
  <si>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</si>
  <si>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</si>
  <si>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</si>
  <si>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</si>
  <si>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</si>
  <si>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</si>
  <si>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</si>
  <si>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</si>
  <si>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</si>
  <si>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</si>
  <si>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</si>
  <si>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</si>
  <si>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Transverse Crack</t>
  </si>
  <si>
    <t>Fault rupture causes sufficient embankment displacement that disrupts filter continuity?</t>
  </si>
  <si>
    <t>Initiation</t>
  </si>
  <si>
    <t>Increase in pore pressure decreases effective stress in downstream embankment?</t>
  </si>
  <si>
    <t>Initial Failure Severity</t>
  </si>
  <si>
    <t>Initial failure lowers the crest and uncontrolled release of impounded water occurs?</t>
  </si>
  <si>
    <t>No higher shear strength zone exists to arrest retrogressive instability?</t>
  </si>
  <si>
    <t>Retrogressive instability advances through the crest and unctonrolled release of impounded water occurs?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</si>
</sst>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4" fillId="0" borderId="2" xfId="0" applyFont="1" applyBorder="1"/>
    <xf numFmtId="0" fontId="4" fillId="0" borderId="7" xfId="0" applyFont="1" applyBorder="1" applyAlignment="1">
      <alignment vertical="center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66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27</xdr:row>
      <xdr:rowOff>171449</xdr:rowOff>
    </xdr:from>
    <xdr:to>
      <xdr:col>21</xdr:col>
      <xdr:colOff>161925</xdr:colOff>
      <xdr:row>30</xdr:row>
      <xdr:rowOff>94868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314949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22</xdr:row>
      <xdr:rowOff>190499</xdr:rowOff>
    </xdr:from>
    <xdr:to>
      <xdr:col>28</xdr:col>
      <xdr:colOff>161925</xdr:colOff>
      <xdr:row>25</xdr:row>
      <xdr:rowOff>113918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4381499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16</xdr:row>
      <xdr:rowOff>180974</xdr:rowOff>
    </xdr:from>
    <xdr:to>
      <xdr:col>35</xdr:col>
      <xdr:colOff>171450</xdr:colOff>
      <xdr:row>19</xdr:row>
      <xdr:rowOff>104393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32289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Initial Failure Severity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16</xdr:row>
      <xdr:rowOff>123824</xdr:rowOff>
    </xdr:from>
    <xdr:to>
      <xdr:col>43</xdr:col>
      <xdr:colOff>0</xdr:colOff>
      <xdr:row>19</xdr:row>
      <xdr:rowOff>161926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3171824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16</xdr:row>
      <xdr:rowOff>171449</xdr:rowOff>
    </xdr:from>
    <xdr:to>
      <xdr:col>49</xdr:col>
      <xdr:colOff>161925</xdr:colOff>
      <xdr:row>19</xdr:row>
      <xdr:rowOff>95249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219449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34</xdr:row>
      <xdr:rowOff>147490</xdr:rowOff>
    </xdr:from>
    <xdr:to>
      <xdr:col>12</xdr:col>
      <xdr:colOff>27104</xdr:colOff>
      <xdr:row>37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35</xdr:row>
      <xdr:rowOff>52240</xdr:rowOff>
    </xdr:from>
    <xdr:to>
      <xdr:col>15</xdr:col>
      <xdr:colOff>138518</xdr:colOff>
      <xdr:row>36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31</xdr:row>
      <xdr:rowOff>52240</xdr:rowOff>
    </xdr:from>
    <xdr:to>
      <xdr:col>22</xdr:col>
      <xdr:colOff>138518</xdr:colOff>
      <xdr:row>32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39</xdr:row>
      <xdr:rowOff>54695</xdr:rowOff>
    </xdr:from>
    <xdr:to>
      <xdr:col>22</xdr:col>
      <xdr:colOff>96889</xdr:colOff>
      <xdr:row>40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33</xdr:row>
      <xdr:rowOff>52240</xdr:rowOff>
    </xdr:from>
    <xdr:to>
      <xdr:col>36</xdr:col>
      <xdr:colOff>138518</xdr:colOff>
      <xdr:row>34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30</xdr:row>
      <xdr:rowOff>52240</xdr:rowOff>
    </xdr:from>
    <xdr:to>
      <xdr:col>43</xdr:col>
      <xdr:colOff>138518</xdr:colOff>
      <xdr:row>31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27</xdr:row>
      <xdr:rowOff>52240</xdr:rowOff>
    </xdr:from>
    <xdr:to>
      <xdr:col>50</xdr:col>
      <xdr:colOff>138518</xdr:colOff>
      <xdr:row>28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24</xdr:row>
      <xdr:rowOff>52240</xdr:rowOff>
    </xdr:from>
    <xdr:to>
      <xdr:col>57</xdr:col>
      <xdr:colOff>138518</xdr:colOff>
      <xdr:row>25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36</xdr:row>
      <xdr:rowOff>54695</xdr:rowOff>
    </xdr:from>
    <xdr:to>
      <xdr:col>43</xdr:col>
      <xdr:colOff>96889</xdr:colOff>
      <xdr:row>37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33</xdr:row>
      <xdr:rowOff>54695</xdr:rowOff>
    </xdr:from>
    <xdr:to>
      <xdr:col>50</xdr:col>
      <xdr:colOff>87364</xdr:colOff>
      <xdr:row>34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30</xdr:row>
      <xdr:rowOff>54695</xdr:rowOff>
    </xdr:from>
    <xdr:to>
      <xdr:col>57</xdr:col>
      <xdr:colOff>87364</xdr:colOff>
      <xdr:row>31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31</xdr:row>
      <xdr:rowOff>55169</xdr:rowOff>
    </xdr:from>
    <xdr:to>
      <xdr:col>22</xdr:col>
      <xdr:colOff>97956</xdr:colOff>
      <xdr:row>32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30</xdr:row>
      <xdr:rowOff>55150</xdr:rowOff>
    </xdr:from>
    <xdr:to>
      <xdr:col>29</xdr:col>
      <xdr:colOff>97957</xdr:colOff>
      <xdr:row>31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33</xdr:row>
      <xdr:rowOff>55140</xdr:rowOff>
    </xdr:from>
    <xdr:to>
      <xdr:col>36</xdr:col>
      <xdr:colOff>97958</xdr:colOff>
      <xdr:row>34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30</xdr:row>
      <xdr:rowOff>55130</xdr:rowOff>
    </xdr:from>
    <xdr:to>
      <xdr:col>43</xdr:col>
      <xdr:colOff>97959</xdr:colOff>
      <xdr:row>31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27</xdr:row>
      <xdr:rowOff>55117</xdr:rowOff>
    </xdr:from>
    <xdr:to>
      <xdr:col>50</xdr:col>
      <xdr:colOff>88435</xdr:colOff>
      <xdr:row>28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24</xdr:row>
      <xdr:rowOff>55101</xdr:rowOff>
    </xdr:from>
    <xdr:to>
      <xdr:col>57</xdr:col>
      <xdr:colOff>88436</xdr:colOff>
      <xdr:row>25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6179</xdr:colOff>
      <xdr:row>33</xdr:row>
      <xdr:rowOff>85725</xdr:rowOff>
    </xdr:from>
    <xdr:to>
      <xdr:col>21</xdr:col>
      <xdr:colOff>134123</xdr:colOff>
      <xdr:row>39</xdr:row>
      <xdr:rowOff>9525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206579" y="6372225"/>
          <a:ext cx="1128069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Fault rupture causes sufficient embankment displacement that disrupts filter continuity?</a:t>
          </a:fld>
          <a:endParaRPr lang="en-US" sz="1100"/>
        </a:p>
      </xdr:txBody>
    </xdr:sp>
    <xdr:clientData/>
  </xdr:twoCellAnchor>
  <xdr:twoCellAnchor>
    <xdr:from>
      <xdr:col>22</xdr:col>
      <xdr:colOff>188118</xdr:colOff>
      <xdr:row>29</xdr:row>
      <xdr:rowOff>57150</xdr:rowOff>
    </xdr:from>
    <xdr:to>
      <xdr:col>27</xdr:col>
      <xdr:colOff>190500</xdr:colOff>
      <xdr:row>34</xdr:row>
      <xdr:rowOff>171450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88668" y="5581650"/>
          <a:ext cx="1002507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Increase in pore pressure decreases effective stress in downstream embankment?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24</xdr:row>
      <xdr:rowOff>19050</xdr:rowOff>
    </xdr:from>
    <xdr:to>
      <xdr:col>35</xdr:col>
      <xdr:colOff>100775</xdr:colOff>
      <xdr:row>29</xdr:row>
      <xdr:rowOff>133350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459105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Initial failure lowers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31</xdr:row>
      <xdr:rowOff>38100</xdr:rowOff>
    </xdr:from>
    <xdr:to>
      <xdr:col>42</xdr:col>
      <xdr:colOff>100774</xdr:colOff>
      <xdr:row>36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higher shear strength zone exists to arrest retrogressive instability?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28</xdr:row>
      <xdr:rowOff>38100</xdr:rowOff>
    </xdr:from>
    <xdr:to>
      <xdr:col>49</xdr:col>
      <xdr:colOff>103156</xdr:colOff>
      <xdr:row>33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25</xdr:row>
      <xdr:rowOff>38100</xdr:rowOff>
    </xdr:from>
    <xdr:to>
      <xdr:col>56</xdr:col>
      <xdr:colOff>152400</xdr:colOff>
      <xdr:row>30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800600"/>
          <a:ext cx="1176338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Retrogressive instability advances through the crest and unctonrolled release of impounded water occurs?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34</xdr:row>
      <xdr:rowOff>146803</xdr:rowOff>
    </xdr:from>
    <xdr:to>
      <xdr:col>4</xdr:col>
      <xdr:colOff>197400</xdr:colOff>
      <xdr:row>37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83344</xdr:colOff>
      <xdr:row>16</xdr:row>
      <xdr:rowOff>107157</xdr:rowOff>
    </xdr:from>
    <xdr:to>
      <xdr:col>46</xdr:col>
      <xdr:colOff>95250</xdr:colOff>
      <xdr:row>16</xdr:row>
      <xdr:rowOff>171449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758239" y="2681287"/>
          <a:ext cx="64292" cy="101203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16</xdr:row>
      <xdr:rowOff>180974</xdr:rowOff>
    </xdr:from>
    <xdr:to>
      <xdr:col>32</xdr:col>
      <xdr:colOff>104775</xdr:colOff>
      <xdr:row>22</xdr:row>
      <xdr:rowOff>77390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H="1" flipV="1">
          <a:off x="5633442" y="3396257"/>
          <a:ext cx="1039416" cy="704850"/>
        </a:xfrm>
        <a:prstGeom prst="bentConnector4">
          <a:avLst>
            <a:gd name="adj1" fmla="val -21993"/>
            <a:gd name="adj2" fmla="val 97297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36</xdr:row>
      <xdr:rowOff>11906</xdr:rowOff>
    </xdr:from>
    <xdr:to>
      <xdr:col>40</xdr:col>
      <xdr:colOff>95251</xdr:colOff>
      <xdr:row>41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30</xdr:row>
      <xdr:rowOff>30161</xdr:rowOff>
    </xdr:from>
    <xdr:to>
      <xdr:col>55</xdr:col>
      <xdr:colOff>142873</xdr:colOff>
      <xdr:row>36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95251</xdr:colOff>
      <xdr:row>22</xdr:row>
      <xdr:rowOff>190499</xdr:rowOff>
    </xdr:from>
    <xdr:to>
      <xdr:col>25</xdr:col>
      <xdr:colOff>95250</xdr:colOff>
      <xdr:row>26</xdr:row>
      <xdr:rowOff>142875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H="1" flipV="1">
          <a:off x="4138613" y="4138612"/>
          <a:ext cx="714376" cy="1200149"/>
        </a:xfrm>
        <a:prstGeom prst="bentConnector4">
          <a:avLst>
            <a:gd name="adj1" fmla="val -32000"/>
            <a:gd name="adj2" fmla="val 77778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77269</xdr:colOff>
      <xdr:row>27</xdr:row>
      <xdr:rowOff>55140</xdr:rowOff>
    </xdr:from>
    <xdr:to>
      <xdr:col>29</xdr:col>
      <xdr:colOff>97958</xdr:colOff>
      <xdr:row>28</xdr:row>
      <xdr:rowOff>130194</xdr:rowOff>
    </xdr:to>
    <xdr:sp macro="" textlink="">
      <xdr:nvSpPr>
        <xdr:cNvPr id="33" name="N3B1Tri" hidden="1">
          <a:extLst>
            <a:ext uri="{FF2B5EF4-FFF2-40B4-BE49-F238E27FC236}">
              <a16:creationId xmlns:a16="http://schemas.microsoft.com/office/drawing/2014/main" id="{3F37C3D5-8E4B-4C9B-872B-14F71D8C33AA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29</xdr:row>
      <xdr:rowOff>55140</xdr:rowOff>
    </xdr:from>
    <xdr:to>
      <xdr:col>29</xdr:col>
      <xdr:colOff>97958</xdr:colOff>
      <xdr:row>30</xdr:row>
      <xdr:rowOff>130194</xdr:rowOff>
    </xdr:to>
    <xdr:sp macro="" textlink="">
      <xdr:nvSpPr>
        <xdr:cNvPr id="34" name="N3B1Tri" hidden="1">
          <a:extLst>
            <a:ext uri="{FF2B5EF4-FFF2-40B4-BE49-F238E27FC236}">
              <a16:creationId xmlns:a16="http://schemas.microsoft.com/office/drawing/2014/main" id="{BEACB031-AB66-4AA1-8817-776AD0E55A58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25</xdr:row>
      <xdr:rowOff>55140</xdr:rowOff>
    </xdr:from>
    <xdr:to>
      <xdr:col>29</xdr:col>
      <xdr:colOff>97958</xdr:colOff>
      <xdr:row>26</xdr:row>
      <xdr:rowOff>130194</xdr:rowOff>
    </xdr:to>
    <xdr:sp macro="" textlink="">
      <xdr:nvSpPr>
        <xdr:cNvPr id="35" name="N3B1Tri" hidden="1">
          <a:extLst>
            <a:ext uri="{FF2B5EF4-FFF2-40B4-BE49-F238E27FC236}">
              <a16:creationId xmlns:a16="http://schemas.microsoft.com/office/drawing/2014/main" id="{43B8FBE1-AA22-4883-A4B5-89D6576550BD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27</xdr:row>
      <xdr:rowOff>55140</xdr:rowOff>
    </xdr:from>
    <xdr:to>
      <xdr:col>29</xdr:col>
      <xdr:colOff>97958</xdr:colOff>
      <xdr:row>28</xdr:row>
      <xdr:rowOff>130194</xdr:rowOff>
    </xdr:to>
    <xdr:sp macro="" textlink="">
      <xdr:nvSpPr>
        <xdr:cNvPr id="36" name="N3B1Tri" hidden="1">
          <a:extLst>
            <a:ext uri="{FF2B5EF4-FFF2-40B4-BE49-F238E27FC236}">
              <a16:creationId xmlns:a16="http://schemas.microsoft.com/office/drawing/2014/main" id="{ADAF956D-5BAB-46B5-9B49-C38395E2EBE6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81</xdr:col>
      <xdr:colOff>64220</xdr:colOff>
      <xdr:row>32</xdr:row>
      <xdr:rowOff>52240</xdr:rowOff>
    </xdr:from>
    <xdr:to>
      <xdr:col>82</xdr:col>
      <xdr:colOff>138518</xdr:colOff>
      <xdr:row>33</xdr:row>
      <xdr:rowOff>136062</xdr:rowOff>
    </xdr:to>
    <xdr:sp macro="" textlink="">
      <xdr:nvSpPr>
        <xdr:cNvPr id="42" name="N7Num" hidden="1">
          <a:extLst>
            <a:ext uri="{FF2B5EF4-FFF2-40B4-BE49-F238E27FC236}">
              <a16:creationId xmlns:a16="http://schemas.microsoft.com/office/drawing/2014/main" id="{5C5FCE33-824C-4EC6-8D4D-422FF60AB7EB}"/>
            </a:ext>
          </a:extLst>
        </xdr:cNvPr>
        <xdr:cNvSpPr>
          <a:spLocks noChangeAspect="1"/>
        </xdr:cNvSpPr>
      </xdr:nvSpPr>
      <xdr:spPr>
        <a:xfrm>
          <a:off x="11265620" y="3862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53</xdr:col>
      <xdr:colOff>77268</xdr:colOff>
      <xdr:row>44</xdr:row>
      <xdr:rowOff>55150</xdr:rowOff>
    </xdr:from>
    <xdr:to>
      <xdr:col>54</xdr:col>
      <xdr:colOff>97957</xdr:colOff>
      <xdr:row>45</xdr:row>
      <xdr:rowOff>130204</xdr:rowOff>
    </xdr:to>
    <xdr:sp macro="" textlink="">
      <xdr:nvSpPr>
        <xdr:cNvPr id="48" name="N2B1Tri" hidden="1">
          <a:extLst>
            <a:ext uri="{FF2B5EF4-FFF2-40B4-BE49-F238E27FC236}">
              <a16:creationId xmlns:a16="http://schemas.microsoft.com/office/drawing/2014/main" id="{37C62F68-B388-4B99-81A5-6470ADC199B4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60</xdr:col>
      <xdr:colOff>77269</xdr:colOff>
      <xdr:row>41</xdr:row>
      <xdr:rowOff>55140</xdr:rowOff>
    </xdr:from>
    <xdr:to>
      <xdr:col>61</xdr:col>
      <xdr:colOff>97958</xdr:colOff>
      <xdr:row>42</xdr:row>
      <xdr:rowOff>130194</xdr:rowOff>
    </xdr:to>
    <xdr:sp macro="" textlink="">
      <xdr:nvSpPr>
        <xdr:cNvPr id="49" name="N3B1Tri" hidden="1">
          <a:extLst>
            <a:ext uri="{FF2B5EF4-FFF2-40B4-BE49-F238E27FC236}">
              <a16:creationId xmlns:a16="http://schemas.microsoft.com/office/drawing/2014/main" id="{CF339AB5-DCB9-47F4-9C7C-2CD12A978A1E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77270</xdr:colOff>
      <xdr:row>38</xdr:row>
      <xdr:rowOff>55130</xdr:rowOff>
    </xdr:from>
    <xdr:to>
      <xdr:col>68</xdr:col>
      <xdr:colOff>97959</xdr:colOff>
      <xdr:row>39</xdr:row>
      <xdr:rowOff>130184</xdr:rowOff>
    </xdr:to>
    <xdr:sp macro="" textlink="">
      <xdr:nvSpPr>
        <xdr:cNvPr id="50" name="N4B1Tri" hidden="1">
          <a:extLst>
            <a:ext uri="{FF2B5EF4-FFF2-40B4-BE49-F238E27FC236}">
              <a16:creationId xmlns:a16="http://schemas.microsoft.com/office/drawing/2014/main" id="{EE610844-0165-477A-AA7B-32ECEE8E16E5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74</xdr:col>
      <xdr:colOff>67746</xdr:colOff>
      <xdr:row>35</xdr:row>
      <xdr:rowOff>55117</xdr:rowOff>
    </xdr:from>
    <xdr:to>
      <xdr:col>75</xdr:col>
      <xdr:colOff>88435</xdr:colOff>
      <xdr:row>36</xdr:row>
      <xdr:rowOff>130171</xdr:rowOff>
    </xdr:to>
    <xdr:sp macro="" textlink="">
      <xdr:nvSpPr>
        <xdr:cNvPr id="51" name="N5B1Tri" hidden="1">
          <a:extLst>
            <a:ext uri="{FF2B5EF4-FFF2-40B4-BE49-F238E27FC236}">
              <a16:creationId xmlns:a16="http://schemas.microsoft.com/office/drawing/2014/main" id="{D9221416-1DF4-4F6E-8321-029E1BAEC883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83342</xdr:colOff>
      <xdr:row>44</xdr:row>
      <xdr:rowOff>11906</xdr:rowOff>
    </xdr:from>
    <xdr:to>
      <xdr:col>65</xdr:col>
      <xdr:colOff>95251</xdr:colOff>
      <xdr:row>49</xdr:row>
      <xdr:rowOff>160734</xdr:rowOff>
    </xdr:to>
    <xdr:cxnSp macro="">
      <xdr:nvCxnSpPr>
        <xdr:cNvPr id="57" name="N4Arrow" hidden="1">
          <a:extLst>
            <a:ext uri="{FF2B5EF4-FFF2-40B4-BE49-F238E27FC236}">
              <a16:creationId xmlns:a16="http://schemas.microsoft.com/office/drawing/2014/main" id="{047B10B5-7E93-4812-B91F-E94E174F532A}"/>
            </a:ext>
          </a:extLst>
        </xdr:cNvPr>
        <xdr:cNvCxnSpPr/>
      </xdr:nvCxnSpPr>
      <xdr:spPr>
        <a:xfrm rot="16200000" flipH="1">
          <a:off x="7339608" y="6452590"/>
          <a:ext cx="1101328" cy="41195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173039</xdr:colOff>
      <xdr:row>38</xdr:row>
      <xdr:rowOff>30161</xdr:rowOff>
    </xdr:from>
    <xdr:to>
      <xdr:col>80</xdr:col>
      <xdr:colOff>142873</xdr:colOff>
      <xdr:row>44</xdr:row>
      <xdr:rowOff>95251</xdr:rowOff>
    </xdr:to>
    <xdr:cxnSp macro="">
      <xdr:nvCxnSpPr>
        <xdr:cNvPr id="68" name="N6Arrow" hidden="1">
          <a:extLst>
            <a:ext uri="{FF2B5EF4-FFF2-40B4-BE49-F238E27FC236}">
              <a16:creationId xmlns:a16="http://schemas.microsoft.com/office/drawing/2014/main" id="{F1914782-2D29-4443-AC2A-008AF45F6EF3}"/>
            </a:ext>
          </a:extLst>
        </xdr:cNvPr>
        <xdr:cNvCxnSpPr/>
      </xdr:nvCxnSpPr>
      <xdr:spPr>
        <a:xfrm rot="16200000" flipH="1">
          <a:off x="10255249" y="5302251"/>
          <a:ext cx="1208090" cy="56990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77269</xdr:colOff>
      <xdr:row>39</xdr:row>
      <xdr:rowOff>55140</xdr:rowOff>
    </xdr:from>
    <xdr:to>
      <xdr:col>54</xdr:col>
      <xdr:colOff>97958</xdr:colOff>
      <xdr:row>40</xdr:row>
      <xdr:rowOff>130194</xdr:rowOff>
    </xdr:to>
    <xdr:sp macro="" textlink="">
      <xdr:nvSpPr>
        <xdr:cNvPr id="69" name="N3B1Tri" hidden="1">
          <a:extLst>
            <a:ext uri="{FF2B5EF4-FFF2-40B4-BE49-F238E27FC236}">
              <a16:creationId xmlns:a16="http://schemas.microsoft.com/office/drawing/2014/main" id="{1336D35E-B4E0-4B53-B61B-BFC87E036E0D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77269</xdr:colOff>
      <xdr:row>37</xdr:row>
      <xdr:rowOff>55140</xdr:rowOff>
    </xdr:from>
    <xdr:to>
      <xdr:col>54</xdr:col>
      <xdr:colOff>97958</xdr:colOff>
      <xdr:row>38</xdr:row>
      <xdr:rowOff>130194</xdr:rowOff>
    </xdr:to>
    <xdr:sp macro="" textlink="">
      <xdr:nvSpPr>
        <xdr:cNvPr id="70" name="N3B1Tri" hidden="1">
          <a:extLst>
            <a:ext uri="{FF2B5EF4-FFF2-40B4-BE49-F238E27FC236}">
              <a16:creationId xmlns:a16="http://schemas.microsoft.com/office/drawing/2014/main" id="{E62DEFB5-6ACA-4940-B471-E7D5B02B6381}"/>
            </a:ext>
          </a:extLst>
        </xdr:cNvPr>
        <xdr:cNvSpPr/>
      </xdr:nvSpPr>
      <xdr:spPr>
        <a:xfrm rot="16200000">
          <a:off x="5655549" y="4840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77269</xdr:colOff>
      <xdr:row>39</xdr:row>
      <xdr:rowOff>55140</xdr:rowOff>
    </xdr:from>
    <xdr:to>
      <xdr:col>54</xdr:col>
      <xdr:colOff>97958</xdr:colOff>
      <xdr:row>40</xdr:row>
      <xdr:rowOff>130194</xdr:rowOff>
    </xdr:to>
    <xdr:sp macro="" textlink="">
      <xdr:nvSpPr>
        <xdr:cNvPr id="71" name="N3B1Tri" hidden="1">
          <a:extLst>
            <a:ext uri="{FF2B5EF4-FFF2-40B4-BE49-F238E27FC236}">
              <a16:creationId xmlns:a16="http://schemas.microsoft.com/office/drawing/2014/main" id="{631010D3-247A-4C86-A49A-135B37DED863}"/>
            </a:ext>
          </a:extLst>
        </xdr:cNvPr>
        <xdr:cNvSpPr/>
      </xdr:nvSpPr>
      <xdr:spPr>
        <a:xfrm rot="16200000">
          <a:off x="565554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77269</xdr:colOff>
      <xdr:row>41</xdr:row>
      <xdr:rowOff>55140</xdr:rowOff>
    </xdr:from>
    <xdr:to>
      <xdr:col>54</xdr:col>
      <xdr:colOff>97958</xdr:colOff>
      <xdr:row>42</xdr:row>
      <xdr:rowOff>130194</xdr:rowOff>
    </xdr:to>
    <xdr:sp macro="" textlink="">
      <xdr:nvSpPr>
        <xdr:cNvPr id="72" name="N3B1Tri" hidden="1">
          <a:extLst>
            <a:ext uri="{FF2B5EF4-FFF2-40B4-BE49-F238E27FC236}">
              <a16:creationId xmlns:a16="http://schemas.microsoft.com/office/drawing/2014/main" id="{790FC6DE-64EE-4EF2-88C3-E1529B3D788D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48</xdr:col>
      <xdr:colOff>95252</xdr:colOff>
      <xdr:row>51</xdr:row>
      <xdr:rowOff>23812</xdr:rowOff>
    </xdr:from>
    <xdr:to>
      <xdr:col>54</xdr:col>
      <xdr:colOff>142875</xdr:colOff>
      <xdr:row>52</xdr:row>
      <xdr:rowOff>107156</xdr:rowOff>
    </xdr:to>
    <xdr:sp macro="" textlink="">
      <xdr:nvSpPr>
        <xdr:cNvPr id="73" name="N4Callout" hidden="1">
          <a:extLst>
            <a:ext uri="{FF2B5EF4-FFF2-40B4-BE49-F238E27FC236}">
              <a16:creationId xmlns:a16="http://schemas.microsoft.com/office/drawing/2014/main" id="{A0D6C689-D745-4A57-92DE-BC80B9B0389E}"/>
            </a:ext>
          </a:extLst>
        </xdr:cNvPr>
        <xdr:cNvSpPr txBox="1"/>
      </xdr:nvSpPr>
      <xdr:spPr>
        <a:xfrm>
          <a:off x="8096252" y="7072312"/>
          <a:ext cx="1247773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64</xdr:col>
      <xdr:colOff>64220</xdr:colOff>
      <xdr:row>34</xdr:row>
      <xdr:rowOff>52240</xdr:rowOff>
    </xdr:from>
    <xdr:to>
      <xdr:col>65</xdr:col>
      <xdr:colOff>138518</xdr:colOff>
      <xdr:row>35</xdr:row>
      <xdr:rowOff>136062</xdr:rowOff>
    </xdr:to>
    <xdr:sp macro="" textlink="">
      <xdr:nvSpPr>
        <xdr:cNvPr id="95" name="N7Num" hidden="1">
          <a:extLst>
            <a:ext uri="{FF2B5EF4-FFF2-40B4-BE49-F238E27FC236}">
              <a16:creationId xmlns:a16="http://schemas.microsoft.com/office/drawing/2014/main" id="{36AFA0BB-B3FF-4FEC-8A8F-0EA27D2CF3EE}"/>
            </a:ext>
          </a:extLst>
        </xdr:cNvPr>
        <xdr:cNvSpPr>
          <a:spLocks noChangeAspect="1"/>
        </xdr:cNvSpPr>
      </xdr:nvSpPr>
      <xdr:spPr>
        <a:xfrm>
          <a:off x="11265620" y="3862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36</xdr:col>
      <xdr:colOff>77268</xdr:colOff>
      <xdr:row>46</xdr:row>
      <xdr:rowOff>55150</xdr:rowOff>
    </xdr:from>
    <xdr:to>
      <xdr:col>37</xdr:col>
      <xdr:colOff>97957</xdr:colOff>
      <xdr:row>47</xdr:row>
      <xdr:rowOff>130204</xdr:rowOff>
    </xdr:to>
    <xdr:sp macro="" textlink="">
      <xdr:nvSpPr>
        <xdr:cNvPr id="100" name="N2B1Tri" hidden="1">
          <a:extLst>
            <a:ext uri="{FF2B5EF4-FFF2-40B4-BE49-F238E27FC236}">
              <a16:creationId xmlns:a16="http://schemas.microsoft.com/office/drawing/2014/main" id="{1D24E61D-C49E-4B2F-8C92-5C33634AD186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77269</xdr:colOff>
      <xdr:row>43</xdr:row>
      <xdr:rowOff>55140</xdr:rowOff>
    </xdr:from>
    <xdr:to>
      <xdr:col>44</xdr:col>
      <xdr:colOff>97958</xdr:colOff>
      <xdr:row>44</xdr:row>
      <xdr:rowOff>130194</xdr:rowOff>
    </xdr:to>
    <xdr:sp macro="" textlink="">
      <xdr:nvSpPr>
        <xdr:cNvPr id="101" name="N3B1Tri" hidden="1">
          <a:extLst>
            <a:ext uri="{FF2B5EF4-FFF2-40B4-BE49-F238E27FC236}">
              <a16:creationId xmlns:a16="http://schemas.microsoft.com/office/drawing/2014/main" id="{568D9F2E-0664-4346-93CB-EB1F65541F20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77270</xdr:colOff>
      <xdr:row>40</xdr:row>
      <xdr:rowOff>55130</xdr:rowOff>
    </xdr:from>
    <xdr:to>
      <xdr:col>51</xdr:col>
      <xdr:colOff>97959</xdr:colOff>
      <xdr:row>41</xdr:row>
      <xdr:rowOff>130184</xdr:rowOff>
    </xdr:to>
    <xdr:sp macro="" textlink="">
      <xdr:nvSpPr>
        <xdr:cNvPr id="102" name="N4B1Tri" hidden="1">
          <a:extLst>
            <a:ext uri="{FF2B5EF4-FFF2-40B4-BE49-F238E27FC236}">
              <a16:creationId xmlns:a16="http://schemas.microsoft.com/office/drawing/2014/main" id="{B58A3AEB-911F-41DB-AF3A-0FB6EB445035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67746</xdr:colOff>
      <xdr:row>37</xdr:row>
      <xdr:rowOff>55117</xdr:rowOff>
    </xdr:from>
    <xdr:to>
      <xdr:col>58</xdr:col>
      <xdr:colOff>88435</xdr:colOff>
      <xdr:row>38</xdr:row>
      <xdr:rowOff>130171</xdr:rowOff>
    </xdr:to>
    <xdr:sp macro="" textlink="">
      <xdr:nvSpPr>
        <xdr:cNvPr id="103" name="N5B1Tri" hidden="1">
          <a:extLst>
            <a:ext uri="{FF2B5EF4-FFF2-40B4-BE49-F238E27FC236}">
              <a16:creationId xmlns:a16="http://schemas.microsoft.com/office/drawing/2014/main" id="{F910FA3A-E272-44EF-B9DD-5A40233DBCBF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46</xdr:col>
      <xdr:colOff>83342</xdr:colOff>
      <xdr:row>46</xdr:row>
      <xdr:rowOff>11906</xdr:rowOff>
    </xdr:from>
    <xdr:to>
      <xdr:col>48</xdr:col>
      <xdr:colOff>95251</xdr:colOff>
      <xdr:row>51</xdr:row>
      <xdr:rowOff>160734</xdr:rowOff>
    </xdr:to>
    <xdr:cxnSp macro="">
      <xdr:nvCxnSpPr>
        <xdr:cNvPr id="111" name="N4Arrow" hidden="1">
          <a:extLst>
            <a:ext uri="{FF2B5EF4-FFF2-40B4-BE49-F238E27FC236}">
              <a16:creationId xmlns:a16="http://schemas.microsoft.com/office/drawing/2014/main" id="{A9280F91-9752-4F25-8DEF-2B1337720018}"/>
            </a:ext>
          </a:extLst>
        </xdr:cNvPr>
        <xdr:cNvCxnSpPr>
          <a:endCxn id="73" idx="1"/>
        </xdr:cNvCxnSpPr>
      </xdr:nvCxnSpPr>
      <xdr:spPr>
        <a:xfrm rot="16200000" flipH="1">
          <a:off x="7339608" y="6452590"/>
          <a:ext cx="1101328" cy="41195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173039</xdr:colOff>
      <xdr:row>40</xdr:row>
      <xdr:rowOff>30161</xdr:rowOff>
    </xdr:from>
    <xdr:to>
      <xdr:col>63</xdr:col>
      <xdr:colOff>142873</xdr:colOff>
      <xdr:row>46</xdr:row>
      <xdr:rowOff>95251</xdr:rowOff>
    </xdr:to>
    <xdr:cxnSp macro="">
      <xdr:nvCxnSpPr>
        <xdr:cNvPr id="113" name="N6Arrow" hidden="1">
          <a:extLst>
            <a:ext uri="{FF2B5EF4-FFF2-40B4-BE49-F238E27FC236}">
              <a16:creationId xmlns:a16="http://schemas.microsoft.com/office/drawing/2014/main" id="{65734044-1584-4A61-9C49-F0958EB5CEC2}"/>
            </a:ext>
          </a:extLst>
        </xdr:cNvPr>
        <xdr:cNvCxnSpPr/>
      </xdr:nvCxnSpPr>
      <xdr:spPr>
        <a:xfrm rot="16200000" flipH="1">
          <a:off x="10255249" y="5302251"/>
          <a:ext cx="1208090" cy="56990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77269</xdr:colOff>
      <xdr:row>37</xdr:row>
      <xdr:rowOff>55140</xdr:rowOff>
    </xdr:from>
    <xdr:to>
      <xdr:col>37</xdr:col>
      <xdr:colOff>97958</xdr:colOff>
      <xdr:row>38</xdr:row>
      <xdr:rowOff>130194</xdr:rowOff>
    </xdr:to>
    <xdr:sp macro="" textlink="">
      <xdr:nvSpPr>
        <xdr:cNvPr id="114" name="N3B1Tri" hidden="1">
          <a:extLst>
            <a:ext uri="{FF2B5EF4-FFF2-40B4-BE49-F238E27FC236}">
              <a16:creationId xmlns:a16="http://schemas.microsoft.com/office/drawing/2014/main" id="{E4E92222-4945-47D1-BC93-8174EB0A59F7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77269</xdr:colOff>
      <xdr:row>39</xdr:row>
      <xdr:rowOff>55140</xdr:rowOff>
    </xdr:from>
    <xdr:to>
      <xdr:col>37</xdr:col>
      <xdr:colOff>97958</xdr:colOff>
      <xdr:row>40</xdr:row>
      <xdr:rowOff>130194</xdr:rowOff>
    </xdr:to>
    <xdr:sp macro="" textlink="">
      <xdr:nvSpPr>
        <xdr:cNvPr id="115" name="N3B1Tri" hidden="1">
          <a:extLst>
            <a:ext uri="{FF2B5EF4-FFF2-40B4-BE49-F238E27FC236}">
              <a16:creationId xmlns:a16="http://schemas.microsoft.com/office/drawing/2014/main" id="{AFCBDC53-857D-4901-A1F3-61D0C791A189}"/>
            </a:ext>
          </a:extLst>
        </xdr:cNvPr>
        <xdr:cNvSpPr/>
      </xdr:nvSpPr>
      <xdr:spPr>
        <a:xfrm rot="16200000">
          <a:off x="5655549" y="4840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77269</xdr:colOff>
      <xdr:row>41</xdr:row>
      <xdr:rowOff>55140</xdr:rowOff>
    </xdr:from>
    <xdr:to>
      <xdr:col>37</xdr:col>
      <xdr:colOff>97958</xdr:colOff>
      <xdr:row>42</xdr:row>
      <xdr:rowOff>130194</xdr:rowOff>
    </xdr:to>
    <xdr:sp macro="" textlink="">
      <xdr:nvSpPr>
        <xdr:cNvPr id="116" name="N3B1Tri" hidden="1">
          <a:extLst>
            <a:ext uri="{FF2B5EF4-FFF2-40B4-BE49-F238E27FC236}">
              <a16:creationId xmlns:a16="http://schemas.microsoft.com/office/drawing/2014/main" id="{F5B92E45-B2BF-4F2E-85E8-73BF249BEFE6}"/>
            </a:ext>
          </a:extLst>
        </xdr:cNvPr>
        <xdr:cNvSpPr/>
      </xdr:nvSpPr>
      <xdr:spPr>
        <a:xfrm rot="16200000">
          <a:off x="565554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77269</xdr:colOff>
      <xdr:row>43</xdr:row>
      <xdr:rowOff>55140</xdr:rowOff>
    </xdr:from>
    <xdr:to>
      <xdr:col>37</xdr:col>
      <xdr:colOff>97958</xdr:colOff>
      <xdr:row>44</xdr:row>
      <xdr:rowOff>130194</xdr:rowOff>
    </xdr:to>
    <xdr:sp macro="" textlink="">
      <xdr:nvSpPr>
        <xdr:cNvPr id="117" name="N3B1Tri" hidden="1">
          <a:extLst>
            <a:ext uri="{FF2B5EF4-FFF2-40B4-BE49-F238E27FC236}">
              <a16:creationId xmlns:a16="http://schemas.microsoft.com/office/drawing/2014/main" id="{6D9065C1-DA5A-45D1-AD12-619DB950905B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61</xdr:col>
      <xdr:colOff>77269</xdr:colOff>
      <xdr:row>49</xdr:row>
      <xdr:rowOff>55140</xdr:rowOff>
    </xdr:from>
    <xdr:to>
      <xdr:col>62</xdr:col>
      <xdr:colOff>97958</xdr:colOff>
      <xdr:row>50</xdr:row>
      <xdr:rowOff>130194</xdr:rowOff>
    </xdr:to>
    <xdr:sp macro="" textlink="">
      <xdr:nvSpPr>
        <xdr:cNvPr id="118" name="N3B1Tri" hidden="1">
          <a:extLst>
            <a:ext uri="{FF2B5EF4-FFF2-40B4-BE49-F238E27FC236}">
              <a16:creationId xmlns:a16="http://schemas.microsoft.com/office/drawing/2014/main" id="{10560337-A48B-4A6C-B711-BFEF126D815D}"/>
            </a:ext>
          </a:extLst>
        </xdr:cNvPr>
        <xdr:cNvSpPr/>
      </xdr:nvSpPr>
      <xdr:spPr>
        <a:xfrm rot="16200000">
          <a:off x="10656174" y="6745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61</xdr:col>
      <xdr:colOff>77269</xdr:colOff>
      <xdr:row>51</xdr:row>
      <xdr:rowOff>55140</xdr:rowOff>
    </xdr:from>
    <xdr:to>
      <xdr:col>62</xdr:col>
      <xdr:colOff>97958</xdr:colOff>
      <xdr:row>52</xdr:row>
      <xdr:rowOff>130194</xdr:rowOff>
    </xdr:to>
    <xdr:sp macro="" textlink="">
      <xdr:nvSpPr>
        <xdr:cNvPr id="119" name="N3B1Tri" hidden="1">
          <a:extLst>
            <a:ext uri="{FF2B5EF4-FFF2-40B4-BE49-F238E27FC236}">
              <a16:creationId xmlns:a16="http://schemas.microsoft.com/office/drawing/2014/main" id="{C949848A-3D8D-4E1E-AD50-D6CC5E1EAF0D}"/>
            </a:ext>
          </a:extLst>
        </xdr:cNvPr>
        <xdr:cNvSpPr/>
      </xdr:nvSpPr>
      <xdr:spPr>
        <a:xfrm rot="16200000">
          <a:off x="10656174" y="7126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142874</xdr:colOff>
      <xdr:row>21</xdr:row>
      <xdr:rowOff>107155</xdr:rowOff>
    </xdr:from>
    <xdr:to>
      <xdr:col>57</xdr:col>
      <xdr:colOff>0</xdr:colOff>
      <xdr:row>23</xdr:row>
      <xdr:rowOff>47624</xdr:rowOff>
    </xdr:to>
    <xdr:sp macro="" textlink="">
      <xdr:nvSpPr>
        <xdr:cNvPr id="120" name="N3Callout" hidden="1">
          <a:extLst>
            <a:ext uri="{FF2B5EF4-FFF2-40B4-BE49-F238E27FC236}">
              <a16:creationId xmlns:a16="http://schemas.microsoft.com/office/drawing/2014/main" id="{C8A8CCAF-54F8-43C7-9752-530B3F17802C}"/>
            </a:ext>
          </a:extLst>
        </xdr:cNvPr>
        <xdr:cNvSpPr txBox="1"/>
      </xdr:nvSpPr>
      <xdr:spPr>
        <a:xfrm>
          <a:off x="4543424" y="4107655"/>
          <a:ext cx="125730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61</xdr:col>
      <xdr:colOff>142874</xdr:colOff>
      <xdr:row>21</xdr:row>
      <xdr:rowOff>107155</xdr:rowOff>
    </xdr:from>
    <xdr:to>
      <xdr:col>68</xdr:col>
      <xdr:colOff>0</xdr:colOff>
      <xdr:row>23</xdr:row>
      <xdr:rowOff>47624</xdr:rowOff>
    </xdr:to>
    <xdr:sp macro="" textlink="">
      <xdr:nvSpPr>
        <xdr:cNvPr id="121" name="N3Callout" hidden="1">
          <a:extLst>
            <a:ext uri="{FF2B5EF4-FFF2-40B4-BE49-F238E27FC236}">
              <a16:creationId xmlns:a16="http://schemas.microsoft.com/office/drawing/2014/main" id="{D9A49D14-B1F9-4115-8AE7-17492E41FBC9}"/>
            </a:ext>
          </a:extLst>
        </xdr:cNvPr>
        <xdr:cNvSpPr txBox="1"/>
      </xdr:nvSpPr>
      <xdr:spPr>
        <a:xfrm>
          <a:off x="4543424" y="4107655"/>
          <a:ext cx="125730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56</xdr:col>
      <xdr:colOff>64220</xdr:colOff>
      <xdr:row>19</xdr:row>
      <xdr:rowOff>52240</xdr:rowOff>
    </xdr:from>
    <xdr:to>
      <xdr:col>57</xdr:col>
      <xdr:colOff>138518</xdr:colOff>
      <xdr:row>20</xdr:row>
      <xdr:rowOff>136062</xdr:rowOff>
    </xdr:to>
    <xdr:sp macro="" textlink="">
      <xdr:nvSpPr>
        <xdr:cNvPr id="122" name="N7Num" hidden="1">
          <a:extLst>
            <a:ext uri="{FF2B5EF4-FFF2-40B4-BE49-F238E27FC236}">
              <a16:creationId xmlns:a16="http://schemas.microsoft.com/office/drawing/2014/main" id="{3831355C-8CCD-4FA5-87C6-D28DF8DD47B1}"/>
            </a:ext>
          </a:extLst>
        </xdr:cNvPr>
        <xdr:cNvSpPr>
          <a:spLocks noChangeAspect="1"/>
        </xdr:cNvSpPr>
      </xdr:nvSpPr>
      <xdr:spPr>
        <a:xfrm>
          <a:off x="11265620" y="4624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56</xdr:col>
      <xdr:colOff>67747</xdr:colOff>
      <xdr:row>19</xdr:row>
      <xdr:rowOff>55101</xdr:rowOff>
    </xdr:from>
    <xdr:to>
      <xdr:col>57</xdr:col>
      <xdr:colOff>88436</xdr:colOff>
      <xdr:row>20</xdr:row>
      <xdr:rowOff>130155</xdr:rowOff>
    </xdr:to>
    <xdr:sp macro="" textlink="">
      <xdr:nvSpPr>
        <xdr:cNvPr id="123" name="N6B1Tri">
          <a:extLst>
            <a:ext uri="{FF2B5EF4-FFF2-40B4-BE49-F238E27FC236}">
              <a16:creationId xmlns:a16="http://schemas.microsoft.com/office/drawing/2014/main" id="{73944967-1DE0-43FA-81C6-F2E82F96FCE9}"/>
            </a:ext>
          </a:extLst>
        </xdr:cNvPr>
        <xdr:cNvSpPr/>
      </xdr:nvSpPr>
      <xdr:spPr>
        <a:xfrm rot="16200000">
          <a:off x="11246727" y="4649521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23</xdr:row>
      <xdr:rowOff>55140</xdr:rowOff>
    </xdr:from>
    <xdr:to>
      <xdr:col>29</xdr:col>
      <xdr:colOff>97958</xdr:colOff>
      <xdr:row>24</xdr:row>
      <xdr:rowOff>130194</xdr:rowOff>
    </xdr:to>
    <xdr:sp macro="" textlink="">
      <xdr:nvSpPr>
        <xdr:cNvPr id="124" name="N3B1Tri" hidden="1">
          <a:extLst>
            <a:ext uri="{FF2B5EF4-FFF2-40B4-BE49-F238E27FC236}">
              <a16:creationId xmlns:a16="http://schemas.microsoft.com/office/drawing/2014/main" id="{DF2D78AA-B46B-42E6-ADAA-46691F1995B7}"/>
            </a:ext>
          </a:extLst>
        </xdr:cNvPr>
        <xdr:cNvSpPr/>
      </xdr:nvSpPr>
      <xdr:spPr>
        <a:xfrm rot="16200000">
          <a:off x="565554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73745</xdr:colOff>
      <xdr:row>26</xdr:row>
      <xdr:rowOff>52240</xdr:rowOff>
    </xdr:from>
    <xdr:to>
      <xdr:col>29</xdr:col>
      <xdr:colOff>148043</xdr:colOff>
      <xdr:row>27</xdr:row>
      <xdr:rowOff>136062</xdr:rowOff>
    </xdr:to>
    <xdr:sp macro="" textlink="">
      <xdr:nvSpPr>
        <xdr:cNvPr id="125" name="N3Num">
          <a:extLst>
            <a:ext uri="{FF2B5EF4-FFF2-40B4-BE49-F238E27FC236}">
              <a16:creationId xmlns:a16="http://schemas.microsoft.com/office/drawing/2014/main" id="{5F62C1A2-013C-4B30-9A37-59164ABE2177}"/>
            </a:ext>
          </a:extLst>
        </xdr:cNvPr>
        <xdr:cNvSpPr>
          <a:spLocks noChangeAspect="1"/>
        </xdr:cNvSpPr>
      </xdr:nvSpPr>
      <xdr:spPr>
        <a:xfrm>
          <a:off x="5674445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77268</xdr:colOff>
      <xdr:row>26</xdr:row>
      <xdr:rowOff>55150</xdr:rowOff>
    </xdr:from>
    <xdr:to>
      <xdr:col>29</xdr:col>
      <xdr:colOff>97957</xdr:colOff>
      <xdr:row>27</xdr:row>
      <xdr:rowOff>130204</xdr:rowOff>
    </xdr:to>
    <xdr:sp macro="" textlink="">
      <xdr:nvSpPr>
        <xdr:cNvPr id="126" name="N2B1Tri" hidden="1">
          <a:extLst>
            <a:ext uri="{FF2B5EF4-FFF2-40B4-BE49-F238E27FC236}">
              <a16:creationId xmlns:a16="http://schemas.microsoft.com/office/drawing/2014/main" id="{248958AE-DB9C-405E-8F9E-437124ECF857}"/>
            </a:ext>
          </a:extLst>
        </xdr:cNvPr>
        <xdr:cNvSpPr/>
      </xdr:nvSpPr>
      <xdr:spPr>
        <a:xfrm rot="16200000">
          <a:off x="5655548" y="6935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25</xdr:row>
      <xdr:rowOff>55140</xdr:rowOff>
    </xdr:from>
    <xdr:to>
      <xdr:col>29</xdr:col>
      <xdr:colOff>97958</xdr:colOff>
      <xdr:row>26</xdr:row>
      <xdr:rowOff>130194</xdr:rowOff>
    </xdr:to>
    <xdr:sp macro="" textlink="">
      <xdr:nvSpPr>
        <xdr:cNvPr id="127" name="N3B1Tri" hidden="1">
          <a:extLst>
            <a:ext uri="{FF2B5EF4-FFF2-40B4-BE49-F238E27FC236}">
              <a16:creationId xmlns:a16="http://schemas.microsoft.com/office/drawing/2014/main" id="{FE78D577-1354-4F1E-A03B-6F631989A17C}"/>
            </a:ext>
          </a:extLst>
        </xdr:cNvPr>
        <xdr:cNvSpPr/>
      </xdr:nvSpPr>
      <xdr:spPr>
        <a:xfrm rot="16200000">
          <a:off x="5655549" y="5983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27</xdr:row>
      <xdr:rowOff>55140</xdr:rowOff>
    </xdr:from>
    <xdr:to>
      <xdr:col>29</xdr:col>
      <xdr:colOff>97958</xdr:colOff>
      <xdr:row>28</xdr:row>
      <xdr:rowOff>130194</xdr:rowOff>
    </xdr:to>
    <xdr:sp macro="" textlink="">
      <xdr:nvSpPr>
        <xdr:cNvPr id="128" name="N3B1Tri" hidden="1">
          <a:extLst>
            <a:ext uri="{FF2B5EF4-FFF2-40B4-BE49-F238E27FC236}">
              <a16:creationId xmlns:a16="http://schemas.microsoft.com/office/drawing/2014/main" id="{B5241CEE-DB05-411E-9E92-42C2D053D225}"/>
            </a:ext>
          </a:extLst>
        </xdr:cNvPr>
        <xdr:cNvSpPr/>
      </xdr:nvSpPr>
      <xdr:spPr>
        <a:xfrm rot="16200000">
          <a:off x="5655549" y="6364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26</xdr:row>
      <xdr:rowOff>55150</xdr:rowOff>
    </xdr:from>
    <xdr:to>
      <xdr:col>29</xdr:col>
      <xdr:colOff>97957</xdr:colOff>
      <xdr:row>27</xdr:row>
      <xdr:rowOff>130204</xdr:rowOff>
    </xdr:to>
    <xdr:sp macro="" textlink="">
      <xdr:nvSpPr>
        <xdr:cNvPr id="129" name="N2B1Tri" hidden="1">
          <a:extLst>
            <a:ext uri="{FF2B5EF4-FFF2-40B4-BE49-F238E27FC236}">
              <a16:creationId xmlns:a16="http://schemas.microsoft.com/office/drawing/2014/main" id="{9A027EE9-EF1E-436A-AB0E-5FB9E4B24062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19</xdr:col>
      <xdr:colOff>190501</xdr:colOff>
      <xdr:row>38</xdr:row>
      <xdr:rowOff>83344</xdr:rowOff>
    </xdr:from>
    <xdr:to>
      <xdr:col>26</xdr:col>
      <xdr:colOff>23813</xdr:colOff>
      <xdr:row>40</xdr:row>
      <xdr:rowOff>0</xdr:rowOff>
    </xdr:to>
    <xdr:sp macro="" textlink="">
      <xdr:nvSpPr>
        <xdr:cNvPr id="131" name="N1Callout" hidden="1">
          <a:extLst>
            <a:ext uri="{FF2B5EF4-FFF2-40B4-BE49-F238E27FC236}">
              <a16:creationId xmlns:a16="http://schemas.microsoft.com/office/drawing/2014/main" id="{3BDBA40F-8301-49AE-8DBB-B5F2774E69F9}"/>
            </a:ext>
          </a:extLst>
        </xdr:cNvPr>
        <xdr:cNvSpPr txBox="1"/>
      </xdr:nvSpPr>
      <xdr:spPr>
        <a:xfrm>
          <a:off x="3990976" y="8465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19</xdr:col>
      <xdr:colOff>190501</xdr:colOff>
      <xdr:row>41</xdr:row>
      <xdr:rowOff>83344</xdr:rowOff>
    </xdr:from>
    <xdr:to>
      <xdr:col>26</xdr:col>
      <xdr:colOff>23813</xdr:colOff>
      <xdr:row>43</xdr:row>
      <xdr:rowOff>0</xdr:rowOff>
    </xdr:to>
    <xdr:sp macro="" textlink="">
      <xdr:nvSpPr>
        <xdr:cNvPr id="132" name="N1Callout" hidden="1">
          <a:extLst>
            <a:ext uri="{FF2B5EF4-FFF2-40B4-BE49-F238E27FC236}">
              <a16:creationId xmlns:a16="http://schemas.microsoft.com/office/drawing/2014/main" id="{04638413-67B1-49E9-AD20-0FB8CDE1C785}"/>
            </a:ext>
          </a:extLst>
        </xdr:cNvPr>
        <xdr:cNvSpPr txBox="1"/>
      </xdr:nvSpPr>
      <xdr:spPr>
        <a:xfrm>
          <a:off x="3990976" y="8465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28</xdr:col>
      <xdr:colOff>77269</xdr:colOff>
      <xdr:row>30</xdr:row>
      <xdr:rowOff>55140</xdr:rowOff>
    </xdr:from>
    <xdr:to>
      <xdr:col>29</xdr:col>
      <xdr:colOff>97958</xdr:colOff>
      <xdr:row>31</xdr:row>
      <xdr:rowOff>130194</xdr:rowOff>
    </xdr:to>
    <xdr:sp macro="" textlink="">
      <xdr:nvSpPr>
        <xdr:cNvPr id="133" name="N3B1Tri" hidden="1">
          <a:extLst>
            <a:ext uri="{FF2B5EF4-FFF2-40B4-BE49-F238E27FC236}">
              <a16:creationId xmlns:a16="http://schemas.microsoft.com/office/drawing/2014/main" id="{61E43293-8CEF-48DC-9F98-9AAA8B99999D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76200</xdr:colOff>
      <xdr:row>36</xdr:row>
      <xdr:rowOff>54695</xdr:rowOff>
    </xdr:from>
    <xdr:to>
      <xdr:col>29</xdr:col>
      <xdr:colOff>96889</xdr:colOff>
      <xdr:row>37</xdr:row>
      <xdr:rowOff>129748</xdr:rowOff>
    </xdr:to>
    <xdr:sp macro="" textlink="">
      <xdr:nvSpPr>
        <xdr:cNvPr id="6" name="N1B2Tri">
          <a:extLst>
            <a:ext uri="{FF2B5EF4-FFF2-40B4-BE49-F238E27FC236}">
              <a16:creationId xmlns:a16="http://schemas.microsoft.com/office/drawing/2014/main" id="{F3BF05E4-AD6F-482A-AC59-81F44027FB70}"/>
            </a:ext>
          </a:extLst>
        </xdr:cNvPr>
        <xdr:cNvSpPr/>
      </xdr:nvSpPr>
      <xdr:spPr>
        <a:xfrm rot="16200000">
          <a:off x="4254305" y="8840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30</xdr:row>
      <xdr:rowOff>55150</xdr:rowOff>
    </xdr:from>
    <xdr:to>
      <xdr:col>22</xdr:col>
      <xdr:colOff>97957</xdr:colOff>
      <xdr:row>31</xdr:row>
      <xdr:rowOff>130204</xdr:rowOff>
    </xdr:to>
    <xdr:sp macro="" textlink="">
      <xdr:nvSpPr>
        <xdr:cNvPr id="7" name="N2B1Tri" hidden="1">
          <a:extLst>
            <a:ext uri="{FF2B5EF4-FFF2-40B4-BE49-F238E27FC236}">
              <a16:creationId xmlns:a16="http://schemas.microsoft.com/office/drawing/2014/main" id="{305BCE19-5E5F-4950-8F5B-DF30566D2DAA}"/>
            </a:ext>
          </a:extLst>
        </xdr:cNvPr>
        <xdr:cNvSpPr/>
      </xdr:nvSpPr>
      <xdr:spPr>
        <a:xfrm rot="16200000">
          <a:off x="5655548" y="5792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29</xdr:row>
      <xdr:rowOff>55140</xdr:rowOff>
    </xdr:from>
    <xdr:to>
      <xdr:col>22</xdr:col>
      <xdr:colOff>97958</xdr:colOff>
      <xdr:row>30</xdr:row>
      <xdr:rowOff>130194</xdr:rowOff>
    </xdr:to>
    <xdr:sp macro="" textlink="">
      <xdr:nvSpPr>
        <xdr:cNvPr id="15" name="N3B1Tri" hidden="1">
          <a:extLst>
            <a:ext uri="{FF2B5EF4-FFF2-40B4-BE49-F238E27FC236}">
              <a16:creationId xmlns:a16="http://schemas.microsoft.com/office/drawing/2014/main" id="{FBB6CD35-9736-44FF-B16D-3CDE96170AF3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30</xdr:row>
      <xdr:rowOff>55140</xdr:rowOff>
    </xdr:from>
    <xdr:to>
      <xdr:col>22</xdr:col>
      <xdr:colOff>97958</xdr:colOff>
      <xdr:row>31</xdr:row>
      <xdr:rowOff>130194</xdr:rowOff>
    </xdr:to>
    <xdr:sp macro="" textlink="">
      <xdr:nvSpPr>
        <xdr:cNvPr id="32" name="N3B1Tri" hidden="1">
          <a:extLst>
            <a:ext uri="{FF2B5EF4-FFF2-40B4-BE49-F238E27FC236}">
              <a16:creationId xmlns:a16="http://schemas.microsoft.com/office/drawing/2014/main" id="{ECDEE313-F33E-4C95-87DE-7EDFE7A9407A}"/>
            </a:ext>
          </a:extLst>
        </xdr:cNvPr>
        <xdr:cNvSpPr/>
      </xdr:nvSpPr>
      <xdr:spPr>
        <a:xfrm rot="16200000">
          <a:off x="5655549" y="5792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33</xdr:row>
      <xdr:rowOff>55150</xdr:rowOff>
    </xdr:from>
    <xdr:to>
      <xdr:col>22</xdr:col>
      <xdr:colOff>97957</xdr:colOff>
      <xdr:row>34</xdr:row>
      <xdr:rowOff>130204</xdr:rowOff>
    </xdr:to>
    <xdr:sp macro="" textlink="">
      <xdr:nvSpPr>
        <xdr:cNvPr id="37" name="N2B1Tri" hidden="1">
          <a:extLst>
            <a:ext uri="{FF2B5EF4-FFF2-40B4-BE49-F238E27FC236}">
              <a16:creationId xmlns:a16="http://schemas.microsoft.com/office/drawing/2014/main" id="{031782B0-EBD4-49E9-8402-4B7351C3D564}"/>
            </a:ext>
          </a:extLst>
        </xdr:cNvPr>
        <xdr:cNvSpPr/>
      </xdr:nvSpPr>
      <xdr:spPr>
        <a:xfrm rot="16200000">
          <a:off x="5655548" y="5792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32</xdr:row>
      <xdr:rowOff>55140</xdr:rowOff>
    </xdr:from>
    <xdr:to>
      <xdr:col>22</xdr:col>
      <xdr:colOff>97958</xdr:colOff>
      <xdr:row>33</xdr:row>
      <xdr:rowOff>130194</xdr:rowOff>
    </xdr:to>
    <xdr:sp macro="" textlink="">
      <xdr:nvSpPr>
        <xdr:cNvPr id="38" name="N3B1Tri" hidden="1">
          <a:extLst>
            <a:ext uri="{FF2B5EF4-FFF2-40B4-BE49-F238E27FC236}">
              <a16:creationId xmlns:a16="http://schemas.microsoft.com/office/drawing/2014/main" id="{E3249058-5A6B-4316-A690-01F581242B09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33</xdr:row>
      <xdr:rowOff>55140</xdr:rowOff>
    </xdr:from>
    <xdr:to>
      <xdr:col>22</xdr:col>
      <xdr:colOff>97958</xdr:colOff>
      <xdr:row>34</xdr:row>
      <xdr:rowOff>130194</xdr:rowOff>
    </xdr:to>
    <xdr:sp macro="" textlink="">
      <xdr:nvSpPr>
        <xdr:cNvPr id="39" name="N3B1Tri" hidden="1">
          <a:extLst>
            <a:ext uri="{FF2B5EF4-FFF2-40B4-BE49-F238E27FC236}">
              <a16:creationId xmlns:a16="http://schemas.microsoft.com/office/drawing/2014/main" id="{283FD1A3-0C07-44F8-A34B-A24789805C12}"/>
            </a:ext>
          </a:extLst>
        </xdr:cNvPr>
        <xdr:cNvSpPr/>
      </xdr:nvSpPr>
      <xdr:spPr>
        <a:xfrm rot="16200000">
          <a:off x="5655549" y="5792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34</xdr:row>
      <xdr:rowOff>55150</xdr:rowOff>
    </xdr:from>
    <xdr:to>
      <xdr:col>22</xdr:col>
      <xdr:colOff>97957</xdr:colOff>
      <xdr:row>35</xdr:row>
      <xdr:rowOff>130204</xdr:rowOff>
    </xdr:to>
    <xdr:sp macro="" textlink="">
      <xdr:nvSpPr>
        <xdr:cNvPr id="40" name="N2B1Tri" hidden="1">
          <a:extLst>
            <a:ext uri="{FF2B5EF4-FFF2-40B4-BE49-F238E27FC236}">
              <a16:creationId xmlns:a16="http://schemas.microsoft.com/office/drawing/2014/main" id="{C2458FA1-673D-4321-ABB4-8F1224D978C8}"/>
            </a:ext>
          </a:extLst>
        </xdr:cNvPr>
        <xdr:cNvSpPr/>
      </xdr:nvSpPr>
      <xdr:spPr>
        <a:xfrm rot="16200000">
          <a:off x="5655548" y="5792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33</xdr:row>
      <xdr:rowOff>55140</xdr:rowOff>
    </xdr:from>
    <xdr:to>
      <xdr:col>22</xdr:col>
      <xdr:colOff>97958</xdr:colOff>
      <xdr:row>34</xdr:row>
      <xdr:rowOff>130194</xdr:rowOff>
    </xdr:to>
    <xdr:sp macro="" textlink="">
      <xdr:nvSpPr>
        <xdr:cNvPr id="44" name="N3B1Tri" hidden="1">
          <a:extLst>
            <a:ext uri="{FF2B5EF4-FFF2-40B4-BE49-F238E27FC236}">
              <a16:creationId xmlns:a16="http://schemas.microsoft.com/office/drawing/2014/main" id="{B1A51B25-1E1B-4FBD-B27E-0506D53177EF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34</xdr:row>
      <xdr:rowOff>55140</xdr:rowOff>
    </xdr:from>
    <xdr:to>
      <xdr:col>22</xdr:col>
      <xdr:colOff>97958</xdr:colOff>
      <xdr:row>35</xdr:row>
      <xdr:rowOff>130194</xdr:rowOff>
    </xdr:to>
    <xdr:sp macro="" textlink="">
      <xdr:nvSpPr>
        <xdr:cNvPr id="45" name="N3B1Tri" hidden="1">
          <a:extLst>
            <a:ext uri="{FF2B5EF4-FFF2-40B4-BE49-F238E27FC236}">
              <a16:creationId xmlns:a16="http://schemas.microsoft.com/office/drawing/2014/main" id="{4B583304-1B24-4ABA-8741-E21CFE093019}"/>
            </a:ext>
          </a:extLst>
        </xdr:cNvPr>
        <xdr:cNvSpPr/>
      </xdr:nvSpPr>
      <xdr:spPr>
        <a:xfrm rot="16200000">
          <a:off x="5655549" y="5792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21" t="s">
        <v>8</v>
      </c>
      <c r="B1" s="42"/>
      <c r="C1" s="42"/>
      <c r="D1" s="42"/>
      <c r="E1" s="22" t="s">
        <v>9</v>
      </c>
      <c r="F1" s="23"/>
      <c r="G1" s="24" t="s">
        <v>10</v>
      </c>
      <c r="H1" s="25"/>
    </row>
    <row r="2" spans="1:9" x14ac:dyDescent="0.2">
      <c r="A2" s="21" t="s">
        <v>11</v>
      </c>
      <c r="B2" s="42"/>
      <c r="C2" s="42"/>
      <c r="D2" s="42"/>
      <c r="E2" s="22" t="s">
        <v>9</v>
      </c>
      <c r="F2" s="23"/>
      <c r="G2" s="24" t="s">
        <v>10</v>
      </c>
      <c r="H2" s="25"/>
    </row>
    <row r="3" spans="1:9" x14ac:dyDescent="0.2">
      <c r="A3" s="26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18"/>
      <c r="C6" s="18"/>
      <c r="D6" s="18"/>
      <c r="E6" s="18"/>
      <c r="F6" s="18"/>
      <c r="G6" s="18"/>
      <c r="H6" s="18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55</v>
      </c>
      <c r="E9" s="44"/>
      <c r="F9" s="12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20" t="s">
        <v>61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1" t="s">
        <v>63</v>
      </c>
      <c r="B21" s="41"/>
      <c r="C21" s="41"/>
      <c r="D21" s="41"/>
      <c r="E21" s="41"/>
      <c r="F21" s="41"/>
      <c r="G21" s="41"/>
      <c r="H21" s="41"/>
    </row>
    <row r="22" spans="1:9" ht="8.1" customHeight="1" x14ac:dyDescent="0.2">
      <c r="A22" s="11"/>
      <c r="B22" s="11"/>
      <c r="C22" s="11"/>
      <c r="D22" s="11"/>
      <c r="E22" s="11"/>
      <c r="F22" s="11"/>
      <c r="G22" s="11"/>
      <c r="H22" s="1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1" t="s">
        <v>64</v>
      </c>
      <c r="B24" s="41"/>
      <c r="C24" s="41"/>
      <c r="D24" s="41"/>
      <c r="E24" s="41"/>
      <c r="F24" s="41"/>
      <c r="G24" s="41"/>
      <c r="H24" s="41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1" t="s">
        <v>38</v>
      </c>
      <c r="B27" s="41"/>
      <c r="C27" s="41"/>
      <c r="D27" s="41"/>
      <c r="E27" s="41"/>
      <c r="F27" s="41"/>
      <c r="G27" s="41"/>
      <c r="H27" s="41"/>
      <c r="I27" s="8"/>
    </row>
    <row r="28" spans="1:9" ht="12.75" customHeight="1" x14ac:dyDescent="0.2">
      <c r="A28" s="41"/>
      <c r="B28" s="41"/>
      <c r="C28" s="41"/>
      <c r="D28" s="41"/>
      <c r="E28" s="41"/>
      <c r="F28" s="41"/>
      <c r="G28" s="41"/>
      <c r="H28" s="41"/>
    </row>
    <row r="29" spans="1:9" ht="12.75" customHeight="1" x14ac:dyDescent="0.2">
      <c r="A29" s="41"/>
      <c r="B29" s="41"/>
      <c r="C29" s="41"/>
      <c r="D29" s="41"/>
      <c r="E29" s="41"/>
      <c r="F29" s="41"/>
      <c r="G29" s="41"/>
      <c r="H29" s="41"/>
    </row>
    <row r="30" spans="1:9" ht="12.75" customHeight="1" x14ac:dyDescent="0.2">
      <c r="A30" s="41"/>
      <c r="B30" s="41"/>
      <c r="C30" s="41"/>
      <c r="D30" s="41"/>
      <c r="E30" s="41"/>
      <c r="F30" s="41"/>
      <c r="G30" s="41"/>
      <c r="H30" s="41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1" t="s">
        <v>65</v>
      </c>
      <c r="B35" s="41"/>
      <c r="C35" s="41"/>
      <c r="D35" s="41"/>
      <c r="E35" s="41"/>
      <c r="F35" s="41"/>
      <c r="G35" s="41"/>
      <c r="H35" s="41"/>
    </row>
    <row r="36" spans="1:9" ht="8.1" customHeight="1" x14ac:dyDescent="0.2">
      <c r="A36" s="11"/>
      <c r="B36" s="11"/>
      <c r="C36" s="11"/>
      <c r="D36" s="11"/>
      <c r="E36" s="11"/>
      <c r="F36" s="11"/>
      <c r="G36" s="11"/>
      <c r="H36" s="1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1" t="s">
        <v>66</v>
      </c>
      <c r="B38" s="41"/>
      <c r="C38" s="41"/>
      <c r="D38" s="41"/>
      <c r="E38" s="41"/>
      <c r="F38" s="41"/>
      <c r="G38" s="41"/>
      <c r="H38" s="41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1" t="s">
        <v>39</v>
      </c>
      <c r="B41" s="41"/>
      <c r="C41" s="41"/>
      <c r="D41" s="41"/>
      <c r="E41" s="41"/>
      <c r="F41" s="41"/>
      <c r="G41" s="41"/>
      <c r="H41" s="41"/>
      <c r="I41" s="8"/>
    </row>
    <row r="42" spans="1:9" ht="12.75" customHeight="1" x14ac:dyDescent="0.2">
      <c r="A42" s="41"/>
      <c r="B42" s="41"/>
      <c r="C42" s="41"/>
      <c r="D42" s="41"/>
      <c r="E42" s="41"/>
      <c r="F42" s="41"/>
      <c r="G42" s="41"/>
      <c r="H42" s="41"/>
    </row>
    <row r="43" spans="1:9" ht="12.75" customHeight="1" x14ac:dyDescent="0.2">
      <c r="A43" s="41"/>
      <c r="B43" s="41"/>
      <c r="C43" s="41"/>
      <c r="D43" s="41"/>
      <c r="E43" s="41"/>
      <c r="F43" s="41"/>
      <c r="G43" s="41"/>
      <c r="H43" s="41"/>
    </row>
    <row r="44" spans="1:9" ht="12.75" customHeight="1" x14ac:dyDescent="0.2">
      <c r="A44" s="41"/>
      <c r="B44" s="41"/>
      <c r="C44" s="41"/>
      <c r="D44" s="41"/>
      <c r="E44" s="41"/>
      <c r="F44" s="41"/>
      <c r="G44" s="41"/>
      <c r="H44" s="41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1" t="s">
        <v>67</v>
      </c>
      <c r="B49" s="41"/>
      <c r="C49" s="41"/>
      <c r="D49" s="41"/>
      <c r="E49" s="41"/>
      <c r="F49" s="41"/>
      <c r="G49" s="41"/>
      <c r="H49" s="41"/>
    </row>
    <row r="50" spans="1:9" ht="8.1" customHeight="1" x14ac:dyDescent="0.2">
      <c r="A50" s="11"/>
      <c r="B50" s="11"/>
      <c r="C50" s="11"/>
      <c r="D50" s="11"/>
      <c r="E50" s="11"/>
      <c r="F50" s="11"/>
      <c r="G50" s="11"/>
      <c r="H50" s="1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1" t="s">
        <v>68</v>
      </c>
      <c r="B52" s="41"/>
      <c r="C52" s="41"/>
      <c r="D52" s="41"/>
      <c r="E52" s="41"/>
      <c r="F52" s="41"/>
      <c r="G52" s="41"/>
      <c r="H52" s="41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1" t="s">
        <v>40</v>
      </c>
      <c r="B55" s="41"/>
      <c r="C55" s="41"/>
      <c r="D55" s="41"/>
      <c r="E55" s="41"/>
      <c r="F55" s="41"/>
      <c r="G55" s="41"/>
      <c r="H55" s="41"/>
      <c r="I55" s="8"/>
    </row>
    <row r="56" spans="1:9" ht="12.75" customHeight="1" x14ac:dyDescent="0.2">
      <c r="A56" s="41"/>
      <c r="B56" s="41"/>
      <c r="C56" s="41"/>
      <c r="D56" s="41"/>
      <c r="E56" s="41"/>
      <c r="F56" s="41"/>
      <c r="G56" s="41"/>
      <c r="H56" s="41"/>
    </row>
    <row r="57" spans="1:9" ht="12.75" customHeight="1" x14ac:dyDescent="0.2">
      <c r="A57" s="41"/>
      <c r="B57" s="41"/>
      <c r="C57" s="41"/>
      <c r="D57" s="41"/>
      <c r="E57" s="41"/>
      <c r="F57" s="41"/>
      <c r="G57" s="41"/>
      <c r="H57" s="41"/>
    </row>
    <row r="58" spans="1:9" ht="12.75" customHeight="1" x14ac:dyDescent="0.2">
      <c r="A58" s="41"/>
      <c r="B58" s="41"/>
      <c r="C58" s="41"/>
      <c r="D58" s="41"/>
      <c r="E58" s="41"/>
      <c r="F58" s="41"/>
      <c r="G58" s="41"/>
      <c r="H58" s="41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1" t="s">
        <v>56</v>
      </c>
      <c r="B63" s="41"/>
      <c r="C63" s="41"/>
      <c r="D63" s="41"/>
      <c r="E63" s="41"/>
      <c r="F63" s="41"/>
      <c r="G63" s="41"/>
      <c r="H63" s="41"/>
    </row>
    <row r="64" spans="1:9" ht="8.1" customHeight="1" x14ac:dyDescent="0.2">
      <c r="A64" s="11"/>
      <c r="B64" s="11"/>
      <c r="C64" s="11"/>
      <c r="D64" s="11"/>
      <c r="E64" s="11"/>
      <c r="F64" s="11"/>
      <c r="G64" s="11"/>
      <c r="H64" s="1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1" t="s">
        <v>69</v>
      </c>
      <c r="B66" s="41"/>
      <c r="C66" s="41"/>
      <c r="D66" s="41"/>
      <c r="E66" s="41"/>
      <c r="F66" s="41"/>
      <c r="G66" s="41"/>
      <c r="H66" s="41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1" t="s">
        <v>41</v>
      </c>
      <c r="B69" s="41"/>
      <c r="C69" s="41"/>
      <c r="D69" s="41"/>
      <c r="E69" s="41"/>
      <c r="F69" s="41"/>
      <c r="G69" s="41"/>
      <c r="H69" s="41"/>
      <c r="I69" s="8"/>
    </row>
    <row r="70" spans="1:9" ht="12.75" customHeight="1" x14ac:dyDescent="0.2">
      <c r="A70" s="41"/>
      <c r="B70" s="41"/>
      <c r="C70" s="41"/>
      <c r="D70" s="41"/>
      <c r="E70" s="41"/>
      <c r="F70" s="41"/>
      <c r="G70" s="41"/>
      <c r="H70" s="41"/>
    </row>
    <row r="71" spans="1:9" ht="12.75" customHeight="1" x14ac:dyDescent="0.2">
      <c r="A71" s="41"/>
      <c r="B71" s="41"/>
      <c r="C71" s="41"/>
      <c r="D71" s="41"/>
      <c r="E71" s="41"/>
      <c r="F71" s="41"/>
      <c r="G71" s="41"/>
      <c r="H71" s="41"/>
    </row>
    <row r="72" spans="1:9" ht="12.75" customHeight="1" x14ac:dyDescent="0.2">
      <c r="A72" s="41"/>
      <c r="B72" s="41"/>
      <c r="C72" s="41"/>
      <c r="D72" s="41"/>
      <c r="E72" s="41"/>
      <c r="F72" s="41"/>
      <c r="G72" s="41"/>
      <c r="H72" s="41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1" t="s">
        <v>57</v>
      </c>
      <c r="B77" s="41"/>
      <c r="C77" s="41"/>
      <c r="D77" s="41"/>
      <c r="E77" s="41"/>
      <c r="F77" s="41"/>
      <c r="G77" s="41"/>
      <c r="H77" s="41"/>
    </row>
    <row r="78" spans="1:9" ht="8.1" customHeight="1" x14ac:dyDescent="0.2">
      <c r="A78" s="11"/>
      <c r="B78" s="11"/>
      <c r="C78" s="11"/>
      <c r="D78" s="11"/>
      <c r="E78" s="11"/>
      <c r="F78" s="11"/>
      <c r="G78" s="11"/>
      <c r="H78" s="1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1" t="s">
        <v>58</v>
      </c>
      <c r="B80" s="41"/>
      <c r="C80" s="41"/>
      <c r="D80" s="41"/>
      <c r="E80" s="41"/>
      <c r="F80" s="41"/>
      <c r="G80" s="41"/>
      <c r="H80" s="41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1" t="s">
        <v>42</v>
      </c>
      <c r="B83" s="41"/>
      <c r="C83" s="41"/>
      <c r="D83" s="41"/>
      <c r="E83" s="41"/>
      <c r="F83" s="41"/>
      <c r="G83" s="41"/>
      <c r="H83" s="41"/>
      <c r="I83" s="8"/>
    </row>
    <row r="84" spans="1:9" ht="12.75" customHeight="1" x14ac:dyDescent="0.2">
      <c r="A84" s="41"/>
      <c r="B84" s="41"/>
      <c r="C84" s="41"/>
      <c r="D84" s="41"/>
      <c r="E84" s="41"/>
      <c r="F84" s="41"/>
      <c r="G84" s="41"/>
      <c r="H84" s="41"/>
    </row>
    <row r="85" spans="1:9" ht="12.75" customHeight="1" x14ac:dyDescent="0.2">
      <c r="A85" s="41"/>
      <c r="B85" s="41"/>
      <c r="C85" s="41"/>
      <c r="D85" s="41"/>
      <c r="E85" s="41"/>
      <c r="F85" s="41"/>
      <c r="G85" s="41"/>
      <c r="H85" s="41"/>
    </row>
    <row r="86" spans="1:9" ht="12.75" customHeight="1" x14ac:dyDescent="0.2">
      <c r="A86" s="41"/>
      <c r="B86" s="41"/>
      <c r="C86" s="41"/>
      <c r="D86" s="41"/>
      <c r="E86" s="41"/>
      <c r="F86" s="41"/>
      <c r="G86" s="41"/>
      <c r="H86" s="41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1" t="s">
        <v>59</v>
      </c>
      <c r="B91" s="41"/>
      <c r="C91" s="41"/>
      <c r="D91" s="41"/>
      <c r="E91" s="41"/>
      <c r="F91" s="41"/>
      <c r="G91" s="41"/>
      <c r="H91" s="41"/>
    </row>
    <row r="92" spans="1:9" ht="8.1" customHeight="1" x14ac:dyDescent="0.2">
      <c r="A92" s="11"/>
      <c r="B92" s="11"/>
      <c r="C92" s="11"/>
      <c r="D92" s="11"/>
      <c r="E92" s="11"/>
      <c r="F92" s="11"/>
      <c r="G92" s="11"/>
      <c r="H92" s="1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1" t="s">
        <v>70</v>
      </c>
      <c r="B94" s="41"/>
      <c r="C94" s="41"/>
      <c r="D94" s="41"/>
      <c r="E94" s="41"/>
      <c r="F94" s="41"/>
      <c r="G94" s="41"/>
      <c r="H94" s="41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1" t="s">
        <v>43</v>
      </c>
      <c r="B97" s="41"/>
      <c r="C97" s="41"/>
      <c r="D97" s="41"/>
      <c r="E97" s="41"/>
      <c r="F97" s="41"/>
      <c r="G97" s="41"/>
      <c r="H97" s="41"/>
      <c r="I97" s="8"/>
    </row>
    <row r="98" spans="1:15" ht="12.75" customHeight="1" x14ac:dyDescent="0.2">
      <c r="A98" s="41"/>
      <c r="B98" s="41"/>
      <c r="C98" s="41"/>
      <c r="D98" s="41"/>
      <c r="E98" s="41"/>
      <c r="F98" s="41"/>
      <c r="G98" s="41"/>
      <c r="H98" s="41"/>
    </row>
    <row r="99" spans="1:15" ht="12.75" customHeight="1" x14ac:dyDescent="0.2">
      <c r="A99" s="41"/>
      <c r="B99" s="41"/>
      <c r="C99" s="41"/>
      <c r="D99" s="41"/>
      <c r="E99" s="41"/>
      <c r="F99" s="41"/>
      <c r="G99" s="41"/>
      <c r="H99" s="41"/>
    </row>
    <row r="100" spans="1:15" ht="12.75" customHeight="1" x14ac:dyDescent="0.2">
      <c r="A100" s="41"/>
      <c r="B100" s="41"/>
      <c r="C100" s="41"/>
      <c r="D100" s="41"/>
      <c r="E100" s="41"/>
      <c r="F100" s="41"/>
      <c r="G100" s="41"/>
      <c r="H100" s="41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1" t="s">
        <v>59</v>
      </c>
      <c r="B105" s="41"/>
      <c r="C105" s="41"/>
      <c r="D105" s="41"/>
      <c r="E105" s="41"/>
      <c r="F105" s="41"/>
      <c r="G105" s="41"/>
      <c r="H105" s="41"/>
    </row>
    <row r="106" spans="1:15" ht="8.1" customHeight="1" x14ac:dyDescent="0.2">
      <c r="A106" s="11"/>
      <c r="B106" s="11"/>
      <c r="C106" s="11"/>
      <c r="D106" s="11"/>
      <c r="E106" s="11"/>
      <c r="F106" s="11"/>
      <c r="G106" s="11"/>
      <c r="H106" s="1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1" t="s">
        <v>60</v>
      </c>
      <c r="B108" s="41"/>
      <c r="C108" s="41"/>
      <c r="D108" s="41"/>
      <c r="E108" s="41"/>
      <c r="F108" s="41"/>
      <c r="G108" s="41"/>
      <c r="H108" s="41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1" t="s">
        <v>44</v>
      </c>
      <c r="B111" s="41"/>
      <c r="C111" s="41"/>
      <c r="D111" s="41"/>
      <c r="E111" s="41"/>
      <c r="F111" s="41"/>
      <c r="G111" s="41"/>
      <c r="H111" s="41"/>
      <c r="I111" s="8"/>
      <c r="O111" s="15"/>
    </row>
    <row r="112" spans="1:15" ht="12.75" customHeight="1" x14ac:dyDescent="0.2">
      <c r="A112" s="41"/>
      <c r="B112" s="41"/>
      <c r="C112" s="41"/>
      <c r="D112" s="41"/>
      <c r="E112" s="41"/>
      <c r="F112" s="41"/>
      <c r="G112" s="41"/>
      <c r="H112" s="41"/>
    </row>
    <row r="113" spans="1:9" ht="12.75" customHeight="1" x14ac:dyDescent="0.2">
      <c r="A113" s="41"/>
      <c r="B113" s="41"/>
      <c r="C113" s="41"/>
      <c r="D113" s="41"/>
      <c r="E113" s="41"/>
      <c r="F113" s="41"/>
      <c r="G113" s="41"/>
      <c r="H113" s="41"/>
    </row>
    <row r="114" spans="1:9" ht="12.75" customHeight="1" x14ac:dyDescent="0.2">
      <c r="A114" s="41"/>
      <c r="B114" s="41"/>
      <c r="C114" s="41"/>
      <c r="D114" s="41"/>
      <c r="E114" s="41"/>
      <c r="F114" s="41"/>
      <c r="G114" s="41"/>
      <c r="H114" s="41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1" t="s">
        <v>50</v>
      </c>
      <c r="B119" s="41"/>
      <c r="C119" s="41"/>
      <c r="D119" s="41"/>
      <c r="E119" s="41"/>
      <c r="F119" s="41"/>
      <c r="G119" s="41"/>
      <c r="H119" s="41"/>
    </row>
    <row r="120" spans="1:9" ht="8.1" customHeight="1" x14ac:dyDescent="0.2">
      <c r="A120" s="11"/>
      <c r="B120" s="11"/>
      <c r="C120" s="11"/>
      <c r="D120" s="11"/>
      <c r="E120" s="11"/>
      <c r="F120" s="11"/>
      <c r="G120" s="11"/>
      <c r="H120" s="1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1" t="s">
        <v>51</v>
      </c>
      <c r="B122" s="41"/>
      <c r="C122" s="41"/>
      <c r="D122" s="41"/>
      <c r="E122" s="41"/>
      <c r="F122" s="41"/>
      <c r="G122" s="41"/>
      <c r="H122" s="41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1" t="s">
        <v>45</v>
      </c>
      <c r="B125" s="41"/>
      <c r="C125" s="41"/>
      <c r="D125" s="41"/>
      <c r="E125" s="41"/>
      <c r="F125" s="41"/>
      <c r="G125" s="41"/>
      <c r="H125" s="41"/>
      <c r="I125" s="8"/>
    </row>
    <row r="126" spans="1:9" ht="12.75" customHeight="1" x14ac:dyDescent="0.2">
      <c r="A126" s="41"/>
      <c r="B126" s="41"/>
      <c r="C126" s="41"/>
      <c r="D126" s="41"/>
      <c r="E126" s="41"/>
      <c r="F126" s="41"/>
      <c r="G126" s="41"/>
      <c r="H126" s="41"/>
    </row>
    <row r="127" spans="1:9" ht="12.75" customHeight="1" x14ac:dyDescent="0.2">
      <c r="A127" s="41"/>
      <c r="B127" s="41"/>
      <c r="C127" s="41"/>
      <c r="D127" s="41"/>
      <c r="E127" s="41"/>
      <c r="F127" s="41"/>
      <c r="G127" s="41"/>
      <c r="H127" s="41"/>
    </row>
    <row r="128" spans="1:9" ht="12.75" customHeight="1" x14ac:dyDescent="0.2">
      <c r="A128" s="41"/>
      <c r="B128" s="41"/>
      <c r="C128" s="41"/>
      <c r="D128" s="41"/>
      <c r="E128" s="41"/>
      <c r="F128" s="41"/>
      <c r="G128" s="41"/>
      <c r="H128" s="41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1" t="s">
        <v>35</v>
      </c>
      <c r="B133" s="41"/>
      <c r="C133" s="41"/>
      <c r="D133" s="41"/>
      <c r="E133" s="41"/>
      <c r="F133" s="41"/>
      <c r="G133" s="41"/>
      <c r="H133" s="41"/>
    </row>
    <row r="134" spans="1:9" ht="8.1" customHeight="1" x14ac:dyDescent="0.2">
      <c r="A134" s="11"/>
      <c r="B134" s="11"/>
      <c r="C134" s="11"/>
      <c r="D134" s="11"/>
      <c r="E134" s="11"/>
      <c r="F134" s="11"/>
      <c r="G134" s="11"/>
      <c r="H134" s="1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1" t="s">
        <v>52</v>
      </c>
      <c r="B136" s="41"/>
      <c r="C136" s="41"/>
      <c r="D136" s="41"/>
      <c r="E136" s="41"/>
      <c r="F136" s="41"/>
      <c r="G136" s="41"/>
      <c r="H136" s="41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1" t="s">
        <v>46</v>
      </c>
      <c r="B139" s="41"/>
      <c r="C139" s="41"/>
      <c r="D139" s="41"/>
      <c r="E139" s="41"/>
      <c r="F139" s="41"/>
      <c r="G139" s="41"/>
      <c r="H139" s="41"/>
      <c r="I139" s="8"/>
    </row>
    <row r="140" spans="1:9" ht="12.75" customHeight="1" x14ac:dyDescent="0.2">
      <c r="A140" s="41"/>
      <c r="B140" s="41"/>
      <c r="C140" s="41"/>
      <c r="D140" s="41"/>
      <c r="E140" s="41"/>
      <c r="F140" s="41"/>
      <c r="G140" s="41"/>
      <c r="H140" s="41"/>
    </row>
    <row r="141" spans="1:9" ht="12.75" customHeight="1" x14ac:dyDescent="0.2">
      <c r="A141" s="41"/>
      <c r="B141" s="41"/>
      <c r="C141" s="41"/>
      <c r="D141" s="41"/>
      <c r="E141" s="41"/>
      <c r="F141" s="41"/>
      <c r="G141" s="41"/>
      <c r="H141" s="41"/>
    </row>
    <row r="142" spans="1:9" ht="12.75" customHeight="1" x14ac:dyDescent="0.2">
      <c r="A142" s="41"/>
      <c r="B142" s="41"/>
      <c r="C142" s="41"/>
      <c r="D142" s="41"/>
      <c r="E142" s="41"/>
      <c r="F142" s="41"/>
      <c r="G142" s="41"/>
      <c r="H142" s="41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62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5" t="s">
        <v>17</v>
      </c>
      <c r="B156" s="9" t="s">
        <v>23</v>
      </c>
      <c r="C156" s="9" t="s">
        <v>24</v>
      </c>
    </row>
    <row r="157" spans="1:5" x14ac:dyDescent="0.2">
      <c r="A157" s="45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65" priority="67">
      <formula>$D$9="Seismic Hazard"</formula>
    </cfRule>
    <cfRule type="expression" dxfId="64" priority="68">
      <formula>$D$9="Hydrologic Hazard"</formula>
    </cfRule>
  </conditionalFormatting>
  <conditionalFormatting sqref="A32:H45">
    <cfRule type="expression" dxfId="63" priority="16" stopIfTrue="1">
      <formula>$D$11&lt;2</formula>
    </cfRule>
  </conditionalFormatting>
  <conditionalFormatting sqref="A110:H114 A138:H142 A40:H44 A54:H58 A68:H72 A82:H86 A96:H100 A124:H128 A26:H30">
    <cfRule type="expression" dxfId="62" priority="2" stopIfTrue="1">
      <formula>$D$14="No"</formula>
    </cfRule>
  </conditionalFormatting>
  <conditionalFormatting sqref="A46:H59">
    <cfRule type="expression" dxfId="61" priority="14" stopIfTrue="1">
      <formula>$D$11&lt;3</formula>
    </cfRule>
  </conditionalFormatting>
  <conditionalFormatting sqref="A60:H73">
    <cfRule type="expression" dxfId="60" priority="12" stopIfTrue="1">
      <formula>$D$11&lt;4</formula>
    </cfRule>
  </conditionalFormatting>
  <conditionalFormatting sqref="A74:H87">
    <cfRule type="expression" dxfId="59" priority="9" stopIfTrue="1">
      <formula>$D$11&lt;5</formula>
    </cfRule>
  </conditionalFormatting>
  <conditionalFormatting sqref="A88:H101">
    <cfRule type="expression" dxfId="58" priority="7" stopIfTrue="1">
      <formula>$D$11&lt;6</formula>
    </cfRule>
  </conditionalFormatting>
  <conditionalFormatting sqref="A102:H115">
    <cfRule type="expression" dxfId="57" priority="8" stopIfTrue="1">
      <formula>$D$11&lt;7</formula>
    </cfRule>
  </conditionalFormatting>
  <conditionalFormatting sqref="A116:H129">
    <cfRule type="expression" dxfId="56" priority="3" stopIfTrue="1">
      <formula>$D$11&lt;8</formula>
    </cfRule>
  </conditionalFormatting>
  <conditionalFormatting sqref="A130:H143">
    <cfRule type="expression" dxfId="55" priority="1" stopIfTrue="1">
      <formula>$D$11&lt;9</formula>
    </cfRule>
  </conditionalFormatting>
  <conditionalFormatting sqref="A20:H21 A34:H35 A48:H49 A62:H63 A76:H77 A90:H91 A104:H105 A118:H119 A132:H133">
    <cfRule type="expression" dxfId="54" priority="22">
      <formula>$D$13="No"</formula>
    </cfRule>
  </conditionalFormatting>
  <conditionalFormatting sqref="A27:H30">
    <cfRule type="expression" dxfId="53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E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52" t="s">
        <v>9</v>
      </c>
      <c r="AG1" s="52"/>
      <c r="AH1" s="5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52" t="s">
        <v>10</v>
      </c>
      <c r="BE1" s="5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7" t="s">
        <v>25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</row>
    <row r="6" spans="1:80" ht="15" customHeight="1" x14ac:dyDescent="0.2"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</row>
    <row r="7" spans="1:80" ht="15" customHeight="1" x14ac:dyDescent="0.2"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8"/>
      <c r="AK7" s="8"/>
      <c r="AL7" s="8"/>
      <c r="AM7" s="8"/>
      <c r="AN7" s="8"/>
      <c r="AO7" s="8"/>
      <c r="AP7" s="8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29"/>
      <c r="CB7" s="8" t="s">
        <v>47</v>
      </c>
    </row>
    <row r="8" spans="1:80" ht="15" customHeight="1" x14ac:dyDescent="0.2"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8"/>
      <c r="AK8" s="8"/>
      <c r="AL8" s="8"/>
      <c r="AM8" s="8"/>
      <c r="AN8" s="8"/>
      <c r="AO8" s="8"/>
      <c r="AP8" s="8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29"/>
    </row>
    <row r="9" spans="1:80" ht="15" customHeight="1" x14ac:dyDescent="0.2"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8"/>
      <c r="AK9" s="8"/>
      <c r="AL9" s="8"/>
      <c r="AM9" s="8"/>
      <c r="AN9" s="8"/>
      <c r="AO9" s="8"/>
      <c r="AP9" s="8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1"/>
      <c r="BU9" s="31"/>
      <c r="BV9" s="31"/>
      <c r="BW9" s="31"/>
      <c r="BX9" s="31"/>
      <c r="BY9" s="31"/>
      <c r="BZ9" s="31"/>
      <c r="CA9" s="29"/>
      <c r="CB9" s="8" t="s">
        <v>54</v>
      </c>
    </row>
    <row r="10" spans="1:80" ht="15" customHeight="1" x14ac:dyDescent="0.2"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8"/>
      <c r="AK10" s="8"/>
      <c r="AL10" s="8"/>
      <c r="AM10" s="8"/>
      <c r="AN10" s="8"/>
      <c r="AO10" s="8"/>
      <c r="AP10" s="8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1"/>
      <c r="BU10" s="31"/>
      <c r="BV10" s="31"/>
      <c r="BW10" s="31"/>
      <c r="BX10" s="31"/>
      <c r="BY10" s="31"/>
      <c r="BZ10" s="31"/>
      <c r="CA10" s="29"/>
    </row>
    <row r="11" spans="1:80" ht="15" customHeight="1" x14ac:dyDescent="0.2"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8"/>
      <c r="AK11" s="8"/>
      <c r="AL11" s="8"/>
      <c r="AM11" s="8"/>
      <c r="AN11" s="8"/>
      <c r="AO11" s="8"/>
      <c r="AP11" s="8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8"/>
      <c r="BF11" s="8"/>
      <c r="BG11" s="8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29"/>
      <c r="CA11" s="29"/>
      <c r="CB11" s="8" t="s">
        <v>53</v>
      </c>
    </row>
    <row r="12" spans="1:80" ht="15" customHeight="1" x14ac:dyDescent="0.2"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1"/>
      <c r="BN12" s="31"/>
      <c r="BO12" s="31"/>
      <c r="BP12" s="31"/>
      <c r="BQ12" s="31"/>
      <c r="BR12" s="31"/>
      <c r="BS12" s="31"/>
    </row>
    <row r="13" spans="1:80" ht="15" customHeight="1" x14ac:dyDescent="0.2">
      <c r="L13" s="32"/>
      <c r="M13" s="32"/>
      <c r="N13" s="32"/>
      <c r="O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1"/>
      <c r="BN13" s="31"/>
      <c r="BO13" s="31"/>
      <c r="BP13" s="31"/>
      <c r="BQ13" s="31"/>
      <c r="BR13" s="31"/>
      <c r="BS13" s="31"/>
      <c r="BT13" s="33"/>
      <c r="BU13" s="34"/>
      <c r="BV13" s="34"/>
      <c r="BW13" s="34"/>
      <c r="BX13" s="34"/>
      <c r="BY13" s="34"/>
      <c r="BZ13" s="34"/>
    </row>
    <row r="14" spans="1:80" ht="15" customHeight="1" x14ac:dyDescent="0.2"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T14" s="35"/>
      <c r="BU14" s="27"/>
      <c r="BV14" s="27"/>
      <c r="BW14" s="27"/>
      <c r="BX14" s="27"/>
      <c r="BY14" s="27"/>
      <c r="BZ14" s="27"/>
    </row>
    <row r="15" spans="1:80" ht="15" customHeight="1" x14ac:dyDescent="0.2"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1"/>
      <c r="BG15" s="31"/>
      <c r="BH15" s="31"/>
      <c r="BI15" s="31"/>
      <c r="BJ15" s="31"/>
      <c r="BK15" s="31"/>
      <c r="BL15" s="31"/>
      <c r="BT15" s="35"/>
      <c r="BU15" s="27"/>
      <c r="BV15" s="27"/>
      <c r="BW15" s="27"/>
      <c r="BX15" s="27"/>
      <c r="BY15" s="27"/>
      <c r="BZ15" s="27"/>
    </row>
    <row r="16" spans="1:80" ht="15" customHeight="1" x14ac:dyDescent="0.2">
      <c r="J16" s="16"/>
      <c r="K16" s="16"/>
      <c r="L16" s="16"/>
      <c r="M16" s="16"/>
      <c r="N16" s="16"/>
      <c r="O16" s="1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0"/>
      <c r="AR16" s="30"/>
      <c r="AS16" s="30"/>
      <c r="AT16" s="30"/>
      <c r="AU16" s="30"/>
      <c r="AV16" s="30"/>
      <c r="AW16" s="30"/>
      <c r="AY16" s="30"/>
      <c r="AZ16" s="30"/>
      <c r="BA16" s="30"/>
      <c r="BB16" s="30"/>
      <c r="BC16" s="30"/>
      <c r="BD16" s="30"/>
      <c r="BE16" s="30"/>
      <c r="BF16" s="31"/>
      <c r="BG16" s="31"/>
      <c r="BH16" s="31"/>
      <c r="BI16" s="31"/>
      <c r="BJ16" s="31"/>
      <c r="BK16" s="31"/>
      <c r="BL16" s="31"/>
      <c r="BM16" s="33"/>
      <c r="BN16" s="34"/>
      <c r="BO16" s="34"/>
      <c r="BP16" s="34"/>
      <c r="BQ16" s="34"/>
      <c r="BR16" s="34"/>
      <c r="BS16" s="34"/>
      <c r="BT16" s="35"/>
      <c r="BU16" s="27"/>
      <c r="BV16" s="27"/>
      <c r="BW16" s="27"/>
      <c r="BX16" s="27"/>
      <c r="BY16" s="27"/>
      <c r="BZ16" s="27"/>
    </row>
    <row r="17" spans="9:79" ht="15" customHeight="1" x14ac:dyDescent="0.2">
      <c r="J17" s="16"/>
      <c r="K17" s="16"/>
      <c r="L17" s="16"/>
      <c r="M17" s="16"/>
      <c r="N17" s="16"/>
      <c r="O17" s="1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M17" s="35"/>
      <c r="BN17" s="27"/>
      <c r="BO17" s="27"/>
      <c r="BP17" s="27"/>
      <c r="BQ17" s="27"/>
      <c r="BR17" s="27"/>
      <c r="BS17" s="27"/>
      <c r="BT17" s="35"/>
      <c r="BU17" s="27"/>
      <c r="BV17" s="27"/>
      <c r="BW17" s="27"/>
      <c r="BX17" s="27"/>
      <c r="BY17" s="27"/>
      <c r="BZ17" s="27"/>
    </row>
    <row r="18" spans="9:79" ht="15" customHeight="1" x14ac:dyDescent="0.2">
      <c r="J18" s="16"/>
      <c r="K18" s="16"/>
      <c r="L18" s="16"/>
      <c r="M18" s="16"/>
      <c r="N18" s="16"/>
      <c r="O18" s="1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M18" s="35"/>
      <c r="BN18" s="27"/>
      <c r="BO18" s="27"/>
      <c r="BP18" s="27"/>
      <c r="BQ18" s="27"/>
      <c r="BR18" s="27"/>
      <c r="BS18" s="27"/>
      <c r="BT18" s="36"/>
      <c r="BU18" s="37"/>
      <c r="BV18" s="37"/>
      <c r="BW18" s="37"/>
      <c r="BX18" s="37"/>
      <c r="BY18" s="37"/>
      <c r="BZ18" s="37"/>
    </row>
    <row r="19" spans="9:79" ht="15" customHeight="1" x14ac:dyDescent="0.2">
      <c r="J19" s="16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3"/>
      <c r="BG19" s="34"/>
      <c r="BH19" s="34"/>
      <c r="BI19" s="34"/>
      <c r="BJ19" s="34"/>
      <c r="BK19" s="34"/>
      <c r="BL19" s="34"/>
      <c r="BM19" s="35"/>
      <c r="BN19" s="27"/>
      <c r="BO19" s="27"/>
      <c r="BP19" s="27"/>
      <c r="BQ19" s="27"/>
      <c r="BR19" s="27"/>
      <c r="BS19" s="27"/>
    </row>
    <row r="20" spans="9:79" ht="15" customHeight="1" x14ac:dyDescent="0.2">
      <c r="J20" s="16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27"/>
      <c r="AS20" s="27"/>
      <c r="AT20" s="27"/>
      <c r="AU20" s="27"/>
      <c r="AV20" s="27"/>
      <c r="AW20" s="27"/>
      <c r="AX20" s="27"/>
      <c r="BF20" s="35"/>
      <c r="BG20" s="27"/>
      <c r="BH20" s="27"/>
      <c r="BI20" s="27"/>
      <c r="BJ20" s="27"/>
      <c r="BK20" s="27"/>
      <c r="BL20" s="27"/>
      <c r="BM20" s="35"/>
      <c r="BN20" s="27"/>
      <c r="BO20" s="27"/>
      <c r="BP20" s="27"/>
      <c r="BQ20" s="27"/>
      <c r="BR20" s="27"/>
      <c r="BS20" s="27"/>
    </row>
    <row r="21" spans="9:79" ht="15" customHeight="1" x14ac:dyDescent="0.2">
      <c r="J21" s="16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3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8"/>
      <c r="AZ21" s="34"/>
      <c r="BA21" s="34"/>
      <c r="BB21" s="34"/>
      <c r="BC21" s="34"/>
      <c r="BD21" s="34"/>
      <c r="BE21" s="34"/>
      <c r="BF21" s="35"/>
      <c r="BG21" s="32"/>
      <c r="BH21" s="32"/>
      <c r="BI21" s="32"/>
      <c r="BJ21" s="32"/>
      <c r="BK21" s="32"/>
      <c r="BL21" s="32"/>
      <c r="BM21" s="32"/>
      <c r="BN21" s="32"/>
      <c r="BO21" s="32"/>
      <c r="BP21" s="37"/>
      <c r="BQ21" s="37"/>
      <c r="BR21" s="37"/>
      <c r="BS21" s="37"/>
    </row>
    <row r="22" spans="9:79" ht="15" customHeight="1" x14ac:dyDescent="0.2"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D22" s="35"/>
      <c r="AM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</row>
    <row r="23" spans="9:79" ht="15" customHeight="1" x14ac:dyDescent="0.2"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D23" s="35"/>
      <c r="AL23" s="32"/>
      <c r="AM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</row>
    <row r="24" spans="9:79" ht="15" customHeight="1" x14ac:dyDescent="0.2"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D24" s="35"/>
      <c r="AL24" s="32"/>
      <c r="AM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R24" s="16"/>
      <c r="BS24" s="16"/>
      <c r="BT24" s="16"/>
      <c r="BU24" s="16"/>
      <c r="BV24" s="16"/>
      <c r="BW24" s="16"/>
      <c r="BX24" s="16"/>
      <c r="BY24" s="16"/>
      <c r="BZ24" s="16"/>
    </row>
    <row r="25" spans="9:79" ht="15" customHeight="1" x14ac:dyDescent="0.2"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5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27"/>
      <c r="AS25" s="27"/>
      <c r="AT25" s="27"/>
      <c r="AU25" s="27"/>
      <c r="AV25" s="27"/>
      <c r="AW25" s="27"/>
      <c r="AX25" s="27"/>
      <c r="BF25" s="35"/>
      <c r="BQ25" s="16"/>
      <c r="BR25" s="16"/>
      <c r="BS25" s="16"/>
      <c r="BT25" s="16"/>
      <c r="BU25" s="16"/>
      <c r="BV25" s="16"/>
      <c r="BW25" s="16"/>
      <c r="BX25" s="16"/>
      <c r="BY25" s="16"/>
      <c r="BZ25" s="16"/>
    </row>
    <row r="26" spans="9:79" ht="15" customHeight="1" x14ac:dyDescent="0.2"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33"/>
      <c r="AZ26" s="34"/>
      <c r="BA26" s="34"/>
      <c r="BB26" s="34"/>
      <c r="BC26" s="34"/>
      <c r="BD26" s="34"/>
      <c r="BE26" s="34"/>
      <c r="BF26" s="35"/>
      <c r="BQ26" s="16"/>
      <c r="BR26" s="16"/>
      <c r="BS26" s="16"/>
      <c r="BT26" s="16"/>
      <c r="BU26" s="16"/>
      <c r="BV26" s="16"/>
      <c r="BW26" s="16"/>
      <c r="BX26" s="16"/>
      <c r="BY26" s="16"/>
      <c r="BZ26" s="16"/>
    </row>
    <row r="27" spans="9:79" ht="15" customHeight="1" x14ac:dyDescent="0.2">
      <c r="P27" s="27"/>
      <c r="Q27" s="27"/>
      <c r="R27" s="27"/>
      <c r="S27" s="27"/>
      <c r="T27" s="27"/>
      <c r="U27" s="27"/>
      <c r="V27" s="27"/>
      <c r="AD27" s="35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Y27" s="35"/>
      <c r="AZ27" s="27"/>
      <c r="BA27" s="27"/>
      <c r="BB27" s="27"/>
      <c r="BC27" s="27"/>
      <c r="BD27" s="27"/>
      <c r="BE27" s="27"/>
      <c r="BF27" s="35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</row>
    <row r="28" spans="9:79" ht="15" customHeight="1" x14ac:dyDescent="0.2">
      <c r="P28" s="27"/>
      <c r="Q28" s="27"/>
      <c r="R28" s="27"/>
      <c r="S28" s="27"/>
      <c r="T28" s="27"/>
      <c r="U28" s="27"/>
      <c r="V28" s="27"/>
      <c r="W28" s="33"/>
      <c r="X28" s="34"/>
      <c r="Y28" s="34"/>
      <c r="Z28" s="38"/>
      <c r="AA28" s="34"/>
      <c r="AB28" s="34"/>
      <c r="AC28" s="34"/>
      <c r="AD28" s="35"/>
      <c r="AE28" s="32"/>
      <c r="AF28" s="32"/>
      <c r="AG28" s="32"/>
      <c r="AH28" s="32"/>
      <c r="AI28" s="32"/>
      <c r="AJ28" s="32"/>
      <c r="AK28" s="27"/>
      <c r="AL28" s="27"/>
      <c r="AM28" s="27"/>
      <c r="AN28" s="27"/>
      <c r="AO28" s="27"/>
      <c r="AP28" s="27"/>
      <c r="AQ28" s="27"/>
      <c r="AY28" s="35"/>
      <c r="AZ28" s="27"/>
      <c r="BA28" s="27"/>
      <c r="BB28" s="27"/>
      <c r="BC28" s="27"/>
      <c r="BD28" s="27"/>
      <c r="BE28" s="27"/>
      <c r="BF28" s="3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</row>
    <row r="29" spans="9:79" ht="15" customHeight="1" x14ac:dyDescent="0.2">
      <c r="W29" s="35"/>
      <c r="X29" s="27"/>
      <c r="Y29" s="27"/>
      <c r="Z29" s="27"/>
      <c r="AA29" s="27"/>
      <c r="AB29" s="27"/>
      <c r="AC29" s="27"/>
      <c r="AD29" s="35"/>
      <c r="AE29" s="32"/>
      <c r="AF29" s="32"/>
      <c r="AG29" s="32"/>
      <c r="AH29" s="32"/>
      <c r="AK29" s="27"/>
      <c r="AL29" s="27"/>
      <c r="AM29" s="27"/>
      <c r="AN29" s="27"/>
      <c r="AO29" s="27"/>
      <c r="AP29" s="27"/>
      <c r="AQ29" s="27"/>
      <c r="AR29" s="33"/>
      <c r="AS29" s="34"/>
      <c r="AT29" s="34"/>
      <c r="AU29" s="34"/>
      <c r="AV29" s="34"/>
      <c r="AW29" s="34"/>
      <c r="AX29" s="34"/>
      <c r="AY29" s="35"/>
      <c r="AZ29" s="27"/>
      <c r="BA29" s="27"/>
      <c r="BB29" s="27"/>
      <c r="BC29" s="27"/>
      <c r="BD29" s="27"/>
      <c r="BE29" s="27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</row>
    <row r="30" spans="9:79" ht="15" customHeight="1" x14ac:dyDescent="0.2">
      <c r="W30" s="35"/>
      <c r="X30" s="27"/>
      <c r="Y30" s="27"/>
      <c r="Z30" s="27"/>
      <c r="AA30" s="27"/>
      <c r="AB30" s="27"/>
      <c r="AD30" s="35"/>
      <c r="AE30" s="32"/>
      <c r="AF30" s="32"/>
      <c r="AG30" s="32"/>
      <c r="AH30" s="32"/>
      <c r="AR30" s="35"/>
      <c r="AS30" s="27"/>
      <c r="AT30" s="27"/>
      <c r="AU30" s="27"/>
      <c r="AV30" s="27"/>
      <c r="AW30" s="27"/>
      <c r="AX30" s="27"/>
      <c r="AY30" s="35"/>
      <c r="AZ30" s="27"/>
      <c r="BA30" s="27"/>
      <c r="BB30" s="27"/>
      <c r="BC30" s="27"/>
      <c r="BD30" s="27"/>
      <c r="BE30" s="27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</row>
    <row r="31" spans="9:79" ht="15" customHeight="1" x14ac:dyDescent="0.2">
      <c r="W31" s="35"/>
      <c r="X31" s="27"/>
      <c r="Y31" s="27"/>
      <c r="Z31" s="27"/>
      <c r="AA31" s="27"/>
      <c r="AB31" s="27"/>
      <c r="AD31" s="35"/>
      <c r="AE31" s="27"/>
      <c r="AF31" s="27"/>
      <c r="AG31" s="27"/>
      <c r="AH31" s="27"/>
      <c r="AI31" s="27"/>
      <c r="AJ31" s="27"/>
      <c r="AK31" s="39"/>
      <c r="AL31" s="39"/>
      <c r="AM31" s="39"/>
      <c r="AN31" s="39"/>
      <c r="AO31" s="39"/>
      <c r="AP31" s="39"/>
      <c r="AQ31" s="39"/>
      <c r="AR31" s="35"/>
      <c r="AS31" s="27"/>
      <c r="AT31" s="27"/>
      <c r="AU31" s="27"/>
      <c r="AV31" s="27"/>
      <c r="AW31" s="27"/>
      <c r="AX31" s="27"/>
      <c r="AY31" s="36"/>
      <c r="AZ31" s="37"/>
      <c r="BA31" s="37"/>
      <c r="BB31" s="37"/>
      <c r="BC31" s="37"/>
      <c r="BD31" s="37"/>
      <c r="BE31" s="37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</row>
    <row r="32" spans="9:79" ht="15" customHeight="1" x14ac:dyDescent="0.2">
      <c r="W32" s="35"/>
      <c r="X32" s="27"/>
      <c r="Y32" s="27"/>
      <c r="Z32" s="27"/>
      <c r="AA32" s="27"/>
      <c r="AB32" s="27"/>
      <c r="AC32" s="27"/>
      <c r="AD32" s="35"/>
      <c r="AE32" s="27"/>
      <c r="AF32" s="27"/>
      <c r="AG32" s="27"/>
      <c r="AH32" s="27"/>
      <c r="AI32" s="27"/>
      <c r="AJ32" s="27"/>
      <c r="AK32" s="33"/>
      <c r="AL32" s="34"/>
      <c r="AM32" s="34"/>
      <c r="AN32" s="34"/>
      <c r="AO32" s="34"/>
      <c r="AP32" s="34"/>
      <c r="AQ32" s="34"/>
      <c r="AR32" s="35"/>
      <c r="AS32" s="27"/>
      <c r="AT32" s="27"/>
      <c r="AU32" s="27"/>
      <c r="AV32" s="27"/>
      <c r="AW32" s="27"/>
      <c r="AX32" s="27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</row>
    <row r="33" spans="2:83" ht="15" customHeight="1" x14ac:dyDescent="0.2">
      <c r="P33" s="33"/>
      <c r="Q33" s="34"/>
      <c r="R33" s="34"/>
      <c r="S33" s="34"/>
      <c r="T33" s="34"/>
      <c r="U33" s="34"/>
      <c r="V33" s="34"/>
      <c r="W33" s="35"/>
      <c r="X33" s="27"/>
      <c r="Y33" s="27"/>
      <c r="Z33" s="27"/>
      <c r="AA33" s="27"/>
      <c r="AB33" s="27"/>
      <c r="AC33" s="27"/>
      <c r="AD33" s="35"/>
      <c r="AE33" s="32"/>
      <c r="AF33" s="32"/>
      <c r="AG33" s="32"/>
      <c r="AH33" s="32"/>
      <c r="AK33" s="35"/>
      <c r="AL33" s="27"/>
      <c r="AM33" s="27"/>
      <c r="AN33" s="27"/>
      <c r="AO33" s="27"/>
      <c r="AP33" s="27"/>
      <c r="AQ33" s="27"/>
      <c r="AR33" s="35"/>
      <c r="AS33" s="27"/>
      <c r="AT33" s="27"/>
      <c r="AU33" s="27"/>
      <c r="AV33" s="27"/>
      <c r="AW33" s="27"/>
      <c r="AX33" s="27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27"/>
      <c r="BR33" s="27"/>
      <c r="BS33" s="27"/>
      <c r="BT33" s="27"/>
      <c r="BU33" s="27"/>
      <c r="BV33" s="27"/>
      <c r="BW33" s="27"/>
      <c r="CB33" s="4"/>
      <c r="CC33" s="4"/>
      <c r="CD33" s="4"/>
      <c r="CE33" s="4"/>
    </row>
    <row r="34" spans="2:83" ht="15" customHeight="1" x14ac:dyDescent="0.2">
      <c r="B34" s="28"/>
      <c r="C34" s="28"/>
      <c r="D34" s="28"/>
      <c r="E34" s="28" t="str">
        <f>IF('Event Tree Input'!D9="Seismic Hazard","Seismic Hazard","")</f>
        <v>Seismic Hazard</v>
      </c>
      <c r="F34" s="28"/>
      <c r="G34" s="28"/>
      <c r="H34" s="28"/>
      <c r="I34" s="28"/>
      <c r="J34" s="28"/>
      <c r="K34" s="28"/>
      <c r="L34" s="28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M34" s="28"/>
      <c r="N34" s="28"/>
      <c r="O34" s="28"/>
      <c r="P34" s="35"/>
      <c r="W34" s="35"/>
      <c r="AC34" s="40"/>
      <c r="AD34" s="35"/>
      <c r="AK34" s="35"/>
      <c r="AL34" s="27"/>
      <c r="AM34" s="27"/>
      <c r="AN34" s="27"/>
      <c r="AO34" s="27"/>
      <c r="AP34" s="27"/>
      <c r="AQ34" s="27"/>
      <c r="AR34" s="36"/>
      <c r="AS34" s="37"/>
      <c r="AT34" s="37"/>
      <c r="AU34" s="37"/>
      <c r="AV34" s="37"/>
      <c r="AW34" s="37"/>
      <c r="AX34" s="37"/>
      <c r="BD34" s="16"/>
      <c r="BE34" s="16"/>
      <c r="BF34" s="16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Y34" s="27"/>
      <c r="BZ34" s="27"/>
      <c r="CA34" s="27"/>
      <c r="CB34" s="14"/>
      <c r="CC34" s="14"/>
      <c r="CD34" s="14"/>
      <c r="CE34" s="4"/>
    </row>
    <row r="35" spans="2:83" ht="15" customHeight="1" x14ac:dyDescent="0.2">
      <c r="P35" s="35"/>
      <c r="W35" s="35"/>
      <c r="AD35" s="38"/>
      <c r="AE35" s="34"/>
      <c r="AF35" s="34"/>
      <c r="AG35" s="34"/>
      <c r="AH35" s="34"/>
      <c r="AI35" s="34"/>
      <c r="AJ35" s="34"/>
      <c r="AK35" s="35"/>
      <c r="AL35" s="27"/>
      <c r="AM35" s="27"/>
      <c r="AN35" s="27"/>
      <c r="AO35" s="27"/>
      <c r="AP35" s="27"/>
      <c r="AQ35" s="27"/>
      <c r="BC35" s="16"/>
      <c r="BD35" s="16"/>
      <c r="BE35" s="16"/>
      <c r="BF35" s="16"/>
      <c r="BN35" s="35"/>
      <c r="BO35" s="27"/>
      <c r="BP35" s="32"/>
      <c r="BQ35" s="32"/>
      <c r="BR35" s="32"/>
      <c r="BS35" s="32"/>
      <c r="BT35" s="32"/>
      <c r="BY35" s="27"/>
      <c r="BZ35" s="27"/>
      <c r="CA35" s="27"/>
      <c r="CB35" s="14"/>
      <c r="CC35" s="14"/>
      <c r="CD35" s="14"/>
      <c r="CE35" s="4"/>
    </row>
    <row r="36" spans="2:83" ht="15" customHeight="1" x14ac:dyDescent="0.2">
      <c r="I36" s="39"/>
      <c r="J36" s="39"/>
      <c r="K36" s="39"/>
      <c r="L36" s="39"/>
      <c r="M36" s="39"/>
      <c r="N36" s="39"/>
      <c r="O36" s="39"/>
      <c r="P36" s="35"/>
      <c r="W36" s="35"/>
      <c r="AA36" s="16"/>
      <c r="AB36" s="16"/>
      <c r="AC36" s="16"/>
      <c r="AE36" s="27"/>
      <c r="AF36" s="27"/>
      <c r="AG36" s="27"/>
      <c r="AH36" s="27"/>
      <c r="AI36" s="27"/>
      <c r="AJ36" s="27"/>
      <c r="AK36" s="35"/>
      <c r="AL36" s="27"/>
      <c r="AM36" s="27"/>
      <c r="AN36" s="27"/>
      <c r="AO36" s="27"/>
      <c r="AP36" s="27"/>
      <c r="AQ36" s="27"/>
      <c r="BC36" s="16"/>
      <c r="BD36" s="16"/>
      <c r="BE36" s="16"/>
      <c r="BF36" s="16"/>
      <c r="BH36" s="27"/>
      <c r="BI36" s="27"/>
      <c r="BJ36" s="27"/>
      <c r="BK36" s="27"/>
      <c r="BL36" s="27"/>
      <c r="BM36" s="27"/>
      <c r="BO36" s="27"/>
      <c r="BP36" s="27"/>
      <c r="BY36" s="27"/>
      <c r="BZ36" s="27"/>
      <c r="CA36" s="27"/>
      <c r="CB36" s="14"/>
      <c r="CC36" s="14"/>
      <c r="CD36" s="14"/>
      <c r="CE36" s="4"/>
    </row>
    <row r="37" spans="2:83" ht="15" customHeight="1" x14ac:dyDescent="0.2">
      <c r="P37" s="35"/>
      <c r="W37" s="36"/>
      <c r="X37" s="37"/>
      <c r="Y37" s="37"/>
      <c r="Z37" s="37"/>
      <c r="AA37" s="37"/>
      <c r="AB37" s="37"/>
      <c r="AC37" s="37"/>
      <c r="AE37" s="27"/>
      <c r="AF37" s="27"/>
      <c r="AG37" s="27"/>
      <c r="AH37" s="27"/>
      <c r="AI37" s="27"/>
      <c r="AJ37" s="27"/>
      <c r="AK37" s="36"/>
      <c r="AL37" s="37"/>
      <c r="AM37" s="37"/>
      <c r="AN37" s="37"/>
      <c r="AO37" s="37"/>
      <c r="AP37" s="37"/>
      <c r="AQ37" s="37"/>
      <c r="AU37" s="16"/>
      <c r="AV37" s="16"/>
      <c r="AW37" s="16"/>
      <c r="AX37" s="16"/>
      <c r="AY37" s="16"/>
      <c r="AZ37" s="16"/>
      <c r="BA37" s="16"/>
      <c r="BB37" s="32"/>
      <c r="BC37" s="32"/>
      <c r="BD37" s="32"/>
      <c r="BE37" s="32"/>
      <c r="BF37" s="32"/>
      <c r="BH37" s="27"/>
      <c r="BI37" s="27"/>
      <c r="BJ37" s="27"/>
      <c r="BK37" s="27"/>
      <c r="BL37" s="27"/>
      <c r="BM37" s="27"/>
      <c r="BO37" s="27"/>
      <c r="BP37" s="27"/>
      <c r="BR37" s="27"/>
      <c r="BS37" s="27"/>
      <c r="BT37" s="27"/>
      <c r="BU37" s="27"/>
      <c r="BV37" s="27"/>
      <c r="BW37" s="27"/>
      <c r="BY37" s="27"/>
      <c r="BZ37" s="27"/>
      <c r="CA37" s="27"/>
      <c r="CB37" s="14"/>
      <c r="CC37" s="14"/>
      <c r="CD37" s="14"/>
      <c r="CE37" s="4"/>
    </row>
    <row r="38" spans="2:83" ht="15" customHeight="1" x14ac:dyDescent="0.2">
      <c r="P38" s="35"/>
      <c r="AC38" s="38"/>
      <c r="AE38" s="27"/>
      <c r="AF38" s="27"/>
      <c r="AG38" s="27"/>
      <c r="AH38" s="27"/>
      <c r="AI38" s="27"/>
      <c r="AJ38" s="27"/>
      <c r="AT38" s="16"/>
      <c r="AU38" s="16"/>
      <c r="AV38" s="16"/>
      <c r="AW38" s="16"/>
      <c r="AX38" s="16"/>
      <c r="AY38" s="16"/>
      <c r="AZ38" s="16"/>
      <c r="BA38" s="16"/>
      <c r="BB38" s="32"/>
      <c r="BD38" s="27"/>
      <c r="BE38" s="27"/>
      <c r="BF38" s="27"/>
      <c r="BH38" s="27"/>
      <c r="BI38" s="27"/>
      <c r="BJ38" s="27"/>
      <c r="BK38" s="27"/>
      <c r="BL38" s="27"/>
      <c r="BM38" s="27"/>
      <c r="BN38" s="39"/>
      <c r="BO38" s="37"/>
      <c r="BR38" s="27"/>
      <c r="BS38" s="27"/>
      <c r="BT38" s="27"/>
      <c r="BU38" s="27"/>
      <c r="BV38" s="27"/>
      <c r="BW38" s="27"/>
      <c r="BY38" s="27"/>
      <c r="BZ38" s="27"/>
      <c r="CA38" s="27"/>
      <c r="CB38" s="14"/>
      <c r="CC38" s="14"/>
      <c r="CD38" s="14"/>
      <c r="CE38" s="4"/>
    </row>
    <row r="39" spans="2:83" ht="15" customHeight="1" x14ac:dyDescent="0.2">
      <c r="P39" s="35"/>
      <c r="X39" s="16"/>
      <c r="Y39" s="16"/>
      <c r="Z39" s="16"/>
      <c r="AA39" s="16"/>
      <c r="AB39" s="16"/>
      <c r="AC39" s="16"/>
      <c r="AE39" s="27"/>
      <c r="AF39" s="27"/>
      <c r="AG39" s="27"/>
      <c r="AH39" s="27"/>
      <c r="AI39" s="27"/>
      <c r="AJ39" s="27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27"/>
      <c r="BA39" s="27"/>
      <c r="BB39" s="27"/>
      <c r="BC39" s="27"/>
      <c r="BD39" s="27"/>
      <c r="BE39" s="27"/>
      <c r="BF39" s="27"/>
      <c r="BH39" s="27"/>
      <c r="BI39" s="27"/>
      <c r="BJ39" s="27"/>
      <c r="BK39" s="27"/>
      <c r="BL39" s="27"/>
      <c r="BM39" s="27"/>
      <c r="BR39" s="27"/>
      <c r="BS39" s="27"/>
      <c r="BT39" s="27"/>
      <c r="BU39" s="27"/>
      <c r="BV39" s="27"/>
      <c r="BW39" s="27"/>
      <c r="BY39" s="27"/>
      <c r="BZ39" s="27"/>
      <c r="CA39" s="27"/>
      <c r="CB39" s="14"/>
      <c r="CC39" s="14"/>
      <c r="CD39" s="14"/>
      <c r="CE39" s="4"/>
    </row>
    <row r="40" spans="2:83" ht="15" customHeight="1" x14ac:dyDescent="0.2">
      <c r="P40" s="36"/>
      <c r="Q40" s="37"/>
      <c r="R40" s="37"/>
      <c r="S40" s="37"/>
      <c r="T40" s="37"/>
      <c r="U40" s="37"/>
      <c r="V40" s="37"/>
      <c r="X40" s="16"/>
      <c r="Y40" s="16"/>
      <c r="Z40" s="16"/>
      <c r="AA40" s="16"/>
      <c r="AB40" s="16"/>
      <c r="AC40" s="16"/>
      <c r="AE40" s="27"/>
      <c r="AF40" s="27"/>
      <c r="AG40" s="27"/>
      <c r="AH40" s="27"/>
      <c r="AI40" s="27"/>
      <c r="AJ40" s="27"/>
      <c r="AK40" s="32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H40" s="27"/>
      <c r="BI40" s="27"/>
      <c r="BJ40" s="27"/>
      <c r="BK40" s="27"/>
      <c r="BL40" s="27"/>
      <c r="BM40" s="27"/>
      <c r="BP40" s="27"/>
      <c r="BR40" s="27"/>
      <c r="BS40" s="27"/>
      <c r="BT40" s="27"/>
      <c r="BU40" s="27"/>
      <c r="BV40" s="27"/>
      <c r="BW40" s="27"/>
      <c r="CB40" s="4"/>
      <c r="CC40" s="4"/>
      <c r="CD40" s="4"/>
      <c r="CE40" s="4"/>
    </row>
    <row r="41" spans="2:83" ht="15" customHeight="1" x14ac:dyDescent="0.2">
      <c r="C41" s="28"/>
      <c r="D41" s="28"/>
      <c r="E41" s="28"/>
      <c r="F41" s="28"/>
      <c r="G41" s="28"/>
      <c r="H41" s="28"/>
      <c r="J41" s="28"/>
      <c r="K41" s="28"/>
      <c r="L41" s="28"/>
      <c r="M41" s="28"/>
      <c r="N41" s="28"/>
      <c r="O41" s="28"/>
      <c r="V41" s="38"/>
      <c r="X41" s="16"/>
      <c r="Y41" s="16"/>
      <c r="Z41" s="16"/>
      <c r="AA41" s="16"/>
      <c r="AB41" s="16"/>
      <c r="AC41" s="16"/>
      <c r="AK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H41" s="27"/>
      <c r="BI41" s="27"/>
      <c r="BJ41" s="27"/>
      <c r="BK41" s="27"/>
      <c r="BL41" s="27"/>
      <c r="BM41" s="27"/>
      <c r="BO41" s="16"/>
      <c r="BP41" s="27"/>
      <c r="BR41" s="27"/>
      <c r="BS41" s="27"/>
      <c r="BT41" s="27"/>
      <c r="BU41" s="27"/>
      <c r="BV41" s="27"/>
      <c r="BW41" s="27"/>
      <c r="CB41" s="4"/>
      <c r="CC41" s="4"/>
      <c r="CD41" s="4"/>
      <c r="CE41" s="4"/>
    </row>
    <row r="42" spans="2:83" ht="15" customHeight="1" x14ac:dyDescent="0.2"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32"/>
      <c r="AM42" s="27"/>
      <c r="AN42" s="27"/>
      <c r="AO42" s="27"/>
      <c r="AP42" s="27"/>
      <c r="AQ42" s="27"/>
      <c r="AR42" s="27"/>
      <c r="AT42" s="27"/>
      <c r="AU42" s="27"/>
      <c r="AV42" s="27"/>
      <c r="AW42" s="27"/>
      <c r="AX42" s="27"/>
      <c r="AY42" s="27"/>
      <c r="BA42" s="27"/>
      <c r="BB42" s="27"/>
      <c r="BC42" s="27"/>
      <c r="BD42" s="27"/>
      <c r="BE42" s="27"/>
      <c r="BF42" s="27"/>
      <c r="BO42" s="16"/>
      <c r="BP42" s="27"/>
      <c r="BR42" s="27"/>
      <c r="BS42" s="27"/>
      <c r="BT42" s="27"/>
      <c r="BU42" s="27"/>
      <c r="BV42" s="27"/>
      <c r="BW42" s="27"/>
      <c r="CB42" s="4"/>
      <c r="CC42" s="10"/>
      <c r="CD42" s="10"/>
      <c r="CE42" s="10"/>
    </row>
    <row r="43" spans="2:83" ht="15" customHeight="1" x14ac:dyDescent="0.2">
      <c r="Q43" s="27"/>
      <c r="R43" s="27"/>
      <c r="S43" s="27"/>
      <c r="T43" s="27"/>
      <c r="U43" s="27"/>
      <c r="V43" s="27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32"/>
      <c r="AM43" s="32"/>
      <c r="AN43" s="32"/>
      <c r="AO43" s="32"/>
      <c r="AP43" s="32"/>
      <c r="AT43" s="27"/>
      <c r="AU43" s="27"/>
      <c r="AV43" s="27"/>
      <c r="AW43" s="27"/>
      <c r="AX43" s="27"/>
      <c r="AY43" s="27"/>
      <c r="BA43" s="27"/>
      <c r="BB43" s="27"/>
      <c r="BC43" s="27"/>
      <c r="BD43" s="27"/>
      <c r="BE43" s="27"/>
      <c r="BF43" s="27"/>
      <c r="BO43" s="16"/>
      <c r="BP43" s="27"/>
      <c r="CB43" s="10"/>
      <c r="CC43" s="10"/>
      <c r="CD43" s="10"/>
      <c r="CE43" s="10"/>
    </row>
    <row r="44" spans="2:83" ht="15" customHeight="1" x14ac:dyDescent="0.2">
      <c r="Q44" s="27"/>
      <c r="R44" s="27"/>
      <c r="S44" s="27"/>
      <c r="T44" s="27"/>
      <c r="U44" s="27"/>
      <c r="V44" s="27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27"/>
      <c r="AT44" s="27"/>
      <c r="AU44" s="27"/>
      <c r="AV44" s="27"/>
      <c r="AW44" s="27"/>
      <c r="AX44" s="27"/>
      <c r="AY44" s="27"/>
      <c r="BA44" s="27"/>
      <c r="BB44" s="27"/>
      <c r="BC44" s="27"/>
      <c r="BD44" s="27"/>
      <c r="BE44" s="27"/>
      <c r="BF44" s="27"/>
      <c r="BL44" s="16"/>
      <c r="BM44" s="16"/>
      <c r="BN44" s="16"/>
      <c r="BO44" s="16"/>
      <c r="BP44" s="27"/>
      <c r="CB44" s="10"/>
      <c r="CC44" s="10"/>
      <c r="CD44" s="10"/>
      <c r="CE44" s="10"/>
    </row>
    <row r="45" spans="2:83" ht="15" customHeight="1" x14ac:dyDescent="0.2">
      <c r="Q45" s="27"/>
      <c r="R45" s="27"/>
      <c r="S45" s="27"/>
      <c r="T45" s="27"/>
      <c r="U45" s="27"/>
      <c r="V45" s="27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27"/>
      <c r="AM45" s="27"/>
      <c r="AN45" s="27"/>
      <c r="AO45" s="27"/>
      <c r="AP45" s="27"/>
      <c r="AQ45" s="27"/>
      <c r="AR45" s="27"/>
      <c r="AT45" s="27"/>
      <c r="AU45" s="27"/>
      <c r="AV45" s="27"/>
      <c r="AW45" s="27"/>
      <c r="AX45" s="27"/>
      <c r="AY45" s="27"/>
      <c r="BK45" s="16"/>
      <c r="BL45" s="16"/>
      <c r="BM45" s="16"/>
      <c r="BN45" s="16">
        <v>2</v>
      </c>
      <c r="BO45" s="16"/>
      <c r="BP45" s="27"/>
      <c r="BT45" s="16"/>
      <c r="BU45" s="16"/>
      <c r="BV45" s="16"/>
      <c r="BW45" s="16"/>
      <c r="BX45" s="16"/>
      <c r="BY45" s="16"/>
      <c r="BZ45" s="16"/>
      <c r="CA45" s="16"/>
      <c r="CB45" s="10"/>
      <c r="CC45" s="10"/>
      <c r="CD45" s="10"/>
      <c r="CE45" s="10"/>
    </row>
    <row r="46" spans="2:83" ht="15" customHeight="1" x14ac:dyDescent="0.2">
      <c r="Q46" s="27"/>
      <c r="R46" s="27"/>
      <c r="S46" s="27"/>
      <c r="T46" s="27"/>
      <c r="U46" s="27"/>
      <c r="V46" s="27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M46" s="27"/>
      <c r="AN46" s="27"/>
      <c r="AO46" s="27"/>
      <c r="AP46" s="27"/>
      <c r="AQ46" s="27"/>
      <c r="AR46" s="27"/>
      <c r="AT46" s="27"/>
      <c r="AU46" s="27"/>
      <c r="AV46" s="27"/>
      <c r="AW46" s="27"/>
      <c r="AX46" s="27"/>
      <c r="AY46" s="27"/>
      <c r="BK46" s="16"/>
      <c r="BL46" s="16"/>
      <c r="BM46" s="16"/>
      <c r="BN46" s="16"/>
      <c r="BO46" s="16"/>
      <c r="BS46" s="16"/>
      <c r="BT46" s="16"/>
      <c r="BU46" s="16"/>
      <c r="BV46" s="16"/>
      <c r="BW46" s="16"/>
      <c r="BX46" s="16"/>
      <c r="BY46" s="16"/>
      <c r="BZ46" s="16"/>
      <c r="CA46" s="16"/>
      <c r="CB46" s="10"/>
      <c r="CC46" s="10"/>
      <c r="CD46" s="10"/>
      <c r="CE46" s="10"/>
    </row>
    <row r="47" spans="2:83" ht="15" customHeight="1" x14ac:dyDescent="0.2"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M47" s="27"/>
      <c r="AN47" s="27"/>
      <c r="AO47" s="27"/>
      <c r="AP47" s="27"/>
      <c r="AQ47" s="27"/>
      <c r="AR47" s="27"/>
      <c r="AT47" s="27"/>
      <c r="AU47" s="27"/>
      <c r="AV47" s="27"/>
      <c r="AW47" s="27"/>
      <c r="AX47" s="27"/>
      <c r="AY47" s="27"/>
      <c r="BC47" s="16"/>
      <c r="BD47" s="16"/>
      <c r="BE47" s="16"/>
      <c r="BF47" s="16"/>
      <c r="BG47" s="16"/>
      <c r="BH47" s="16"/>
      <c r="BI47" s="16"/>
      <c r="BJ47" s="32"/>
      <c r="BK47" s="32"/>
      <c r="BL47" s="32"/>
      <c r="BM47" s="32"/>
      <c r="BN47" s="32"/>
      <c r="BO47" s="32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0"/>
      <c r="CC47" s="10"/>
      <c r="CD47" s="10"/>
      <c r="CE47" s="10"/>
    </row>
    <row r="48" spans="2:83" ht="15" customHeight="1" x14ac:dyDescent="0.2"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27"/>
      <c r="AM48" s="27"/>
      <c r="AN48" s="27"/>
      <c r="AO48" s="27"/>
      <c r="AP48" s="27"/>
      <c r="AQ48" s="27"/>
      <c r="AR48" s="27"/>
      <c r="BB48" s="16"/>
      <c r="BC48" s="16"/>
      <c r="BD48" s="16"/>
      <c r="BE48" s="16"/>
      <c r="BF48" s="16"/>
      <c r="BG48" s="16"/>
      <c r="BH48" s="16"/>
      <c r="BI48" s="16"/>
      <c r="BJ48" s="32"/>
      <c r="BL48" s="27"/>
      <c r="BM48" s="27"/>
      <c r="BN48" s="27"/>
      <c r="BO48" s="27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0"/>
      <c r="CC48" s="10"/>
      <c r="CD48" s="10"/>
      <c r="CE48" s="10"/>
    </row>
    <row r="49" spans="1:83" ht="15" customHeight="1" x14ac:dyDescent="0.2"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27"/>
      <c r="AM49" s="27"/>
      <c r="AN49" s="27"/>
      <c r="AO49" s="27"/>
      <c r="AP49" s="27"/>
      <c r="AQ49" s="27"/>
      <c r="AR49" s="27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32"/>
      <c r="BL49" s="32"/>
      <c r="BM49" s="32"/>
      <c r="BN49" s="32"/>
      <c r="BO49" s="32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0"/>
      <c r="CC49" s="10"/>
      <c r="CD49" s="10"/>
      <c r="CE49" s="10"/>
    </row>
    <row r="50" spans="1:83" ht="15" customHeight="1" x14ac:dyDescent="0.2"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27"/>
      <c r="AM50" s="27"/>
      <c r="AN50" s="27"/>
      <c r="AO50" s="27"/>
      <c r="AP50" s="27"/>
      <c r="AQ50" s="27"/>
      <c r="AR50" s="27"/>
      <c r="AU50" s="16"/>
      <c r="AV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32"/>
      <c r="BL50" s="32"/>
      <c r="BM50" s="32"/>
      <c r="BN50" s="32"/>
      <c r="BO50" s="32"/>
    </row>
    <row r="51" spans="1:83" ht="15" customHeight="1" x14ac:dyDescent="0.2"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27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32"/>
      <c r="BL51" s="32"/>
      <c r="BM51" s="32"/>
      <c r="BN51" s="32"/>
      <c r="BO51" s="32"/>
    </row>
    <row r="52" spans="1:83" ht="15" customHeight="1" x14ac:dyDescent="0.2"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27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32"/>
      <c r="BL52" s="32"/>
      <c r="BM52" s="32"/>
      <c r="BN52" s="32"/>
      <c r="BO52" s="32"/>
    </row>
    <row r="53" spans="1:83" s="8" customFormat="1" ht="15" customHeight="1" x14ac:dyDescent="0.2">
      <c r="A53" s="48" t="s">
        <v>19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  <c r="BG53" s="48"/>
      <c r="BH53" s="48"/>
      <c r="BI53" s="48"/>
      <c r="BJ53" s="48"/>
      <c r="BK53" s="48"/>
      <c r="BL53" s="48"/>
      <c r="BM53" s="48"/>
      <c r="BN53" s="48"/>
      <c r="BO53" s="48"/>
      <c r="BP53" s="48"/>
      <c r="BQ53" s="48"/>
      <c r="BR53" s="48"/>
      <c r="BS53" s="48"/>
      <c r="BT53" s="48"/>
      <c r="BU53" s="48"/>
      <c r="BV53" s="48"/>
      <c r="BW53" s="48"/>
      <c r="BX53" s="48"/>
      <c r="BY53" s="48"/>
      <c r="BZ53" s="48"/>
      <c r="CA53" s="48"/>
    </row>
    <row r="55" spans="1:83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Yes</v>
      </c>
      <c r="G55" s="49"/>
      <c r="I55" s="45" t="s">
        <v>17</v>
      </c>
      <c r="J55" s="45"/>
      <c r="K55" s="49" t="s">
        <v>23</v>
      </c>
      <c r="L55" s="49"/>
      <c r="M55" s="49"/>
      <c r="N55" s="49" t="s">
        <v>24</v>
      </c>
      <c r="O55" s="49"/>
      <c r="P55" s="49"/>
    </row>
    <row r="56" spans="1:83" ht="15" customHeight="1" x14ac:dyDescent="0.2">
      <c r="I56" s="45"/>
      <c r="J56" s="45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83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83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83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83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83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83" ht="15" customHeight="1" x14ac:dyDescent="0.2">
      <c r="I62" s="49">
        <v>6</v>
      </c>
      <c r="J62" s="49"/>
      <c r="K62" s="49" t="str">
        <f>'Event Tree Input'!B163</f>
        <v>Triangle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83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83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3"/>
      <c r="N67" s="13"/>
      <c r="O67" s="13"/>
    </row>
    <row r="68" spans="2:26" ht="15" customHeight="1" x14ac:dyDescent="0.2">
      <c r="B68" s="46" t="str">
        <f>'Event Tree Input'!A27</f>
        <v>Node 1 Callout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16"/>
    </row>
    <row r="69" spans="2:26" ht="15" customHeight="1" x14ac:dyDescent="0.2"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16"/>
    </row>
    <row r="70" spans="2:26" ht="15" customHeight="1" x14ac:dyDescent="0.2"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16"/>
      <c r="X70" s="17"/>
      <c r="Y70" s="16"/>
    </row>
    <row r="71" spans="2:26" ht="15" customHeight="1" x14ac:dyDescent="0.2"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16"/>
      <c r="X71" s="17"/>
      <c r="Y71" s="16"/>
    </row>
    <row r="72" spans="2:26" ht="15" customHeight="1" x14ac:dyDescent="0.2"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16"/>
      <c r="X72" s="17"/>
      <c r="Y72" s="16"/>
    </row>
    <row r="73" spans="2:26" ht="15" customHeight="1" x14ac:dyDescent="0.2"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16"/>
      <c r="X73" s="17"/>
      <c r="Y73" s="16"/>
    </row>
    <row r="74" spans="2:26" ht="15" customHeight="1" x14ac:dyDescent="0.2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7"/>
      <c r="Y74" s="16"/>
    </row>
    <row r="75" spans="2:26" ht="15" customHeight="1" x14ac:dyDescent="0.2">
      <c r="B75" s="3" t="s">
        <v>39</v>
      </c>
      <c r="M75" s="13"/>
      <c r="N75" s="13"/>
      <c r="O75" s="13"/>
      <c r="W75" s="16"/>
      <c r="X75" s="16"/>
      <c r="Y75" s="16"/>
    </row>
    <row r="76" spans="2:26" ht="15" customHeight="1" x14ac:dyDescent="0.2">
      <c r="B76" s="46" t="str">
        <f>'Event Tree Input'!A41</f>
        <v>Node 2 Callout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</row>
    <row r="77" spans="2:26" ht="15" customHeight="1" x14ac:dyDescent="0.2"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17"/>
      <c r="X77" s="17"/>
    </row>
    <row r="78" spans="2:26" ht="15" customHeight="1" x14ac:dyDescent="0.2"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17"/>
      <c r="X78" s="17"/>
    </row>
    <row r="79" spans="2:26" ht="15" customHeight="1" x14ac:dyDescent="0.2"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17"/>
      <c r="X79" s="17"/>
    </row>
    <row r="80" spans="2:26" ht="15" customHeight="1" x14ac:dyDescent="0.2"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17"/>
      <c r="X80" s="17"/>
    </row>
    <row r="81" spans="2:24" ht="15" customHeight="1" x14ac:dyDescent="0.2"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17"/>
      <c r="X81" s="17"/>
    </row>
    <row r="83" spans="2:24" ht="15" customHeight="1" x14ac:dyDescent="0.2">
      <c r="B83" s="3" t="s">
        <v>40</v>
      </c>
      <c r="M83" s="13"/>
      <c r="N83" s="13"/>
      <c r="O83" s="13"/>
    </row>
    <row r="84" spans="2:24" ht="15" customHeight="1" x14ac:dyDescent="0.2">
      <c r="B84" s="46" t="str">
        <f>'Event Tree Input'!A55</f>
        <v>Node 3 Callout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</row>
    <row r="85" spans="2:24" ht="15" customHeight="1" x14ac:dyDescent="0.2"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</row>
    <row r="86" spans="2:24" ht="15" customHeight="1" x14ac:dyDescent="0.2"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</row>
    <row r="87" spans="2:24" ht="15" customHeight="1" x14ac:dyDescent="0.2"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</row>
    <row r="88" spans="2:24" ht="15" customHeight="1" x14ac:dyDescent="0.2"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</row>
    <row r="89" spans="2:24" ht="15" customHeight="1" x14ac:dyDescent="0.2"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</row>
    <row r="91" spans="2:24" ht="15" customHeight="1" x14ac:dyDescent="0.2">
      <c r="B91" s="3" t="s">
        <v>41</v>
      </c>
      <c r="M91" s="13"/>
      <c r="N91" s="13"/>
      <c r="O91" s="13"/>
    </row>
    <row r="92" spans="2:24" ht="15" customHeight="1" x14ac:dyDescent="0.2">
      <c r="B92" s="46" t="str">
        <f>'Event Tree Input'!A69</f>
        <v>Node 4 Callout</v>
      </c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</row>
    <row r="93" spans="2:24" ht="15" customHeight="1" x14ac:dyDescent="0.2"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</row>
    <row r="94" spans="2:24" ht="15" customHeight="1" x14ac:dyDescent="0.2"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</row>
    <row r="95" spans="2:24" ht="15" customHeight="1" x14ac:dyDescent="0.2"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</row>
    <row r="96" spans="2:24" ht="15" customHeight="1" x14ac:dyDescent="0.2"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</row>
    <row r="97" spans="2:22" ht="15" customHeight="1" x14ac:dyDescent="0.2"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</row>
    <row r="99" spans="2:22" ht="15" customHeight="1" x14ac:dyDescent="0.2">
      <c r="B99" s="3" t="s">
        <v>42</v>
      </c>
      <c r="M99" s="13"/>
      <c r="N99" s="13"/>
      <c r="O99" s="13"/>
    </row>
    <row r="100" spans="2:22" ht="15" customHeight="1" x14ac:dyDescent="0.2">
      <c r="B100" s="46" t="str">
        <f>'Event Tree Input'!A83</f>
        <v>Node 5 Callout</v>
      </c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</row>
    <row r="101" spans="2:22" ht="15" customHeight="1" x14ac:dyDescent="0.2"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</row>
    <row r="102" spans="2:22" ht="15" customHeight="1" x14ac:dyDescent="0.2"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</row>
    <row r="103" spans="2:22" ht="15" customHeight="1" x14ac:dyDescent="0.2"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</row>
    <row r="104" spans="2:22" ht="15" customHeight="1" x14ac:dyDescent="0.2"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</row>
    <row r="105" spans="2:22" ht="15" customHeight="1" x14ac:dyDescent="0.2"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</row>
    <row r="107" spans="2:22" ht="15" customHeight="1" x14ac:dyDescent="0.2">
      <c r="B107" s="3" t="s">
        <v>43</v>
      </c>
      <c r="M107" s="13"/>
      <c r="N107" s="13"/>
      <c r="O107" s="13"/>
    </row>
    <row r="108" spans="2:22" ht="15" customHeight="1" x14ac:dyDescent="0.2">
      <c r="B108" s="46" t="str">
        <f>'Event Tree Input'!A97</f>
        <v>Node 6 Callout</v>
      </c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</row>
    <row r="109" spans="2:22" ht="15" customHeight="1" x14ac:dyDescent="0.2"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</row>
    <row r="110" spans="2:22" ht="15" customHeight="1" x14ac:dyDescent="0.2"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</row>
    <row r="111" spans="2:22" ht="15" customHeight="1" x14ac:dyDescent="0.2"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</row>
    <row r="112" spans="2:22" ht="15" customHeight="1" x14ac:dyDescent="0.2"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</row>
    <row r="113" spans="2:22" ht="15" customHeight="1" x14ac:dyDescent="0.2"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</row>
    <row r="115" spans="2:22" ht="15" customHeight="1" x14ac:dyDescent="0.2">
      <c r="B115" s="3" t="s">
        <v>44</v>
      </c>
      <c r="M115" s="13"/>
      <c r="N115" s="13"/>
      <c r="O115" s="13"/>
    </row>
    <row r="116" spans="2:22" ht="15" customHeight="1" x14ac:dyDescent="0.2">
      <c r="B116" s="46" t="str">
        <f>'Event Tree Input'!A111</f>
        <v>Node 7 Callout</v>
      </c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</row>
    <row r="117" spans="2:22" ht="15" customHeight="1" x14ac:dyDescent="0.2"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</row>
    <row r="118" spans="2:22" ht="15" customHeight="1" x14ac:dyDescent="0.2"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</row>
    <row r="119" spans="2:22" ht="15" customHeight="1" x14ac:dyDescent="0.2"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</row>
    <row r="120" spans="2:22" ht="15" customHeight="1" x14ac:dyDescent="0.2"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</row>
    <row r="121" spans="2:22" ht="15" customHeight="1" x14ac:dyDescent="0.2"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</row>
    <row r="123" spans="2:22" ht="15" customHeight="1" x14ac:dyDescent="0.2">
      <c r="B123" s="3" t="s">
        <v>45</v>
      </c>
      <c r="M123" s="13"/>
      <c r="N123" s="13"/>
      <c r="O123" s="13"/>
    </row>
    <row r="124" spans="2:22" ht="15" customHeight="1" x14ac:dyDescent="0.2">
      <c r="B124" s="46" t="str">
        <f>'Event Tree Input'!A125</f>
        <v>Node 8 Callout</v>
      </c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</row>
    <row r="125" spans="2:22" ht="15" customHeight="1" x14ac:dyDescent="0.2"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</row>
    <row r="126" spans="2:22" ht="15" customHeight="1" x14ac:dyDescent="0.2"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</row>
    <row r="127" spans="2:22" ht="15" customHeight="1" x14ac:dyDescent="0.2"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</row>
    <row r="128" spans="2:22" ht="15" customHeight="1" x14ac:dyDescent="0.2"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</row>
    <row r="129" spans="2:22" ht="15" customHeight="1" x14ac:dyDescent="0.2"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</row>
    <row r="131" spans="2:22" ht="15" customHeight="1" x14ac:dyDescent="0.2">
      <c r="B131" s="3" t="s">
        <v>46</v>
      </c>
      <c r="M131" s="13"/>
      <c r="N131" s="13"/>
      <c r="O131" s="13"/>
    </row>
    <row r="132" spans="2:22" ht="15" customHeight="1" x14ac:dyDescent="0.2">
      <c r="B132" s="46" t="str">
        <f>'Event Tree Input'!A139</f>
        <v>Node 9 Callout</v>
      </c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</row>
    <row r="133" spans="2:22" ht="15" customHeight="1" x14ac:dyDescent="0.2"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</row>
    <row r="134" spans="2:22" ht="15" customHeight="1" x14ac:dyDescent="0.2"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</row>
    <row r="135" spans="2:22" ht="15" customHeight="1" x14ac:dyDescent="0.2"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</row>
    <row r="136" spans="2:22" ht="15" customHeight="1" x14ac:dyDescent="0.2"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</row>
    <row r="137" spans="2:22" ht="15" customHeight="1" x14ac:dyDescent="0.2"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</row>
  </sheetData>
  <mergeCells count="89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8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57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BP22:BS22 BM16:BN16 BM17:BM20</xm:sqref>
        </x14:conditionalFormatting>
        <x14:conditionalFormatting xmlns:xm="http://schemas.microsoft.com/office/excel/2006/main">
          <x14:cfRule type="expression" priority="56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BF19:BG19 BG25:BL25 BF25:BF29 BF20:BF21</xm:sqref>
        </x14:conditionalFormatting>
        <x14:conditionalFormatting xmlns:xm="http://schemas.microsoft.com/office/excel/2006/main">
          <x14:cfRule type="expression" priority="55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AY25:BE25 AY32:BE32 AZ26 AY27:AY31</xm:sqref>
        </x14:conditionalFormatting>
        <x14:conditionalFormatting xmlns:xm="http://schemas.microsoft.com/office/excel/2006/main">
          <x14:cfRule type="expression" priority="54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AR28:AX28 AR35:AX35 AR29:AS29 AR30:AR34</xm:sqref>
        </x14:conditionalFormatting>
        <x14:conditionalFormatting xmlns:xm="http://schemas.microsoft.com/office/excel/2006/main">
          <x14:cfRule type="expression" priority="53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AK31:AQ31 AK38:AQ38 AK32:AL32 AK33:AK37 BC38:BC42 AL40:AL44</xm:sqref>
        </x14:conditionalFormatting>
        <x14:conditionalFormatting xmlns:xm="http://schemas.microsoft.com/office/excel/2006/main">
          <x14:cfRule type="expression" priority="52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AE34:AJ34 AD41:AJ41 AD35:AE35 AD36 AD39:AD40</xm:sqref>
        </x14:conditionalFormatting>
        <x14:conditionalFormatting xmlns:xm="http://schemas.microsoft.com/office/excel/2006/main">
          <x14:cfRule type="expression" priority="51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AC31 Z28:AA28 Z27:AC27 W27:Y28 W29 X34:AB34 W43:W45 W32:W33</xm:sqref>
        </x14:conditionalFormatting>
        <x14:conditionalFormatting xmlns:xm="http://schemas.microsoft.com/office/excel/2006/main">
          <x14:cfRule type="expression" priority="50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B36:H36</xm:sqref>
        </x14:conditionalFormatting>
        <x14:conditionalFormatting xmlns:xm="http://schemas.microsoft.com/office/excel/2006/main">
          <x14:cfRule type="expression" priority="49" id="{6F4D422C-DBF4-4228-9CE2-8EB0976C85E1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AE26</xm:sqref>
        </x14:conditionalFormatting>
        <x14:conditionalFormatting xmlns:xm="http://schemas.microsoft.com/office/excel/2006/main">
          <x14:cfRule type="expression" priority="48" id="{71CFA37F-89EE-46F7-BD6B-64B770084800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AJ26</xm:sqref>
        </x14:conditionalFormatting>
        <x14:conditionalFormatting xmlns:xm="http://schemas.microsoft.com/office/excel/2006/main">
          <x14:cfRule type="expression" priority="47" id="{6732A239-34B9-4627-B90B-E822F3BD5745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AO26</xm:sqref>
        </x14:conditionalFormatting>
        <x14:conditionalFormatting xmlns:xm="http://schemas.microsoft.com/office/excel/2006/main">
          <x14:cfRule type="expression" priority="46" id="{57FF6875-8C20-433E-BDF4-F0AAC5C65C09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AS26</xm:sqref>
        </x14:conditionalFormatting>
        <x14:conditionalFormatting xmlns:xm="http://schemas.microsoft.com/office/excel/2006/main">
          <x14:cfRule type="expression" priority="45" id="{AFB6EE15-C943-481B-8A40-75D556B84A95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AU26</xm:sqref>
        </x14:conditionalFormatting>
        <x14:conditionalFormatting xmlns:xm="http://schemas.microsoft.com/office/excel/2006/main">
          <x14:cfRule type="expression" priority="44" id="{E73C2584-D6E4-4B5C-961D-29B65528F620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AD22:AD34</xm:sqref>
        </x14:conditionalFormatting>
        <x14:conditionalFormatting xmlns:xm="http://schemas.microsoft.com/office/excel/2006/main">
          <x14:cfRule type="expression" priority="43" id="{9888C8AD-FD68-4F62-92A6-30914F208988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AY26</xm:sqref>
        </x14:conditionalFormatting>
        <x14:conditionalFormatting xmlns:xm="http://schemas.microsoft.com/office/excel/2006/main">
          <x14:cfRule type="expression" priority="42" id="{85DBB2A0-E194-4C8D-BB33-4FE7921A79E2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CE33:CE37</xm:sqref>
        </x14:conditionalFormatting>
        <x14:conditionalFormatting xmlns:xm="http://schemas.microsoft.com/office/excel/2006/main">
          <x14:cfRule type="expression" priority="41" id="{F09CAC3B-BD2C-4AD2-BD47-E3CD3E347357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BX33:CD33 BX40:CD40 BY34 BX35:BX39</xm:sqref>
        </x14:conditionalFormatting>
        <x14:conditionalFormatting xmlns:xm="http://schemas.microsoft.com/office/excel/2006/main">
          <x14:cfRule type="expression" priority="40" id="{FD4F0E1D-F8CF-4516-A1FE-EF461CAB8A61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BQ36:BW36 BQ43:BW43 BQ37:BR37 BQ38:BQ42</xm:sqref>
        </x14:conditionalFormatting>
        <x14:conditionalFormatting xmlns:xm="http://schemas.microsoft.com/office/excel/2006/main">
          <x14:cfRule type="expression" priority="39" id="{F92829B8-B333-4B9F-9F77-2857BBA79B46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BJ39:BP39 BJ46:BP46 BJ40:BK40 BJ41:BJ45</xm:sqref>
        </x14:conditionalFormatting>
        <x14:conditionalFormatting xmlns:xm="http://schemas.microsoft.com/office/excel/2006/main">
          <x14:cfRule type="expression" priority="38" id="{A99D7C5E-9B8D-4156-BF21-7E44B9567176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BD42:BI42 BC49:BI49 BC43:BD43 BC44:BC48</xm:sqref>
        </x14:conditionalFormatting>
        <x14:conditionalFormatting xmlns:xm="http://schemas.microsoft.com/office/excel/2006/main">
          <x14:cfRule type="expression" priority="37" id="{D42E3E5E-4A6C-4BF5-B08D-87BC1BC1CA2C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BB45</xm:sqref>
        </x14:conditionalFormatting>
        <x14:conditionalFormatting xmlns:xm="http://schemas.microsoft.com/office/excel/2006/main">
          <x14:cfRule type="expression" priority="36" id="{713E2ECE-7D83-451C-9A67-BD498941A36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BD38</xm:sqref>
        </x14:conditionalFormatting>
        <x14:conditionalFormatting xmlns:xm="http://schemas.microsoft.com/office/excel/2006/main">
          <x14:cfRule type="expression" priority="35" id="{4A240110-B87C-4E4A-B3A9-722A70FFB22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BI34</xm:sqref>
        </x14:conditionalFormatting>
        <x14:conditionalFormatting xmlns:xm="http://schemas.microsoft.com/office/excel/2006/main">
          <x14:cfRule type="expression" priority="34" id="{99445A21-76B0-4363-BDAE-0368824C5BB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BN34</xm:sqref>
        </x14:conditionalFormatting>
        <x14:conditionalFormatting xmlns:xm="http://schemas.microsoft.com/office/excel/2006/main">
          <x14:cfRule type="expression" priority="33" id="{F9BE142A-7B1F-4FB1-917A-1E384D57FCA9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BR34</xm:sqref>
        </x14:conditionalFormatting>
        <x14:conditionalFormatting xmlns:xm="http://schemas.microsoft.com/office/excel/2006/main">
          <x14:cfRule type="expression" priority="32" id="{73F27019-57CE-4AD4-80EE-3C6FE004D559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BT34</xm:sqref>
        </x14:conditionalFormatting>
        <x14:conditionalFormatting xmlns:xm="http://schemas.microsoft.com/office/excel/2006/main">
          <x14:cfRule type="expression" priority="30" id="{14CCF0C2-B506-404B-A986-F9FE36E8CB03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BX34</xm:sqref>
        </x14:conditionalFormatting>
        <x14:conditionalFormatting xmlns:xm="http://schemas.microsoft.com/office/excel/2006/main">
          <x14:cfRule type="expression" priority="29" id="{45324CB7-CF2F-46FF-8D34-6F5188D5B139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BN39:BO39 BN35:BN38</xm:sqref>
        </x14:conditionalFormatting>
        <x14:conditionalFormatting xmlns:xm="http://schemas.microsoft.com/office/excel/2006/main">
          <x14:cfRule type="expression" priority="28" id="{F32EDBBC-86D1-48A8-A5AF-B9EEDCEDBDBD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BG35:BM35 BG42:BM42 BH36 BG37:BG41</xm:sqref>
        </x14:conditionalFormatting>
        <x14:conditionalFormatting xmlns:xm="http://schemas.microsoft.com/office/excel/2006/main">
          <x14:cfRule type="expression" priority="27" id="{DDA7821F-A8A7-4885-943C-0DC054F3E9EA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AZ45:BF45 AZ42:AZ44</xm:sqref>
        </x14:conditionalFormatting>
        <x14:conditionalFormatting xmlns:xm="http://schemas.microsoft.com/office/excel/2006/main">
          <x14:cfRule type="expression" priority="26" id="{285A8C93-D34F-4541-8481-CBE05EC5DB34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AS48:AY48 AS42:AT42 AS43:AS47</xm:sqref>
        </x14:conditionalFormatting>
        <x14:conditionalFormatting xmlns:xm="http://schemas.microsoft.com/office/excel/2006/main">
          <x14:cfRule type="expression" priority="25" id="{C42CA3AC-C13F-4F94-B791-24069267F870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AM44:AR44 AL51:AR51 AL45:AM45 AL46:AL50</xm:sqref>
        </x14:conditionalFormatting>
        <x14:conditionalFormatting xmlns:xm="http://schemas.microsoft.com/office/excel/2006/main">
          <x14:cfRule type="expression" priority="24" id="{24F371B3-E512-4420-902A-E732477856F8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AK47</xm:sqref>
        </x14:conditionalFormatting>
        <x14:conditionalFormatting xmlns:xm="http://schemas.microsoft.com/office/excel/2006/main">
          <x14:cfRule type="expression" priority="23" id="{95251C2B-DCDF-4D46-9C5A-C63C37E1CC6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AM40</xm:sqref>
        </x14:conditionalFormatting>
        <x14:conditionalFormatting xmlns:xm="http://schemas.microsoft.com/office/excel/2006/main">
          <x14:cfRule type="expression" priority="22" id="{52C59987-5EF4-4AFD-B9DE-1D30090B4CF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AR40</xm:sqref>
        </x14:conditionalFormatting>
        <x14:conditionalFormatting xmlns:xm="http://schemas.microsoft.com/office/excel/2006/main">
          <x14:cfRule type="expression" priority="21" id="{01A78DB5-3C8A-488E-B587-E634B2699D9B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AW40</xm:sqref>
        </x14:conditionalFormatting>
        <x14:conditionalFormatting xmlns:xm="http://schemas.microsoft.com/office/excel/2006/main">
          <x14:cfRule type="expression" priority="20" id="{DA358087-ECC6-4BE8-A573-1541FF2DCEC0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BA40</xm:sqref>
        </x14:conditionalFormatting>
        <x14:conditionalFormatting xmlns:xm="http://schemas.microsoft.com/office/excel/2006/main">
          <x14:cfRule type="expression" priority="19" id="{3B84823C-BCDC-414C-8429-777BE0ACB873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BC40</xm:sqref>
        </x14:conditionalFormatting>
        <x14:conditionalFormatting xmlns:xm="http://schemas.microsoft.com/office/excel/2006/main">
          <x14:cfRule type="expression" priority="17" id="{A36AACD8-3146-42ED-9DE6-596FF825D236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BG36</xm:sqref>
        </x14:conditionalFormatting>
        <x14:conditionalFormatting xmlns:xm="http://schemas.microsoft.com/office/excel/2006/main">
          <x14:cfRule type="expression" priority="16" id="{07DAE555-0E2D-4216-8147-35795EDAF142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BL48</xm:sqref>
        </x14:conditionalFormatting>
        <x14:conditionalFormatting xmlns:xm="http://schemas.microsoft.com/office/excel/2006/main">
          <x14:cfRule type="expression" priority="15" id="{246A7013-C224-40B2-8D0C-3361B996723F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BK48:BK52</xm:sqref>
        </x14:conditionalFormatting>
        <x14:conditionalFormatting xmlns:xm="http://schemas.microsoft.com/office/excel/2006/main">
          <x14:cfRule type="expression" priority="14" id="{ACAE6F6D-2FB9-4CA1-9EFA-46AA26DB636A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AY20:BE20 AZ21</xm:sqref>
        </x14:conditionalFormatting>
        <x14:conditionalFormatting xmlns:xm="http://schemas.microsoft.com/office/excel/2006/main">
          <x14:cfRule type="expression" priority="13" id="{D89FF9C5-9625-42EF-A69C-6A7810ABA4F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AE21</xm:sqref>
        </x14:conditionalFormatting>
        <x14:conditionalFormatting xmlns:xm="http://schemas.microsoft.com/office/excel/2006/main">
          <x14:cfRule type="expression" priority="12" id="{7C3977B5-5235-4754-8796-375800AF495D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AJ21</xm:sqref>
        </x14:conditionalFormatting>
        <x14:conditionalFormatting xmlns:xm="http://schemas.microsoft.com/office/excel/2006/main">
          <x14:cfRule type="expression" priority="11" id="{AA028D1E-9628-4E81-B38F-3E299F9D5DA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AO21</xm:sqref>
        </x14:conditionalFormatting>
        <x14:conditionalFormatting xmlns:xm="http://schemas.microsoft.com/office/excel/2006/main">
          <x14:cfRule type="expression" priority="10" id="{2679F4CB-C53F-40BA-BBCA-B8C77EB68895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AS21</xm:sqref>
        </x14:conditionalFormatting>
        <x14:conditionalFormatting xmlns:xm="http://schemas.microsoft.com/office/excel/2006/main">
          <x14:cfRule type="expression" priority="9" id="{6727599A-0022-41B2-B28C-EEA72D57A451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AU21</xm:sqref>
        </x14:conditionalFormatting>
        <x14:conditionalFormatting xmlns:xm="http://schemas.microsoft.com/office/excel/2006/main">
          <x14:cfRule type="expression" priority="7" id="{A991F8F9-8628-4C0E-BA63-DC0D392A70CA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</xm:sqref>
        </x14:conditionalFormatting>
        <x14:conditionalFormatting xmlns:xm="http://schemas.microsoft.com/office/excel/2006/main">
          <x14:cfRule type="expression" priority="6" id="{C097F3CA-FB47-4D5C-82DB-12926DE726F3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AD21</xm:sqref>
        </x14:conditionalFormatting>
        <x14:conditionalFormatting xmlns:xm="http://schemas.microsoft.com/office/excel/2006/main">
          <x14:cfRule type="expression" priority="4" id="{3E5E8580-B643-459F-A109-8DCBB0FB2DD4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AC35</xm:sqref>
        </x14:conditionalFormatting>
        <x14:conditionalFormatting xmlns:xm="http://schemas.microsoft.com/office/excel/2006/main">
          <x14:cfRule type="expression" priority="3" id="{2D14D512-BBB4-485A-917A-DE661D376F17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W30:W31</xm:sqref>
        </x14:conditionalFormatting>
        <x14:conditionalFormatting xmlns:xm="http://schemas.microsoft.com/office/excel/2006/main">
          <x14:cfRule type="expression" priority="1" id="{A1C17FD2-6688-4C77-9C5A-E61D6EA79CE7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W34:W36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CCDC65-0A1E-4763-B28C-63912ECB5C2D}">
  <ds:schemaRefs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  <ds:schemaRef ds:uri="a8f80ecd-cddb-46c8-b263-c25672b580c6"/>
    <ds:schemaRef ds:uri="http://schemas.microsoft.com/office/2006/documentManagement/types"/>
    <ds:schemaRef ds:uri="http://purl.org/dc/dcmitype/"/>
    <ds:schemaRef ds:uri="f254aa9d-3c64-433e-b325-d6b94ca3f691"/>
  </ds:schemaRefs>
</ds:datastoreItem>
</file>

<file path=customXml/itemProps2.xml><?xml version="1.0" encoding="utf-8"?>
<ds:datastoreItem xmlns:ds="http://schemas.openxmlformats.org/officeDocument/2006/customXml" ds:itemID="{C4FCE0FB-38B5-4D86-9484-731F917FD4F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364BB8-41BA-4959-B5FA-A252B78F05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