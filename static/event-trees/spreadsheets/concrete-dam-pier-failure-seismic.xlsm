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MC-Software-Documentation\static\event-trees\spreadsheets\"/>
    </mc:Choice>
  </mc:AlternateContent>
  <xr:revisionPtr revIDLastSave="0" documentId="13_ncr:1_{74307798-DF94-4CF3-8D7E-EBF5A07F5E10}" xr6:coauthVersionLast="47" xr6:coauthVersionMax="47" xr10:uidLastSave="{00000000-0000-0000-0000-000000000000}"/>
  <bookViews>
    <workbookView xWindow="-120" yWindow="-120" windowWidth="38640" windowHeight="21120" xr2:uid="{56B68278-A1A1-4B48-99ED-A4E7E2423F6B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Tree'!$V$64</definedName>
    <definedName name="Cont_Reference">#REF!</definedName>
    <definedName name="N1B1Shape">'Event Tree'!$K$66</definedName>
    <definedName name="N1B2Shape">'Event Tree'!$N$66</definedName>
    <definedName name="N1Call">'Event Tree'!$U$66</definedName>
    <definedName name="N1CallText">'Event Tree'!$B$77</definedName>
    <definedName name="N1Name">'Event Tree'!$X$66</definedName>
    <definedName name="N2B1Shape">'Event Tree'!$K$67</definedName>
    <definedName name="N2B2Shape">'Event Tree'!$N$67</definedName>
    <definedName name="N2Call">'Event Tree'!$U$67</definedName>
    <definedName name="N2CallText">'Event Tree'!$B$85</definedName>
    <definedName name="N2Name">'Event Tree'!$X$67</definedName>
    <definedName name="N3B1Shape">'Event Tree'!$K$68</definedName>
    <definedName name="N3B2Shape">'Event Tree'!$N$68</definedName>
    <definedName name="N3Call">'Event Tree'!$U$68</definedName>
    <definedName name="N3CallText">'Event Tree'!$B$93</definedName>
    <definedName name="N3Name">'Event Tree'!$X$68</definedName>
    <definedName name="N4B1Shape">'Event Tree'!$K$69</definedName>
    <definedName name="N4B2Shape">'Event Tree'!$N$69</definedName>
    <definedName name="N4Call">'Event Tree'!$U$69</definedName>
    <definedName name="N4CallText">'Event Tree'!$B$101</definedName>
    <definedName name="N4Name">'Event Tree'!$X$69</definedName>
    <definedName name="N5B1Shape">'Event Tree'!$K$70</definedName>
    <definedName name="N5B2Shape">'Event Tree'!$N$70</definedName>
    <definedName name="N5Call">'Event Tree'!$U$70</definedName>
    <definedName name="N5CallText">'Event Tree'!$B$109</definedName>
    <definedName name="N5Name">'Event Tree'!$X$70</definedName>
    <definedName name="N6B1Shape">'Event Tree'!$K$71</definedName>
    <definedName name="N6B2Shape">'Event Tree'!$N$71</definedName>
    <definedName name="N6Call">'Event Tree'!$U$71</definedName>
    <definedName name="N6CallText">'Event Tree'!$B$117</definedName>
    <definedName name="N6Name">'Event Tree'!$X$71</definedName>
    <definedName name="N7B1Shape">'Event Tree'!$K$72</definedName>
    <definedName name="N7B2Shape">'Event Tree'!$N$72</definedName>
    <definedName name="N7Call">'Event Tree'!$U$72</definedName>
    <definedName name="N7CallText">'Event Tree'!$B$125</definedName>
    <definedName name="N7Name">'Event Tree'!$X$72</definedName>
    <definedName name="N8B1Shape">'Event Tree'!$K$73</definedName>
    <definedName name="N8B2Shape">'Event Tree'!$N$73</definedName>
    <definedName name="N8Call">'Event Tree'!$U$73</definedName>
    <definedName name="N8CallText">'Event Tree'!$B$133</definedName>
    <definedName name="N8Name">'Event Tree'!$X$73</definedName>
    <definedName name="N9B1Shape">'Event Tree'!$K$74</definedName>
    <definedName name="N9B2Shape">'Event Tree'!$N$74</definedName>
    <definedName name="N9Call">'Event Tree'!$U$74</definedName>
    <definedName name="N9CallText">'Event Tree'!$B$141</definedName>
    <definedName name="N9Name">'Event Tree'!$X$74</definedName>
    <definedName name="Oval_Reference">#REF!</definedName>
    <definedName name="Pal_Workbook_GUID" hidden="1">"BP4PZSBBT3IIB14AVDRCTAYA"</definedName>
    <definedName name="_xlnm.Print_Area" localSheetId="1">'Event Tree'!$A$1:$CA$61</definedName>
    <definedName name="_xlnm.Print_Area" localSheetId="0">'Event Tree Input'!$A$1:$H$161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Tree'!$F$64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4" i="14" l="1"/>
  <c r="B141" i="14" l="1"/>
  <c r="B133" i="14"/>
  <c r="B125" i="14"/>
  <c r="B117" i="14"/>
  <c r="B109" i="14"/>
  <c r="B101" i="14"/>
  <c r="B93" i="14"/>
  <c r="B85" i="14"/>
  <c r="B77" i="14" l="1"/>
  <c r="X67" i="14" l="1"/>
  <c r="X68" i="14"/>
  <c r="X69" i="14"/>
  <c r="X70" i="14"/>
  <c r="X71" i="14"/>
  <c r="X72" i="14"/>
  <c r="X73" i="14"/>
  <c r="X74" i="14"/>
  <c r="X66" i="14"/>
  <c r="U67" i="14" l="1"/>
  <c r="U68" i="14"/>
  <c r="U69" i="14"/>
  <c r="U70" i="14"/>
  <c r="U71" i="14"/>
  <c r="U72" i="14"/>
  <c r="U73" i="14"/>
  <c r="U74" i="14"/>
  <c r="U66" i="14"/>
  <c r="B176" i="2" l="1"/>
  <c r="C177" i="2" l="1"/>
  <c r="C178" i="2"/>
  <c r="C179" i="2"/>
  <c r="C180" i="2"/>
  <c r="C181" i="2"/>
  <c r="C182" i="2"/>
  <c r="C183" i="2"/>
  <c r="C184" i="2"/>
  <c r="C176" i="2"/>
  <c r="B177" i="2"/>
  <c r="B178" i="2"/>
  <c r="B179" i="2"/>
  <c r="B180" i="2"/>
  <c r="B181" i="2"/>
  <c r="B182" i="2"/>
  <c r="B183" i="2"/>
  <c r="B184" i="2"/>
  <c r="K73" i="14" l="1"/>
  <c r="N74" i="14"/>
  <c r="K72" i="14"/>
  <c r="N73" i="14"/>
  <c r="K71" i="14"/>
  <c r="N72" i="14"/>
  <c r="K70" i="14"/>
  <c r="N71" i="14"/>
  <c r="K69" i="14"/>
  <c r="N70" i="14"/>
  <c r="K68" i="14"/>
  <c r="N69" i="14"/>
  <c r="K66" i="14"/>
  <c r="K67" i="14"/>
  <c r="N68" i="14"/>
  <c r="K74" i="14"/>
  <c r="N66" i="14"/>
  <c r="N67" i="14"/>
</calcChain>
</file>

<file path=xl/sharedStrings.xml><?xml version="1.0" encoding="utf-8"?>
<sst xmlns="http://schemas.openxmlformats.org/spreadsheetml/2006/main" count="156" uniqueCount="89">
  <si>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</si>
  <si>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</si>
  <si>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</si>
  <si>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</si>
  <si>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</si>
  <si>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</si>
  <si>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</si>
  <si>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</si>
  <si>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</si>
  <si>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</si>
  <si>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</si>
  <si>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</si>
  <si>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</si>
  <si>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</si>
  <si>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</si>
  <si>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</si>
  <si>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</si>
  <si>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</si>
  <si>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</si>
  <si>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</si>
  <si>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</si>
  <si>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</si>
  <si>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</si>
  <si>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</si>
  <si>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</si>
  <si>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</si>
  <si>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</si>
  <si>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</si>
  <si>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</si>
  <si>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Flood Loading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</si>
  <si>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</si>
  <si>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</si>
  <si>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</si>
  <si>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</si>
  <si>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</si>
  <si>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</si>
  <si>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</si>
  <si>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</si>
  <si>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</si>
  <si>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</si>
  <si>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</si>
  <si>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</si>
  <si>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</si>
  <si>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</si>
  <si>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</si>
  <si>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</si>
  <si>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</si>
  <si>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</si>
  <si>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</si>
  <si>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</si>
  <si>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</si>
  <si>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</si>
  <si>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</si>
  <si>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</si>
  <si>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Directions for use</t>
  </si>
  <si>
    <t>1) Characterize the event tree in Step 1.</t>
  </si>
  <si>
    <t>2) Define node-specific information in Step 2.</t>
  </si>
  <si>
    <t>3) Select the 'Event Tree' worksheet and make adjustments to the event tree callout arrows and callout</t>
  </si>
  <si>
    <t xml:space="preserve">4) In the 'Event Tree' worksheet, select a range of cells that completely encompasses the event tree nodes </t>
  </si>
  <si>
    <t>and text boxes. Right click and select "Copy".</t>
  </si>
  <si>
    <t xml:space="preserve">5) In a Word document or PowerPoint presentation, open the 'Paste Special' dialogue box (Ctrl + Alt + v) </t>
  </si>
  <si>
    <t>and paste the event tree as an enhanced metafile.</t>
  </si>
  <si>
    <t>Limitations for use</t>
  </si>
  <si>
    <t>failure nodes.</t>
  </si>
  <si>
    <t>not to print an editable event tree from the worksheet.</t>
  </si>
  <si>
    <t>◄ See directions for copy and paste in the 'Event Tree Input' worksheet.</t>
  </si>
  <si>
    <t>◄ To change arrow type, right click the arrow and hover over "Connector Types."</t>
  </si>
  <si>
    <t>Seismic Hazard</t>
  </si>
  <si>
    <t>Initiation: Geometric Condition</t>
  </si>
  <si>
    <t>Continuous susceptibility to internal erosion exists?</t>
  </si>
  <si>
    <t>Initiation: Hydraulic Condition</t>
  </si>
  <si>
    <t>Hydraulic condition for initiation of erosion exists?</t>
  </si>
  <si>
    <t>Continuation</t>
  </si>
  <si>
    <t>An unfiltered seepage exit exists allowing erosion to continue?</t>
  </si>
  <si>
    <t>Progression: Mechanical Condition</t>
  </si>
  <si>
    <t>Continuous stable roof or sidewalls are maintained along seepage or leakage path?</t>
  </si>
  <si>
    <t>Progression: Hydraulic Condition</t>
  </si>
  <si>
    <t>Sufficient flow exists to continuously transport eroded particles to exit?</t>
  </si>
  <si>
    <t>Unsuccessful Intervention</t>
  </si>
  <si>
    <t>Detection and intervention are unsuccessful?</t>
  </si>
  <si>
    <t>Breach</t>
  </si>
  <si>
    <t>Uncontrolled release of impounded water occurs?</t>
  </si>
  <si>
    <t>1) This worksheet constructs an event tree that is a single-linear progression to breach without multiple</t>
  </si>
  <si>
    <t xml:space="preserve">2) The intent of this worksheet is to copy and paste the event tree as an image into a report or presentation, </t>
  </si>
  <si>
    <t>◄ If using copy/paste, paste values only to preserve conditional formatting.</t>
  </si>
  <si>
    <t xml:space="preserve">    a) To make the background of the figure transparent, change the fill color of the project event tree cells to</t>
  </si>
  <si>
    <t xml:space="preserve">       "no fill" and uncheck the "Gridlines" box under View -&gt; Show in the Ribbon.</t>
  </si>
  <si>
    <t>boxes as necessary. If D32 of this worksheet is "No", this step is skipped.</t>
  </si>
  <si>
    <t>Coincident Stage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</si>
</sst>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u/>
      <sz val="10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81">
    <xf numFmtId="0" fontId="0" fillId="0" borderId="0" xfId="0"/>
    <xf numFmtId="0" fontId="2" fillId="3" borderId="0" xfId="2" applyFont="1" applyFill="1"/>
    <xf numFmtId="0" fontId="1" fillId="4" borderId="0" xfId="8" applyFont="1" applyFill="1"/>
    <xf numFmtId="0" fontId="1" fillId="4" borderId="0" xfId="8" applyFont="1" applyFill="1" applyAlignment="1">
      <alignment horizontal="right"/>
    </xf>
    <xf numFmtId="0" fontId="1" fillId="2" borderId="0" xfId="8" applyFont="1" applyFill="1" applyAlignment="1">
      <alignment horizontal="right"/>
    </xf>
    <xf numFmtId="0" fontId="1" fillId="2" borderId="0" xfId="0" applyFont="1" applyFill="1"/>
    <xf numFmtId="0" fontId="6" fillId="0" borderId="0" xfId="0" applyFont="1"/>
    <xf numFmtId="0" fontId="4" fillId="5" borderId="2" xfId="8" applyFill="1" applyBorder="1" applyAlignment="1" applyProtection="1">
      <alignment horizontal="left"/>
      <protection locked="0"/>
    </xf>
    <xf numFmtId="164" fontId="4" fillId="5" borderId="2" xfId="8" applyNumberFormat="1" applyFill="1" applyBorder="1" applyAlignment="1" applyProtection="1">
      <alignment horizontal="left"/>
      <protection locked="0"/>
    </xf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0" xfId="8" applyFill="1" applyAlignment="1" applyProtection="1">
      <alignment vertical="top" wrapText="1"/>
      <protection locked="0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5" fillId="2" borderId="0" xfId="2" applyFont="1" applyFill="1"/>
    <xf numFmtId="0" fontId="1" fillId="0" borderId="0" xfId="0" applyFont="1"/>
    <xf numFmtId="0" fontId="2" fillId="0" borderId="0" xfId="2" applyFont="1" applyAlignment="1">
      <alignment horizontal="left"/>
    </xf>
    <xf numFmtId="0" fontId="4" fillId="0" borderId="0" xfId="0" applyFont="1" applyAlignment="1">
      <alignment vertical="center"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1" fillId="0" borderId="0" xfId="2" applyAlignment="1">
      <alignment wrapText="1"/>
    </xf>
    <xf numFmtId="0" fontId="4" fillId="0" borderId="1" xfId="0" applyFont="1" applyBorder="1"/>
    <xf numFmtId="0" fontId="2" fillId="0" borderId="2" xfId="2" applyFont="1" applyBorder="1" applyAlignment="1">
      <alignment horizontal="left"/>
    </xf>
    <xf numFmtId="0" fontId="1" fillId="0" borderId="2" xfId="2" applyBorder="1"/>
    <xf numFmtId="0" fontId="4" fillId="0" borderId="2" xfId="0" applyFont="1" applyBorder="1"/>
    <xf numFmtId="0" fontId="2" fillId="0" borderId="3" xfId="2" applyFont="1" applyBorder="1" applyAlignment="1">
      <alignment horizontal="left"/>
    </xf>
    <xf numFmtId="0" fontId="2" fillId="0" borderId="1" xfId="2" applyFont="1" applyBorder="1" applyAlignment="1">
      <alignment horizontal="left"/>
    </xf>
    <xf numFmtId="0" fontId="4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5" xfId="0" applyFont="1" applyBorder="1" applyAlignment="1">
      <alignment wrapText="1"/>
    </xf>
    <xf numFmtId="0" fontId="4" fillId="0" borderId="2" xfId="0" applyFont="1" applyBorder="1" applyAlignment="1">
      <alignment wrapText="1"/>
    </xf>
    <xf numFmtId="0" fontId="1" fillId="0" borderId="2" xfId="2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7" xfId="0" applyFont="1" applyBorder="1"/>
    <xf numFmtId="0" fontId="4" fillId="0" borderId="2" xfId="0" applyFont="1" applyBorder="1" applyAlignment="1">
      <alignment vertical="top" wrapText="1"/>
    </xf>
    <xf numFmtId="0" fontId="4" fillId="0" borderId="3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3" xfId="0" applyFont="1" applyBorder="1" applyAlignment="1">
      <alignment wrapText="1"/>
    </xf>
    <xf numFmtId="0" fontId="4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0" borderId="5" xfId="0" applyFont="1" applyBorder="1" applyAlignment="1">
      <alignment vertical="center" wrapText="1"/>
    </xf>
    <xf numFmtId="0" fontId="1" fillId="0" borderId="0" xfId="2" applyAlignment="1">
      <alignment vertical="center"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8" applyFont="1" applyFill="1" applyAlignment="1">
      <alignment horizontal="right"/>
    </xf>
    <xf numFmtId="0" fontId="4" fillId="5" borderId="2" xfId="8" applyFill="1" applyBorder="1" applyAlignment="1" applyProtection="1">
      <alignment horizontal="left" vertical="top"/>
      <protection locked="0"/>
    </xf>
    <xf numFmtId="0" fontId="4" fillId="5" borderId="6" xfId="8" applyFill="1" applyBorder="1" applyAlignment="1" applyProtection="1">
      <alignment horizontal="left" vertical="top"/>
      <protection locked="0"/>
    </xf>
    <xf numFmtId="0" fontId="4" fillId="5" borderId="2" xfId="0" applyFont="1" applyFill="1" applyBorder="1" applyAlignment="1" applyProtection="1">
      <alignment horizontal="left" vertical="top"/>
      <protection locked="0"/>
    </xf>
    <xf numFmtId="14" fontId="4" fillId="5" borderId="2" xfId="8" applyNumberFormat="1" applyFill="1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4" fillId="0" borderId="0" xfId="0" applyFont="1"/>
    <xf numFmtId="0" fontId="2" fillId="3" borderId="0" xfId="2" applyFont="1" applyFill="1" applyAlignment="1">
      <alignment horizontal="left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9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B050"/>
      <color rgb="FFFFFF99"/>
      <color rgb="FFFFFFCC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28575</xdr:colOff>
      <xdr:row>25</xdr:row>
      <xdr:rowOff>142874</xdr:rowOff>
    </xdr:from>
    <xdr:to>
      <xdr:col>56</xdr:col>
      <xdr:colOff>161925</xdr:colOff>
      <xdr:row>28</xdr:row>
      <xdr:rowOff>66674</xdr:rowOff>
    </xdr:to>
    <xdr:sp macro="" textlink="'Event Tree Input'!A109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22</xdr:row>
      <xdr:rowOff>142874</xdr:rowOff>
    </xdr:from>
    <xdr:to>
      <xdr:col>63</xdr:col>
      <xdr:colOff>161925</xdr:colOff>
      <xdr:row>25</xdr:row>
      <xdr:rowOff>66674</xdr:rowOff>
    </xdr:to>
    <xdr:sp macro="" textlink="'Event Tree Input'!A123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19</xdr:row>
      <xdr:rowOff>123824</xdr:rowOff>
    </xdr:from>
    <xdr:to>
      <xdr:col>70</xdr:col>
      <xdr:colOff>161925</xdr:colOff>
      <xdr:row>22</xdr:row>
      <xdr:rowOff>66674</xdr:rowOff>
    </xdr:to>
    <xdr:sp macro="" textlink="'Event Tree Input'!A137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16</xdr:row>
      <xdr:rowOff>66674</xdr:rowOff>
    </xdr:from>
    <xdr:to>
      <xdr:col>77</xdr:col>
      <xdr:colOff>161925</xdr:colOff>
      <xdr:row>19</xdr:row>
      <xdr:rowOff>47624</xdr:rowOff>
    </xdr:to>
    <xdr:sp macro="" textlink="'Event Tree Input'!A151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16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36</xdr:row>
      <xdr:rowOff>64293</xdr:rowOff>
    </xdr:from>
    <xdr:to>
      <xdr:col>70</xdr:col>
      <xdr:colOff>119063</xdr:colOff>
      <xdr:row>38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19</xdr:row>
      <xdr:rowOff>95250</xdr:rowOff>
    </xdr:from>
    <xdr:to>
      <xdr:col>56</xdr:col>
      <xdr:colOff>166688</xdr:colOff>
      <xdr:row>21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40</xdr:row>
      <xdr:rowOff>142876</xdr:rowOff>
    </xdr:from>
    <xdr:to>
      <xdr:col>61</xdr:col>
      <xdr:colOff>142875</xdr:colOff>
      <xdr:row>42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24</xdr:row>
      <xdr:rowOff>142876</xdr:rowOff>
    </xdr:from>
    <xdr:to>
      <xdr:col>41</xdr:col>
      <xdr:colOff>83344</xdr:colOff>
      <xdr:row>26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46</xdr:row>
      <xdr:rowOff>23812</xdr:rowOff>
    </xdr:from>
    <xdr:to>
      <xdr:col>46</xdr:col>
      <xdr:colOff>142875</xdr:colOff>
      <xdr:row>47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30</xdr:row>
      <xdr:rowOff>107155</xdr:rowOff>
    </xdr:from>
    <xdr:to>
      <xdr:col>29</xdr:col>
      <xdr:colOff>0</xdr:colOff>
      <xdr:row>32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53</xdr:row>
      <xdr:rowOff>83344</xdr:rowOff>
    </xdr:from>
    <xdr:to>
      <xdr:col>26</xdr:col>
      <xdr:colOff>23813</xdr:colOff>
      <xdr:row>55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71439</xdr:colOff>
      <xdr:row>35</xdr:row>
      <xdr:rowOff>11906</xdr:rowOff>
    </xdr:from>
    <xdr:to>
      <xdr:col>19</xdr:col>
      <xdr:colOff>95251</xdr:colOff>
      <xdr:row>36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9525</xdr:colOff>
      <xdr:row>40</xdr:row>
      <xdr:rowOff>157015</xdr:rowOff>
    </xdr:from>
    <xdr:to>
      <xdr:col>11</xdr:col>
      <xdr:colOff>55679</xdr:colOff>
      <xdr:row>43</xdr:row>
      <xdr:rowOff>47467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809750" y="6062515"/>
          <a:ext cx="446204" cy="461952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41</xdr:row>
      <xdr:rowOff>52240</xdr:rowOff>
    </xdr:from>
    <xdr:to>
      <xdr:col>15</xdr:col>
      <xdr:colOff>138518</xdr:colOff>
      <xdr:row>42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2864570" y="6148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27</xdr:row>
      <xdr:rowOff>61765</xdr:rowOff>
    </xdr:from>
    <xdr:to>
      <xdr:col>22</xdr:col>
      <xdr:colOff>138518</xdr:colOff>
      <xdr:row>28</xdr:row>
      <xdr:rowOff>145587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4264745" y="3490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28</xdr:col>
      <xdr:colOff>45170</xdr:colOff>
      <xdr:row>20</xdr:row>
      <xdr:rowOff>52240</xdr:rowOff>
    </xdr:from>
    <xdr:to>
      <xdr:col>29</xdr:col>
      <xdr:colOff>119468</xdr:colOff>
      <xdr:row>21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5645870" y="2147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36</xdr:col>
      <xdr:colOff>73745</xdr:colOff>
      <xdr:row>40</xdr:row>
      <xdr:rowOff>42715</xdr:rowOff>
    </xdr:from>
    <xdr:to>
      <xdr:col>37</xdr:col>
      <xdr:colOff>148043</xdr:colOff>
      <xdr:row>41</xdr:row>
      <xdr:rowOff>126537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7274645" y="594821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43</xdr:col>
      <xdr:colOff>83270</xdr:colOff>
      <xdr:row>17</xdr:row>
      <xdr:rowOff>61765</xdr:rowOff>
    </xdr:from>
    <xdr:to>
      <xdr:col>44</xdr:col>
      <xdr:colOff>157568</xdr:colOff>
      <xdr:row>18</xdr:row>
      <xdr:rowOff>145587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8684345" y="1585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50</xdr:col>
      <xdr:colOff>64220</xdr:colOff>
      <xdr:row>5</xdr:row>
      <xdr:rowOff>52240</xdr:rowOff>
    </xdr:from>
    <xdr:to>
      <xdr:col>51</xdr:col>
      <xdr:colOff>138518</xdr:colOff>
      <xdr:row>15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29</xdr:row>
      <xdr:rowOff>52240</xdr:rowOff>
    </xdr:from>
    <xdr:to>
      <xdr:col>57</xdr:col>
      <xdr:colOff>138518</xdr:colOff>
      <xdr:row>30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26</xdr:row>
      <xdr:rowOff>52240</xdr:rowOff>
    </xdr:from>
    <xdr:to>
      <xdr:col>64</xdr:col>
      <xdr:colOff>138518</xdr:colOff>
      <xdr:row>27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23</xdr:row>
      <xdr:rowOff>52240</xdr:rowOff>
    </xdr:from>
    <xdr:to>
      <xdr:col>71</xdr:col>
      <xdr:colOff>138518</xdr:colOff>
      <xdr:row>24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35</xdr:row>
      <xdr:rowOff>54695</xdr:rowOff>
    </xdr:from>
    <xdr:to>
      <xdr:col>57</xdr:col>
      <xdr:colOff>87364</xdr:colOff>
      <xdr:row>36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32</xdr:row>
      <xdr:rowOff>54695</xdr:rowOff>
    </xdr:from>
    <xdr:to>
      <xdr:col>64</xdr:col>
      <xdr:colOff>87364</xdr:colOff>
      <xdr:row>33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29</xdr:row>
      <xdr:rowOff>54695</xdr:rowOff>
    </xdr:from>
    <xdr:to>
      <xdr:col>71</xdr:col>
      <xdr:colOff>87364</xdr:colOff>
      <xdr:row>30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20</xdr:row>
      <xdr:rowOff>54695</xdr:rowOff>
    </xdr:from>
    <xdr:to>
      <xdr:col>78</xdr:col>
      <xdr:colOff>86370</xdr:colOff>
      <xdr:row>21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26</xdr:row>
      <xdr:rowOff>55382</xdr:rowOff>
    </xdr:from>
    <xdr:to>
      <xdr:col>78</xdr:col>
      <xdr:colOff>84222</xdr:colOff>
      <xdr:row>27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44</xdr:row>
      <xdr:rowOff>55169</xdr:rowOff>
    </xdr:from>
    <xdr:to>
      <xdr:col>22</xdr:col>
      <xdr:colOff>97956</xdr:colOff>
      <xdr:row>45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41</xdr:row>
      <xdr:rowOff>55150</xdr:rowOff>
    </xdr:from>
    <xdr:to>
      <xdr:col>29</xdr:col>
      <xdr:colOff>97957</xdr:colOff>
      <xdr:row>42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38</xdr:row>
      <xdr:rowOff>55140</xdr:rowOff>
    </xdr:from>
    <xdr:to>
      <xdr:col>36</xdr:col>
      <xdr:colOff>97958</xdr:colOff>
      <xdr:row>39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77270</xdr:colOff>
      <xdr:row>17</xdr:row>
      <xdr:rowOff>55130</xdr:rowOff>
    </xdr:from>
    <xdr:to>
      <xdr:col>44</xdr:col>
      <xdr:colOff>97959</xdr:colOff>
      <xdr:row>18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58222</xdr:colOff>
      <xdr:row>58</xdr:row>
      <xdr:rowOff>55118</xdr:rowOff>
    </xdr:from>
    <xdr:to>
      <xdr:col>51</xdr:col>
      <xdr:colOff>78911</xdr:colOff>
      <xdr:row>59</xdr:row>
      <xdr:rowOff>130172</xdr:rowOff>
    </xdr:to>
    <xdr:sp macro="" textlink="">
      <xdr:nvSpPr>
        <xdr:cNvPr id="27" name="N5B1Tri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 rot="16200000">
          <a:off x="10037052" y="9412038"/>
          <a:ext cx="265554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29</xdr:row>
      <xdr:rowOff>55101</xdr:rowOff>
    </xdr:from>
    <xdr:to>
      <xdr:col>57</xdr:col>
      <xdr:colOff>88436</xdr:colOff>
      <xdr:row>30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26</xdr:row>
      <xdr:rowOff>55085</xdr:rowOff>
    </xdr:from>
    <xdr:to>
      <xdr:col>64</xdr:col>
      <xdr:colOff>88437</xdr:colOff>
      <xdr:row>27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23</xdr:row>
      <xdr:rowOff>55070</xdr:rowOff>
    </xdr:from>
    <xdr:to>
      <xdr:col>71</xdr:col>
      <xdr:colOff>88438</xdr:colOff>
      <xdr:row>24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30</xdr:row>
      <xdr:rowOff>59531</xdr:rowOff>
    </xdr:from>
    <xdr:to>
      <xdr:col>67</xdr:col>
      <xdr:colOff>47626</xdr:colOff>
      <xdr:row>36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139530</xdr:colOff>
      <xdr:row>38</xdr:row>
      <xdr:rowOff>9525</xdr:rowOff>
    </xdr:from>
    <xdr:to>
      <xdr:col>20</xdr:col>
      <xdr:colOff>180976</xdr:colOff>
      <xdr:row>43</xdr:row>
      <xdr:rowOff>123825</xdr:rowOff>
    </xdr:to>
    <xdr:sp macro="" textlink="'Event Tree Input'!A42">
      <xdr:nvSpPr>
        <xdr:cNvPr id="14" name="N1Desc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339930" y="5534025"/>
          <a:ext cx="841546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Concrete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Crushes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176212</xdr:colOff>
      <xdr:row>30</xdr:row>
      <xdr:rowOff>38100</xdr:rowOff>
    </xdr:from>
    <xdr:to>
      <xdr:col>56</xdr:col>
      <xdr:colOff>100774</xdr:colOff>
      <xdr:row>35</xdr:row>
      <xdr:rowOff>152400</xdr:rowOff>
    </xdr:to>
    <xdr:sp macro="" textlink="'Event Tree Input'!A112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27</xdr:row>
      <xdr:rowOff>38100</xdr:rowOff>
    </xdr:from>
    <xdr:to>
      <xdr:col>63</xdr:col>
      <xdr:colOff>103156</xdr:colOff>
      <xdr:row>32</xdr:row>
      <xdr:rowOff>152400</xdr:rowOff>
    </xdr:to>
    <xdr:sp macro="" textlink="'Event Tree Input'!A126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24</xdr:row>
      <xdr:rowOff>38100</xdr:rowOff>
    </xdr:from>
    <xdr:to>
      <xdr:col>70</xdr:col>
      <xdr:colOff>100774</xdr:colOff>
      <xdr:row>29</xdr:row>
      <xdr:rowOff>152400</xdr:rowOff>
    </xdr:to>
    <xdr:sp macro="" textlink="'Event Tree Input'!A140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21</xdr:row>
      <xdr:rowOff>38100</xdr:rowOff>
    </xdr:from>
    <xdr:to>
      <xdr:col>77</xdr:col>
      <xdr:colOff>100774</xdr:colOff>
      <xdr:row>26</xdr:row>
      <xdr:rowOff>152400</xdr:rowOff>
    </xdr:to>
    <xdr:sp macro="" textlink="'Event Tree Input'!A154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198871</xdr:colOff>
      <xdr:row>40</xdr:row>
      <xdr:rowOff>156328</xdr:rowOff>
    </xdr:from>
    <xdr:to>
      <xdr:col>5</xdr:col>
      <xdr:colOff>45000</xdr:colOff>
      <xdr:row>43</xdr:row>
      <xdr:rowOff>46780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98921" y="6061828"/>
          <a:ext cx="446204" cy="461952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50</xdr:row>
      <xdr:rowOff>11906</xdr:rowOff>
    </xdr:from>
    <xdr:to>
      <xdr:col>19</xdr:col>
      <xdr:colOff>190501</xdr:colOff>
      <xdr:row>54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171449</xdr:colOff>
      <xdr:row>5</xdr:row>
      <xdr:rowOff>114300</xdr:rowOff>
    </xdr:from>
    <xdr:to>
      <xdr:col>41</xdr:col>
      <xdr:colOff>83343</xdr:colOff>
      <xdr:row>25</xdr:row>
      <xdr:rowOff>107158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cxnSpLocks/>
          <a:endCxn id="82" idx="3"/>
        </xdr:cNvCxnSpPr>
      </xdr:nvCxnSpPr>
      <xdr:spPr>
        <a:xfrm rot="16200000" flipH="1">
          <a:off x="6384130" y="1254919"/>
          <a:ext cx="2088358" cy="1712119"/>
        </a:xfrm>
        <a:prstGeom prst="bentConnector4">
          <a:avLst>
            <a:gd name="adj1" fmla="val -10946"/>
            <a:gd name="adj2" fmla="val 113352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152399</xdr:colOff>
      <xdr:row>5</xdr:row>
      <xdr:rowOff>76199</xdr:rowOff>
    </xdr:from>
    <xdr:to>
      <xdr:col>28</xdr:col>
      <xdr:colOff>200024</xdr:colOff>
      <xdr:row>31</xdr:row>
      <xdr:rowOff>77390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cxnSpLocks/>
          <a:endCxn id="80" idx="3"/>
        </xdr:cNvCxnSpPr>
      </xdr:nvCxnSpPr>
      <xdr:spPr>
        <a:xfrm rot="16200000" flipH="1">
          <a:off x="2956916" y="1424582"/>
          <a:ext cx="3239691" cy="2447925"/>
        </a:xfrm>
        <a:prstGeom prst="bentConnector4">
          <a:avLst>
            <a:gd name="adj1" fmla="val -7056"/>
            <a:gd name="adj2" fmla="val 109339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41</xdr:row>
      <xdr:rowOff>11906</xdr:rowOff>
    </xdr:from>
    <xdr:to>
      <xdr:col>40</xdr:col>
      <xdr:colOff>95251</xdr:colOff>
      <xdr:row>46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35</xdr:row>
      <xdr:rowOff>30161</xdr:rowOff>
    </xdr:from>
    <xdr:to>
      <xdr:col>55</xdr:col>
      <xdr:colOff>142873</xdr:colOff>
      <xdr:row>41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15</xdr:row>
      <xdr:rowOff>101204</xdr:rowOff>
    </xdr:from>
    <xdr:to>
      <xdr:col>74</xdr:col>
      <xdr:colOff>95250</xdr:colOff>
      <xdr:row>16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95249</xdr:colOff>
      <xdr:row>15</xdr:row>
      <xdr:rowOff>9524</xdr:rowOff>
    </xdr:from>
    <xdr:to>
      <xdr:col>19</xdr:col>
      <xdr:colOff>95250</xdr:colOff>
      <xdr:row>35</xdr:row>
      <xdr:rowOff>142875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cxnSpLocks/>
          <a:endCxn id="78" idx="3"/>
        </xdr:cNvCxnSpPr>
      </xdr:nvCxnSpPr>
      <xdr:spPr>
        <a:xfrm rot="16200000" flipH="1">
          <a:off x="1123949" y="2324099"/>
          <a:ext cx="3943351" cy="1600201"/>
        </a:xfrm>
        <a:prstGeom prst="bentConnector4">
          <a:avLst>
            <a:gd name="adj1" fmla="val -5797"/>
            <a:gd name="adj2" fmla="val 114286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20</xdr:row>
      <xdr:rowOff>59531</xdr:rowOff>
    </xdr:from>
    <xdr:to>
      <xdr:col>60</xdr:col>
      <xdr:colOff>95251</xdr:colOff>
      <xdr:row>22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57153</xdr:colOff>
      <xdr:row>23</xdr:row>
      <xdr:rowOff>64221</xdr:rowOff>
    </xdr:from>
    <xdr:to>
      <xdr:col>51</xdr:col>
      <xdr:colOff>77842</xdr:colOff>
      <xdr:row>24</xdr:row>
      <xdr:rowOff>139274</xdr:rowOff>
    </xdr:to>
    <xdr:sp macro="" textlink="">
      <xdr:nvSpPr>
        <xdr:cNvPr id="35" name="N1B2Tri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 rot="16200000">
          <a:off x="10035983" y="2753641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47628</xdr:colOff>
      <xdr:row>20</xdr:row>
      <xdr:rowOff>54696</xdr:rowOff>
    </xdr:from>
    <xdr:to>
      <xdr:col>51</xdr:col>
      <xdr:colOff>68317</xdr:colOff>
      <xdr:row>21</xdr:row>
      <xdr:rowOff>129749</xdr:rowOff>
    </xdr:to>
    <xdr:sp macro="" textlink="">
      <xdr:nvSpPr>
        <xdr:cNvPr id="36" name="N2B2Tri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 rot="16200000">
          <a:off x="10026458" y="2934616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25</xdr:row>
      <xdr:rowOff>52240</xdr:rowOff>
    </xdr:from>
    <xdr:to>
      <xdr:col>51</xdr:col>
      <xdr:colOff>138518</xdr:colOff>
      <xdr:row>26</xdr:row>
      <xdr:rowOff>136062</xdr:rowOff>
    </xdr:to>
    <xdr:sp macro="" textlink="">
      <xdr:nvSpPr>
        <xdr:cNvPr id="49" name="N6Num" hidden="1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28</xdr:row>
      <xdr:rowOff>55130</xdr:rowOff>
    </xdr:from>
    <xdr:to>
      <xdr:col>44</xdr:col>
      <xdr:colOff>97959</xdr:colOff>
      <xdr:row>29</xdr:row>
      <xdr:rowOff>130184</xdr:rowOff>
    </xdr:to>
    <xdr:sp macro="" textlink="">
      <xdr:nvSpPr>
        <xdr:cNvPr id="50" name="N4B1Tri" hidden="1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47628</xdr:colOff>
      <xdr:row>31</xdr:row>
      <xdr:rowOff>54696</xdr:rowOff>
    </xdr:from>
    <xdr:to>
      <xdr:col>51</xdr:col>
      <xdr:colOff>68317</xdr:colOff>
      <xdr:row>32</xdr:row>
      <xdr:rowOff>129749</xdr:rowOff>
    </xdr:to>
    <xdr:sp macro="" textlink="">
      <xdr:nvSpPr>
        <xdr:cNvPr id="51" name="N2B2Tri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rot="16200000">
          <a:off x="10026458" y="2934616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33</xdr:row>
      <xdr:rowOff>52240</xdr:rowOff>
    </xdr:from>
    <xdr:to>
      <xdr:col>51</xdr:col>
      <xdr:colOff>138518</xdr:colOff>
      <xdr:row>34</xdr:row>
      <xdr:rowOff>136062</xdr:rowOff>
    </xdr:to>
    <xdr:sp macro="" textlink="">
      <xdr:nvSpPr>
        <xdr:cNvPr id="52" name="N6Num" hidden="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36</xdr:row>
      <xdr:rowOff>55130</xdr:rowOff>
    </xdr:from>
    <xdr:to>
      <xdr:col>44</xdr:col>
      <xdr:colOff>97959</xdr:colOff>
      <xdr:row>37</xdr:row>
      <xdr:rowOff>130184</xdr:rowOff>
    </xdr:to>
    <xdr:sp macro="" textlink="">
      <xdr:nvSpPr>
        <xdr:cNvPr id="53" name="N4B1Tri" hidden="1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47628</xdr:colOff>
      <xdr:row>39</xdr:row>
      <xdr:rowOff>54696</xdr:rowOff>
    </xdr:from>
    <xdr:to>
      <xdr:col>51</xdr:col>
      <xdr:colOff>68317</xdr:colOff>
      <xdr:row>40</xdr:row>
      <xdr:rowOff>129749</xdr:rowOff>
    </xdr:to>
    <xdr:sp macro="" textlink="">
      <xdr:nvSpPr>
        <xdr:cNvPr id="54" name="N2B2Tri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 rot="16200000">
          <a:off x="10026458" y="2934616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41</xdr:row>
      <xdr:rowOff>52240</xdr:rowOff>
    </xdr:from>
    <xdr:to>
      <xdr:col>51</xdr:col>
      <xdr:colOff>138518</xdr:colOff>
      <xdr:row>42</xdr:row>
      <xdr:rowOff>136062</xdr:rowOff>
    </xdr:to>
    <xdr:sp macro="" textlink="">
      <xdr:nvSpPr>
        <xdr:cNvPr id="55" name="N6Num" hidden="1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44</xdr:row>
      <xdr:rowOff>55130</xdr:rowOff>
    </xdr:from>
    <xdr:to>
      <xdr:col>44</xdr:col>
      <xdr:colOff>97959</xdr:colOff>
      <xdr:row>45</xdr:row>
      <xdr:rowOff>130184</xdr:rowOff>
    </xdr:to>
    <xdr:sp macro="" textlink="">
      <xdr:nvSpPr>
        <xdr:cNvPr id="56" name="N4B1Tri" hidden="1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47628</xdr:colOff>
      <xdr:row>47</xdr:row>
      <xdr:rowOff>54696</xdr:rowOff>
    </xdr:from>
    <xdr:to>
      <xdr:col>51</xdr:col>
      <xdr:colOff>68317</xdr:colOff>
      <xdr:row>48</xdr:row>
      <xdr:rowOff>129749</xdr:rowOff>
    </xdr:to>
    <xdr:sp macro="" textlink="">
      <xdr:nvSpPr>
        <xdr:cNvPr id="57" name="N2B2Tri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rot="16200000">
          <a:off x="10026458" y="2934616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49</xdr:row>
      <xdr:rowOff>52240</xdr:rowOff>
    </xdr:from>
    <xdr:to>
      <xdr:col>51</xdr:col>
      <xdr:colOff>138518</xdr:colOff>
      <xdr:row>50</xdr:row>
      <xdr:rowOff>136062</xdr:rowOff>
    </xdr:to>
    <xdr:sp macro="" textlink="">
      <xdr:nvSpPr>
        <xdr:cNvPr id="68" name="N6Num" hidden="1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52</xdr:row>
      <xdr:rowOff>55130</xdr:rowOff>
    </xdr:from>
    <xdr:to>
      <xdr:col>44</xdr:col>
      <xdr:colOff>97959</xdr:colOff>
      <xdr:row>53</xdr:row>
      <xdr:rowOff>130184</xdr:rowOff>
    </xdr:to>
    <xdr:sp macro="" textlink="">
      <xdr:nvSpPr>
        <xdr:cNvPr id="69" name="N4B1Tri" hidden="1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47628</xdr:colOff>
      <xdr:row>55</xdr:row>
      <xdr:rowOff>54696</xdr:rowOff>
    </xdr:from>
    <xdr:to>
      <xdr:col>51</xdr:col>
      <xdr:colOff>68317</xdr:colOff>
      <xdr:row>56</xdr:row>
      <xdr:rowOff>129749</xdr:rowOff>
    </xdr:to>
    <xdr:sp macro="" textlink="">
      <xdr:nvSpPr>
        <xdr:cNvPr id="70" name="N2B2Tri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 rot="16200000">
          <a:off x="10026458" y="2934616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64220</xdr:colOff>
      <xdr:row>28</xdr:row>
      <xdr:rowOff>71290</xdr:rowOff>
    </xdr:from>
    <xdr:to>
      <xdr:col>44</xdr:col>
      <xdr:colOff>138518</xdr:colOff>
      <xdr:row>29</xdr:row>
      <xdr:rowOff>155112</xdr:rowOff>
    </xdr:to>
    <xdr:sp macro="" textlink="">
      <xdr:nvSpPr>
        <xdr:cNvPr id="74" name="N5Num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8665295" y="369079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28</xdr:col>
      <xdr:colOff>45170</xdr:colOff>
      <xdr:row>55</xdr:row>
      <xdr:rowOff>42715</xdr:rowOff>
    </xdr:from>
    <xdr:to>
      <xdr:col>29</xdr:col>
      <xdr:colOff>119468</xdr:colOff>
      <xdr:row>56</xdr:row>
      <xdr:rowOff>126537</xdr:rowOff>
    </xdr:to>
    <xdr:sp macro="" textlink="">
      <xdr:nvSpPr>
        <xdr:cNvPr id="75" name="N3Num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spect="1"/>
        </xdr:cNvSpPr>
      </xdr:nvSpPr>
      <xdr:spPr>
        <a:xfrm>
          <a:off x="5645870" y="880571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54695</xdr:colOff>
      <xdr:row>34</xdr:row>
      <xdr:rowOff>23665</xdr:rowOff>
    </xdr:from>
    <xdr:to>
      <xdr:col>29</xdr:col>
      <xdr:colOff>128993</xdr:colOff>
      <xdr:row>35</xdr:row>
      <xdr:rowOff>107487</xdr:rowOff>
    </xdr:to>
    <xdr:sp macro="" textlink="">
      <xdr:nvSpPr>
        <xdr:cNvPr id="76" name="N3Num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spect="1"/>
        </xdr:cNvSpPr>
      </xdr:nvSpPr>
      <xdr:spPr>
        <a:xfrm>
          <a:off x="5655395" y="47861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43</xdr:col>
      <xdr:colOff>73745</xdr:colOff>
      <xdr:row>36</xdr:row>
      <xdr:rowOff>71290</xdr:rowOff>
    </xdr:from>
    <xdr:to>
      <xdr:col>44</xdr:col>
      <xdr:colOff>148043</xdr:colOff>
      <xdr:row>37</xdr:row>
      <xdr:rowOff>155112</xdr:rowOff>
    </xdr:to>
    <xdr:sp macro="" textlink="">
      <xdr:nvSpPr>
        <xdr:cNvPr id="94" name="N5Num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spect="1"/>
        </xdr:cNvSpPr>
      </xdr:nvSpPr>
      <xdr:spPr>
        <a:xfrm>
          <a:off x="8674820" y="521479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43</xdr:col>
      <xdr:colOff>73745</xdr:colOff>
      <xdr:row>44</xdr:row>
      <xdr:rowOff>33190</xdr:rowOff>
    </xdr:from>
    <xdr:to>
      <xdr:col>44</xdr:col>
      <xdr:colOff>148043</xdr:colOff>
      <xdr:row>45</xdr:row>
      <xdr:rowOff>117012</xdr:rowOff>
    </xdr:to>
    <xdr:sp macro="" textlink="">
      <xdr:nvSpPr>
        <xdr:cNvPr id="95" name="N5Num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spect="1"/>
        </xdr:cNvSpPr>
      </xdr:nvSpPr>
      <xdr:spPr>
        <a:xfrm>
          <a:off x="8674820" y="670069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43</xdr:col>
      <xdr:colOff>73745</xdr:colOff>
      <xdr:row>52</xdr:row>
      <xdr:rowOff>80815</xdr:rowOff>
    </xdr:from>
    <xdr:to>
      <xdr:col>44</xdr:col>
      <xdr:colOff>148043</xdr:colOff>
      <xdr:row>53</xdr:row>
      <xdr:rowOff>164637</xdr:rowOff>
    </xdr:to>
    <xdr:sp macro="" textlink="">
      <xdr:nvSpPr>
        <xdr:cNvPr id="96" name="N5Num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spect="1"/>
        </xdr:cNvSpPr>
      </xdr:nvSpPr>
      <xdr:spPr>
        <a:xfrm>
          <a:off x="8674820" y="827231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50</xdr:col>
      <xdr:colOff>29647</xdr:colOff>
      <xdr:row>49</xdr:row>
      <xdr:rowOff>64643</xdr:rowOff>
    </xdr:from>
    <xdr:to>
      <xdr:col>51</xdr:col>
      <xdr:colOff>50336</xdr:colOff>
      <xdr:row>50</xdr:row>
      <xdr:rowOff>139697</xdr:rowOff>
    </xdr:to>
    <xdr:sp macro="" textlink="">
      <xdr:nvSpPr>
        <xdr:cNvPr id="97" name="N5B1Tri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 rot="16200000">
          <a:off x="10008477" y="7707063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29647</xdr:colOff>
      <xdr:row>41</xdr:row>
      <xdr:rowOff>55118</xdr:rowOff>
    </xdr:from>
    <xdr:to>
      <xdr:col>51</xdr:col>
      <xdr:colOff>50336</xdr:colOff>
      <xdr:row>42</xdr:row>
      <xdr:rowOff>130172</xdr:rowOff>
    </xdr:to>
    <xdr:sp macro="" textlink="">
      <xdr:nvSpPr>
        <xdr:cNvPr id="98" name="N5B1Tri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 rot="16200000">
          <a:off x="10008477" y="6173538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39172</xdr:colOff>
      <xdr:row>33</xdr:row>
      <xdr:rowOff>64643</xdr:rowOff>
    </xdr:from>
    <xdr:to>
      <xdr:col>51</xdr:col>
      <xdr:colOff>59861</xdr:colOff>
      <xdr:row>34</xdr:row>
      <xdr:rowOff>139697</xdr:rowOff>
    </xdr:to>
    <xdr:sp macro="" textlink="">
      <xdr:nvSpPr>
        <xdr:cNvPr id="99" name="N5B1Tri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 rot="16200000">
          <a:off x="10018002" y="4659063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48697</xdr:colOff>
      <xdr:row>25</xdr:row>
      <xdr:rowOff>55118</xdr:rowOff>
    </xdr:from>
    <xdr:to>
      <xdr:col>51</xdr:col>
      <xdr:colOff>69386</xdr:colOff>
      <xdr:row>26</xdr:row>
      <xdr:rowOff>130172</xdr:rowOff>
    </xdr:to>
    <xdr:sp macro="" textlink="">
      <xdr:nvSpPr>
        <xdr:cNvPr id="100" name="N5B1Tri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 rot="16200000">
          <a:off x="10027527" y="3125538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20</xdr:col>
      <xdr:colOff>178520</xdr:colOff>
      <xdr:row>41</xdr:row>
      <xdr:rowOff>61765</xdr:rowOff>
    </xdr:from>
    <xdr:to>
      <xdr:col>22</xdr:col>
      <xdr:colOff>52793</xdr:colOff>
      <xdr:row>42</xdr:row>
      <xdr:rowOff>145587</xdr:rowOff>
    </xdr:to>
    <xdr:sp macro="" textlink="">
      <xdr:nvSpPr>
        <xdr:cNvPr id="102" name="N1Num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4179020" y="6157765"/>
          <a:ext cx="274323" cy="274322"/>
        </a:xfrm>
        <a:prstGeom prst="ellipse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15</xdr:col>
      <xdr:colOff>47625</xdr:colOff>
      <xdr:row>23</xdr:row>
      <xdr:rowOff>161924</xdr:rowOff>
    </xdr:from>
    <xdr:to>
      <xdr:col>21</xdr:col>
      <xdr:colOff>47625</xdr:colOff>
      <xdr:row>28</xdr:row>
      <xdr:rowOff>76200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 txBox="1"/>
      </xdr:nvSpPr>
      <xdr:spPr>
        <a:xfrm>
          <a:off x="3048000" y="2828924"/>
          <a:ext cx="1200150" cy="866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Concrete Cracks </a:t>
          </a:r>
        </a:p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 &gt; M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cr</a:t>
          </a:r>
        </a:p>
        <a:p>
          <a:pPr algn="ctr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or</a:t>
          </a:r>
        </a:p>
        <a:p>
          <a:pPr algn="ctr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D/C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crack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&gt; 1</a:t>
          </a:r>
        </a:p>
      </xdr:txBody>
    </xdr:sp>
    <xdr:clientData/>
  </xdr:twoCellAnchor>
  <xdr:twoCellAnchor>
    <xdr:from>
      <xdr:col>14</xdr:col>
      <xdr:colOff>159203</xdr:colOff>
      <xdr:row>19</xdr:row>
      <xdr:rowOff>151039</xdr:rowOff>
    </xdr:from>
    <xdr:to>
      <xdr:col>21</xdr:col>
      <xdr:colOff>190500</xdr:colOff>
      <xdr:row>21</xdr:row>
      <xdr:rowOff>176893</xdr:rowOff>
    </xdr:to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/>
      </xdr:nvSpPr>
      <xdr:spPr>
        <a:xfrm>
          <a:off x="3016703" y="3008539"/>
          <a:ext cx="1460047" cy="406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Initation: Concrete Performance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68035</xdr:colOff>
      <xdr:row>52</xdr:row>
      <xdr:rowOff>48983</xdr:rowOff>
    </xdr:from>
    <xdr:to>
      <xdr:col>25</xdr:col>
      <xdr:colOff>167367</xdr:colOff>
      <xdr:row>58</xdr:row>
      <xdr:rowOff>48984</xdr:rowOff>
    </xdr:to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/>
      </xdr:nvSpPr>
      <xdr:spPr>
        <a:xfrm>
          <a:off x="3537856" y="8240483"/>
          <a:ext cx="1732190" cy="1143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Concrete Does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Not</a:t>
          </a:r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 Crack </a:t>
          </a:r>
        </a:p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 ≤ M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cr</a:t>
          </a:r>
        </a:p>
        <a:p>
          <a:pPr algn="ctr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or</a:t>
          </a:r>
        </a:p>
        <a:p>
          <a:pPr algn="ctr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D/C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crack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≤ 1</a:t>
          </a:r>
        </a:p>
      </xdr:txBody>
    </xdr:sp>
    <xdr:clientData/>
  </xdr:twoCellAnchor>
  <xdr:twoCellAnchor>
    <xdr:from>
      <xdr:col>20</xdr:col>
      <xdr:colOff>190500</xdr:colOff>
      <xdr:row>18</xdr:row>
      <xdr:rowOff>123823</xdr:rowOff>
    </xdr:from>
    <xdr:to>
      <xdr:col>29</xdr:col>
      <xdr:colOff>85725</xdr:colOff>
      <xdr:row>24</xdr:row>
      <xdr:rowOff>123824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/>
      </xdr:nvSpPr>
      <xdr:spPr>
        <a:xfrm>
          <a:off x="4191000" y="1838323"/>
          <a:ext cx="1695450" cy="1143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Reinforcement Elastic</a:t>
          </a:r>
        </a:p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 ≤ M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y</a:t>
          </a:r>
        </a:p>
      </xdr:txBody>
    </xdr:sp>
    <xdr:clientData/>
  </xdr:twoCellAnchor>
  <xdr:twoCellAnchor>
    <xdr:from>
      <xdr:col>30</xdr:col>
      <xdr:colOff>47624</xdr:colOff>
      <xdr:row>16</xdr:row>
      <xdr:rowOff>133349</xdr:rowOff>
    </xdr:from>
    <xdr:to>
      <xdr:col>39</xdr:col>
      <xdr:colOff>142874</xdr:colOff>
      <xdr:row>18</xdr:row>
      <xdr:rowOff>114301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 txBox="1"/>
      </xdr:nvSpPr>
      <xdr:spPr>
        <a:xfrm>
          <a:off x="6048374" y="1466849"/>
          <a:ext cx="1895475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Secton fails in shear,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V &gt; 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30</xdr:col>
      <xdr:colOff>19049</xdr:colOff>
      <xdr:row>22</xdr:row>
      <xdr:rowOff>133349</xdr:rowOff>
    </xdr:from>
    <xdr:to>
      <xdr:col>41</xdr:col>
      <xdr:colOff>114300</xdr:colOff>
      <xdr:row>24</xdr:row>
      <xdr:rowOff>114301</xdr:rowOff>
    </xdr:to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 txBox="1"/>
      </xdr:nvSpPr>
      <xdr:spPr>
        <a:xfrm>
          <a:off x="6019799" y="2609849"/>
          <a:ext cx="2295526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Secton does not fail in shear,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V ≤ 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29</xdr:col>
      <xdr:colOff>152400</xdr:colOff>
      <xdr:row>19</xdr:row>
      <xdr:rowOff>152399</xdr:rowOff>
    </xdr:from>
    <xdr:to>
      <xdr:col>39</xdr:col>
      <xdr:colOff>47625</xdr:colOff>
      <xdr:row>22</xdr:row>
      <xdr:rowOff>85724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 txBox="1"/>
      </xdr:nvSpPr>
      <xdr:spPr>
        <a:xfrm>
          <a:off x="5953125" y="2057399"/>
          <a:ext cx="189547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shear demand (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V) vs. shear capacity  (V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)</a:t>
          </a:r>
        </a:p>
      </xdr:txBody>
    </xdr:sp>
    <xdr:clientData/>
  </xdr:twoCellAnchor>
  <xdr:twoCellAnchor>
    <xdr:from>
      <xdr:col>44</xdr:col>
      <xdr:colOff>161925</xdr:colOff>
      <xdr:row>16</xdr:row>
      <xdr:rowOff>142873</xdr:rowOff>
    </xdr:from>
    <xdr:to>
      <xdr:col>52</xdr:col>
      <xdr:colOff>152401</xdr:colOff>
      <xdr:row>20</xdr:row>
      <xdr:rowOff>0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 txBox="1"/>
      </xdr:nvSpPr>
      <xdr:spPr>
        <a:xfrm>
          <a:off x="8963025" y="1476373"/>
          <a:ext cx="159067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kinematic stability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forces (F) vs. resisting forces (RF)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171450</xdr:colOff>
      <xdr:row>14</xdr:row>
      <xdr:rowOff>70756</xdr:rowOff>
    </xdr:from>
    <xdr:to>
      <xdr:col>60</xdr:col>
      <xdr:colOff>62592</xdr:colOff>
      <xdr:row>15</xdr:row>
      <xdr:rowOff>149679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0376807" y="2737756"/>
          <a:ext cx="1932214" cy="2694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slides or topples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51</xdr:col>
      <xdr:colOff>66675</xdr:colOff>
      <xdr:row>19</xdr:row>
      <xdr:rowOff>95250</xdr:rowOff>
    </xdr:from>
    <xdr:to>
      <xdr:col>57</xdr:col>
      <xdr:colOff>190501</xdr:colOff>
      <xdr:row>22</xdr:row>
      <xdr:rowOff>85725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 txBox="1"/>
      </xdr:nvSpPr>
      <xdr:spPr>
        <a:xfrm>
          <a:off x="10267950" y="2000250"/>
          <a:ext cx="1323976" cy="561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171450</xdr:colOff>
      <xdr:row>26</xdr:row>
      <xdr:rowOff>104775</xdr:rowOff>
    </xdr:from>
    <xdr:to>
      <xdr:col>51</xdr:col>
      <xdr:colOff>161925</xdr:colOff>
      <xdr:row>31</xdr:row>
      <xdr:rowOff>114300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 txBox="1"/>
      </xdr:nvSpPr>
      <xdr:spPr>
        <a:xfrm>
          <a:off x="8972550" y="3343275"/>
          <a:ext cx="1390650" cy="962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kinematic stability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forces (F) vs. resisting forces (RF)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103414</xdr:colOff>
      <xdr:row>25</xdr:row>
      <xdr:rowOff>80282</xdr:rowOff>
    </xdr:from>
    <xdr:to>
      <xdr:col>59</xdr:col>
      <xdr:colOff>198664</xdr:colOff>
      <xdr:row>27</xdr:row>
      <xdr:rowOff>61234</xdr:rowOff>
    </xdr:to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 txBox="1"/>
      </xdr:nvSpPr>
      <xdr:spPr>
        <a:xfrm>
          <a:off x="10308771" y="4842782"/>
          <a:ext cx="1932214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slides or topples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51</xdr:col>
      <xdr:colOff>66675</xdr:colOff>
      <xdr:row>30</xdr:row>
      <xdr:rowOff>57150</xdr:rowOff>
    </xdr:from>
    <xdr:to>
      <xdr:col>57</xdr:col>
      <xdr:colOff>190501</xdr:colOff>
      <xdr:row>33</xdr:row>
      <xdr:rowOff>142875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 txBox="1"/>
      </xdr:nvSpPr>
      <xdr:spPr>
        <a:xfrm>
          <a:off x="10267950" y="4057650"/>
          <a:ext cx="1323976" cy="657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161925</xdr:colOff>
      <xdr:row>35</xdr:row>
      <xdr:rowOff>114298</xdr:rowOff>
    </xdr:from>
    <xdr:to>
      <xdr:col>52</xdr:col>
      <xdr:colOff>152401</xdr:colOff>
      <xdr:row>38</xdr:row>
      <xdr:rowOff>161925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 txBox="1"/>
      </xdr:nvSpPr>
      <xdr:spPr>
        <a:xfrm>
          <a:off x="8963025" y="5067298"/>
          <a:ext cx="159067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kinematic stability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forces (F) vs. resisting forces (RF)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76199</xdr:colOff>
      <xdr:row>33</xdr:row>
      <xdr:rowOff>28574</xdr:rowOff>
    </xdr:from>
    <xdr:to>
      <xdr:col>59</xdr:col>
      <xdr:colOff>171449</xdr:colOff>
      <xdr:row>35</xdr:row>
      <xdr:rowOff>9526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 txBox="1"/>
      </xdr:nvSpPr>
      <xdr:spPr>
        <a:xfrm>
          <a:off x="10077449" y="4600574"/>
          <a:ext cx="1895475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slides or topples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51</xdr:col>
      <xdr:colOff>76200</xdr:colOff>
      <xdr:row>38</xdr:row>
      <xdr:rowOff>190499</xdr:rowOff>
    </xdr:from>
    <xdr:to>
      <xdr:col>58</xdr:col>
      <xdr:colOff>1</xdr:colOff>
      <xdr:row>41</xdr:row>
      <xdr:rowOff>123825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 txBox="1"/>
      </xdr:nvSpPr>
      <xdr:spPr>
        <a:xfrm>
          <a:off x="10277475" y="5714999"/>
          <a:ext cx="1323976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133350</xdr:colOff>
      <xdr:row>43</xdr:row>
      <xdr:rowOff>123823</xdr:rowOff>
    </xdr:from>
    <xdr:to>
      <xdr:col>52</xdr:col>
      <xdr:colOff>123826</xdr:colOff>
      <xdr:row>46</xdr:row>
      <xdr:rowOff>171450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 txBox="1"/>
      </xdr:nvSpPr>
      <xdr:spPr>
        <a:xfrm>
          <a:off x="8934450" y="6600823"/>
          <a:ext cx="159067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kinematic stability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forces (F) vs. resisting forces (RF)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38099</xdr:colOff>
      <xdr:row>41</xdr:row>
      <xdr:rowOff>76199</xdr:rowOff>
    </xdr:from>
    <xdr:to>
      <xdr:col>59</xdr:col>
      <xdr:colOff>133349</xdr:colOff>
      <xdr:row>43</xdr:row>
      <xdr:rowOff>57151</xdr:rowOff>
    </xdr:to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 txBox="1"/>
      </xdr:nvSpPr>
      <xdr:spPr>
        <a:xfrm>
          <a:off x="10039349" y="6172199"/>
          <a:ext cx="1895475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slides or topples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51</xdr:col>
      <xdr:colOff>38100</xdr:colOff>
      <xdr:row>46</xdr:row>
      <xdr:rowOff>133349</xdr:rowOff>
    </xdr:from>
    <xdr:to>
      <xdr:col>57</xdr:col>
      <xdr:colOff>161926</xdr:colOff>
      <xdr:row>49</xdr:row>
      <xdr:rowOff>66675</xdr:rowOff>
    </xdr:to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 txBox="1"/>
      </xdr:nvSpPr>
      <xdr:spPr>
        <a:xfrm>
          <a:off x="10239375" y="7181849"/>
          <a:ext cx="1323976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133350</xdr:colOff>
      <xdr:row>51</xdr:row>
      <xdr:rowOff>76198</xdr:rowOff>
    </xdr:from>
    <xdr:to>
      <xdr:col>52</xdr:col>
      <xdr:colOff>123826</xdr:colOff>
      <xdr:row>54</xdr:row>
      <xdr:rowOff>123825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 txBox="1"/>
      </xdr:nvSpPr>
      <xdr:spPr>
        <a:xfrm>
          <a:off x="8934450" y="8077198"/>
          <a:ext cx="159067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kinematic stability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forces (F) vs. resisting forces (RF)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76199</xdr:colOff>
      <xdr:row>49</xdr:row>
      <xdr:rowOff>47624</xdr:rowOff>
    </xdr:from>
    <xdr:to>
      <xdr:col>59</xdr:col>
      <xdr:colOff>171449</xdr:colOff>
      <xdr:row>51</xdr:row>
      <xdr:rowOff>28576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10077449" y="7667624"/>
          <a:ext cx="1895475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slides or topples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51</xdr:col>
      <xdr:colOff>85725</xdr:colOff>
      <xdr:row>54</xdr:row>
      <xdr:rowOff>95250</xdr:rowOff>
    </xdr:from>
    <xdr:to>
      <xdr:col>58</xdr:col>
      <xdr:colOff>9526</xdr:colOff>
      <xdr:row>57</xdr:row>
      <xdr:rowOff>85725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10287000" y="8667750"/>
          <a:ext cx="1323976" cy="561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133349</xdr:colOff>
      <xdr:row>25</xdr:row>
      <xdr:rowOff>76198</xdr:rowOff>
    </xdr:from>
    <xdr:to>
      <xdr:col>29</xdr:col>
      <xdr:colOff>19050</xdr:colOff>
      <xdr:row>31</xdr:row>
      <xdr:rowOff>9525</xdr:rowOff>
    </xdr:to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 txBox="1"/>
      </xdr:nvSpPr>
      <xdr:spPr>
        <a:xfrm>
          <a:off x="4533899" y="3124198"/>
          <a:ext cx="1285876" cy="10763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if reinforcement yields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in flexure. Demand (M) vs. yield moment (M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y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)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190500</xdr:colOff>
      <xdr:row>31</xdr:row>
      <xdr:rowOff>142873</xdr:rowOff>
    </xdr:from>
    <xdr:to>
      <xdr:col>28</xdr:col>
      <xdr:colOff>104775</xdr:colOff>
      <xdr:row>37</xdr:row>
      <xdr:rowOff>142874</xdr:rowOff>
    </xdr:to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 txBox="1"/>
      </xdr:nvSpPr>
      <xdr:spPr>
        <a:xfrm>
          <a:off x="4391025" y="4333873"/>
          <a:ext cx="1314450" cy="1143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Reinforcement Yields</a:t>
          </a:r>
        </a:p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 &gt; M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y</a:t>
          </a:r>
        </a:p>
      </xdr:txBody>
    </xdr:sp>
    <xdr:clientData/>
  </xdr:twoCellAnchor>
  <xdr:twoCellAnchor>
    <xdr:from>
      <xdr:col>30</xdr:col>
      <xdr:colOff>76199</xdr:colOff>
      <xdr:row>27</xdr:row>
      <xdr:rowOff>142874</xdr:rowOff>
    </xdr:from>
    <xdr:to>
      <xdr:col>39</xdr:col>
      <xdr:colOff>171449</xdr:colOff>
      <xdr:row>29</xdr:row>
      <xdr:rowOff>123826</xdr:rowOff>
    </xdr:to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 txBox="1"/>
      </xdr:nvSpPr>
      <xdr:spPr>
        <a:xfrm>
          <a:off x="6076949" y="3571874"/>
          <a:ext cx="1895475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Secton fails in shear,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V &gt; 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29</xdr:col>
      <xdr:colOff>161925</xdr:colOff>
      <xdr:row>33</xdr:row>
      <xdr:rowOff>123824</xdr:rowOff>
    </xdr:from>
    <xdr:to>
      <xdr:col>39</xdr:col>
      <xdr:colOff>57150</xdr:colOff>
      <xdr:row>36</xdr:row>
      <xdr:rowOff>57149</xdr:rowOff>
    </xdr:to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 txBox="1"/>
      </xdr:nvSpPr>
      <xdr:spPr>
        <a:xfrm>
          <a:off x="5962650" y="4695824"/>
          <a:ext cx="189547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shear demand (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V) vs. reduced capacity  (V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)</a:t>
          </a:r>
        </a:p>
      </xdr:txBody>
    </xdr:sp>
    <xdr:clientData/>
  </xdr:twoCellAnchor>
  <xdr:twoCellAnchor>
    <xdr:from>
      <xdr:col>29</xdr:col>
      <xdr:colOff>47624</xdr:colOff>
      <xdr:row>38</xdr:row>
      <xdr:rowOff>47623</xdr:rowOff>
    </xdr:from>
    <xdr:to>
      <xdr:col>35</xdr:col>
      <xdr:colOff>190500</xdr:colOff>
      <xdr:row>41</xdr:row>
      <xdr:rowOff>9524</xdr:rowOff>
    </xdr:to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 txBox="1"/>
      </xdr:nvSpPr>
      <xdr:spPr>
        <a:xfrm>
          <a:off x="5848349" y="5572123"/>
          <a:ext cx="1343026" cy="533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Secton does not fail in shear,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V ≤ 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29</xdr:col>
      <xdr:colOff>152399</xdr:colOff>
      <xdr:row>51</xdr:row>
      <xdr:rowOff>133349</xdr:rowOff>
    </xdr:from>
    <xdr:to>
      <xdr:col>39</xdr:col>
      <xdr:colOff>47624</xdr:colOff>
      <xdr:row>53</xdr:row>
      <xdr:rowOff>114301</xdr:rowOff>
    </xdr:to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 txBox="1"/>
      </xdr:nvSpPr>
      <xdr:spPr>
        <a:xfrm>
          <a:off x="5953124" y="8134349"/>
          <a:ext cx="1895475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Secton fails in shear,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V &gt; 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30</xdr:col>
      <xdr:colOff>38100</xdr:colOff>
      <xdr:row>54</xdr:row>
      <xdr:rowOff>133349</xdr:rowOff>
    </xdr:from>
    <xdr:to>
      <xdr:col>39</xdr:col>
      <xdr:colOff>133350</xdr:colOff>
      <xdr:row>57</xdr:row>
      <xdr:rowOff>66674</xdr:rowOff>
    </xdr:to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 txBox="1"/>
      </xdr:nvSpPr>
      <xdr:spPr>
        <a:xfrm>
          <a:off x="6038850" y="8705849"/>
          <a:ext cx="189547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shear demand (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V) vs. shear capacity  (V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)</a:t>
          </a:r>
        </a:p>
      </xdr:txBody>
    </xdr:sp>
    <xdr:clientData/>
  </xdr:twoCellAnchor>
  <xdr:twoCellAnchor>
    <xdr:from>
      <xdr:col>29</xdr:col>
      <xdr:colOff>133348</xdr:colOff>
      <xdr:row>57</xdr:row>
      <xdr:rowOff>133349</xdr:rowOff>
    </xdr:from>
    <xdr:to>
      <xdr:col>41</xdr:col>
      <xdr:colOff>190499</xdr:colOff>
      <xdr:row>59</xdr:row>
      <xdr:rowOff>76201</xdr:rowOff>
    </xdr:to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 txBox="1"/>
      </xdr:nvSpPr>
      <xdr:spPr>
        <a:xfrm>
          <a:off x="5934073" y="9277349"/>
          <a:ext cx="2457451" cy="3238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Secton does not fail in shear,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V ≤ 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8</xdr:col>
      <xdr:colOff>47625</xdr:colOff>
      <xdr:row>39</xdr:row>
      <xdr:rowOff>28575</xdr:rowOff>
    </xdr:from>
    <xdr:to>
      <xdr:col>13</xdr:col>
      <xdr:colOff>95251</xdr:colOff>
      <xdr:row>41</xdr:row>
      <xdr:rowOff>38100</xdr:rowOff>
    </xdr:to>
    <xdr:sp macro="" textlink="'Event Tree Input'!A42">
      <xdr:nvSpPr>
        <xdr:cNvPr id="139" name="N1Descr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 txBox="1"/>
      </xdr:nvSpPr>
      <xdr:spPr>
        <a:xfrm>
          <a:off x="1647825" y="5743575"/>
          <a:ext cx="1047751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Coincident Stage</a:t>
          </a:r>
        </a:p>
      </xdr:txBody>
    </xdr:sp>
    <xdr:clientData/>
  </xdr:twoCellAnchor>
  <xdr:twoCellAnchor>
    <xdr:from>
      <xdr:col>37</xdr:col>
      <xdr:colOff>104775</xdr:colOff>
      <xdr:row>39</xdr:row>
      <xdr:rowOff>142874</xdr:rowOff>
    </xdr:from>
    <xdr:to>
      <xdr:col>47</xdr:col>
      <xdr:colOff>0</xdr:colOff>
      <xdr:row>42</xdr:row>
      <xdr:rowOff>76199</xdr:rowOff>
    </xdr:to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 txBox="1"/>
      </xdr:nvSpPr>
      <xdr:spPr>
        <a:xfrm>
          <a:off x="7505700" y="5857874"/>
          <a:ext cx="189547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displacement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(</a:t>
          </a:r>
          <a:r>
            <a:rPr lang="el-GR" sz="1000" baseline="0">
              <a:latin typeface="Arial" panose="020B0604020202020204" pitchFamily="34" charset="0"/>
              <a:cs typeface="Arial" panose="020B0604020202020204" pitchFamily="34" charset="0"/>
            </a:rPr>
            <a:t>δ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) criteria (</a:t>
          </a:r>
          <a:r>
            <a:rPr lang="el-GR" sz="1000" baseline="0">
              <a:latin typeface="Arial" panose="020B0604020202020204" pitchFamily="34" charset="0"/>
              <a:cs typeface="Arial" panose="020B0604020202020204" pitchFamily="34" charset="0"/>
            </a:rPr>
            <a:t>δ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yield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)</a:t>
          </a:r>
        </a:p>
      </xdr:txBody>
    </xdr:sp>
    <xdr:clientData/>
  </xdr:twoCellAnchor>
  <xdr:twoCellAnchor>
    <xdr:from>
      <xdr:col>37</xdr:col>
      <xdr:colOff>161926</xdr:colOff>
      <xdr:row>35</xdr:row>
      <xdr:rowOff>142874</xdr:rowOff>
    </xdr:from>
    <xdr:to>
      <xdr:col>42</xdr:col>
      <xdr:colOff>38101</xdr:colOff>
      <xdr:row>37</xdr:row>
      <xdr:rowOff>9525</xdr:rowOff>
    </xdr:to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 txBox="1"/>
      </xdr:nvSpPr>
      <xdr:spPr>
        <a:xfrm>
          <a:off x="7562851" y="5095874"/>
          <a:ext cx="87630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l-GR" sz="1000" baseline="0">
              <a:latin typeface="Arial" panose="020B0604020202020204" pitchFamily="34" charset="0"/>
              <a:cs typeface="Arial" panose="020B0604020202020204" pitchFamily="34" charset="0"/>
            </a:rPr>
            <a:t>δ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≥2-3 </a:t>
          </a:r>
          <a:r>
            <a:rPr lang="el-GR" sz="1000" baseline="0">
              <a:latin typeface="Arial" panose="020B0604020202020204" pitchFamily="34" charset="0"/>
              <a:cs typeface="Arial" panose="020B0604020202020204" pitchFamily="34" charset="0"/>
            </a:rPr>
            <a:t>δ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yield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37</xdr:col>
      <xdr:colOff>171451</xdr:colOff>
      <xdr:row>43</xdr:row>
      <xdr:rowOff>142874</xdr:rowOff>
    </xdr:from>
    <xdr:to>
      <xdr:col>42</xdr:col>
      <xdr:colOff>47626</xdr:colOff>
      <xdr:row>45</xdr:row>
      <xdr:rowOff>9525</xdr:rowOff>
    </xdr:to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 txBox="1"/>
      </xdr:nvSpPr>
      <xdr:spPr>
        <a:xfrm>
          <a:off x="7572376" y="6619874"/>
          <a:ext cx="87630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l-GR" sz="1000" baseline="0">
              <a:latin typeface="Arial" panose="020B0604020202020204" pitchFamily="34" charset="0"/>
              <a:cs typeface="Arial" panose="020B0604020202020204" pitchFamily="34" charset="0"/>
            </a:rPr>
            <a:t>δ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&lt; 2-3 </a:t>
          </a:r>
          <a:r>
            <a:rPr lang="el-GR" sz="1000" baseline="0">
              <a:latin typeface="Arial" panose="020B0604020202020204" pitchFamily="34" charset="0"/>
              <a:cs typeface="Arial" panose="020B0604020202020204" pitchFamily="34" charset="0"/>
            </a:rPr>
            <a:t>δ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yield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110955</xdr:colOff>
      <xdr:row>37</xdr:row>
      <xdr:rowOff>66675</xdr:rowOff>
    </xdr:from>
    <xdr:to>
      <xdr:col>7</xdr:col>
      <xdr:colOff>57150</xdr:colOff>
      <xdr:row>42</xdr:row>
      <xdr:rowOff>180975</xdr:rowOff>
    </xdr:to>
    <xdr:sp macro="" textlink="'Event Tree Input'!A42">
      <xdr:nvSpPr>
        <xdr:cNvPr id="5" name="N1Descr">
          <a:extLst>
            <a:ext uri="{FF2B5EF4-FFF2-40B4-BE49-F238E27FC236}">
              <a16:creationId xmlns:a16="http://schemas.microsoft.com/office/drawing/2014/main" id="{7B0116C5-6D2E-4D8B-8F04-8E218BBA381D}"/>
            </a:ext>
          </a:extLst>
        </xdr:cNvPr>
        <xdr:cNvSpPr txBox="1"/>
      </xdr:nvSpPr>
      <xdr:spPr>
        <a:xfrm>
          <a:off x="511005" y="5400675"/>
          <a:ext cx="946320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Seismic Hazard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190499</xdr:colOff>
      <xdr:row>14</xdr:row>
      <xdr:rowOff>95250</xdr:rowOff>
    </xdr:from>
    <xdr:to>
      <xdr:col>29</xdr:col>
      <xdr:colOff>122463</xdr:colOff>
      <xdr:row>18</xdr:row>
      <xdr:rowOff>27214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E55F4A6-45EE-4304-96AE-5668293D241F}"/>
            </a:ext>
          </a:extLst>
        </xdr:cNvPr>
        <xdr:cNvSpPr txBox="1"/>
      </xdr:nvSpPr>
      <xdr:spPr>
        <a:xfrm>
          <a:off x="4476749" y="2000250"/>
          <a:ext cx="1564821" cy="6939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Continuation: Reinforcement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Performance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29</xdr:col>
      <xdr:colOff>95250</xdr:colOff>
      <xdr:row>13</xdr:row>
      <xdr:rowOff>108857</xdr:rowOff>
    </xdr:from>
    <xdr:to>
      <xdr:col>35</xdr:col>
      <xdr:colOff>38098</xdr:colOff>
      <xdr:row>15</xdr:row>
      <xdr:rowOff>187776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2663E42B-4303-48B4-891D-BBC4F31F224C}"/>
            </a:ext>
          </a:extLst>
        </xdr:cNvPr>
        <xdr:cNvSpPr txBox="1"/>
      </xdr:nvSpPr>
      <xdr:spPr>
        <a:xfrm>
          <a:off x="6014357" y="2585357"/>
          <a:ext cx="1167491" cy="459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Progression: Shear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Capacity </a:t>
          </a:r>
        </a:p>
      </xdr:txBody>
    </xdr:sp>
    <xdr:clientData/>
  </xdr:twoCellAnchor>
  <xdr:twoCellAnchor>
    <xdr:from>
      <xdr:col>37</xdr:col>
      <xdr:colOff>148166</xdr:colOff>
      <xdr:row>12</xdr:row>
      <xdr:rowOff>0</xdr:rowOff>
    </xdr:from>
    <xdr:to>
      <xdr:col>43</xdr:col>
      <xdr:colOff>91014</xdr:colOff>
      <xdr:row>15</xdr:row>
      <xdr:rowOff>122464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D99990B3-DD99-468F-B63F-CAA73304F722}"/>
            </a:ext>
          </a:extLst>
        </xdr:cNvPr>
        <xdr:cNvSpPr txBox="1"/>
      </xdr:nvSpPr>
      <xdr:spPr>
        <a:xfrm>
          <a:off x="7490354" y="2222500"/>
          <a:ext cx="1133473" cy="6780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Progression: Displacement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Criteria </a:t>
          </a:r>
        </a:p>
      </xdr:txBody>
    </xdr:sp>
    <xdr:clientData/>
  </xdr:twoCellAnchor>
  <xdr:twoCellAnchor>
    <xdr:from>
      <xdr:col>50</xdr:col>
      <xdr:colOff>62304</xdr:colOff>
      <xdr:row>14</xdr:row>
      <xdr:rowOff>55118</xdr:rowOff>
    </xdr:from>
    <xdr:to>
      <xdr:col>51</xdr:col>
      <xdr:colOff>82993</xdr:colOff>
      <xdr:row>15</xdr:row>
      <xdr:rowOff>130172</xdr:rowOff>
    </xdr:to>
    <xdr:sp macro="" textlink="">
      <xdr:nvSpPr>
        <xdr:cNvPr id="32" name="N5B1Tri">
          <a:extLst>
            <a:ext uri="{FF2B5EF4-FFF2-40B4-BE49-F238E27FC236}">
              <a16:creationId xmlns:a16="http://schemas.microsoft.com/office/drawing/2014/main" id="{0FC21C27-4D97-4F95-A1D6-A27B0B54C991}"/>
            </a:ext>
          </a:extLst>
        </xdr:cNvPr>
        <xdr:cNvSpPr/>
      </xdr:nvSpPr>
      <xdr:spPr>
        <a:xfrm rot="16200000">
          <a:off x="10247282" y="2742497"/>
          <a:ext cx="265554" cy="22479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51</xdr:col>
      <xdr:colOff>108857</xdr:colOff>
      <xdr:row>57</xdr:row>
      <xdr:rowOff>108857</xdr:rowOff>
    </xdr:from>
    <xdr:to>
      <xdr:col>58</xdr:col>
      <xdr:colOff>32658</xdr:colOff>
      <xdr:row>60</xdr:row>
      <xdr:rowOff>99332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978BFF98-D38F-4853-AB5A-4D024B2D73FE}"/>
            </a:ext>
          </a:extLst>
        </xdr:cNvPr>
        <xdr:cNvSpPr txBox="1"/>
      </xdr:nvSpPr>
      <xdr:spPr>
        <a:xfrm>
          <a:off x="10518321" y="10967357"/>
          <a:ext cx="1352551" cy="561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162984</xdr:colOff>
      <xdr:row>11</xdr:row>
      <xdr:rowOff>92603</xdr:rowOff>
    </xdr:from>
    <xdr:to>
      <xdr:col>50</xdr:col>
      <xdr:colOff>105832</xdr:colOff>
      <xdr:row>13</xdr:row>
      <xdr:rowOff>29859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AE0CD8E-F83A-439B-AE6A-8E9662D70FB5}"/>
            </a:ext>
          </a:extLst>
        </xdr:cNvPr>
        <xdr:cNvSpPr txBox="1"/>
      </xdr:nvSpPr>
      <xdr:spPr>
        <a:xfrm>
          <a:off x="8894234" y="2129895"/>
          <a:ext cx="1133473" cy="3076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Stability Criteria</a:t>
          </a:r>
        </a:p>
      </xdr:txBody>
    </xdr:sp>
    <xdr:clientData/>
  </xdr:twoCellAnchor>
  <xdr:twoCellAnchor>
    <xdr:from>
      <xdr:col>51</xdr:col>
      <xdr:colOff>87841</xdr:colOff>
      <xdr:row>22</xdr:row>
      <xdr:rowOff>92604</xdr:rowOff>
    </xdr:from>
    <xdr:to>
      <xdr:col>58</xdr:col>
      <xdr:colOff>13230</xdr:colOff>
      <xdr:row>25</xdr:row>
      <xdr:rowOff>83079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484264BE-2B10-4AB4-B80A-7ADBCA1A57D0}"/>
            </a:ext>
          </a:extLst>
        </xdr:cNvPr>
        <xdr:cNvSpPr txBox="1"/>
      </xdr:nvSpPr>
      <xdr:spPr>
        <a:xfrm>
          <a:off x="10208154" y="4167187"/>
          <a:ext cx="1314451" cy="546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87"/>
  <sheetViews>
    <sheetView tabSelected="1" zoomScaleNormal="100" zoomScalePageLayoutView="40" workbookViewId="0"/>
  </sheetViews>
  <sheetFormatPr defaultColWidth="9.140625" defaultRowHeight="12.75" x14ac:dyDescent="0.2"/>
  <cols>
    <col min="1" max="33" width="11.28515625" style="9" customWidth="1"/>
    <col min="34" max="16384" width="9.140625" style="9"/>
  </cols>
  <sheetData>
    <row r="1" spans="1:8" ht="12.75" customHeight="1" x14ac:dyDescent="0.2">
      <c r="A1" s="2" t="s">
        <v>8</v>
      </c>
      <c r="B1" s="68"/>
      <c r="C1" s="68"/>
      <c r="D1" s="68"/>
      <c r="E1" s="3" t="s">
        <v>9</v>
      </c>
      <c r="F1" s="7"/>
      <c r="G1" s="4" t="s">
        <v>10</v>
      </c>
      <c r="H1" s="8"/>
    </row>
    <row r="2" spans="1:8" x14ac:dyDescent="0.2">
      <c r="A2" s="2" t="s">
        <v>11</v>
      </c>
      <c r="B2" s="68"/>
      <c r="C2" s="68"/>
      <c r="D2" s="68"/>
      <c r="E2" s="3" t="s">
        <v>9</v>
      </c>
      <c r="F2" s="7"/>
      <c r="G2" s="4" t="s">
        <v>10</v>
      </c>
      <c r="H2" s="8"/>
    </row>
    <row r="3" spans="1:8" x14ac:dyDescent="0.2">
      <c r="A3" s="5" t="s">
        <v>12</v>
      </c>
      <c r="B3" s="10"/>
      <c r="C3" s="69"/>
      <c r="D3" s="69"/>
      <c r="E3" s="69"/>
      <c r="F3" s="69"/>
      <c r="G3" s="69"/>
      <c r="H3" s="69"/>
    </row>
    <row r="4" spans="1:8" x14ac:dyDescent="0.2">
      <c r="A4" s="10"/>
      <c r="B4" s="10"/>
      <c r="C4" s="10"/>
      <c r="D4" s="10"/>
      <c r="E4" s="10"/>
      <c r="F4" s="10"/>
      <c r="G4" s="10"/>
      <c r="H4" s="10"/>
    </row>
    <row r="5" spans="1:8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8" x14ac:dyDescent="0.2">
      <c r="A6" s="33"/>
      <c r="B6" s="32"/>
      <c r="C6" s="32"/>
      <c r="D6" s="32"/>
      <c r="E6" s="32"/>
      <c r="F6" s="32"/>
      <c r="G6" s="32"/>
      <c r="H6" s="32"/>
    </row>
    <row r="7" spans="1:8" x14ac:dyDescent="0.2">
      <c r="A7" s="34" t="s">
        <v>62</v>
      </c>
      <c r="B7" s="32"/>
      <c r="C7" s="32"/>
      <c r="D7" s="32"/>
      <c r="E7" s="32"/>
      <c r="F7" s="32"/>
      <c r="G7" s="32"/>
      <c r="H7" s="32"/>
    </row>
    <row r="8" spans="1:8" x14ac:dyDescent="0.2">
      <c r="A8" s="33" t="s">
        <v>82</v>
      </c>
      <c r="B8" s="32"/>
      <c r="C8" s="32"/>
      <c r="D8" s="32"/>
      <c r="E8" s="32"/>
      <c r="F8" s="32"/>
      <c r="G8" s="32"/>
      <c r="H8" s="32"/>
    </row>
    <row r="9" spans="1:8" x14ac:dyDescent="0.2">
      <c r="A9" s="33" t="s">
        <v>63</v>
      </c>
      <c r="B9" s="32"/>
      <c r="C9" s="32"/>
      <c r="D9" s="32"/>
      <c r="E9" s="32"/>
      <c r="F9" s="32"/>
      <c r="G9" s="32"/>
      <c r="H9" s="32"/>
    </row>
    <row r="10" spans="1:8" x14ac:dyDescent="0.2">
      <c r="A10" s="33" t="s">
        <v>83</v>
      </c>
      <c r="B10" s="32"/>
      <c r="C10" s="32"/>
      <c r="D10" s="32"/>
      <c r="E10" s="32"/>
      <c r="F10" s="32"/>
      <c r="G10" s="32"/>
      <c r="H10" s="32"/>
    </row>
    <row r="11" spans="1:8" x14ac:dyDescent="0.2">
      <c r="A11" s="33" t="s">
        <v>64</v>
      </c>
      <c r="B11" s="32"/>
      <c r="C11" s="32"/>
      <c r="D11" s="32"/>
      <c r="E11" s="32"/>
      <c r="F11" s="32"/>
      <c r="G11" s="32"/>
      <c r="H11" s="32"/>
    </row>
    <row r="12" spans="1:8" x14ac:dyDescent="0.2">
      <c r="A12" s="33"/>
      <c r="B12" s="32"/>
      <c r="C12" s="32"/>
      <c r="D12" s="32"/>
      <c r="E12" s="32"/>
      <c r="F12" s="32"/>
      <c r="G12" s="32"/>
      <c r="H12" s="32"/>
    </row>
    <row r="13" spans="1:8" x14ac:dyDescent="0.2">
      <c r="A13" s="34" t="s">
        <v>54</v>
      </c>
      <c r="B13" s="32"/>
      <c r="C13" s="32"/>
      <c r="D13" s="32"/>
      <c r="E13" s="32"/>
      <c r="F13" s="32"/>
      <c r="G13" s="32"/>
      <c r="H13" s="32"/>
    </row>
    <row r="14" spans="1:8" x14ac:dyDescent="0.2">
      <c r="A14" s="33" t="s">
        <v>55</v>
      </c>
      <c r="B14" s="32"/>
      <c r="C14" s="32"/>
      <c r="D14" s="32"/>
      <c r="E14" s="32"/>
      <c r="F14" s="32"/>
      <c r="G14" s="32"/>
      <c r="H14" s="32"/>
    </row>
    <row r="15" spans="1:8" x14ac:dyDescent="0.2">
      <c r="A15" s="33" t="s">
        <v>56</v>
      </c>
      <c r="B15" s="32"/>
      <c r="C15" s="32"/>
      <c r="D15" s="32"/>
      <c r="E15" s="32"/>
      <c r="F15" s="32"/>
      <c r="G15" s="32"/>
      <c r="H15" s="32"/>
    </row>
    <row r="16" spans="1:8" x14ac:dyDescent="0.2">
      <c r="A16" s="33" t="s">
        <v>57</v>
      </c>
      <c r="B16" s="32"/>
      <c r="C16" s="32"/>
      <c r="D16" s="32"/>
      <c r="E16" s="32"/>
      <c r="F16" s="32"/>
      <c r="G16" s="32"/>
      <c r="H16" s="32"/>
    </row>
    <row r="17" spans="1:9" x14ac:dyDescent="0.2">
      <c r="A17" s="33" t="s">
        <v>87</v>
      </c>
      <c r="B17" s="32"/>
      <c r="C17" s="32"/>
      <c r="D17" s="32"/>
      <c r="E17" s="32"/>
      <c r="F17" s="32"/>
      <c r="G17" s="32"/>
      <c r="H17" s="32"/>
    </row>
    <row r="18" spans="1:9" x14ac:dyDescent="0.2">
      <c r="A18" s="33" t="s">
        <v>58</v>
      </c>
      <c r="B18" s="32"/>
      <c r="C18" s="32"/>
      <c r="D18" s="32"/>
      <c r="E18" s="32"/>
      <c r="F18" s="32"/>
      <c r="G18" s="32"/>
      <c r="H18" s="32"/>
    </row>
    <row r="19" spans="1:9" x14ac:dyDescent="0.2">
      <c r="A19" s="33" t="s">
        <v>59</v>
      </c>
      <c r="B19" s="32"/>
      <c r="C19" s="32"/>
      <c r="D19" s="32"/>
      <c r="E19" s="32"/>
      <c r="F19" s="32"/>
      <c r="G19" s="32"/>
      <c r="H19" s="32"/>
    </row>
    <row r="20" spans="1:9" x14ac:dyDescent="0.2">
      <c r="A20" s="33" t="s">
        <v>85</v>
      </c>
      <c r="B20" s="32"/>
      <c r="C20" s="32"/>
      <c r="D20" s="32"/>
      <c r="E20" s="32"/>
      <c r="F20" s="32"/>
      <c r="G20" s="32"/>
      <c r="H20" s="32"/>
    </row>
    <row r="21" spans="1:9" x14ac:dyDescent="0.2">
      <c r="A21" s="33" t="s">
        <v>86</v>
      </c>
      <c r="B21" s="32"/>
      <c r="C21" s="32"/>
      <c r="D21" s="32"/>
      <c r="E21" s="32"/>
      <c r="F21" s="32"/>
      <c r="G21" s="32"/>
      <c r="H21" s="32"/>
    </row>
    <row r="22" spans="1:9" x14ac:dyDescent="0.2">
      <c r="A22" s="33" t="s">
        <v>60</v>
      </c>
      <c r="B22" s="32"/>
      <c r="C22" s="32"/>
      <c r="D22" s="32"/>
      <c r="E22" s="32"/>
      <c r="F22" s="32"/>
      <c r="G22" s="32"/>
      <c r="H22" s="32"/>
    </row>
    <row r="23" spans="1:9" x14ac:dyDescent="0.2">
      <c r="A23" s="33" t="s">
        <v>61</v>
      </c>
      <c r="B23" s="32"/>
      <c r="C23" s="32"/>
      <c r="D23" s="32"/>
      <c r="E23" s="32"/>
      <c r="F23" s="32"/>
      <c r="G23" s="32"/>
      <c r="H23" s="32"/>
    </row>
    <row r="24" spans="1:9" x14ac:dyDescent="0.2">
      <c r="A24" s="5"/>
      <c r="B24" s="10"/>
      <c r="C24" s="10"/>
      <c r="D24" s="10"/>
      <c r="E24" s="10"/>
      <c r="F24" s="10"/>
      <c r="G24" s="10"/>
      <c r="H24" s="10"/>
    </row>
    <row r="25" spans="1:9" x14ac:dyDescent="0.2">
      <c r="A25" s="1" t="s">
        <v>32</v>
      </c>
      <c r="B25" s="1"/>
      <c r="C25" s="1"/>
      <c r="D25" s="1"/>
      <c r="E25" s="1"/>
      <c r="F25" s="1"/>
      <c r="G25" s="1"/>
      <c r="H25" s="1"/>
    </row>
    <row r="26" spans="1:9" x14ac:dyDescent="0.2">
      <c r="A26" s="10"/>
      <c r="B26" s="10"/>
      <c r="C26" s="10"/>
      <c r="D26" s="10"/>
      <c r="E26" s="10"/>
      <c r="F26" s="10"/>
      <c r="G26" s="10"/>
      <c r="H26" s="10"/>
    </row>
    <row r="27" spans="1:9" x14ac:dyDescent="0.2">
      <c r="A27" s="10" t="s">
        <v>21</v>
      </c>
      <c r="B27" s="10"/>
      <c r="C27" s="10"/>
      <c r="D27" s="69" t="s">
        <v>67</v>
      </c>
      <c r="E27" s="69"/>
      <c r="F27" s="24" t="s">
        <v>28</v>
      </c>
      <c r="G27" s="69" t="s">
        <v>88</v>
      </c>
      <c r="H27" s="69"/>
      <c r="I27" s="6" t="s">
        <v>14</v>
      </c>
    </row>
    <row r="28" spans="1:9" x14ac:dyDescent="0.2">
      <c r="A28" s="10"/>
      <c r="B28" s="10"/>
      <c r="C28" s="10"/>
      <c r="D28" s="10"/>
      <c r="E28" s="10"/>
      <c r="F28" s="10"/>
      <c r="G28" s="10"/>
      <c r="H28" s="10"/>
    </row>
    <row r="29" spans="1:9" x14ac:dyDescent="0.2">
      <c r="A29" s="10" t="s">
        <v>13</v>
      </c>
      <c r="B29" s="10"/>
      <c r="C29" s="10"/>
      <c r="D29" s="11">
        <v>5</v>
      </c>
      <c r="E29" s="10"/>
      <c r="F29" s="10"/>
      <c r="G29" s="10"/>
      <c r="H29" s="10"/>
      <c r="I29" s="6" t="s">
        <v>14</v>
      </c>
    </row>
    <row r="30" spans="1:9" x14ac:dyDescent="0.2">
      <c r="A30" s="10"/>
      <c r="B30" s="10"/>
      <c r="C30" s="10"/>
      <c r="D30" s="10"/>
      <c r="E30" s="10"/>
      <c r="F30" s="10"/>
      <c r="G30" s="10"/>
      <c r="H30" s="10"/>
    </row>
    <row r="31" spans="1:9" x14ac:dyDescent="0.2">
      <c r="A31" s="10" t="s">
        <v>38</v>
      </c>
      <c r="B31" s="10"/>
      <c r="C31" s="10"/>
      <c r="D31" s="11" t="s">
        <v>15</v>
      </c>
      <c r="E31" s="10"/>
      <c r="F31" s="10"/>
      <c r="G31" s="10"/>
      <c r="H31" s="10"/>
      <c r="I31" s="6" t="s">
        <v>14</v>
      </c>
    </row>
    <row r="32" spans="1:9" x14ac:dyDescent="0.2">
      <c r="A32" s="10" t="s">
        <v>26</v>
      </c>
      <c r="B32" s="10"/>
      <c r="C32" s="10"/>
      <c r="D32" s="11" t="s">
        <v>16</v>
      </c>
      <c r="E32" s="10"/>
      <c r="F32" s="10"/>
      <c r="G32" s="10"/>
      <c r="H32" s="10"/>
      <c r="I32" s="6" t="s">
        <v>14</v>
      </c>
    </row>
    <row r="33" spans="1:9" x14ac:dyDescent="0.2">
      <c r="A33" s="10"/>
      <c r="B33" s="10"/>
      <c r="C33" s="10"/>
      <c r="D33" s="10"/>
      <c r="E33" s="10"/>
      <c r="F33" s="10"/>
      <c r="G33" s="10"/>
      <c r="H33" s="10"/>
    </row>
    <row r="34" spans="1:9" x14ac:dyDescent="0.2">
      <c r="A34" s="1" t="s">
        <v>31</v>
      </c>
      <c r="B34" s="1"/>
      <c r="C34" s="1"/>
      <c r="D34" s="1"/>
      <c r="E34" s="1"/>
      <c r="F34" s="1"/>
      <c r="G34" s="1"/>
      <c r="H34" s="1"/>
      <c r="I34" s="35" t="s">
        <v>84</v>
      </c>
    </row>
    <row r="35" spans="1:9" x14ac:dyDescent="0.2">
      <c r="A35" s="10"/>
      <c r="B35" s="10"/>
      <c r="C35" s="10"/>
      <c r="D35" s="10"/>
      <c r="E35" s="10"/>
      <c r="F35" s="10"/>
      <c r="G35" s="10"/>
      <c r="H35" s="10"/>
    </row>
    <row r="36" spans="1:9" x14ac:dyDescent="0.2">
      <c r="A36" s="13" t="s">
        <v>0</v>
      </c>
      <c r="B36" s="10"/>
      <c r="C36" s="10"/>
      <c r="D36" s="10"/>
      <c r="E36" s="10"/>
      <c r="F36" s="10"/>
      <c r="G36" s="10"/>
      <c r="H36" s="10"/>
    </row>
    <row r="37" spans="1:9" ht="8.1" customHeight="1" x14ac:dyDescent="0.2">
      <c r="A37" s="13"/>
      <c r="B37" s="10"/>
      <c r="C37" s="10"/>
      <c r="D37" s="10"/>
      <c r="E37" s="10"/>
      <c r="F37" s="10"/>
      <c r="G37" s="10"/>
      <c r="H37" s="10"/>
    </row>
    <row r="38" spans="1:9" ht="12.75" customHeight="1" x14ac:dyDescent="0.2">
      <c r="A38" s="10" t="s">
        <v>35</v>
      </c>
      <c r="B38" s="10"/>
      <c r="C38" s="10"/>
      <c r="D38" s="10"/>
      <c r="E38" s="10"/>
      <c r="F38" s="10"/>
      <c r="G38" s="10"/>
      <c r="H38" s="10"/>
    </row>
    <row r="39" spans="1:9" ht="12.75" customHeight="1" x14ac:dyDescent="0.2">
      <c r="A39" s="66" t="s">
        <v>68</v>
      </c>
      <c r="B39" s="66"/>
      <c r="C39" s="66"/>
      <c r="D39" s="66"/>
      <c r="E39" s="66"/>
      <c r="F39" s="66"/>
      <c r="G39" s="66"/>
      <c r="H39" s="66"/>
    </row>
    <row r="40" spans="1:9" ht="8.1" customHeight="1" x14ac:dyDescent="0.2">
      <c r="A40" s="22"/>
      <c r="B40" s="22"/>
      <c r="C40" s="22"/>
      <c r="D40" s="22"/>
      <c r="E40" s="22"/>
      <c r="F40" s="22"/>
      <c r="G40" s="22"/>
      <c r="H40" s="22"/>
    </row>
    <row r="41" spans="1:9" x14ac:dyDescent="0.2">
      <c r="A41" s="12" t="s">
        <v>34</v>
      </c>
      <c r="B41" s="12"/>
      <c r="C41" s="12"/>
      <c r="D41" s="12"/>
      <c r="E41" s="12"/>
      <c r="F41" s="12"/>
      <c r="G41" s="12"/>
      <c r="H41" s="12"/>
    </row>
    <row r="42" spans="1:9" ht="12.75" customHeight="1" x14ac:dyDescent="0.2">
      <c r="A42" s="66" t="s">
        <v>69</v>
      </c>
      <c r="B42" s="66"/>
      <c r="C42" s="66"/>
      <c r="D42" s="66"/>
      <c r="E42" s="66"/>
      <c r="F42" s="66"/>
      <c r="G42" s="66"/>
      <c r="H42" s="66"/>
      <c r="I42" s="14"/>
    </row>
    <row r="43" spans="1:9" ht="8.1" customHeight="1" x14ac:dyDescent="0.2">
      <c r="A43" s="10"/>
      <c r="B43" s="10"/>
      <c r="C43" s="12"/>
      <c r="D43" s="12"/>
      <c r="E43" s="12"/>
      <c r="F43" s="12"/>
      <c r="G43" s="12"/>
      <c r="H43" s="12"/>
    </row>
    <row r="44" spans="1:9" x14ac:dyDescent="0.2">
      <c r="A44" s="12" t="s">
        <v>37</v>
      </c>
      <c r="B44" s="10"/>
      <c r="C44" s="10"/>
      <c r="D44" s="10"/>
      <c r="E44" s="10"/>
      <c r="F44" s="10"/>
      <c r="G44" s="10"/>
      <c r="H44" s="10"/>
    </row>
    <row r="45" spans="1:9" ht="12.75" customHeight="1" x14ac:dyDescent="0.2">
      <c r="A45" s="66" t="s">
        <v>39</v>
      </c>
      <c r="B45" s="66"/>
      <c r="C45" s="66"/>
      <c r="D45" s="66"/>
      <c r="E45" s="66"/>
      <c r="F45" s="66"/>
      <c r="G45" s="66"/>
      <c r="H45" s="66"/>
      <c r="I45" s="14"/>
    </row>
    <row r="46" spans="1:9" ht="12.75" customHeight="1" x14ac:dyDescent="0.2">
      <c r="A46" s="66"/>
      <c r="B46" s="66"/>
      <c r="C46" s="66"/>
      <c r="D46" s="66"/>
      <c r="E46" s="66"/>
      <c r="F46" s="66"/>
      <c r="G46" s="66"/>
      <c r="H46" s="66"/>
    </row>
    <row r="47" spans="1:9" ht="12.75" customHeight="1" x14ac:dyDescent="0.2">
      <c r="A47" s="66"/>
      <c r="B47" s="66"/>
      <c r="C47" s="66"/>
      <c r="D47" s="66"/>
      <c r="E47" s="66"/>
      <c r="F47" s="66"/>
      <c r="G47" s="66"/>
      <c r="H47" s="66"/>
    </row>
    <row r="48" spans="1:9" ht="12.75" customHeight="1" x14ac:dyDescent="0.2">
      <c r="A48" s="66"/>
      <c r="B48" s="66"/>
      <c r="C48" s="66"/>
      <c r="D48" s="66"/>
      <c r="E48" s="66"/>
      <c r="F48" s="66"/>
      <c r="G48" s="66"/>
      <c r="H48" s="66"/>
    </row>
    <row r="49" spans="1:9" x14ac:dyDescent="0.2">
      <c r="A49" s="10"/>
      <c r="B49" s="10"/>
      <c r="C49" s="10"/>
      <c r="D49" s="10"/>
      <c r="E49" s="10"/>
      <c r="F49" s="10"/>
      <c r="G49" s="10"/>
      <c r="H49" s="10"/>
    </row>
    <row r="50" spans="1:9" x14ac:dyDescent="0.2">
      <c r="A50" s="13" t="s">
        <v>1</v>
      </c>
      <c r="B50" s="10"/>
      <c r="C50" s="10"/>
      <c r="D50" s="10"/>
      <c r="E50" s="10"/>
      <c r="F50" s="10"/>
      <c r="G50" s="10"/>
      <c r="H50" s="10"/>
    </row>
    <row r="51" spans="1:9" ht="8.1" customHeight="1" x14ac:dyDescent="0.2">
      <c r="A51" s="13"/>
      <c r="B51" s="10"/>
      <c r="C51" s="10"/>
      <c r="D51" s="10"/>
      <c r="E51" s="10"/>
      <c r="F51" s="10"/>
      <c r="G51" s="10"/>
      <c r="H51" s="10"/>
    </row>
    <row r="52" spans="1:9" x14ac:dyDescent="0.2">
      <c r="A52" s="10" t="s">
        <v>35</v>
      </c>
      <c r="B52" s="10"/>
      <c r="C52" s="10"/>
      <c r="D52" s="10"/>
      <c r="E52" s="10"/>
      <c r="F52" s="10"/>
      <c r="G52" s="10"/>
      <c r="H52" s="10"/>
    </row>
    <row r="53" spans="1:9" ht="12.75" customHeight="1" x14ac:dyDescent="0.2">
      <c r="A53" s="66" t="s">
        <v>70</v>
      </c>
      <c r="B53" s="66"/>
      <c r="C53" s="66"/>
      <c r="D53" s="66"/>
      <c r="E53" s="66"/>
      <c r="F53" s="66"/>
      <c r="G53" s="66"/>
      <c r="H53" s="66"/>
    </row>
    <row r="54" spans="1:9" ht="8.1" customHeight="1" x14ac:dyDescent="0.2">
      <c r="A54" s="22"/>
      <c r="B54" s="22"/>
      <c r="C54" s="22"/>
      <c r="D54" s="22"/>
      <c r="E54" s="22"/>
      <c r="F54" s="22"/>
      <c r="G54" s="22"/>
      <c r="H54" s="22"/>
    </row>
    <row r="55" spans="1:9" x14ac:dyDescent="0.2">
      <c r="A55" s="12" t="s">
        <v>34</v>
      </c>
      <c r="B55" s="12"/>
      <c r="C55" s="12"/>
      <c r="D55" s="12"/>
      <c r="E55" s="12"/>
      <c r="F55" s="12"/>
      <c r="G55" s="12"/>
      <c r="H55" s="12"/>
    </row>
    <row r="56" spans="1:9" ht="12.75" customHeight="1" x14ac:dyDescent="0.2">
      <c r="A56" s="66" t="s">
        <v>71</v>
      </c>
      <c r="B56" s="66"/>
      <c r="C56" s="66"/>
      <c r="D56" s="66"/>
      <c r="E56" s="66"/>
      <c r="F56" s="66"/>
      <c r="G56" s="66"/>
      <c r="H56" s="66"/>
      <c r="I56" s="14"/>
    </row>
    <row r="57" spans="1:9" ht="8.1" customHeight="1" x14ac:dyDescent="0.2">
      <c r="A57" s="10"/>
      <c r="B57" s="10"/>
      <c r="C57" s="12"/>
      <c r="D57" s="12"/>
      <c r="E57" s="12"/>
      <c r="F57" s="12"/>
      <c r="G57" s="12"/>
      <c r="H57" s="12"/>
    </row>
    <row r="58" spans="1:9" x14ac:dyDescent="0.2">
      <c r="A58" s="12" t="s">
        <v>37</v>
      </c>
      <c r="B58" s="10"/>
      <c r="C58" s="10"/>
      <c r="D58" s="10"/>
      <c r="E58" s="10"/>
      <c r="F58" s="10"/>
      <c r="G58" s="10"/>
      <c r="H58" s="10"/>
    </row>
    <row r="59" spans="1:9" ht="12.75" customHeight="1" x14ac:dyDescent="0.2">
      <c r="A59" s="66" t="s">
        <v>40</v>
      </c>
      <c r="B59" s="66"/>
      <c r="C59" s="66"/>
      <c r="D59" s="66"/>
      <c r="E59" s="66"/>
      <c r="F59" s="66"/>
      <c r="G59" s="66"/>
      <c r="H59" s="66"/>
      <c r="I59" s="14"/>
    </row>
    <row r="60" spans="1:9" ht="12.75" customHeight="1" x14ac:dyDescent="0.2">
      <c r="A60" s="66"/>
      <c r="B60" s="66"/>
      <c r="C60" s="66"/>
      <c r="D60" s="66"/>
      <c r="E60" s="66"/>
      <c r="F60" s="66"/>
      <c r="G60" s="66"/>
      <c r="H60" s="66"/>
    </row>
    <row r="61" spans="1:9" ht="12.75" customHeight="1" x14ac:dyDescent="0.2">
      <c r="A61" s="66"/>
      <c r="B61" s="66"/>
      <c r="C61" s="66"/>
      <c r="D61" s="66"/>
      <c r="E61" s="66"/>
      <c r="F61" s="66"/>
      <c r="G61" s="66"/>
      <c r="H61" s="66"/>
    </row>
    <row r="62" spans="1:9" ht="12.75" customHeight="1" x14ac:dyDescent="0.2">
      <c r="A62" s="66"/>
      <c r="B62" s="66"/>
      <c r="C62" s="66"/>
      <c r="D62" s="66"/>
      <c r="E62" s="66"/>
      <c r="F62" s="66"/>
      <c r="G62" s="66"/>
      <c r="H62" s="66"/>
    </row>
    <row r="63" spans="1:9" x14ac:dyDescent="0.2">
      <c r="A63" s="10"/>
      <c r="B63" s="10"/>
      <c r="C63" s="10"/>
      <c r="D63" s="10"/>
      <c r="E63" s="10"/>
      <c r="F63" s="10"/>
      <c r="G63" s="10"/>
      <c r="H63" s="10"/>
    </row>
    <row r="64" spans="1:9" x14ac:dyDescent="0.2">
      <c r="A64" s="13" t="s">
        <v>2</v>
      </c>
      <c r="B64" s="10"/>
      <c r="C64" s="10"/>
      <c r="D64" s="10"/>
      <c r="E64" s="10"/>
      <c r="F64" s="10"/>
      <c r="G64" s="10"/>
      <c r="H64" s="10"/>
    </row>
    <row r="65" spans="1:9" ht="8.1" customHeight="1" x14ac:dyDescent="0.2">
      <c r="A65" s="13"/>
      <c r="B65" s="10"/>
      <c r="C65" s="10"/>
      <c r="D65" s="10"/>
      <c r="E65" s="10"/>
      <c r="F65" s="10"/>
      <c r="G65" s="10"/>
      <c r="H65" s="10"/>
    </row>
    <row r="66" spans="1:9" x14ac:dyDescent="0.2">
      <c r="A66" s="10" t="s">
        <v>35</v>
      </c>
      <c r="B66" s="10"/>
      <c r="C66" s="10"/>
      <c r="D66" s="10"/>
      <c r="E66" s="10"/>
      <c r="F66" s="10"/>
      <c r="G66" s="10"/>
      <c r="H66" s="10"/>
    </row>
    <row r="67" spans="1:9" ht="12.75" customHeight="1" x14ac:dyDescent="0.2">
      <c r="A67" s="66" t="s">
        <v>72</v>
      </c>
      <c r="B67" s="66"/>
      <c r="C67" s="66"/>
      <c r="D67" s="66"/>
      <c r="E67" s="66"/>
      <c r="F67" s="66"/>
      <c r="G67" s="66"/>
      <c r="H67" s="66"/>
    </row>
    <row r="68" spans="1:9" ht="8.1" customHeight="1" x14ac:dyDescent="0.2">
      <c r="A68" s="22"/>
      <c r="B68" s="22"/>
      <c r="C68" s="22"/>
      <c r="D68" s="22"/>
      <c r="E68" s="22"/>
      <c r="F68" s="22"/>
      <c r="G68" s="22"/>
      <c r="H68" s="22"/>
    </row>
    <row r="69" spans="1:9" x14ac:dyDescent="0.2">
      <c r="A69" s="12" t="s">
        <v>34</v>
      </c>
      <c r="B69" s="12"/>
      <c r="C69" s="12"/>
      <c r="D69" s="12"/>
      <c r="E69" s="12"/>
      <c r="F69" s="12"/>
      <c r="G69" s="12"/>
      <c r="H69" s="12"/>
    </row>
    <row r="70" spans="1:9" ht="12.75" customHeight="1" x14ac:dyDescent="0.2">
      <c r="A70" s="66" t="s">
        <v>73</v>
      </c>
      <c r="B70" s="66"/>
      <c r="C70" s="66"/>
      <c r="D70" s="66"/>
      <c r="E70" s="66"/>
      <c r="F70" s="66"/>
      <c r="G70" s="66"/>
      <c r="H70" s="66"/>
      <c r="I70" s="14"/>
    </row>
    <row r="71" spans="1:9" ht="8.1" customHeight="1" x14ac:dyDescent="0.2">
      <c r="A71" s="10"/>
      <c r="B71" s="10"/>
      <c r="C71" s="12"/>
      <c r="D71" s="12"/>
      <c r="E71" s="12"/>
      <c r="F71" s="12"/>
      <c r="G71" s="12"/>
      <c r="H71" s="12"/>
    </row>
    <row r="72" spans="1:9" x14ac:dyDescent="0.2">
      <c r="A72" s="12" t="s">
        <v>37</v>
      </c>
      <c r="B72" s="10"/>
      <c r="C72" s="10"/>
      <c r="D72" s="10"/>
      <c r="E72" s="10"/>
      <c r="F72" s="10"/>
      <c r="G72" s="10"/>
      <c r="H72" s="10"/>
    </row>
    <row r="73" spans="1:9" ht="12.75" customHeight="1" x14ac:dyDescent="0.2">
      <c r="A73" s="66" t="s">
        <v>41</v>
      </c>
      <c r="B73" s="66"/>
      <c r="C73" s="66"/>
      <c r="D73" s="66"/>
      <c r="E73" s="66"/>
      <c r="F73" s="66"/>
      <c r="G73" s="66"/>
      <c r="H73" s="66"/>
      <c r="I73" s="14"/>
    </row>
    <row r="74" spans="1:9" ht="12.75" customHeight="1" x14ac:dyDescent="0.2">
      <c r="A74" s="66"/>
      <c r="B74" s="66"/>
      <c r="C74" s="66"/>
      <c r="D74" s="66"/>
      <c r="E74" s="66"/>
      <c r="F74" s="66"/>
      <c r="G74" s="66"/>
      <c r="H74" s="66"/>
    </row>
    <row r="75" spans="1:9" ht="12.75" customHeight="1" x14ac:dyDescent="0.2">
      <c r="A75" s="66"/>
      <c r="B75" s="66"/>
      <c r="C75" s="66"/>
      <c r="D75" s="66"/>
      <c r="E75" s="66"/>
      <c r="F75" s="66"/>
      <c r="G75" s="66"/>
      <c r="H75" s="66"/>
    </row>
    <row r="76" spans="1:9" ht="12.75" customHeight="1" x14ac:dyDescent="0.2">
      <c r="A76" s="66"/>
      <c r="B76" s="66"/>
      <c r="C76" s="66"/>
      <c r="D76" s="66"/>
      <c r="E76" s="66"/>
      <c r="F76" s="66"/>
      <c r="G76" s="66"/>
      <c r="H76" s="66"/>
    </row>
    <row r="77" spans="1:9" x14ac:dyDescent="0.2">
      <c r="A77" s="10"/>
      <c r="B77" s="10"/>
      <c r="C77" s="10"/>
      <c r="D77" s="10"/>
      <c r="E77" s="10"/>
      <c r="F77" s="10"/>
      <c r="G77" s="10"/>
      <c r="H77" s="10"/>
    </row>
    <row r="78" spans="1:9" x14ac:dyDescent="0.2">
      <c r="A78" s="13" t="s">
        <v>3</v>
      </c>
      <c r="B78" s="10"/>
      <c r="C78" s="10"/>
      <c r="D78" s="10"/>
      <c r="E78" s="10"/>
      <c r="F78" s="10"/>
      <c r="G78" s="10"/>
      <c r="H78" s="10"/>
    </row>
    <row r="79" spans="1:9" ht="8.1" customHeight="1" x14ac:dyDescent="0.2">
      <c r="A79" s="13"/>
      <c r="B79" s="10"/>
      <c r="C79" s="10"/>
      <c r="D79" s="10"/>
      <c r="E79" s="10"/>
      <c r="F79" s="10"/>
      <c r="G79" s="10"/>
      <c r="H79" s="10"/>
    </row>
    <row r="80" spans="1:9" x14ac:dyDescent="0.2">
      <c r="A80" s="10" t="s">
        <v>35</v>
      </c>
      <c r="B80" s="10"/>
      <c r="C80" s="10"/>
      <c r="D80" s="10"/>
      <c r="E80" s="10"/>
      <c r="F80" s="10"/>
      <c r="G80" s="10"/>
      <c r="H80" s="10"/>
    </row>
    <row r="81" spans="1:9" ht="12.75" customHeight="1" x14ac:dyDescent="0.2">
      <c r="A81" s="66" t="s">
        <v>74</v>
      </c>
      <c r="B81" s="66"/>
      <c r="C81" s="66"/>
      <c r="D81" s="66"/>
      <c r="E81" s="66"/>
      <c r="F81" s="66"/>
      <c r="G81" s="66"/>
      <c r="H81" s="66"/>
    </row>
    <row r="82" spans="1:9" ht="8.1" customHeight="1" x14ac:dyDescent="0.2">
      <c r="A82" s="22"/>
      <c r="B82" s="22"/>
      <c r="C82" s="22"/>
      <c r="D82" s="22"/>
      <c r="E82" s="22"/>
      <c r="F82" s="22"/>
      <c r="G82" s="22"/>
      <c r="H82" s="22"/>
    </row>
    <row r="83" spans="1:9" x14ac:dyDescent="0.2">
      <c r="A83" s="12" t="s">
        <v>34</v>
      </c>
      <c r="B83" s="12"/>
      <c r="C83" s="12"/>
      <c r="D83" s="12"/>
      <c r="E83" s="12"/>
      <c r="F83" s="12"/>
      <c r="G83" s="12"/>
      <c r="H83" s="12"/>
    </row>
    <row r="84" spans="1:9" ht="12.75" customHeight="1" x14ac:dyDescent="0.2">
      <c r="A84" s="66" t="s">
        <v>75</v>
      </c>
      <c r="B84" s="66"/>
      <c r="C84" s="66"/>
      <c r="D84" s="66"/>
      <c r="E84" s="66"/>
      <c r="F84" s="66"/>
      <c r="G84" s="66"/>
      <c r="H84" s="66"/>
      <c r="I84" s="14"/>
    </row>
    <row r="85" spans="1:9" ht="8.1" customHeight="1" x14ac:dyDescent="0.2">
      <c r="A85" s="10"/>
      <c r="B85" s="10"/>
      <c r="C85" s="12"/>
      <c r="D85" s="12"/>
      <c r="E85" s="12"/>
      <c r="F85" s="12"/>
      <c r="G85" s="12"/>
      <c r="H85" s="12"/>
    </row>
    <row r="86" spans="1:9" x14ac:dyDescent="0.2">
      <c r="A86" s="12" t="s">
        <v>37</v>
      </c>
      <c r="B86" s="10"/>
      <c r="C86" s="10"/>
      <c r="D86" s="10"/>
      <c r="E86" s="10"/>
      <c r="F86" s="10"/>
      <c r="G86" s="10"/>
      <c r="H86" s="10"/>
    </row>
    <row r="87" spans="1:9" ht="12.75" customHeight="1" x14ac:dyDescent="0.2">
      <c r="A87" s="66" t="s">
        <v>42</v>
      </c>
      <c r="B87" s="66"/>
      <c r="C87" s="66"/>
      <c r="D87" s="66"/>
      <c r="E87" s="66"/>
      <c r="F87" s="66"/>
      <c r="G87" s="66"/>
      <c r="H87" s="66"/>
      <c r="I87" s="14"/>
    </row>
    <row r="88" spans="1:9" ht="12.75" customHeight="1" x14ac:dyDescent="0.2">
      <c r="A88" s="66"/>
      <c r="B88" s="66"/>
      <c r="C88" s="66"/>
      <c r="D88" s="66"/>
      <c r="E88" s="66"/>
      <c r="F88" s="66"/>
      <c r="G88" s="66"/>
      <c r="H88" s="66"/>
    </row>
    <row r="89" spans="1:9" ht="12.75" customHeight="1" x14ac:dyDescent="0.2">
      <c r="A89" s="66"/>
      <c r="B89" s="66"/>
      <c r="C89" s="66"/>
      <c r="D89" s="66"/>
      <c r="E89" s="66"/>
      <c r="F89" s="66"/>
      <c r="G89" s="66"/>
      <c r="H89" s="66"/>
    </row>
    <row r="90" spans="1:9" ht="12.75" customHeight="1" x14ac:dyDescent="0.2">
      <c r="A90" s="66"/>
      <c r="B90" s="66"/>
      <c r="C90" s="66"/>
      <c r="D90" s="66"/>
      <c r="E90" s="66"/>
      <c r="F90" s="66"/>
      <c r="G90" s="66"/>
      <c r="H90" s="66"/>
    </row>
    <row r="91" spans="1:9" x14ac:dyDescent="0.2">
      <c r="A91" s="10"/>
      <c r="B91" s="10"/>
      <c r="C91" s="10"/>
      <c r="D91" s="10"/>
      <c r="E91" s="10"/>
      <c r="F91" s="10"/>
      <c r="G91" s="10"/>
      <c r="H91" s="10"/>
    </row>
    <row r="92" spans="1:9" x14ac:dyDescent="0.2">
      <c r="A92" s="13" t="s">
        <v>4</v>
      </c>
      <c r="B92" s="10"/>
      <c r="C92" s="10"/>
      <c r="D92" s="10"/>
      <c r="E92" s="10"/>
      <c r="F92" s="10"/>
      <c r="G92" s="10"/>
      <c r="H92" s="10"/>
    </row>
    <row r="93" spans="1:9" ht="8.1" customHeight="1" x14ac:dyDescent="0.2">
      <c r="A93" s="13"/>
      <c r="B93" s="10"/>
      <c r="C93" s="10"/>
      <c r="D93" s="10"/>
      <c r="E93" s="10"/>
      <c r="F93" s="10"/>
      <c r="G93" s="10"/>
      <c r="H93" s="10"/>
    </row>
    <row r="94" spans="1:9" x14ac:dyDescent="0.2">
      <c r="A94" s="10" t="s">
        <v>35</v>
      </c>
      <c r="B94" s="10"/>
      <c r="C94" s="10"/>
      <c r="D94" s="10"/>
      <c r="E94" s="10"/>
      <c r="F94" s="10"/>
      <c r="G94" s="10"/>
      <c r="H94" s="10"/>
    </row>
    <row r="95" spans="1:9" ht="12.75" customHeight="1" x14ac:dyDescent="0.2">
      <c r="A95" s="66" t="s">
        <v>76</v>
      </c>
      <c r="B95" s="66"/>
      <c r="C95" s="66"/>
      <c r="D95" s="66"/>
      <c r="E95" s="66"/>
      <c r="F95" s="66"/>
      <c r="G95" s="66"/>
      <c r="H95" s="66"/>
    </row>
    <row r="96" spans="1:9" ht="8.1" customHeight="1" x14ac:dyDescent="0.2">
      <c r="A96" s="22"/>
      <c r="B96" s="22"/>
      <c r="C96" s="22"/>
      <c r="D96" s="22"/>
      <c r="E96" s="22"/>
      <c r="F96" s="22"/>
      <c r="G96" s="22"/>
      <c r="H96" s="22"/>
    </row>
    <row r="97" spans="1:9" x14ac:dyDescent="0.2">
      <c r="A97" s="12" t="s">
        <v>34</v>
      </c>
      <c r="B97" s="12"/>
      <c r="C97" s="12"/>
      <c r="D97" s="12"/>
      <c r="E97" s="12"/>
      <c r="F97" s="12"/>
      <c r="G97" s="12"/>
      <c r="H97" s="12"/>
    </row>
    <row r="98" spans="1:9" ht="12.75" customHeight="1" x14ac:dyDescent="0.2">
      <c r="A98" s="66" t="s">
        <v>77</v>
      </c>
      <c r="B98" s="66"/>
      <c r="C98" s="66"/>
      <c r="D98" s="66"/>
      <c r="E98" s="66"/>
      <c r="F98" s="66"/>
      <c r="G98" s="66"/>
      <c r="H98" s="66"/>
      <c r="I98" s="14"/>
    </row>
    <row r="99" spans="1:9" ht="8.1" customHeight="1" x14ac:dyDescent="0.2">
      <c r="A99" s="10"/>
      <c r="B99" s="10"/>
      <c r="C99" s="12"/>
      <c r="D99" s="12"/>
      <c r="E99" s="12"/>
      <c r="F99" s="12"/>
      <c r="G99" s="12"/>
      <c r="H99" s="12"/>
    </row>
    <row r="100" spans="1:9" x14ac:dyDescent="0.2">
      <c r="A100" s="12" t="s">
        <v>37</v>
      </c>
      <c r="B100" s="10"/>
      <c r="C100" s="10"/>
      <c r="D100" s="10"/>
      <c r="E100" s="10"/>
      <c r="F100" s="10"/>
      <c r="G100" s="10"/>
      <c r="H100" s="10"/>
    </row>
    <row r="101" spans="1:9" ht="12.75" customHeight="1" x14ac:dyDescent="0.2">
      <c r="A101" s="66" t="s">
        <v>43</v>
      </c>
      <c r="B101" s="66"/>
      <c r="C101" s="66"/>
      <c r="D101" s="66"/>
      <c r="E101" s="66"/>
      <c r="F101" s="66"/>
      <c r="G101" s="66"/>
      <c r="H101" s="66"/>
      <c r="I101" s="14"/>
    </row>
    <row r="102" spans="1:9" ht="12.75" customHeight="1" x14ac:dyDescent="0.2">
      <c r="A102" s="66"/>
      <c r="B102" s="66"/>
      <c r="C102" s="66"/>
      <c r="D102" s="66"/>
      <c r="E102" s="66"/>
      <c r="F102" s="66"/>
      <c r="G102" s="66"/>
      <c r="H102" s="66"/>
    </row>
    <row r="103" spans="1:9" ht="12.75" customHeight="1" x14ac:dyDescent="0.2">
      <c r="A103" s="66"/>
      <c r="B103" s="66"/>
      <c r="C103" s="66"/>
      <c r="D103" s="66"/>
      <c r="E103" s="66"/>
      <c r="F103" s="66"/>
      <c r="G103" s="66"/>
      <c r="H103" s="66"/>
    </row>
    <row r="104" spans="1:9" ht="12.75" customHeight="1" x14ac:dyDescent="0.2">
      <c r="A104" s="66"/>
      <c r="B104" s="66"/>
      <c r="C104" s="66"/>
      <c r="D104" s="66"/>
      <c r="E104" s="66"/>
      <c r="F104" s="66"/>
      <c r="G104" s="66"/>
      <c r="H104" s="66"/>
    </row>
    <row r="105" spans="1:9" x14ac:dyDescent="0.2">
      <c r="A105" s="10"/>
      <c r="B105" s="10"/>
      <c r="C105" s="10"/>
      <c r="D105" s="10"/>
      <c r="E105" s="10"/>
      <c r="F105" s="10"/>
      <c r="G105" s="10"/>
      <c r="H105" s="10"/>
    </row>
    <row r="106" spans="1:9" x14ac:dyDescent="0.2">
      <c r="A106" s="13" t="s">
        <v>5</v>
      </c>
      <c r="B106" s="10"/>
      <c r="C106" s="10"/>
      <c r="D106" s="10"/>
      <c r="E106" s="10"/>
      <c r="F106" s="10"/>
      <c r="G106" s="10"/>
      <c r="H106" s="10"/>
    </row>
    <row r="107" spans="1:9" ht="8.1" customHeight="1" x14ac:dyDescent="0.2">
      <c r="A107" s="13"/>
      <c r="B107" s="10"/>
      <c r="C107" s="10"/>
      <c r="D107" s="10"/>
      <c r="E107" s="10"/>
      <c r="F107" s="10"/>
      <c r="G107" s="10"/>
      <c r="H107" s="10"/>
    </row>
    <row r="108" spans="1:9" x14ac:dyDescent="0.2">
      <c r="A108" s="10" t="s">
        <v>35</v>
      </c>
      <c r="B108" s="10"/>
      <c r="C108" s="10"/>
      <c r="D108" s="10"/>
      <c r="E108" s="10"/>
      <c r="F108" s="10"/>
      <c r="G108" s="10"/>
      <c r="H108" s="10"/>
    </row>
    <row r="109" spans="1:9" ht="12.75" customHeight="1" x14ac:dyDescent="0.2">
      <c r="A109" s="66" t="s">
        <v>78</v>
      </c>
      <c r="B109" s="66"/>
      <c r="C109" s="66"/>
      <c r="D109" s="66"/>
      <c r="E109" s="66"/>
      <c r="F109" s="66"/>
      <c r="G109" s="66"/>
      <c r="H109" s="66"/>
    </row>
    <row r="110" spans="1:9" ht="8.1" customHeight="1" x14ac:dyDescent="0.2">
      <c r="A110" s="22"/>
      <c r="B110" s="22"/>
      <c r="C110" s="22"/>
      <c r="D110" s="22"/>
      <c r="E110" s="22"/>
      <c r="F110" s="22"/>
      <c r="G110" s="22"/>
      <c r="H110" s="22"/>
    </row>
    <row r="111" spans="1:9" x14ac:dyDescent="0.2">
      <c r="A111" s="12" t="s">
        <v>34</v>
      </c>
      <c r="B111" s="12"/>
      <c r="C111" s="12"/>
      <c r="D111" s="12"/>
      <c r="E111" s="12"/>
      <c r="F111" s="12"/>
      <c r="G111" s="12"/>
      <c r="H111" s="12"/>
    </row>
    <row r="112" spans="1:9" ht="12.75" customHeight="1" x14ac:dyDescent="0.2">
      <c r="A112" s="66" t="s">
        <v>79</v>
      </c>
      <c r="B112" s="66"/>
      <c r="C112" s="66"/>
      <c r="D112" s="66"/>
      <c r="E112" s="66"/>
      <c r="F112" s="66"/>
      <c r="G112" s="66"/>
      <c r="H112" s="66"/>
      <c r="I112" s="14"/>
    </row>
    <row r="113" spans="1:9" ht="8.1" customHeight="1" x14ac:dyDescent="0.2">
      <c r="A113" s="10"/>
      <c r="B113" s="10"/>
      <c r="C113" s="12"/>
      <c r="D113" s="12"/>
      <c r="E113" s="12"/>
      <c r="F113" s="12"/>
      <c r="G113" s="12"/>
      <c r="H113" s="12"/>
    </row>
    <row r="114" spans="1:9" x14ac:dyDescent="0.2">
      <c r="A114" s="12" t="s">
        <v>37</v>
      </c>
      <c r="B114" s="10"/>
      <c r="C114" s="10"/>
      <c r="D114" s="10"/>
      <c r="E114" s="10"/>
      <c r="F114" s="10"/>
      <c r="G114" s="10"/>
      <c r="H114" s="10"/>
    </row>
    <row r="115" spans="1:9" ht="12.75" customHeight="1" x14ac:dyDescent="0.2">
      <c r="A115" s="66" t="s">
        <v>44</v>
      </c>
      <c r="B115" s="66"/>
      <c r="C115" s="66"/>
      <c r="D115" s="66"/>
      <c r="E115" s="66"/>
      <c r="F115" s="66"/>
      <c r="G115" s="66"/>
      <c r="H115" s="66"/>
      <c r="I115" s="14"/>
    </row>
    <row r="116" spans="1:9" ht="12.75" customHeight="1" x14ac:dyDescent="0.2">
      <c r="A116" s="66"/>
      <c r="B116" s="66"/>
      <c r="C116" s="66"/>
      <c r="D116" s="66"/>
      <c r="E116" s="66"/>
      <c r="F116" s="66"/>
      <c r="G116" s="66"/>
      <c r="H116" s="66"/>
    </row>
    <row r="117" spans="1:9" ht="12.75" customHeight="1" x14ac:dyDescent="0.2">
      <c r="A117" s="66"/>
      <c r="B117" s="66"/>
      <c r="C117" s="66"/>
      <c r="D117" s="66"/>
      <c r="E117" s="66"/>
      <c r="F117" s="66"/>
      <c r="G117" s="66"/>
      <c r="H117" s="66"/>
    </row>
    <row r="118" spans="1:9" ht="12.75" customHeight="1" x14ac:dyDescent="0.2">
      <c r="A118" s="66"/>
      <c r="B118" s="66"/>
      <c r="C118" s="66"/>
      <c r="D118" s="66"/>
      <c r="E118" s="66"/>
      <c r="F118" s="66"/>
      <c r="G118" s="66"/>
      <c r="H118" s="66"/>
    </row>
    <row r="119" spans="1:9" x14ac:dyDescent="0.2">
      <c r="A119" s="10"/>
      <c r="B119" s="10"/>
      <c r="C119" s="10"/>
      <c r="D119" s="10"/>
      <c r="E119" s="10"/>
      <c r="F119" s="10"/>
      <c r="G119" s="10"/>
      <c r="H119" s="10"/>
    </row>
    <row r="120" spans="1:9" x14ac:dyDescent="0.2">
      <c r="A120" s="13" t="s">
        <v>6</v>
      </c>
      <c r="B120" s="10"/>
      <c r="C120" s="10"/>
      <c r="D120" s="10"/>
      <c r="E120" s="10"/>
      <c r="F120" s="10"/>
      <c r="G120" s="10"/>
      <c r="H120" s="10"/>
    </row>
    <row r="121" spans="1:9" ht="8.1" customHeight="1" x14ac:dyDescent="0.2">
      <c r="A121" s="13"/>
      <c r="B121" s="10"/>
      <c r="C121" s="10"/>
      <c r="D121" s="10"/>
      <c r="E121" s="10"/>
      <c r="F121" s="10"/>
      <c r="G121" s="10"/>
      <c r="H121" s="10"/>
    </row>
    <row r="122" spans="1:9" x14ac:dyDescent="0.2">
      <c r="A122" s="10" t="s">
        <v>35</v>
      </c>
      <c r="B122" s="10"/>
      <c r="C122" s="10"/>
      <c r="D122" s="10"/>
      <c r="E122" s="10"/>
      <c r="F122" s="10"/>
      <c r="G122" s="10"/>
      <c r="H122" s="10"/>
    </row>
    <row r="123" spans="1:9" ht="12.75" customHeight="1" x14ac:dyDescent="0.2">
      <c r="A123" s="66" t="s">
        <v>80</v>
      </c>
      <c r="B123" s="66"/>
      <c r="C123" s="66"/>
      <c r="D123" s="66"/>
      <c r="E123" s="66"/>
      <c r="F123" s="66"/>
      <c r="G123" s="66"/>
      <c r="H123" s="66"/>
    </row>
    <row r="124" spans="1:9" ht="8.1" customHeight="1" x14ac:dyDescent="0.2">
      <c r="A124" s="22"/>
      <c r="B124" s="22"/>
      <c r="C124" s="22"/>
      <c r="D124" s="22"/>
      <c r="E124" s="22"/>
      <c r="F124" s="22"/>
      <c r="G124" s="22"/>
      <c r="H124" s="22"/>
    </row>
    <row r="125" spans="1:9" x14ac:dyDescent="0.2">
      <c r="A125" s="12" t="s">
        <v>34</v>
      </c>
      <c r="B125" s="12"/>
      <c r="C125" s="12"/>
      <c r="D125" s="12"/>
      <c r="E125" s="12"/>
      <c r="F125" s="12"/>
      <c r="G125" s="12"/>
      <c r="H125" s="12"/>
    </row>
    <row r="126" spans="1:9" ht="12.75" customHeight="1" x14ac:dyDescent="0.2">
      <c r="A126" s="66" t="s">
        <v>81</v>
      </c>
      <c r="B126" s="66"/>
      <c r="C126" s="66"/>
      <c r="D126" s="66"/>
      <c r="E126" s="66"/>
      <c r="F126" s="66"/>
      <c r="G126" s="66"/>
      <c r="H126" s="66"/>
      <c r="I126" s="14"/>
    </row>
    <row r="127" spans="1:9" ht="8.1" customHeight="1" x14ac:dyDescent="0.2">
      <c r="A127" s="10"/>
      <c r="B127" s="10"/>
      <c r="C127" s="12"/>
      <c r="D127" s="12"/>
      <c r="E127" s="12"/>
      <c r="F127" s="12"/>
      <c r="G127" s="12"/>
      <c r="H127" s="12"/>
    </row>
    <row r="128" spans="1:9" x14ac:dyDescent="0.2">
      <c r="A128" s="12" t="s">
        <v>37</v>
      </c>
      <c r="B128" s="10"/>
      <c r="C128" s="10"/>
      <c r="D128" s="10"/>
      <c r="E128" s="10"/>
      <c r="F128" s="10"/>
      <c r="G128" s="10"/>
      <c r="H128" s="10"/>
    </row>
    <row r="129" spans="1:15" ht="12.75" customHeight="1" x14ac:dyDescent="0.25">
      <c r="A129" s="66" t="s">
        <v>45</v>
      </c>
      <c r="B129" s="66"/>
      <c r="C129" s="66"/>
      <c r="D129" s="66"/>
      <c r="E129" s="66"/>
      <c r="F129" s="66"/>
      <c r="G129" s="66"/>
      <c r="H129" s="66"/>
      <c r="I129" s="14"/>
      <c r="O129" s="29"/>
    </row>
    <row r="130" spans="1:15" ht="12.75" customHeight="1" x14ac:dyDescent="0.2">
      <c r="A130" s="66"/>
      <c r="B130" s="66"/>
      <c r="C130" s="66"/>
      <c r="D130" s="66"/>
      <c r="E130" s="66"/>
      <c r="F130" s="66"/>
      <c r="G130" s="66"/>
      <c r="H130" s="66"/>
    </row>
    <row r="131" spans="1:15" ht="12.75" customHeight="1" x14ac:dyDescent="0.2">
      <c r="A131" s="66"/>
      <c r="B131" s="66"/>
      <c r="C131" s="66"/>
      <c r="D131" s="66"/>
      <c r="E131" s="66"/>
      <c r="F131" s="66"/>
      <c r="G131" s="66"/>
      <c r="H131" s="66"/>
    </row>
    <row r="132" spans="1:15" ht="12.75" customHeight="1" x14ac:dyDescent="0.2">
      <c r="A132" s="66"/>
      <c r="B132" s="66"/>
      <c r="C132" s="66"/>
      <c r="D132" s="66"/>
      <c r="E132" s="66"/>
      <c r="F132" s="66"/>
      <c r="G132" s="66"/>
      <c r="H132" s="66"/>
    </row>
    <row r="133" spans="1:15" ht="12.75" customHeight="1" x14ac:dyDescent="0.2">
      <c r="A133" s="10"/>
      <c r="B133" s="10"/>
      <c r="C133" s="10"/>
      <c r="D133" s="10"/>
      <c r="E133" s="10"/>
      <c r="F133" s="10"/>
      <c r="G133" s="10"/>
      <c r="H133" s="10"/>
    </row>
    <row r="134" spans="1:15" x14ac:dyDescent="0.2">
      <c r="A134" s="13" t="s">
        <v>33</v>
      </c>
      <c r="B134" s="10"/>
      <c r="C134" s="10"/>
      <c r="D134" s="10"/>
      <c r="E134" s="10"/>
      <c r="F134" s="10"/>
      <c r="G134" s="10"/>
      <c r="H134" s="10"/>
    </row>
    <row r="135" spans="1:15" ht="8.1" customHeight="1" x14ac:dyDescent="0.2">
      <c r="A135" s="13"/>
      <c r="B135" s="10"/>
      <c r="C135" s="10"/>
      <c r="D135" s="10"/>
      <c r="E135" s="10"/>
      <c r="F135" s="10"/>
      <c r="G135" s="10"/>
      <c r="H135" s="10"/>
    </row>
    <row r="136" spans="1:15" x14ac:dyDescent="0.2">
      <c r="A136" s="10" t="s">
        <v>35</v>
      </c>
      <c r="B136" s="10"/>
      <c r="C136" s="10"/>
      <c r="D136" s="10"/>
      <c r="E136" s="10"/>
      <c r="F136" s="10"/>
      <c r="G136" s="10"/>
      <c r="H136" s="10"/>
    </row>
    <row r="137" spans="1:15" ht="12.75" customHeight="1" x14ac:dyDescent="0.2">
      <c r="A137" s="66" t="s">
        <v>51</v>
      </c>
      <c r="B137" s="66"/>
      <c r="C137" s="66"/>
      <c r="D137" s="66"/>
      <c r="E137" s="66"/>
      <c r="F137" s="66"/>
      <c r="G137" s="66"/>
      <c r="H137" s="66"/>
    </row>
    <row r="138" spans="1:15" ht="8.1" customHeight="1" x14ac:dyDescent="0.2">
      <c r="A138" s="22"/>
      <c r="B138" s="22"/>
      <c r="C138" s="22"/>
      <c r="D138" s="22"/>
      <c r="E138" s="22"/>
      <c r="F138" s="22"/>
      <c r="G138" s="22"/>
      <c r="H138" s="22"/>
    </row>
    <row r="139" spans="1:15" x14ac:dyDescent="0.2">
      <c r="A139" s="12" t="s">
        <v>34</v>
      </c>
      <c r="B139" s="12"/>
      <c r="C139" s="12"/>
      <c r="D139" s="12"/>
      <c r="E139" s="12"/>
      <c r="F139" s="12"/>
      <c r="G139" s="12"/>
      <c r="H139" s="12"/>
    </row>
    <row r="140" spans="1:15" ht="12.75" customHeight="1" x14ac:dyDescent="0.2">
      <c r="A140" s="66" t="s">
        <v>52</v>
      </c>
      <c r="B140" s="66"/>
      <c r="C140" s="66"/>
      <c r="D140" s="66"/>
      <c r="E140" s="66"/>
      <c r="F140" s="66"/>
      <c r="G140" s="66"/>
      <c r="H140" s="66"/>
      <c r="I140" s="14"/>
    </row>
    <row r="141" spans="1:15" ht="8.1" customHeight="1" x14ac:dyDescent="0.2">
      <c r="A141" s="10"/>
      <c r="B141" s="10"/>
      <c r="C141" s="12"/>
      <c r="D141" s="12"/>
      <c r="E141" s="12"/>
      <c r="F141" s="12"/>
      <c r="G141" s="12"/>
      <c r="H141" s="12"/>
    </row>
    <row r="142" spans="1:15" x14ac:dyDescent="0.2">
      <c r="A142" s="12" t="s">
        <v>37</v>
      </c>
      <c r="B142" s="10"/>
      <c r="C142" s="10"/>
      <c r="D142" s="10"/>
      <c r="E142" s="10"/>
      <c r="F142" s="10"/>
      <c r="G142" s="10"/>
      <c r="H142" s="10"/>
    </row>
    <row r="143" spans="1:15" ht="12.75" customHeight="1" x14ac:dyDescent="0.2">
      <c r="A143" s="66" t="s">
        <v>46</v>
      </c>
      <c r="B143" s="66"/>
      <c r="C143" s="66"/>
      <c r="D143" s="66"/>
      <c r="E143" s="66"/>
      <c r="F143" s="66"/>
      <c r="G143" s="66"/>
      <c r="H143" s="66"/>
      <c r="I143" s="14"/>
    </row>
    <row r="144" spans="1:15" ht="12.75" customHeight="1" x14ac:dyDescent="0.2">
      <c r="A144" s="66"/>
      <c r="B144" s="66"/>
      <c r="C144" s="66"/>
      <c r="D144" s="66"/>
      <c r="E144" s="66"/>
      <c r="F144" s="66"/>
      <c r="G144" s="66"/>
      <c r="H144" s="66"/>
    </row>
    <row r="145" spans="1:9" ht="12.75" customHeight="1" x14ac:dyDescent="0.2">
      <c r="A145" s="66"/>
      <c r="B145" s="66"/>
      <c r="C145" s="66"/>
      <c r="D145" s="66"/>
      <c r="E145" s="66"/>
      <c r="F145" s="66"/>
      <c r="G145" s="66"/>
      <c r="H145" s="66"/>
    </row>
    <row r="146" spans="1:9" ht="12.75" customHeight="1" x14ac:dyDescent="0.2">
      <c r="A146" s="66"/>
      <c r="B146" s="66"/>
      <c r="C146" s="66"/>
      <c r="D146" s="66"/>
      <c r="E146" s="66"/>
      <c r="F146" s="66"/>
      <c r="G146" s="66"/>
      <c r="H146" s="66"/>
    </row>
    <row r="147" spans="1:9" x14ac:dyDescent="0.2">
      <c r="A147" s="10"/>
      <c r="B147" s="10"/>
      <c r="C147" s="10"/>
      <c r="D147" s="10"/>
      <c r="E147" s="10"/>
      <c r="F147" s="10"/>
      <c r="G147" s="10"/>
      <c r="H147" s="10"/>
    </row>
    <row r="148" spans="1:9" x14ac:dyDescent="0.2">
      <c r="A148" s="13" t="s">
        <v>7</v>
      </c>
      <c r="B148" s="10"/>
      <c r="C148" s="10"/>
      <c r="D148" s="10"/>
      <c r="E148" s="10"/>
      <c r="F148" s="10"/>
      <c r="G148" s="10"/>
      <c r="H148" s="10"/>
    </row>
    <row r="149" spans="1:9" ht="8.1" customHeight="1" x14ac:dyDescent="0.2">
      <c r="A149" s="13"/>
      <c r="B149" s="10"/>
      <c r="C149" s="10"/>
      <c r="D149" s="10"/>
      <c r="E149" s="10"/>
      <c r="F149" s="10"/>
      <c r="G149" s="10"/>
      <c r="H149" s="10"/>
    </row>
    <row r="150" spans="1:9" x14ac:dyDescent="0.2">
      <c r="A150" s="10" t="s">
        <v>35</v>
      </c>
      <c r="B150" s="10"/>
      <c r="C150" s="10"/>
      <c r="D150" s="10"/>
      <c r="E150" s="10"/>
      <c r="F150" s="10"/>
      <c r="G150" s="10"/>
      <c r="H150" s="10"/>
    </row>
    <row r="151" spans="1:9" ht="12.75" customHeight="1" x14ac:dyDescent="0.2">
      <c r="A151" s="66" t="s">
        <v>36</v>
      </c>
      <c r="B151" s="66"/>
      <c r="C151" s="66"/>
      <c r="D151" s="66"/>
      <c r="E151" s="66"/>
      <c r="F151" s="66"/>
      <c r="G151" s="66"/>
      <c r="H151" s="66"/>
    </row>
    <row r="152" spans="1:9" ht="8.1" customHeight="1" x14ac:dyDescent="0.2">
      <c r="A152" s="22"/>
      <c r="B152" s="22"/>
      <c r="C152" s="22"/>
      <c r="D152" s="22"/>
      <c r="E152" s="22"/>
      <c r="F152" s="22"/>
      <c r="G152" s="22"/>
      <c r="H152" s="22"/>
    </row>
    <row r="153" spans="1:9" x14ac:dyDescent="0.2">
      <c r="A153" s="12" t="s">
        <v>34</v>
      </c>
      <c r="B153" s="12"/>
      <c r="C153" s="12"/>
      <c r="D153" s="12"/>
      <c r="E153" s="12"/>
      <c r="F153" s="12"/>
      <c r="G153" s="12"/>
      <c r="H153" s="12"/>
    </row>
    <row r="154" spans="1:9" ht="12.75" customHeight="1" x14ac:dyDescent="0.2">
      <c r="A154" s="66" t="s">
        <v>53</v>
      </c>
      <c r="B154" s="66"/>
      <c r="C154" s="66"/>
      <c r="D154" s="66"/>
      <c r="E154" s="66"/>
      <c r="F154" s="66"/>
      <c r="G154" s="66"/>
      <c r="H154" s="66"/>
      <c r="I154" s="14"/>
    </row>
    <row r="155" spans="1:9" ht="8.1" customHeight="1" x14ac:dyDescent="0.2">
      <c r="A155" s="10"/>
      <c r="B155" s="10"/>
      <c r="C155" s="12"/>
      <c r="D155" s="12"/>
      <c r="E155" s="12"/>
      <c r="F155" s="12"/>
      <c r="G155" s="12"/>
      <c r="H155" s="12"/>
    </row>
    <row r="156" spans="1:9" x14ac:dyDescent="0.2">
      <c r="A156" s="12" t="s">
        <v>37</v>
      </c>
      <c r="B156" s="10"/>
      <c r="C156" s="10"/>
      <c r="D156" s="10"/>
      <c r="E156" s="10"/>
      <c r="F156" s="10"/>
      <c r="G156" s="10"/>
      <c r="H156" s="10"/>
    </row>
    <row r="157" spans="1:9" ht="12.75" customHeight="1" x14ac:dyDescent="0.2">
      <c r="A157" s="66" t="s">
        <v>47</v>
      </c>
      <c r="B157" s="66"/>
      <c r="C157" s="66"/>
      <c r="D157" s="66"/>
      <c r="E157" s="66"/>
      <c r="F157" s="66"/>
      <c r="G157" s="66"/>
      <c r="H157" s="66"/>
      <c r="I157" s="14"/>
    </row>
    <row r="158" spans="1:9" ht="12.75" customHeight="1" x14ac:dyDescent="0.2">
      <c r="A158" s="66"/>
      <c r="B158" s="66"/>
      <c r="C158" s="66"/>
      <c r="D158" s="66"/>
      <c r="E158" s="66"/>
      <c r="F158" s="66"/>
      <c r="G158" s="66"/>
      <c r="H158" s="66"/>
    </row>
    <row r="159" spans="1:9" ht="12.75" customHeight="1" x14ac:dyDescent="0.2">
      <c r="A159" s="66"/>
      <c r="B159" s="66"/>
      <c r="C159" s="66"/>
      <c r="D159" s="66"/>
      <c r="E159" s="66"/>
      <c r="F159" s="66"/>
      <c r="G159" s="66"/>
      <c r="H159" s="66"/>
    </row>
    <row r="160" spans="1:9" ht="12.75" customHeight="1" x14ac:dyDescent="0.2">
      <c r="A160" s="66"/>
      <c r="B160" s="66"/>
      <c r="C160" s="66"/>
      <c r="D160" s="66"/>
      <c r="E160" s="66"/>
      <c r="F160" s="66"/>
      <c r="G160" s="66"/>
      <c r="H160" s="66"/>
    </row>
    <row r="161" spans="1:8" x14ac:dyDescent="0.2">
      <c r="A161" s="10"/>
      <c r="B161" s="10"/>
      <c r="C161" s="10"/>
      <c r="D161" s="10"/>
      <c r="E161" s="10"/>
      <c r="F161" s="10"/>
      <c r="G161" s="10"/>
      <c r="H161" s="10"/>
    </row>
    <row r="162" spans="1:8" s="14" customFormat="1" x14ac:dyDescent="0.2">
      <c r="A162" s="1" t="s">
        <v>19</v>
      </c>
      <c r="B162" s="1"/>
      <c r="C162" s="1"/>
      <c r="D162" s="1"/>
      <c r="E162" s="1"/>
      <c r="F162" s="1"/>
      <c r="G162" s="1"/>
      <c r="H162" s="1"/>
    </row>
    <row r="164" spans="1:8" x14ac:dyDescent="0.2">
      <c r="A164" s="9" t="s">
        <v>29</v>
      </c>
      <c r="C164" s="9">
        <v>1</v>
      </c>
      <c r="E164" s="9" t="s">
        <v>0</v>
      </c>
    </row>
    <row r="165" spans="1:8" x14ac:dyDescent="0.2">
      <c r="A165" s="9" t="s">
        <v>67</v>
      </c>
      <c r="C165" s="9">
        <v>2</v>
      </c>
      <c r="E165" s="9" t="s">
        <v>1</v>
      </c>
    </row>
    <row r="166" spans="1:8" x14ac:dyDescent="0.2">
      <c r="A166" s="9" t="s">
        <v>28</v>
      </c>
      <c r="C166" s="9">
        <v>3</v>
      </c>
      <c r="E166" s="9" t="s">
        <v>2</v>
      </c>
    </row>
    <row r="167" spans="1:8" x14ac:dyDescent="0.2">
      <c r="C167" s="9">
        <v>4</v>
      </c>
      <c r="E167" s="9" t="s">
        <v>3</v>
      </c>
    </row>
    <row r="168" spans="1:8" x14ac:dyDescent="0.2">
      <c r="A168" s="9" t="s">
        <v>15</v>
      </c>
      <c r="C168" s="9">
        <v>5</v>
      </c>
      <c r="E168" s="9" t="s">
        <v>4</v>
      </c>
    </row>
    <row r="169" spans="1:8" x14ac:dyDescent="0.2">
      <c r="A169" s="9" t="s">
        <v>16</v>
      </c>
      <c r="C169" s="9">
        <v>6</v>
      </c>
      <c r="E169" s="9" t="s">
        <v>5</v>
      </c>
    </row>
    <row r="170" spans="1:8" x14ac:dyDescent="0.2">
      <c r="C170" s="9">
        <v>7</v>
      </c>
      <c r="E170" s="9" t="s">
        <v>6</v>
      </c>
    </row>
    <row r="171" spans="1:8" x14ac:dyDescent="0.2">
      <c r="C171" s="9">
        <v>8</v>
      </c>
      <c r="E171" s="9" t="s">
        <v>20</v>
      </c>
    </row>
    <row r="172" spans="1:8" x14ac:dyDescent="0.2">
      <c r="C172" s="9">
        <v>9</v>
      </c>
      <c r="E172" s="9" t="s">
        <v>7</v>
      </c>
    </row>
    <row r="174" spans="1:8" x14ac:dyDescent="0.2">
      <c r="A174" s="67" t="s">
        <v>17</v>
      </c>
      <c r="B174" s="15" t="s">
        <v>23</v>
      </c>
      <c r="C174" s="15" t="s">
        <v>24</v>
      </c>
    </row>
    <row r="175" spans="1:8" x14ac:dyDescent="0.2">
      <c r="A175" s="67"/>
      <c r="B175" s="15" t="s">
        <v>22</v>
      </c>
      <c r="C175" s="15" t="s">
        <v>22</v>
      </c>
    </row>
    <row r="176" spans="1:8" x14ac:dyDescent="0.2">
      <c r="A176" s="15">
        <v>1</v>
      </c>
      <c r="B176" s="15" t="str">
        <f>IF($D$29&lt;A176,"",IF($D$29=A176,"Triangle","Circle"))</f>
        <v>Circle</v>
      </c>
      <c r="C176" s="15" t="str">
        <f t="shared" ref="C176:C184" si="0">IF($D$29&lt;A176,"","Triangle")</f>
        <v>Triangle</v>
      </c>
      <c r="D176" s="15"/>
      <c r="E176" s="15"/>
    </row>
    <row r="177" spans="1:5" x14ac:dyDescent="0.2">
      <c r="A177" s="15">
        <v>2</v>
      </c>
      <c r="B177" s="15" t="str">
        <f t="shared" ref="B177:B184" si="1">IF($D$29&lt;A177,"",IF($D$29=A177,"Triangle","Circle"))</f>
        <v>Circle</v>
      </c>
      <c r="C177" s="15" t="str">
        <f t="shared" si="0"/>
        <v>Triangle</v>
      </c>
      <c r="D177" s="15"/>
      <c r="E177" s="15"/>
    </row>
    <row r="178" spans="1:5" x14ac:dyDescent="0.2">
      <c r="A178" s="15">
        <v>3</v>
      </c>
      <c r="B178" s="15" t="str">
        <f t="shared" si="1"/>
        <v>Circle</v>
      </c>
      <c r="C178" s="15" t="str">
        <f t="shared" si="0"/>
        <v>Triangle</v>
      </c>
      <c r="D178" s="15"/>
      <c r="E178" s="15"/>
    </row>
    <row r="179" spans="1:5" x14ac:dyDescent="0.2">
      <c r="A179" s="15">
        <v>4</v>
      </c>
      <c r="B179" s="15" t="str">
        <f t="shared" si="1"/>
        <v>Circle</v>
      </c>
      <c r="C179" s="15" t="str">
        <f t="shared" si="0"/>
        <v>Triangle</v>
      </c>
      <c r="D179" s="15"/>
      <c r="E179" s="15"/>
    </row>
    <row r="180" spans="1:5" x14ac:dyDescent="0.2">
      <c r="A180" s="15">
        <v>5</v>
      </c>
      <c r="B180" s="15" t="str">
        <f t="shared" si="1"/>
        <v>Triangle</v>
      </c>
      <c r="C180" s="15" t="str">
        <f t="shared" si="0"/>
        <v>Triangle</v>
      </c>
      <c r="D180" s="15"/>
      <c r="E180" s="15"/>
    </row>
    <row r="181" spans="1:5" x14ac:dyDescent="0.2">
      <c r="A181" s="15">
        <v>6</v>
      </c>
      <c r="B181" s="15" t="str">
        <f t="shared" si="1"/>
        <v/>
      </c>
      <c r="C181" s="15" t="str">
        <f t="shared" si="0"/>
        <v/>
      </c>
      <c r="D181" s="15"/>
      <c r="E181" s="15"/>
    </row>
    <row r="182" spans="1:5" x14ac:dyDescent="0.2">
      <c r="A182" s="15">
        <v>7</v>
      </c>
      <c r="B182" s="15" t="str">
        <f t="shared" si="1"/>
        <v/>
      </c>
      <c r="C182" s="15" t="str">
        <f t="shared" si="0"/>
        <v/>
      </c>
      <c r="D182" s="15"/>
      <c r="E182" s="15"/>
    </row>
    <row r="183" spans="1:5" x14ac:dyDescent="0.2">
      <c r="A183" s="15">
        <v>8</v>
      </c>
      <c r="B183" s="15" t="str">
        <f t="shared" si="1"/>
        <v/>
      </c>
      <c r="C183" s="15" t="str">
        <f t="shared" si="0"/>
        <v/>
      </c>
      <c r="D183" s="15"/>
      <c r="E183" s="15"/>
    </row>
    <row r="184" spans="1:5" x14ac:dyDescent="0.2">
      <c r="A184" s="15">
        <v>9</v>
      </c>
      <c r="B184" s="15" t="str">
        <f t="shared" si="1"/>
        <v/>
      </c>
      <c r="C184" s="15" t="str">
        <f t="shared" si="0"/>
        <v/>
      </c>
      <c r="D184" s="15"/>
      <c r="E184" s="15"/>
    </row>
    <row r="186" spans="1:5" x14ac:dyDescent="0.2">
      <c r="A186" s="15"/>
      <c r="B186" s="15" t="s">
        <v>49</v>
      </c>
      <c r="C186" s="15" t="s">
        <v>37</v>
      </c>
    </row>
    <row r="187" spans="1:5" x14ac:dyDescent="0.2">
      <c r="A187" s="15" t="s">
        <v>50</v>
      </c>
      <c r="B187" s="15">
        <v>75</v>
      </c>
      <c r="C187" s="15">
        <v>375</v>
      </c>
    </row>
  </sheetData>
  <mergeCells count="33">
    <mergeCell ref="A70:H70"/>
    <mergeCell ref="B1:D1"/>
    <mergeCell ref="B2:D2"/>
    <mergeCell ref="C3:H3"/>
    <mergeCell ref="A59:H62"/>
    <mergeCell ref="D27:E27"/>
    <mergeCell ref="A45:H48"/>
    <mergeCell ref="A42:H42"/>
    <mergeCell ref="A56:H56"/>
    <mergeCell ref="A39:H39"/>
    <mergeCell ref="A53:H53"/>
    <mergeCell ref="A67:H67"/>
    <mergeCell ref="G27:H27"/>
    <mergeCell ref="A109:H109"/>
    <mergeCell ref="A123:H123"/>
    <mergeCell ref="A174:A175"/>
    <mergeCell ref="A140:H140"/>
    <mergeCell ref="A143:H146"/>
    <mergeCell ref="A154:H154"/>
    <mergeCell ref="A157:H160"/>
    <mergeCell ref="A137:H137"/>
    <mergeCell ref="A151:H151"/>
    <mergeCell ref="A112:H112"/>
    <mergeCell ref="A115:H118"/>
    <mergeCell ref="A126:H126"/>
    <mergeCell ref="A129:H132"/>
    <mergeCell ref="A73:H76"/>
    <mergeCell ref="A84:H84"/>
    <mergeCell ref="A87:H90"/>
    <mergeCell ref="A98:H98"/>
    <mergeCell ref="A101:H104"/>
    <mergeCell ref="A81:H81"/>
    <mergeCell ref="A95:H95"/>
  </mergeCells>
  <conditionalFormatting sqref="F27:H27">
    <cfRule type="expression" dxfId="28" priority="67">
      <formula>$D$27="Seismic Hazard"</formula>
    </cfRule>
    <cfRule type="expression" dxfId="27" priority="68">
      <formula>$D$27="Flood Loading"</formula>
    </cfRule>
  </conditionalFormatting>
  <conditionalFormatting sqref="A50:H63">
    <cfRule type="expression" dxfId="26" priority="16" stopIfTrue="1">
      <formula>$D$29&lt;2</formula>
    </cfRule>
  </conditionalFormatting>
  <conditionalFormatting sqref="A128:H132 A156:H160 A58:H62 A72:H76 A86:H90 A100:H104 A114:H118 A142:H146 A44:H48">
    <cfRule type="expression" dxfId="25" priority="2" stopIfTrue="1">
      <formula>$D$32="No"</formula>
    </cfRule>
  </conditionalFormatting>
  <conditionalFormatting sqref="A64:H77">
    <cfRule type="expression" dxfId="24" priority="14" stopIfTrue="1">
      <formula>$D$29&lt;3</formula>
    </cfRule>
  </conditionalFormatting>
  <conditionalFormatting sqref="A78:H91">
    <cfRule type="expression" dxfId="23" priority="12" stopIfTrue="1">
      <formula>$D$29&lt;4</formula>
    </cfRule>
  </conditionalFormatting>
  <conditionalFormatting sqref="A92:H105">
    <cfRule type="expression" dxfId="22" priority="9" stopIfTrue="1">
      <formula>$D$29&lt;5</formula>
    </cfRule>
  </conditionalFormatting>
  <conditionalFormatting sqref="A106:H119">
    <cfRule type="expression" dxfId="21" priority="7" stopIfTrue="1">
      <formula>$D$29&lt;6</formula>
    </cfRule>
  </conditionalFormatting>
  <conditionalFormatting sqref="A120:H133">
    <cfRule type="expression" dxfId="20" priority="8" stopIfTrue="1">
      <formula>$D$29&lt;7</formula>
    </cfRule>
  </conditionalFormatting>
  <conditionalFormatting sqref="A134:H147">
    <cfRule type="expression" dxfId="19" priority="3" stopIfTrue="1">
      <formula>$D$29&lt;8</formula>
    </cfRule>
  </conditionalFormatting>
  <conditionalFormatting sqref="A148:H161">
    <cfRule type="expression" dxfId="18" priority="1" stopIfTrue="1">
      <formula>$D$29&lt;9</formula>
    </cfRule>
  </conditionalFormatting>
  <conditionalFormatting sqref="A38:H39 A52:H53 A66:H67 A80:H81 A94:H95 A108:H109 A122:H123 A136:H137 A150:H151">
    <cfRule type="expression" dxfId="17" priority="22">
      <formula>$D$31="No"</formula>
    </cfRule>
  </conditionalFormatting>
  <conditionalFormatting sqref="A45:H48">
    <cfRule type="expression" dxfId="16" priority="18" stopIfTrue="1">
      <formula>$D$29&lt;2</formula>
    </cfRule>
  </conditionalFormatting>
  <dataValidations count="3">
    <dataValidation type="list" allowBlank="1" showInputMessage="1" showErrorMessage="1" sqref="D29" xr:uid="{11CBF4A3-4ADB-48CF-A016-167A8F057629}">
      <formula1>$C$164:$C$172</formula1>
    </dataValidation>
    <dataValidation type="list" allowBlank="1" showInputMessage="1" showErrorMessage="1" sqref="D27:E27" xr:uid="{A1B3158B-AC72-43C1-B417-765C9D431084}">
      <formula1>$A$164:$A$166</formula1>
    </dataValidation>
    <dataValidation type="list" allowBlank="1" showInputMessage="1" showErrorMessage="1" sqref="D31:D32" xr:uid="{D0D72A24-EC89-4478-A7AC-24228165B458}">
      <formula1>$A$168:$A$169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49" max="16383" man="1"/>
    <brk id="10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46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9" customWidth="1"/>
    <col min="80" max="16384" width="11.28515625" style="9"/>
  </cols>
  <sheetData>
    <row r="1" spans="1:80" ht="15" customHeight="1" x14ac:dyDescent="0.2">
      <c r="A1" s="70" t="s">
        <v>8</v>
      </c>
      <c r="B1" s="70"/>
      <c r="C1" s="70"/>
      <c r="D1" s="70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2" t="s">
        <v>9</v>
      </c>
      <c r="AG1" s="72"/>
      <c r="AH1" s="72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2" t="s">
        <v>10</v>
      </c>
      <c r="BE1" s="72"/>
      <c r="BF1" s="76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</row>
    <row r="2" spans="1:80" ht="15" customHeight="1" x14ac:dyDescent="0.2">
      <c r="A2" s="70" t="s">
        <v>11</v>
      </c>
      <c r="B2" s="70"/>
      <c r="C2" s="70"/>
      <c r="D2" s="70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2" t="s">
        <v>9</v>
      </c>
      <c r="AG2" s="72"/>
      <c r="AH2" s="72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2" t="s">
        <v>10</v>
      </c>
      <c r="BE2" s="72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</row>
    <row r="3" spans="1:80" ht="15" customHeight="1" x14ac:dyDescent="0.2">
      <c r="A3" s="71" t="s">
        <v>12</v>
      </c>
      <c r="B3" s="71"/>
      <c r="C3" s="71"/>
      <c r="D3" s="71"/>
      <c r="E3" s="71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</row>
    <row r="4" spans="1:80" ht="15" customHeight="1" x14ac:dyDescent="0.2">
      <c r="A4" s="10"/>
      <c r="B4" s="10"/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</row>
    <row r="5" spans="1:80" ht="15" customHeight="1" x14ac:dyDescent="0.2">
      <c r="A5" s="80" t="s">
        <v>25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</row>
    <row r="6" spans="1:80" ht="15" customHeight="1" x14ac:dyDescent="0.2"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</row>
    <row r="7" spans="1:80" ht="15" customHeight="1" x14ac:dyDescent="0.2"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</row>
    <row r="8" spans="1:80" ht="15" customHeight="1" x14ac:dyDescent="0.2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</row>
    <row r="9" spans="1:80" ht="15" customHeight="1" x14ac:dyDescent="0.2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</row>
    <row r="10" spans="1:80" ht="15" customHeight="1" x14ac:dyDescent="0.2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</row>
    <row r="11" spans="1:80" ht="15" customHeight="1" x14ac:dyDescent="0.2"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</row>
    <row r="12" spans="1:80" ht="15" customHeight="1" x14ac:dyDescent="0.2"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</row>
    <row r="13" spans="1:80" ht="15" customHeight="1" x14ac:dyDescent="0.2"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</row>
    <row r="14" spans="1:80" ht="15" customHeight="1" x14ac:dyDescent="0.2"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</row>
    <row r="15" spans="1:80" ht="15" customHeight="1" x14ac:dyDescent="0.2"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</row>
    <row r="16" spans="1:80" ht="15" customHeight="1" x14ac:dyDescent="0.2"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14"/>
      <c r="AK16" s="14"/>
      <c r="AL16" s="14"/>
      <c r="AM16" s="14"/>
      <c r="AN16" s="14"/>
      <c r="AO16" s="14"/>
      <c r="AP16" s="14"/>
      <c r="AR16" s="37"/>
      <c r="AS16" s="38"/>
      <c r="AT16" s="39"/>
      <c r="AU16" s="39"/>
      <c r="AV16" s="39"/>
      <c r="AW16" s="39"/>
      <c r="AX16" s="39"/>
      <c r="AY16" s="39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6"/>
      <c r="CB16" s="14" t="s">
        <v>48</v>
      </c>
    </row>
    <row r="17" spans="8:80" ht="15" customHeight="1" x14ac:dyDescent="0.2"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14"/>
      <c r="AK17" s="14"/>
      <c r="AL17" s="14"/>
      <c r="AM17" s="14"/>
      <c r="AN17" s="14"/>
      <c r="AO17" s="14"/>
      <c r="AP17" s="14"/>
      <c r="AQ17" s="40"/>
      <c r="AS17" s="41"/>
      <c r="AT17" s="37"/>
      <c r="AU17" s="37"/>
      <c r="AV17" s="37"/>
      <c r="AW17" s="37"/>
      <c r="AX17" s="37"/>
      <c r="AY17" s="37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6"/>
    </row>
    <row r="18" spans="8:80" ht="15" customHeight="1" x14ac:dyDescent="0.2"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42"/>
      <c r="AE18" s="42"/>
      <c r="AF18" s="42"/>
      <c r="AG18" s="42"/>
      <c r="AH18" s="42"/>
      <c r="AI18" s="42"/>
      <c r="AJ18" s="43"/>
      <c r="AK18" s="43"/>
      <c r="AL18" s="43"/>
      <c r="AM18" s="43"/>
      <c r="AN18" s="43"/>
      <c r="AO18" s="43"/>
      <c r="AP18" s="43"/>
      <c r="AQ18" s="44"/>
      <c r="AR18" s="44"/>
      <c r="AS18" s="41"/>
      <c r="AT18" s="37"/>
      <c r="AU18" s="37"/>
      <c r="AV18" s="37"/>
      <c r="AW18" s="37"/>
      <c r="AX18" s="37"/>
      <c r="AY18" s="37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17"/>
      <c r="BM18" s="17"/>
      <c r="BN18" s="17"/>
      <c r="BO18" s="17"/>
      <c r="BP18" s="17"/>
      <c r="BQ18" s="17"/>
      <c r="BR18" s="17"/>
      <c r="BS18" s="17"/>
      <c r="BT18" s="23"/>
      <c r="BU18" s="23"/>
      <c r="BV18" s="23"/>
      <c r="BW18" s="23"/>
      <c r="BX18" s="23"/>
      <c r="BY18" s="23"/>
      <c r="BZ18" s="23"/>
      <c r="CA18" s="16"/>
      <c r="CB18" s="14" t="s">
        <v>66</v>
      </c>
    </row>
    <row r="19" spans="8:80" ht="15" customHeight="1" x14ac:dyDescent="0.2"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45"/>
      <c r="AE19" s="36"/>
      <c r="AF19" s="36"/>
      <c r="AG19" s="36"/>
      <c r="AH19" s="36"/>
      <c r="AI19" s="36"/>
      <c r="AJ19" s="14"/>
      <c r="AK19" s="14"/>
      <c r="AL19" s="14"/>
      <c r="AM19" s="14"/>
      <c r="AN19" s="14"/>
      <c r="AO19" s="14"/>
      <c r="AP19" s="14"/>
      <c r="AQ19" s="40"/>
      <c r="AR19" s="39"/>
      <c r="AS19" s="41"/>
      <c r="AT19" s="37"/>
      <c r="AU19" s="37"/>
      <c r="AV19" s="37"/>
      <c r="AW19" s="37"/>
      <c r="AX19" s="37"/>
      <c r="AY19" s="37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17"/>
      <c r="BM19" s="17"/>
      <c r="BN19" s="17"/>
      <c r="BO19" s="17"/>
      <c r="BP19" s="17"/>
      <c r="BQ19" s="17"/>
      <c r="BR19" s="17"/>
      <c r="BS19" s="17"/>
      <c r="BT19" s="23"/>
      <c r="BU19" s="23"/>
      <c r="BV19" s="23"/>
      <c r="BW19" s="23"/>
      <c r="BX19" s="23"/>
      <c r="BY19" s="23"/>
      <c r="BZ19" s="23"/>
      <c r="CA19" s="16"/>
    </row>
    <row r="20" spans="8:80" ht="15" customHeight="1" x14ac:dyDescent="0.2"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46"/>
      <c r="AE20" s="36"/>
      <c r="AF20" s="36"/>
      <c r="AG20" s="36"/>
      <c r="AH20" s="36"/>
      <c r="AI20" s="36"/>
      <c r="AJ20" s="14"/>
      <c r="AK20" s="14"/>
      <c r="AL20" s="14"/>
      <c r="AM20" s="14"/>
      <c r="AN20" s="14"/>
      <c r="AO20" s="14"/>
      <c r="AP20" s="14"/>
      <c r="AR20" s="37"/>
      <c r="AS20" s="41"/>
      <c r="AT20" s="37"/>
      <c r="AU20" s="37"/>
      <c r="AV20" s="37"/>
      <c r="AW20" s="37"/>
      <c r="AX20" s="37"/>
      <c r="AY20" s="37"/>
      <c r="AZ20" s="40"/>
      <c r="BA20" s="40"/>
      <c r="BB20" s="40"/>
      <c r="BC20" s="40"/>
      <c r="BD20" s="40"/>
      <c r="BE20" s="14"/>
      <c r="BF20" s="14"/>
      <c r="BG20" s="14"/>
      <c r="BH20" s="40"/>
      <c r="BI20" s="40"/>
      <c r="BJ20" s="40"/>
      <c r="BK20" s="40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6"/>
      <c r="CA20" s="16"/>
      <c r="CB20" s="14" t="s">
        <v>65</v>
      </c>
    </row>
    <row r="21" spans="8:80" ht="15" customHeight="1" x14ac:dyDescent="0.2"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52"/>
      <c r="X21" s="52"/>
      <c r="Y21" s="52"/>
      <c r="Z21" s="52"/>
      <c r="AA21" s="52"/>
      <c r="AB21" s="52"/>
      <c r="AC21" s="54"/>
      <c r="AD21" s="48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0"/>
      <c r="AR21" s="37"/>
      <c r="AS21" s="49"/>
      <c r="AT21" s="50"/>
      <c r="AU21" s="50"/>
      <c r="AV21" s="50"/>
      <c r="AW21" s="50"/>
      <c r="AX21" s="50"/>
      <c r="AY21" s="5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17"/>
      <c r="BM21" s="23"/>
      <c r="BN21" s="23"/>
      <c r="BO21" s="23"/>
      <c r="BP21" s="23"/>
      <c r="BQ21" s="23"/>
      <c r="BR21" s="23"/>
      <c r="BS21" s="23"/>
      <c r="BT21" s="10"/>
      <c r="BU21" s="10"/>
      <c r="BV21" s="10"/>
      <c r="BW21" s="10"/>
      <c r="BX21" s="10"/>
      <c r="BY21" s="10"/>
      <c r="BZ21" s="10"/>
      <c r="CA21" s="10"/>
    </row>
    <row r="22" spans="8:80" ht="15" customHeight="1" x14ac:dyDescent="0.2">
      <c r="L22" s="47"/>
      <c r="M22" s="47"/>
      <c r="N22" s="47"/>
      <c r="O22" s="47"/>
      <c r="R22" s="47"/>
      <c r="S22" s="47"/>
      <c r="T22" s="47"/>
      <c r="U22" s="47"/>
      <c r="V22" s="47"/>
      <c r="W22" s="59"/>
      <c r="X22" s="47"/>
      <c r="Y22" s="47"/>
      <c r="Z22" s="47"/>
      <c r="AA22" s="47"/>
      <c r="AB22" s="47"/>
      <c r="AC22" s="47"/>
      <c r="AD22" s="48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0"/>
      <c r="AZ22" s="41"/>
      <c r="BA22" s="37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17"/>
      <c r="BM22" s="23"/>
      <c r="BN22" s="23"/>
      <c r="BO22" s="23"/>
      <c r="BP22" s="23"/>
      <c r="BQ22" s="23"/>
      <c r="BR22" s="23"/>
      <c r="BS22" s="23"/>
      <c r="BT22" s="18"/>
      <c r="BU22" s="26"/>
      <c r="BV22" s="26"/>
      <c r="BW22" s="26"/>
      <c r="BX22" s="26"/>
      <c r="BY22" s="26"/>
      <c r="BZ22" s="26"/>
      <c r="CA22" s="10"/>
    </row>
    <row r="23" spans="8:80" ht="15" customHeight="1" x14ac:dyDescent="0.2"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8"/>
      <c r="X23" s="47"/>
      <c r="Y23" s="47"/>
      <c r="Z23" s="47"/>
      <c r="AA23" s="47"/>
      <c r="AB23" s="47"/>
      <c r="AC23" s="47"/>
      <c r="AD23" s="41"/>
      <c r="BA23" s="37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17"/>
      <c r="BM23" s="17"/>
      <c r="BN23" s="17"/>
      <c r="BO23" s="17"/>
      <c r="BP23" s="17"/>
      <c r="BQ23" s="17"/>
      <c r="BR23" s="17"/>
      <c r="BS23" s="10"/>
      <c r="BT23" s="19"/>
      <c r="BU23" s="27"/>
      <c r="BV23" s="27"/>
      <c r="BW23" s="27"/>
      <c r="BX23" s="27"/>
      <c r="BY23" s="27"/>
      <c r="BZ23" s="27"/>
      <c r="CA23" s="10"/>
    </row>
    <row r="24" spans="8:80" ht="15" customHeight="1" x14ac:dyDescent="0.2"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8"/>
      <c r="X24" s="47"/>
      <c r="Y24" s="47"/>
      <c r="Z24" s="47"/>
      <c r="AA24" s="47"/>
      <c r="AB24" s="47"/>
      <c r="AC24" s="47"/>
      <c r="AD24" s="51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3"/>
      <c r="AR24" s="44"/>
      <c r="AS24" s="44"/>
      <c r="AT24" s="44"/>
      <c r="AU24" s="44"/>
      <c r="AV24" s="44"/>
      <c r="AW24" s="44"/>
      <c r="AX24" s="44"/>
      <c r="AY24" s="44"/>
      <c r="BA24" s="37"/>
      <c r="BB24" s="40"/>
      <c r="BC24" s="40"/>
      <c r="BD24" s="40"/>
      <c r="BE24" s="40"/>
      <c r="BF24" s="65"/>
      <c r="BG24" s="65"/>
      <c r="BH24" s="65"/>
      <c r="BI24" s="65"/>
      <c r="BJ24" s="65"/>
      <c r="BK24" s="65"/>
      <c r="BL24" s="23"/>
      <c r="BM24" s="10"/>
      <c r="BN24" s="10"/>
      <c r="BO24" s="10"/>
      <c r="BP24" s="10"/>
      <c r="BQ24" s="10"/>
      <c r="BR24" s="10"/>
      <c r="BS24" s="10"/>
      <c r="BT24" s="19"/>
      <c r="BU24" s="27"/>
      <c r="BV24" s="27"/>
      <c r="BW24" s="27"/>
      <c r="BX24" s="27"/>
      <c r="BY24" s="27"/>
      <c r="BZ24" s="27"/>
      <c r="CA24" s="10"/>
    </row>
    <row r="25" spans="8:80" ht="15" customHeight="1" x14ac:dyDescent="0.2">
      <c r="J25" s="30"/>
      <c r="K25" s="30"/>
      <c r="L25" s="30"/>
      <c r="M25" s="30"/>
      <c r="N25" s="30"/>
      <c r="O25" s="30"/>
      <c r="P25" s="47"/>
      <c r="Q25" s="47"/>
      <c r="R25" s="47"/>
      <c r="S25" s="47"/>
      <c r="T25" s="47"/>
      <c r="U25" s="47"/>
      <c r="V25" s="47"/>
      <c r="W25" s="48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0"/>
      <c r="AZ25" s="41"/>
      <c r="BA25" s="37"/>
      <c r="BB25" s="40"/>
      <c r="BC25" s="40"/>
      <c r="BD25" s="40"/>
      <c r="BE25" s="40"/>
      <c r="BF25" s="65"/>
      <c r="BG25" s="65"/>
      <c r="BH25" s="65"/>
      <c r="BI25" s="65"/>
      <c r="BJ25" s="65"/>
      <c r="BK25" s="65"/>
      <c r="BL25" s="23"/>
      <c r="BM25" s="18"/>
      <c r="BN25" s="26"/>
      <c r="BO25" s="26"/>
      <c r="BP25" s="26"/>
      <c r="BQ25" s="26"/>
      <c r="BR25" s="26"/>
      <c r="BS25" s="26"/>
      <c r="BT25" s="19"/>
      <c r="BU25" s="27"/>
      <c r="BV25" s="27"/>
      <c r="BW25" s="27"/>
      <c r="BX25" s="27"/>
      <c r="BY25" s="27"/>
      <c r="BZ25" s="27"/>
      <c r="CA25" s="10"/>
    </row>
    <row r="26" spans="8:80" ht="15" customHeight="1" x14ac:dyDescent="0.2">
      <c r="J26" s="30"/>
      <c r="K26" s="30"/>
      <c r="L26" s="30"/>
      <c r="M26" s="30"/>
      <c r="N26" s="30"/>
      <c r="O26" s="30"/>
      <c r="P26" s="47"/>
      <c r="Q26" s="47"/>
      <c r="R26" s="47"/>
      <c r="S26" s="47"/>
      <c r="T26" s="47"/>
      <c r="U26" s="47"/>
      <c r="V26" s="47"/>
      <c r="W26" s="48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0"/>
      <c r="AZ26" s="49"/>
      <c r="BA26" s="5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10"/>
      <c r="BM26" s="19"/>
      <c r="BN26" s="27"/>
      <c r="BO26" s="27"/>
      <c r="BP26" s="27"/>
      <c r="BQ26" s="27"/>
      <c r="BR26" s="27"/>
      <c r="BS26" s="27"/>
      <c r="BT26" s="19"/>
      <c r="BU26" s="27"/>
      <c r="BV26" s="27"/>
      <c r="BW26" s="27"/>
      <c r="BX26" s="27"/>
      <c r="BY26" s="27"/>
      <c r="BZ26" s="27"/>
      <c r="CA26" s="10"/>
    </row>
    <row r="27" spans="8:80" ht="15" customHeight="1" x14ac:dyDescent="0.2">
      <c r="J27" s="30"/>
      <c r="K27" s="30"/>
      <c r="L27" s="30"/>
      <c r="M27" s="30"/>
      <c r="N27" s="30"/>
      <c r="O27" s="30"/>
      <c r="P27" s="47"/>
      <c r="Q27" s="47"/>
      <c r="R27" s="47"/>
      <c r="S27" s="47"/>
      <c r="T27" s="47"/>
      <c r="U27" s="47"/>
      <c r="V27" s="47"/>
      <c r="W27" s="48"/>
      <c r="X27" s="47"/>
      <c r="Y27" s="47"/>
      <c r="Z27" s="47"/>
      <c r="AA27" s="47"/>
      <c r="AB27" s="47"/>
      <c r="AC27" s="47"/>
      <c r="AR27" s="37"/>
      <c r="AS27" s="38"/>
      <c r="AT27" s="39"/>
      <c r="AU27" s="39"/>
      <c r="AV27" s="39"/>
      <c r="AW27" s="39"/>
      <c r="AX27" s="39"/>
      <c r="AY27" s="39"/>
      <c r="BB27" s="40"/>
      <c r="BC27" s="40"/>
      <c r="BD27" s="40"/>
      <c r="BE27" s="40"/>
      <c r="BL27" s="10"/>
      <c r="BM27" s="19"/>
      <c r="BN27" s="27"/>
      <c r="BO27" s="27"/>
      <c r="BP27" s="27"/>
      <c r="BQ27" s="27"/>
      <c r="BR27" s="27"/>
      <c r="BS27" s="27"/>
      <c r="BT27" s="21"/>
      <c r="BU27" s="28"/>
      <c r="BV27" s="28"/>
      <c r="BW27" s="28"/>
      <c r="BX27" s="28"/>
      <c r="BY27" s="28"/>
      <c r="BZ27" s="28"/>
      <c r="CA27" s="10"/>
    </row>
    <row r="28" spans="8:80" ht="15" customHeight="1" x14ac:dyDescent="0.2">
      <c r="J28" s="30"/>
      <c r="L28" s="47"/>
      <c r="M28" s="47"/>
      <c r="N28" s="47"/>
      <c r="O28" s="47"/>
      <c r="P28" s="52"/>
      <c r="Q28" s="52"/>
      <c r="R28" s="52"/>
      <c r="S28" s="52"/>
      <c r="T28" s="52"/>
      <c r="U28" s="52"/>
      <c r="V28" s="54"/>
      <c r="W28" s="48"/>
      <c r="X28" s="47"/>
      <c r="Y28" s="47"/>
      <c r="Z28" s="47"/>
      <c r="AA28" s="47"/>
      <c r="AB28" s="47"/>
      <c r="AC28" s="47"/>
      <c r="AS28" s="41"/>
      <c r="AT28" s="37"/>
      <c r="AU28" s="37"/>
      <c r="AV28" s="37"/>
      <c r="AW28" s="37"/>
      <c r="AX28" s="37"/>
      <c r="AY28" s="37"/>
      <c r="BB28" s="40"/>
      <c r="BC28" s="40"/>
      <c r="BD28" s="40"/>
      <c r="BE28" s="40"/>
      <c r="BF28" s="38"/>
      <c r="BG28" s="39"/>
      <c r="BH28" s="39"/>
      <c r="BI28" s="39"/>
      <c r="BJ28" s="39"/>
      <c r="BK28" s="39"/>
      <c r="BL28" s="26"/>
      <c r="BM28" s="19"/>
      <c r="BN28" s="27"/>
      <c r="BO28" s="27"/>
      <c r="BP28" s="27"/>
      <c r="BQ28" s="27"/>
      <c r="BR28" s="27"/>
      <c r="BS28" s="27"/>
      <c r="BT28" s="10"/>
      <c r="BU28" s="10"/>
      <c r="BV28" s="10"/>
      <c r="BW28" s="10"/>
      <c r="BX28" s="10"/>
      <c r="BY28" s="10"/>
      <c r="BZ28" s="10"/>
      <c r="CA28" s="10"/>
    </row>
    <row r="29" spans="8:80" ht="15" customHeight="1" x14ac:dyDescent="0.2">
      <c r="J29" s="30"/>
      <c r="K29" s="47"/>
      <c r="L29" s="47"/>
      <c r="M29" s="47"/>
      <c r="N29" s="47"/>
      <c r="O29" s="47"/>
      <c r="P29" s="59"/>
      <c r="Q29" s="47"/>
      <c r="R29" s="47"/>
      <c r="S29" s="47"/>
      <c r="T29" s="47"/>
      <c r="U29" s="47"/>
      <c r="V29" s="47"/>
      <c r="W29" s="48"/>
      <c r="X29" s="47"/>
      <c r="Y29" s="47"/>
      <c r="Z29" s="47"/>
      <c r="AA29" s="47"/>
      <c r="AB29" s="47"/>
      <c r="AC29" s="47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44"/>
      <c r="AS29" s="41"/>
      <c r="AT29" s="37"/>
      <c r="AU29" s="37"/>
      <c r="AV29" s="37"/>
      <c r="AW29" s="37"/>
      <c r="AX29" s="37"/>
      <c r="AY29" s="37"/>
      <c r="BB29" s="47"/>
      <c r="BC29" s="47"/>
      <c r="BF29" s="41"/>
      <c r="BG29" s="37"/>
      <c r="BH29" s="37"/>
      <c r="BI29" s="37"/>
      <c r="BJ29" s="37"/>
      <c r="BK29" s="37"/>
      <c r="BL29" s="27"/>
      <c r="BM29" s="19"/>
      <c r="BN29" s="27"/>
      <c r="BO29" s="27"/>
      <c r="BP29" s="27"/>
      <c r="BQ29" s="27"/>
      <c r="BR29" s="27"/>
      <c r="BS29" s="27"/>
      <c r="BT29" s="10"/>
      <c r="BU29" s="10"/>
      <c r="BV29" s="10"/>
      <c r="BW29" s="10"/>
      <c r="BX29" s="10"/>
      <c r="BY29" s="10"/>
      <c r="BZ29" s="10"/>
      <c r="CA29" s="10"/>
    </row>
    <row r="30" spans="8:80" ht="15" customHeight="1" x14ac:dyDescent="0.2">
      <c r="J30" s="30"/>
      <c r="K30" s="47"/>
      <c r="L30" s="47"/>
      <c r="M30" s="47"/>
      <c r="N30" s="47"/>
      <c r="O30" s="47"/>
      <c r="P30" s="48"/>
      <c r="Q30" s="47"/>
      <c r="R30" s="47"/>
      <c r="S30" s="47"/>
      <c r="T30" s="47"/>
      <c r="U30" s="47"/>
      <c r="V30" s="47"/>
      <c r="W30" s="48"/>
      <c r="X30" s="47"/>
      <c r="Y30" s="47"/>
      <c r="Z30" s="47"/>
      <c r="AA30" s="47"/>
      <c r="AB30" s="47"/>
      <c r="AC30" s="47"/>
      <c r="AD30" s="59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39"/>
      <c r="AS30" s="41"/>
      <c r="AT30" s="37"/>
      <c r="AU30" s="37"/>
      <c r="AV30" s="37"/>
      <c r="AW30" s="37"/>
      <c r="AX30" s="37"/>
      <c r="AY30" s="37"/>
      <c r="BF30" s="41"/>
      <c r="BG30" s="37"/>
      <c r="BH30" s="37"/>
      <c r="BI30" s="37"/>
      <c r="BJ30" s="37"/>
      <c r="BK30" s="37"/>
      <c r="BL30" s="27"/>
      <c r="BM30" s="21"/>
      <c r="BN30" s="28"/>
      <c r="BO30" s="28"/>
      <c r="BP30" s="28"/>
      <c r="BQ30" s="28"/>
      <c r="BR30" s="28"/>
      <c r="BS30" s="28"/>
      <c r="BT30" s="10"/>
      <c r="BU30" s="10"/>
      <c r="BV30" s="10"/>
      <c r="BW30" s="10"/>
      <c r="BX30" s="10"/>
      <c r="BY30" s="10"/>
      <c r="BZ30" s="10"/>
      <c r="CA30" s="10"/>
    </row>
    <row r="31" spans="8:80" ht="15" customHeight="1" x14ac:dyDescent="0.2">
      <c r="K31" s="47"/>
      <c r="L31" s="47"/>
      <c r="M31" s="47"/>
      <c r="N31" s="47"/>
      <c r="O31" s="47"/>
      <c r="P31" s="48"/>
      <c r="Q31" s="47"/>
      <c r="R31" s="47"/>
      <c r="S31" s="47"/>
      <c r="T31" s="47"/>
      <c r="U31" s="47"/>
      <c r="V31" s="47"/>
      <c r="W31" s="48"/>
      <c r="X31" s="47"/>
      <c r="Y31" s="47"/>
      <c r="Z31" s="47"/>
      <c r="AA31" s="47"/>
      <c r="AB31" s="47"/>
      <c r="AC31" s="47"/>
      <c r="AD31" s="48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37"/>
      <c r="AS31" s="41"/>
      <c r="AT31" s="37"/>
      <c r="AU31" s="37"/>
      <c r="AV31" s="37"/>
      <c r="AW31" s="37"/>
      <c r="AX31" s="37"/>
      <c r="AY31" s="37"/>
      <c r="BB31" s="39"/>
      <c r="BC31" s="39"/>
      <c r="BD31" s="39"/>
      <c r="BE31" s="39"/>
      <c r="BF31" s="41"/>
      <c r="BG31" s="37"/>
      <c r="BH31" s="37"/>
      <c r="BI31" s="37"/>
      <c r="BJ31" s="37"/>
      <c r="BK31" s="37"/>
      <c r="BL31" s="27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</row>
    <row r="32" spans="8:80" ht="15" customHeight="1" x14ac:dyDescent="0.2">
      <c r="J32" s="47"/>
      <c r="K32" s="47"/>
      <c r="L32" s="47"/>
      <c r="M32" s="47"/>
      <c r="N32" s="47"/>
      <c r="O32" s="47"/>
      <c r="P32" s="48"/>
      <c r="Q32" s="47"/>
      <c r="R32" s="47"/>
      <c r="S32" s="47"/>
      <c r="T32" s="47"/>
      <c r="U32" s="47"/>
      <c r="V32" s="47"/>
      <c r="W32" s="48"/>
      <c r="X32" s="47"/>
      <c r="Y32" s="47"/>
      <c r="Z32" s="47"/>
      <c r="AA32" s="47"/>
      <c r="AB32" s="47"/>
      <c r="AC32" s="47"/>
      <c r="AD32" s="48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R32" s="37"/>
      <c r="AS32" s="49"/>
      <c r="AT32" s="50"/>
      <c r="AU32" s="50"/>
      <c r="AV32" s="50"/>
      <c r="AW32" s="50"/>
      <c r="AX32" s="50"/>
      <c r="AY32" s="50"/>
      <c r="BA32" s="37"/>
      <c r="BB32" s="37"/>
      <c r="BC32" s="37"/>
      <c r="BD32" s="37"/>
      <c r="BE32" s="37"/>
      <c r="BF32" s="41"/>
      <c r="BG32" s="37"/>
      <c r="BH32" s="37"/>
      <c r="BI32" s="37"/>
      <c r="BJ32" s="37"/>
      <c r="BK32" s="37"/>
      <c r="BL32" s="27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</row>
    <row r="33" spans="2:79" ht="15" customHeight="1" x14ac:dyDescent="0.2">
      <c r="J33" s="47"/>
      <c r="K33" s="47"/>
      <c r="L33" s="47"/>
      <c r="M33" s="47"/>
      <c r="N33" s="47"/>
      <c r="O33" s="47"/>
      <c r="P33" s="48"/>
      <c r="Q33" s="47"/>
      <c r="R33" s="47"/>
      <c r="S33" s="47"/>
      <c r="T33" s="47"/>
      <c r="U33" s="47"/>
      <c r="V33" s="47"/>
      <c r="W33" s="48"/>
      <c r="X33" s="47"/>
      <c r="Y33" s="47"/>
      <c r="Z33" s="47"/>
      <c r="AA33" s="47"/>
      <c r="AB33" s="47"/>
      <c r="AC33" s="47"/>
      <c r="AD33" s="48"/>
      <c r="AE33" s="47"/>
      <c r="AF33" s="47"/>
      <c r="AG33" s="47"/>
      <c r="AH33" s="47"/>
      <c r="AI33" s="47"/>
      <c r="AJ33" s="47"/>
      <c r="AK33" s="37"/>
      <c r="AL33" s="37"/>
      <c r="AM33" s="37"/>
      <c r="AN33" s="37"/>
      <c r="AO33" s="37"/>
      <c r="AP33" s="37"/>
      <c r="BA33" s="37"/>
      <c r="BB33" s="37"/>
      <c r="BC33" s="37"/>
      <c r="BD33" s="37"/>
      <c r="BE33" s="37"/>
      <c r="BF33" s="49"/>
      <c r="BG33" s="50"/>
      <c r="BH33" s="50"/>
      <c r="BI33" s="50"/>
      <c r="BJ33" s="50"/>
      <c r="BK33" s="50"/>
      <c r="BL33" s="28"/>
      <c r="BM33" s="10"/>
      <c r="BN33" s="10"/>
      <c r="BO33" s="10"/>
      <c r="BP33" s="10"/>
      <c r="BQ33" s="10"/>
      <c r="BR33" s="20"/>
      <c r="BS33" s="20"/>
      <c r="BT33" s="20"/>
      <c r="BU33" s="20"/>
      <c r="BV33" s="20"/>
      <c r="BW33" s="20"/>
      <c r="BX33" s="20"/>
      <c r="BY33" s="20"/>
      <c r="BZ33" s="20"/>
      <c r="CA33" s="10"/>
    </row>
    <row r="34" spans="2:79" ht="15" customHeight="1" x14ac:dyDescent="0.2">
      <c r="J34" s="47"/>
      <c r="K34" s="47"/>
      <c r="L34" s="47"/>
      <c r="M34" s="47"/>
      <c r="N34" s="47"/>
      <c r="O34" s="47"/>
      <c r="P34" s="48"/>
      <c r="Q34" s="47"/>
      <c r="R34" s="47"/>
      <c r="S34" s="47"/>
      <c r="T34" s="47"/>
      <c r="U34" s="47"/>
      <c r="V34" s="47"/>
      <c r="W34" s="48"/>
      <c r="X34" s="47"/>
      <c r="Y34" s="47"/>
      <c r="Z34" s="47"/>
      <c r="AA34" s="47"/>
      <c r="AB34" s="47"/>
      <c r="AC34" s="47"/>
      <c r="AD34" s="48"/>
      <c r="AE34" s="47"/>
      <c r="AF34" s="47"/>
      <c r="AG34" s="47"/>
      <c r="AH34" s="47"/>
      <c r="AK34" s="37"/>
      <c r="AL34" s="37"/>
      <c r="AM34" s="37"/>
      <c r="AN34" s="37"/>
      <c r="AO34" s="37"/>
      <c r="AP34" s="37"/>
      <c r="BA34" s="37"/>
      <c r="BB34" s="37"/>
      <c r="BC34" s="37"/>
      <c r="BD34" s="37"/>
      <c r="BE34" s="37"/>
      <c r="BL34" s="10"/>
      <c r="BM34" s="10"/>
      <c r="BN34" s="10"/>
      <c r="BO34" s="10"/>
      <c r="BP34" s="1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10"/>
    </row>
    <row r="35" spans="2:79" ht="15" customHeight="1" x14ac:dyDescent="0.2">
      <c r="B35" s="79"/>
      <c r="C35" s="79"/>
      <c r="D35" s="79"/>
      <c r="E35" s="79"/>
      <c r="F35" s="79"/>
      <c r="G35" s="79"/>
      <c r="H35" s="79"/>
      <c r="I35" s="47"/>
      <c r="J35" s="47"/>
      <c r="K35" s="47"/>
      <c r="L35" s="47"/>
      <c r="M35" s="47"/>
      <c r="N35" s="47"/>
      <c r="O35" s="47"/>
      <c r="P35" s="48"/>
      <c r="Q35" s="47"/>
      <c r="R35" s="47"/>
      <c r="S35" s="47"/>
      <c r="T35" s="47"/>
      <c r="U35" s="47"/>
      <c r="V35" s="47"/>
      <c r="W35" s="51"/>
      <c r="X35" s="52"/>
      <c r="Y35" s="52"/>
      <c r="Z35" s="52"/>
      <c r="AA35" s="52"/>
      <c r="AB35" s="52"/>
      <c r="AC35" s="54"/>
      <c r="AD35" s="48"/>
      <c r="AE35" s="47"/>
      <c r="AF35" s="47"/>
      <c r="AG35" s="47"/>
      <c r="AH35" s="47"/>
      <c r="AR35" s="37"/>
      <c r="AS35" s="38"/>
      <c r="AT35" s="39"/>
      <c r="AU35" s="39"/>
      <c r="AV35" s="39"/>
      <c r="AW35" s="39"/>
      <c r="AX35" s="39"/>
      <c r="AY35" s="39"/>
      <c r="BA35" s="37"/>
      <c r="BB35" s="37"/>
      <c r="BC35" s="37"/>
      <c r="BD35" s="37"/>
      <c r="BE35" s="37"/>
      <c r="BL35" s="10"/>
      <c r="BM35" s="10"/>
      <c r="BN35" s="10"/>
      <c r="BO35" s="10"/>
      <c r="BP35" s="1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10"/>
    </row>
    <row r="36" spans="2:79" ht="15" customHeight="1" x14ac:dyDescent="0.2">
      <c r="B36" s="79"/>
      <c r="C36" s="79"/>
      <c r="D36" s="79"/>
      <c r="E36" s="79"/>
      <c r="F36" s="79"/>
      <c r="G36" s="79"/>
      <c r="H36" s="79"/>
      <c r="I36" s="47"/>
      <c r="J36" s="47"/>
      <c r="K36" s="47"/>
      <c r="L36" s="47"/>
      <c r="M36" s="47"/>
      <c r="N36" s="47"/>
      <c r="O36" s="47"/>
      <c r="P36" s="48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58"/>
      <c r="AE36" s="37"/>
      <c r="AF36" s="37"/>
      <c r="AG36" s="37"/>
      <c r="AH36" s="37"/>
      <c r="AI36" s="37"/>
      <c r="AJ36" s="37"/>
      <c r="AS36" s="41"/>
      <c r="AT36" s="37"/>
      <c r="AU36" s="37"/>
      <c r="AV36" s="37"/>
      <c r="AW36" s="37"/>
      <c r="AX36" s="37"/>
      <c r="AY36" s="37"/>
      <c r="BA36" s="50"/>
      <c r="BB36" s="50"/>
      <c r="BC36" s="50"/>
      <c r="BD36" s="50"/>
      <c r="BE36" s="50"/>
      <c r="BG36" s="30"/>
      <c r="BH36" s="30"/>
      <c r="BI36" s="30"/>
      <c r="BJ36" s="30"/>
      <c r="BK36" s="3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</row>
    <row r="37" spans="2:79" ht="15" customHeight="1" x14ac:dyDescent="0.2">
      <c r="B37" s="79"/>
      <c r="C37" s="79"/>
      <c r="D37" s="79"/>
      <c r="E37" s="79"/>
      <c r="F37" s="79"/>
      <c r="G37" s="79"/>
      <c r="H37" s="79"/>
      <c r="I37" s="47"/>
      <c r="J37" s="47"/>
      <c r="K37" s="47"/>
      <c r="L37" s="47"/>
      <c r="M37" s="47"/>
      <c r="N37" s="47"/>
      <c r="O37" s="47"/>
      <c r="P37" s="48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58"/>
      <c r="AE37" s="37"/>
      <c r="AF37" s="37"/>
      <c r="AG37" s="37"/>
      <c r="AH37" s="37"/>
      <c r="AI37" s="37"/>
      <c r="AJ37" s="37"/>
      <c r="AL37" s="50"/>
      <c r="AM37" s="50"/>
      <c r="AN37" s="50"/>
      <c r="AO37" s="50"/>
      <c r="AP37" s="50"/>
      <c r="AQ37" s="44"/>
      <c r="AR37" s="55"/>
      <c r="AS37" s="41"/>
      <c r="AT37" s="37"/>
      <c r="AU37" s="37"/>
      <c r="AV37" s="37"/>
      <c r="AW37" s="37"/>
      <c r="AX37" s="37"/>
      <c r="AY37" s="37"/>
      <c r="BG37" s="30"/>
      <c r="BH37" s="30"/>
      <c r="BI37" s="30"/>
      <c r="BJ37" s="30"/>
      <c r="BK37" s="3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</row>
    <row r="38" spans="2:79" ht="15" customHeight="1" x14ac:dyDescent="0.2">
      <c r="I38" s="47"/>
      <c r="J38" s="47"/>
      <c r="K38" s="47"/>
      <c r="L38" s="47"/>
      <c r="M38" s="47"/>
      <c r="N38" s="47"/>
      <c r="O38" s="47"/>
      <c r="P38" s="48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8"/>
      <c r="AE38" s="47"/>
      <c r="AF38" s="47"/>
      <c r="AG38" s="47"/>
      <c r="AH38" s="47"/>
      <c r="AL38" s="57"/>
      <c r="AM38" s="37"/>
      <c r="AN38" s="37"/>
      <c r="AO38" s="37"/>
      <c r="AP38" s="37"/>
      <c r="AR38" s="37"/>
      <c r="AS38" s="41"/>
      <c r="AT38" s="37"/>
      <c r="AU38" s="37"/>
      <c r="AV38" s="37"/>
      <c r="AW38" s="37"/>
      <c r="AX38" s="37"/>
      <c r="AY38" s="37"/>
      <c r="BG38" s="30"/>
      <c r="BH38" s="30"/>
      <c r="BI38" s="30"/>
      <c r="BJ38" s="30"/>
      <c r="BK38" s="3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</row>
    <row r="39" spans="2:79" ht="15" customHeight="1" x14ac:dyDescent="0.2">
      <c r="I39" s="47"/>
      <c r="J39" s="47"/>
      <c r="K39" s="47"/>
      <c r="L39" s="47"/>
      <c r="M39" s="47"/>
      <c r="N39" s="47"/>
      <c r="O39" s="47"/>
      <c r="P39" s="48"/>
      <c r="Q39" s="47"/>
      <c r="R39" s="47"/>
      <c r="S39" s="47"/>
      <c r="T39" s="47"/>
      <c r="U39" s="47"/>
      <c r="V39" s="47"/>
      <c r="W39" s="37"/>
      <c r="X39" s="37"/>
      <c r="Y39" s="37"/>
      <c r="Z39" s="37"/>
      <c r="AA39" s="37"/>
      <c r="AB39" s="37"/>
      <c r="AC39" s="37"/>
      <c r="AD39" s="41"/>
      <c r="AL39" s="58"/>
      <c r="AM39" s="37"/>
      <c r="AN39" s="37"/>
      <c r="AO39" s="37"/>
      <c r="AP39" s="37"/>
      <c r="AR39" s="37"/>
      <c r="AS39" s="41"/>
      <c r="AT39" s="37"/>
      <c r="AU39" s="37"/>
      <c r="AV39" s="37"/>
      <c r="AW39" s="37"/>
      <c r="AX39" s="37"/>
      <c r="AY39" s="37"/>
      <c r="BD39" s="30"/>
      <c r="BE39" s="30"/>
      <c r="BF39" s="30"/>
      <c r="BG39" s="30"/>
      <c r="BH39" s="30"/>
      <c r="BI39" s="30"/>
      <c r="BJ39" s="30"/>
      <c r="BK39" s="3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</row>
    <row r="40" spans="2:79" ht="15" customHeight="1" x14ac:dyDescent="0.2">
      <c r="B40" s="79"/>
      <c r="C40" s="79"/>
      <c r="D40" s="79"/>
      <c r="E40" s="79"/>
      <c r="F40" s="79"/>
      <c r="G40" s="79"/>
      <c r="H40" s="79"/>
      <c r="I40" s="47"/>
      <c r="J40" s="47"/>
      <c r="K40" s="47"/>
      <c r="L40" s="47"/>
      <c r="M40" s="47"/>
      <c r="N40" s="47"/>
      <c r="O40" s="47"/>
      <c r="P40" s="48"/>
      <c r="Q40" s="47"/>
      <c r="R40" s="47"/>
      <c r="S40" s="47"/>
      <c r="T40" s="47"/>
      <c r="U40" s="47"/>
      <c r="V40" s="47"/>
      <c r="W40" s="37"/>
      <c r="X40" s="37"/>
      <c r="Y40" s="37"/>
      <c r="Z40" s="37"/>
      <c r="AA40" s="37"/>
      <c r="AB40" s="37"/>
      <c r="AC40" s="37"/>
      <c r="AD40" s="41"/>
      <c r="AE40" s="37"/>
      <c r="AF40" s="37"/>
      <c r="AG40" s="37"/>
      <c r="AH40" s="37"/>
      <c r="AI40" s="37"/>
      <c r="AJ40" s="37"/>
      <c r="AL40" s="58"/>
      <c r="AM40" s="37"/>
      <c r="AN40" s="37"/>
      <c r="AO40" s="37"/>
      <c r="AP40" s="37"/>
      <c r="AR40" s="37"/>
      <c r="AS40" s="49"/>
      <c r="AT40" s="50"/>
      <c r="AU40" s="50"/>
      <c r="AV40" s="50"/>
      <c r="AW40" s="50"/>
      <c r="AX40" s="50"/>
      <c r="AY40" s="50"/>
      <c r="BC40" s="30"/>
      <c r="BD40" s="30"/>
      <c r="BE40" s="30"/>
      <c r="BF40" s="30"/>
      <c r="BG40" s="30"/>
      <c r="BH40" s="30"/>
      <c r="BI40" s="30"/>
      <c r="BJ40" s="30"/>
      <c r="BK40" s="3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</row>
    <row r="41" spans="2:79" ht="15" customHeight="1" x14ac:dyDescent="0.2">
      <c r="B41" s="79"/>
      <c r="C41" s="79"/>
      <c r="D41" s="79"/>
      <c r="E41" s="79"/>
      <c r="F41" s="79"/>
      <c r="G41" s="79"/>
      <c r="H41" s="79"/>
      <c r="I41" s="47"/>
      <c r="J41" s="47"/>
      <c r="K41" s="47"/>
      <c r="L41" s="47"/>
      <c r="M41" s="47"/>
      <c r="N41" s="47"/>
      <c r="O41" s="47"/>
      <c r="P41" s="48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D41" s="49"/>
      <c r="AE41" s="50"/>
      <c r="AF41" s="50"/>
      <c r="AG41" s="50"/>
      <c r="AH41" s="50"/>
      <c r="AI41" s="50"/>
      <c r="AJ41" s="50"/>
      <c r="AK41" s="55"/>
      <c r="AL41" s="58"/>
      <c r="AM41" s="37"/>
      <c r="AN41" s="37"/>
      <c r="AO41" s="37"/>
      <c r="AP41" s="37"/>
      <c r="BC41" s="30"/>
      <c r="BD41" s="30"/>
      <c r="BE41" s="30"/>
      <c r="BF41" s="30"/>
      <c r="BG41" s="30"/>
      <c r="BH41" s="30"/>
      <c r="BI41" s="30"/>
      <c r="BJ41" s="30"/>
      <c r="BK41" s="3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</row>
    <row r="42" spans="2:79" ht="15" customHeight="1" x14ac:dyDescent="0.2"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55"/>
      <c r="P42" s="64"/>
      <c r="Q42" s="50"/>
      <c r="R42" s="50"/>
      <c r="S42" s="50"/>
      <c r="T42" s="50"/>
      <c r="U42" s="50"/>
      <c r="V42" s="50"/>
      <c r="AE42" s="37"/>
      <c r="AF42" s="37"/>
      <c r="AG42" s="37"/>
      <c r="AH42" s="37"/>
      <c r="AI42" s="37"/>
      <c r="AJ42" s="37"/>
      <c r="AL42" s="58"/>
      <c r="AM42" s="37"/>
      <c r="AN42" s="37"/>
      <c r="AO42" s="37"/>
      <c r="AP42" s="37"/>
      <c r="AQ42" s="37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20"/>
      <c r="BM42" s="20"/>
      <c r="BN42" s="20"/>
      <c r="BO42" s="10"/>
      <c r="BP42" s="1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10"/>
    </row>
    <row r="43" spans="2:79" ht="15" customHeight="1" x14ac:dyDescent="0.2">
      <c r="P43" s="58"/>
      <c r="Q43" s="37"/>
      <c r="R43" s="37"/>
      <c r="S43" s="37"/>
      <c r="T43" s="37"/>
      <c r="U43" s="37"/>
      <c r="V43" s="37"/>
      <c r="X43" s="37"/>
      <c r="Y43" s="37"/>
      <c r="Z43" s="37"/>
      <c r="AA43" s="37"/>
      <c r="AB43" s="37"/>
      <c r="AC43" s="37"/>
      <c r="AE43" s="37"/>
      <c r="AF43" s="37"/>
      <c r="AG43" s="37"/>
      <c r="AH43" s="37"/>
      <c r="AI43" s="37"/>
      <c r="AJ43" s="37"/>
      <c r="AL43" s="41"/>
      <c r="AR43" s="37"/>
      <c r="AS43" s="38"/>
      <c r="AT43" s="39"/>
      <c r="AU43" s="39"/>
      <c r="AV43" s="39"/>
      <c r="AW43" s="39"/>
      <c r="AX43" s="39"/>
      <c r="AY43" s="39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10"/>
    </row>
    <row r="44" spans="2:79" ht="15" customHeight="1" x14ac:dyDescent="0.2">
      <c r="B44" s="79"/>
      <c r="C44" s="79"/>
      <c r="D44" s="79"/>
      <c r="E44" s="79"/>
      <c r="F44" s="79"/>
      <c r="G44" s="79"/>
      <c r="H44" s="79"/>
      <c r="P44" s="41"/>
      <c r="X44" s="37"/>
      <c r="Y44" s="37"/>
      <c r="Z44" s="37"/>
      <c r="AA44" s="37"/>
      <c r="AB44" s="37"/>
      <c r="AC44" s="37"/>
      <c r="AE44" s="37"/>
      <c r="AF44" s="37"/>
      <c r="AG44" s="37"/>
      <c r="AH44" s="37"/>
      <c r="AI44" s="37"/>
      <c r="AJ44" s="37"/>
      <c r="AL44" s="41"/>
      <c r="AN44" s="30"/>
      <c r="AO44" s="30"/>
      <c r="AP44" s="30"/>
      <c r="AQ44" s="30"/>
      <c r="AS44" s="41"/>
      <c r="AT44" s="37"/>
      <c r="AU44" s="37"/>
      <c r="AV44" s="37"/>
      <c r="AW44" s="37"/>
      <c r="AX44" s="37"/>
      <c r="AY44" s="37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10"/>
    </row>
    <row r="45" spans="2:79" ht="15" customHeight="1" x14ac:dyDescent="0.2">
      <c r="B45" s="79"/>
      <c r="C45" s="79"/>
      <c r="D45" s="79"/>
      <c r="E45" s="79"/>
      <c r="F45" s="79"/>
      <c r="G45" s="79"/>
      <c r="H45" s="79"/>
      <c r="I45" s="25"/>
      <c r="J45" s="25"/>
      <c r="K45" s="25"/>
      <c r="L45" s="25"/>
      <c r="M45" s="25"/>
      <c r="N45" s="25"/>
      <c r="O45" s="25"/>
      <c r="P45" s="41"/>
      <c r="X45" s="37"/>
      <c r="Y45" s="37"/>
      <c r="Z45" s="37"/>
      <c r="AA45" s="37"/>
      <c r="AB45" s="37"/>
      <c r="AC45" s="37"/>
      <c r="AE45" s="37"/>
      <c r="AF45" s="37"/>
      <c r="AG45" s="37"/>
      <c r="AH45" s="37"/>
      <c r="AI45" s="37"/>
      <c r="AJ45" s="37"/>
      <c r="AL45" s="49"/>
      <c r="AM45" s="56"/>
      <c r="AN45" s="56"/>
      <c r="AO45" s="44"/>
      <c r="AP45" s="56"/>
      <c r="AQ45" s="56"/>
      <c r="AR45" s="55"/>
      <c r="AS45" s="41"/>
      <c r="AT45" s="37"/>
      <c r="AU45" s="37"/>
      <c r="AV45" s="37"/>
      <c r="AW45" s="37"/>
      <c r="AX45" s="37"/>
      <c r="AY45" s="37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10"/>
    </row>
    <row r="46" spans="2:79" ht="15" customHeight="1" x14ac:dyDescent="0.2">
      <c r="B46" s="79"/>
      <c r="C46" s="79"/>
      <c r="D46" s="79"/>
      <c r="E46" s="79"/>
      <c r="F46" s="79"/>
      <c r="G46" s="79"/>
      <c r="H46" s="79"/>
      <c r="I46" s="25"/>
      <c r="J46" s="25"/>
      <c r="K46" s="25"/>
      <c r="L46" s="25"/>
      <c r="M46" s="25"/>
      <c r="N46" s="25"/>
      <c r="O46" s="25"/>
      <c r="P46" s="41"/>
      <c r="Q46" s="37"/>
      <c r="R46" s="37"/>
      <c r="S46" s="37"/>
      <c r="T46" s="37"/>
      <c r="U46" s="37"/>
      <c r="V46" s="37"/>
      <c r="X46" s="37"/>
      <c r="Y46" s="37"/>
      <c r="Z46" s="37"/>
      <c r="AA46" s="37"/>
      <c r="AB46" s="37"/>
      <c r="AC46" s="37"/>
      <c r="AM46" s="30"/>
      <c r="AN46" s="30"/>
      <c r="AO46" s="30"/>
      <c r="AP46" s="30"/>
      <c r="AQ46" s="30"/>
      <c r="AR46" s="37"/>
      <c r="AS46" s="41"/>
      <c r="AT46" s="37"/>
      <c r="AU46" s="37"/>
      <c r="AV46" s="37"/>
      <c r="AW46" s="37"/>
      <c r="AX46" s="37"/>
      <c r="AY46" s="37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20"/>
      <c r="BM46" s="20"/>
      <c r="BN46" s="20"/>
      <c r="BO46" s="20"/>
      <c r="BP46" s="20"/>
      <c r="BQ46" s="20"/>
      <c r="BR46" s="20"/>
      <c r="BS46" s="20"/>
      <c r="BT46" s="10"/>
      <c r="BU46" s="10"/>
      <c r="BV46" s="10"/>
      <c r="BW46" s="10"/>
      <c r="BX46" s="10"/>
      <c r="BY46" s="10"/>
      <c r="BZ46" s="10"/>
      <c r="CA46" s="10"/>
    </row>
    <row r="47" spans="2:79" ht="15" customHeight="1" x14ac:dyDescent="0.2">
      <c r="P47" s="41"/>
      <c r="Q47" s="37"/>
      <c r="R47" s="37"/>
      <c r="S47" s="37"/>
      <c r="T47" s="37"/>
      <c r="U47" s="37"/>
      <c r="V47" s="37"/>
      <c r="X47" s="37"/>
      <c r="Y47" s="37"/>
      <c r="Z47" s="37"/>
      <c r="AA47" s="37"/>
      <c r="AB47" s="37"/>
      <c r="AC47" s="37"/>
      <c r="AM47" s="30"/>
      <c r="AN47" s="30"/>
      <c r="AO47" s="30"/>
      <c r="AP47" s="30"/>
      <c r="AQ47" s="30"/>
      <c r="AR47" s="37"/>
      <c r="AS47" s="41"/>
      <c r="AT47" s="37"/>
      <c r="AU47" s="37"/>
      <c r="AV47" s="37"/>
      <c r="AW47" s="37"/>
      <c r="AX47" s="37"/>
      <c r="AY47" s="37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20"/>
      <c r="BM47" s="20"/>
      <c r="BN47" s="20"/>
      <c r="BO47" s="20"/>
      <c r="BP47" s="20"/>
      <c r="BQ47" s="20"/>
      <c r="BR47" s="20"/>
      <c r="BS47" s="20"/>
      <c r="BT47" s="10"/>
      <c r="BU47" s="10"/>
      <c r="BV47" s="10"/>
      <c r="BW47" s="10"/>
      <c r="BX47" s="10"/>
      <c r="BY47" s="10"/>
      <c r="BZ47" s="10"/>
      <c r="CA47" s="10"/>
    </row>
    <row r="48" spans="2:79" ht="15" customHeight="1" x14ac:dyDescent="0.25">
      <c r="B48"/>
      <c r="C48"/>
      <c r="D48"/>
      <c r="E48"/>
      <c r="F48"/>
      <c r="G48"/>
      <c r="H48"/>
      <c r="P48" s="41"/>
      <c r="Q48" s="37"/>
      <c r="R48" s="37"/>
      <c r="S48" s="37"/>
      <c r="T48" s="37"/>
      <c r="U48" s="37"/>
      <c r="V48" s="37"/>
      <c r="X48" s="37"/>
      <c r="Y48" s="37"/>
      <c r="Z48" s="37"/>
      <c r="AA48" s="37"/>
      <c r="AB48" s="37"/>
      <c r="AC48" s="37"/>
      <c r="AM48" s="30"/>
      <c r="AN48" s="30"/>
      <c r="AO48" s="30"/>
      <c r="AP48" s="30"/>
      <c r="AQ48" s="30"/>
      <c r="AR48" s="37"/>
      <c r="AS48" s="49"/>
      <c r="AT48" s="50"/>
      <c r="AU48" s="50"/>
      <c r="AV48" s="50"/>
      <c r="AW48" s="50"/>
      <c r="AX48" s="50"/>
      <c r="AY48" s="5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20"/>
      <c r="BM48" s="20"/>
      <c r="BN48" s="2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</row>
    <row r="49" spans="1:79" ht="15" customHeight="1" x14ac:dyDescent="0.25">
      <c r="B49"/>
      <c r="C49"/>
      <c r="D49"/>
      <c r="E49"/>
      <c r="F49"/>
      <c r="G49"/>
      <c r="H49"/>
      <c r="P49" s="41"/>
      <c r="Q49" s="37"/>
      <c r="R49" s="37"/>
      <c r="S49" s="37"/>
      <c r="T49" s="37"/>
      <c r="U49" s="37"/>
      <c r="V49" s="37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20"/>
      <c r="BM49" s="20"/>
      <c r="BN49" s="2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</row>
    <row r="50" spans="1:79" ht="15" customHeight="1" x14ac:dyDescent="0.25">
      <c r="B50"/>
      <c r="C50"/>
      <c r="D50"/>
      <c r="E50"/>
      <c r="F50"/>
      <c r="G50"/>
      <c r="H50"/>
      <c r="P50" s="41"/>
      <c r="Q50" s="37"/>
      <c r="R50" s="37"/>
      <c r="S50" s="37"/>
      <c r="T50" s="37"/>
      <c r="U50" s="37"/>
      <c r="V50" s="37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20"/>
      <c r="BM50" s="20"/>
      <c r="BN50" s="2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</row>
    <row r="51" spans="1:79" ht="15" customHeight="1" x14ac:dyDescent="0.2">
      <c r="P51" s="41"/>
      <c r="Q51" s="37"/>
      <c r="R51" s="37"/>
      <c r="S51" s="37"/>
      <c r="T51" s="37"/>
      <c r="U51" s="37"/>
      <c r="V51" s="37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7"/>
      <c r="AS51" s="38"/>
      <c r="AT51" s="39"/>
      <c r="AU51" s="39"/>
      <c r="AV51" s="39"/>
      <c r="AW51" s="39"/>
      <c r="AX51" s="39"/>
      <c r="AY51" s="39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20"/>
      <c r="BM51" s="20"/>
      <c r="BN51" s="2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</row>
    <row r="52" spans="1:79" ht="15" customHeight="1" x14ac:dyDescent="0.2">
      <c r="P52" s="41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S52" s="41"/>
      <c r="AT52" s="37"/>
      <c r="AU52" s="37"/>
      <c r="AV52" s="37"/>
      <c r="AW52" s="37"/>
      <c r="AX52" s="37"/>
      <c r="AY52" s="37"/>
      <c r="AZ52" s="30"/>
      <c r="BA52" s="30"/>
      <c r="BB52" s="30"/>
      <c r="BC52" s="30"/>
      <c r="BD52" s="30"/>
      <c r="BE52" s="3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</row>
    <row r="53" spans="1:79" ht="15" customHeight="1" x14ac:dyDescent="0.2">
      <c r="P53" s="41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44"/>
      <c r="AS53" s="41"/>
      <c r="AT53" s="37"/>
      <c r="AU53" s="37"/>
      <c r="AV53" s="37"/>
      <c r="AW53" s="37"/>
      <c r="AX53" s="37"/>
      <c r="AY53" s="37"/>
      <c r="AZ53" s="30"/>
      <c r="BA53" s="30"/>
      <c r="BB53" s="30"/>
      <c r="BC53" s="30"/>
      <c r="BD53" s="30"/>
      <c r="BE53" s="3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</row>
    <row r="54" spans="1:79" ht="15" customHeight="1" x14ac:dyDescent="0.2">
      <c r="P54" s="41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6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9"/>
      <c r="AS54" s="41"/>
      <c r="AT54" s="37"/>
      <c r="AU54" s="37"/>
      <c r="AV54" s="37"/>
      <c r="AW54" s="37"/>
      <c r="AX54" s="37"/>
      <c r="AY54" s="37"/>
      <c r="AZ54" s="30"/>
      <c r="BA54" s="30"/>
      <c r="BB54" s="30"/>
      <c r="BC54" s="30"/>
      <c r="BD54" s="3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</row>
    <row r="55" spans="1:79" ht="15" customHeight="1" x14ac:dyDescent="0.2">
      <c r="P55" s="41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61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7"/>
      <c r="AS55" s="41"/>
      <c r="AT55" s="37"/>
      <c r="AU55" s="37"/>
      <c r="AV55" s="37"/>
      <c r="AW55" s="37"/>
      <c r="AX55" s="37"/>
      <c r="AY55" s="37"/>
      <c r="AZ55" s="3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</row>
    <row r="56" spans="1:79" ht="15" customHeight="1" x14ac:dyDescent="0.2">
      <c r="P56" s="49"/>
      <c r="Q56" s="44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63"/>
      <c r="AD56" s="61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7"/>
      <c r="AS56" s="49"/>
      <c r="AT56" s="50"/>
      <c r="AU56" s="50"/>
      <c r="AV56" s="50"/>
      <c r="AW56" s="50"/>
      <c r="AX56" s="50"/>
      <c r="AY56" s="5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</row>
    <row r="57" spans="1:79" ht="15" customHeight="1" x14ac:dyDescent="0.2"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61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</row>
    <row r="58" spans="1:79" ht="15" customHeight="1" x14ac:dyDescent="0.2"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61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</row>
    <row r="59" spans="1:79" ht="15" customHeight="1" x14ac:dyDescent="0.2"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62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44"/>
      <c r="AS59" s="44"/>
      <c r="AT59" s="44"/>
      <c r="AU59" s="44"/>
      <c r="AV59" s="44"/>
      <c r="AW59" s="44"/>
      <c r="AX59" s="44"/>
      <c r="AY59" s="44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</row>
    <row r="60" spans="1:79" ht="15" customHeight="1" x14ac:dyDescent="0.2">
      <c r="A60" s="10"/>
      <c r="B60" s="10"/>
      <c r="C60" s="10"/>
      <c r="D60" s="10"/>
      <c r="E60" s="10"/>
      <c r="F60" s="1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</row>
    <row r="61" spans="1:79" ht="15" customHeight="1" x14ac:dyDescent="0.2">
      <c r="A61" s="10"/>
      <c r="B61" s="10"/>
      <c r="C61" s="10"/>
      <c r="D61" s="10"/>
      <c r="E61" s="10"/>
      <c r="F61" s="1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</row>
    <row r="62" spans="1:79" s="14" customFormat="1" ht="15" customHeight="1" x14ac:dyDescent="0.2">
      <c r="A62" s="80" t="s">
        <v>19</v>
      </c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</row>
    <row r="64" spans="1:79" ht="15" customHeight="1" x14ac:dyDescent="0.2">
      <c r="A64" s="78" t="s">
        <v>67</v>
      </c>
      <c r="B64" s="78"/>
      <c r="C64" s="78"/>
      <c r="D64" s="78"/>
      <c r="E64" s="78"/>
      <c r="F64" s="78" t="str">
        <f>IF('Event Tree Input'!D27="Seismic Hazard","Yes","No")</f>
        <v>Yes</v>
      </c>
      <c r="G64" s="78"/>
      <c r="I64" s="67" t="s">
        <v>17</v>
      </c>
      <c r="J64" s="67"/>
      <c r="K64" s="78" t="s">
        <v>23</v>
      </c>
      <c r="L64" s="78"/>
      <c r="M64" s="78"/>
      <c r="N64" s="78" t="s">
        <v>24</v>
      </c>
      <c r="O64" s="78"/>
      <c r="P64" s="78"/>
    </row>
    <row r="65" spans="2:26" ht="15" customHeight="1" x14ac:dyDescent="0.2">
      <c r="I65" s="67"/>
      <c r="J65" s="67"/>
      <c r="K65" s="78" t="s">
        <v>22</v>
      </c>
      <c r="L65" s="78"/>
      <c r="M65" s="78"/>
      <c r="N65" s="78" t="s">
        <v>22</v>
      </c>
      <c r="O65" s="78"/>
      <c r="P65" s="78"/>
      <c r="S65" s="78" t="s">
        <v>17</v>
      </c>
      <c r="T65" s="78"/>
      <c r="U65" s="78" t="s">
        <v>27</v>
      </c>
      <c r="V65" s="78"/>
      <c r="W65" s="78"/>
      <c r="X65" s="78" t="s">
        <v>30</v>
      </c>
      <c r="Y65" s="78"/>
      <c r="Z65" s="78"/>
    </row>
    <row r="66" spans="2:26" ht="15" customHeight="1" x14ac:dyDescent="0.2">
      <c r="I66" s="78">
        <v>1</v>
      </c>
      <c r="J66" s="78"/>
      <c r="K66" s="78" t="str">
        <f>'Event Tree Input'!B176</f>
        <v>Circle</v>
      </c>
      <c r="L66" s="78"/>
      <c r="M66" s="78"/>
      <c r="N66" s="78" t="str">
        <f>'Event Tree Input'!C176</f>
        <v>Triangle</v>
      </c>
      <c r="O66" s="78"/>
      <c r="P66" s="78"/>
      <c r="S66" s="78">
        <v>1</v>
      </c>
      <c r="T66" s="78"/>
      <c r="U66" s="78" t="str">
        <f>IF('Event Tree Input'!$D$32="No","No",IF(AND('Event Tree Input'!$D$32="Yes",'Event Tree Input'!$D$29&gt;=S66),"Yes","No"))</f>
        <v>No</v>
      </c>
      <c r="V66" s="78"/>
      <c r="W66" s="78"/>
      <c r="X66" s="78" t="str">
        <f>'Event Tree Input'!$D$31</f>
        <v>Yes</v>
      </c>
      <c r="Y66" s="78"/>
      <c r="Z66" s="78"/>
    </row>
    <row r="67" spans="2:26" ht="15" customHeight="1" x14ac:dyDescent="0.2">
      <c r="I67" s="78">
        <v>2</v>
      </c>
      <c r="J67" s="78"/>
      <c r="K67" s="78" t="str">
        <f>'Event Tree Input'!B177</f>
        <v>Circle</v>
      </c>
      <c r="L67" s="78"/>
      <c r="M67" s="78"/>
      <c r="N67" s="78" t="str">
        <f>'Event Tree Input'!C177</f>
        <v>Triangle</v>
      </c>
      <c r="O67" s="78"/>
      <c r="P67" s="78"/>
      <c r="S67" s="78">
        <v>2</v>
      </c>
      <c r="T67" s="78"/>
      <c r="U67" s="78" t="str">
        <f>IF('Event Tree Input'!$D$32="No","No",IF(AND('Event Tree Input'!$D$32="Yes",'Event Tree Input'!$D$29&gt;=S67),"Yes","No"))</f>
        <v>No</v>
      </c>
      <c r="V67" s="78"/>
      <c r="W67" s="78"/>
      <c r="X67" s="78" t="str">
        <f>'Event Tree Input'!$D$31</f>
        <v>Yes</v>
      </c>
      <c r="Y67" s="78"/>
      <c r="Z67" s="78"/>
    </row>
    <row r="68" spans="2:26" ht="15" customHeight="1" x14ac:dyDescent="0.2">
      <c r="I68" s="78">
        <v>3</v>
      </c>
      <c r="J68" s="78"/>
      <c r="K68" s="78" t="str">
        <f>'Event Tree Input'!B178</f>
        <v>Circle</v>
      </c>
      <c r="L68" s="78"/>
      <c r="M68" s="78"/>
      <c r="N68" s="78" t="str">
        <f>'Event Tree Input'!C178</f>
        <v>Triangle</v>
      </c>
      <c r="O68" s="78"/>
      <c r="P68" s="78"/>
      <c r="S68" s="78">
        <v>3</v>
      </c>
      <c r="T68" s="78"/>
      <c r="U68" s="78" t="str">
        <f>IF('Event Tree Input'!$D$32="No","No",IF(AND('Event Tree Input'!$D$32="Yes",'Event Tree Input'!$D$29&gt;=S68),"Yes","No"))</f>
        <v>No</v>
      </c>
      <c r="V68" s="78"/>
      <c r="W68" s="78"/>
      <c r="X68" s="78" t="str">
        <f>'Event Tree Input'!$D$31</f>
        <v>Yes</v>
      </c>
      <c r="Y68" s="78"/>
      <c r="Z68" s="78"/>
    </row>
    <row r="69" spans="2:26" ht="15" customHeight="1" x14ac:dyDescent="0.2">
      <c r="I69" s="78">
        <v>4</v>
      </c>
      <c r="J69" s="78"/>
      <c r="K69" s="78" t="str">
        <f>'Event Tree Input'!B179</f>
        <v>Circle</v>
      </c>
      <c r="L69" s="78"/>
      <c r="M69" s="78"/>
      <c r="N69" s="78" t="str">
        <f>'Event Tree Input'!C179</f>
        <v>Triangle</v>
      </c>
      <c r="O69" s="78"/>
      <c r="P69" s="78"/>
      <c r="S69" s="78">
        <v>4</v>
      </c>
      <c r="T69" s="78"/>
      <c r="U69" s="78" t="str">
        <f>IF('Event Tree Input'!$D$32="No","No",IF(AND('Event Tree Input'!$D$32="Yes",'Event Tree Input'!$D$29&gt;=S69),"Yes","No"))</f>
        <v>No</v>
      </c>
      <c r="V69" s="78"/>
      <c r="W69" s="78"/>
      <c r="X69" s="78" t="str">
        <f>'Event Tree Input'!$D$31</f>
        <v>Yes</v>
      </c>
      <c r="Y69" s="78"/>
      <c r="Z69" s="78"/>
    </row>
    <row r="70" spans="2:26" ht="15" customHeight="1" x14ac:dyDescent="0.2">
      <c r="I70" s="78">
        <v>5</v>
      </c>
      <c r="J70" s="78"/>
      <c r="K70" s="78" t="str">
        <f>'Event Tree Input'!B180</f>
        <v>Triangle</v>
      </c>
      <c r="L70" s="78"/>
      <c r="M70" s="78"/>
      <c r="N70" s="78" t="str">
        <f>'Event Tree Input'!C180</f>
        <v>Triangle</v>
      </c>
      <c r="O70" s="78"/>
      <c r="P70" s="78"/>
      <c r="S70" s="78">
        <v>5</v>
      </c>
      <c r="T70" s="78"/>
      <c r="U70" s="78" t="str">
        <f>IF('Event Tree Input'!$D$32="No","No",IF(AND('Event Tree Input'!$D$32="Yes",'Event Tree Input'!$D$29&gt;=S70),"Yes","No"))</f>
        <v>No</v>
      </c>
      <c r="V70" s="78"/>
      <c r="W70" s="78"/>
      <c r="X70" s="78" t="str">
        <f>'Event Tree Input'!$D$31</f>
        <v>Yes</v>
      </c>
      <c r="Y70" s="78"/>
      <c r="Z70" s="78"/>
    </row>
    <row r="71" spans="2:26" ht="15" customHeight="1" x14ac:dyDescent="0.2">
      <c r="I71" s="78">
        <v>6</v>
      </c>
      <c r="J71" s="78"/>
      <c r="K71" s="78" t="str">
        <f>'Event Tree Input'!B181</f>
        <v/>
      </c>
      <c r="L71" s="78"/>
      <c r="M71" s="78"/>
      <c r="N71" s="78" t="str">
        <f>'Event Tree Input'!C181</f>
        <v/>
      </c>
      <c r="O71" s="78"/>
      <c r="P71" s="78"/>
      <c r="S71" s="78">
        <v>6</v>
      </c>
      <c r="T71" s="78"/>
      <c r="U71" s="78" t="str">
        <f>IF('Event Tree Input'!$D$32="No","No",IF(AND('Event Tree Input'!$D$32="Yes",'Event Tree Input'!$D$29&gt;=S71),"Yes","No"))</f>
        <v>No</v>
      </c>
      <c r="V71" s="78"/>
      <c r="W71" s="78"/>
      <c r="X71" s="78" t="str">
        <f>'Event Tree Input'!$D$31</f>
        <v>Yes</v>
      </c>
      <c r="Y71" s="78"/>
      <c r="Z71" s="78"/>
    </row>
    <row r="72" spans="2:26" ht="15" customHeight="1" x14ac:dyDescent="0.2">
      <c r="I72" s="78">
        <v>7</v>
      </c>
      <c r="J72" s="78"/>
      <c r="K72" s="78" t="str">
        <f>'Event Tree Input'!B182</f>
        <v/>
      </c>
      <c r="L72" s="78"/>
      <c r="M72" s="78"/>
      <c r="N72" s="78" t="str">
        <f>'Event Tree Input'!C182</f>
        <v/>
      </c>
      <c r="O72" s="78"/>
      <c r="P72" s="78"/>
      <c r="S72" s="78">
        <v>7</v>
      </c>
      <c r="T72" s="78"/>
      <c r="U72" s="78" t="str">
        <f>IF('Event Tree Input'!$D$32="No","No",IF(AND('Event Tree Input'!$D$32="Yes",'Event Tree Input'!$D$29&gt;=S72),"Yes","No"))</f>
        <v>No</v>
      </c>
      <c r="V72" s="78"/>
      <c r="W72" s="78"/>
      <c r="X72" s="78" t="str">
        <f>'Event Tree Input'!$D$31</f>
        <v>Yes</v>
      </c>
      <c r="Y72" s="78"/>
      <c r="Z72" s="78"/>
    </row>
    <row r="73" spans="2:26" ht="15" customHeight="1" x14ac:dyDescent="0.2">
      <c r="I73" s="78">
        <v>8</v>
      </c>
      <c r="J73" s="78"/>
      <c r="K73" s="78" t="str">
        <f>'Event Tree Input'!B183</f>
        <v/>
      </c>
      <c r="L73" s="78"/>
      <c r="M73" s="78"/>
      <c r="N73" s="78" t="str">
        <f>'Event Tree Input'!C183</f>
        <v/>
      </c>
      <c r="O73" s="78"/>
      <c r="P73" s="78"/>
      <c r="S73" s="78">
        <v>8</v>
      </c>
      <c r="T73" s="78"/>
      <c r="U73" s="78" t="str">
        <f>IF('Event Tree Input'!$D$32="No","No",IF(AND('Event Tree Input'!$D$32="Yes",'Event Tree Input'!$D$29&gt;=S73),"Yes","No"))</f>
        <v>No</v>
      </c>
      <c r="V73" s="78"/>
      <c r="W73" s="78"/>
      <c r="X73" s="78" t="str">
        <f>'Event Tree Input'!$D$31</f>
        <v>Yes</v>
      </c>
      <c r="Y73" s="78"/>
      <c r="Z73" s="78"/>
    </row>
    <row r="74" spans="2:26" ht="15" customHeight="1" x14ac:dyDescent="0.2">
      <c r="I74" s="78">
        <v>9</v>
      </c>
      <c r="J74" s="78"/>
      <c r="K74" s="78" t="str">
        <f>'Event Tree Input'!B184</f>
        <v/>
      </c>
      <c r="L74" s="78"/>
      <c r="M74" s="78"/>
      <c r="N74" s="78" t="str">
        <f>'Event Tree Input'!C184</f>
        <v/>
      </c>
      <c r="O74" s="78"/>
      <c r="P74" s="78"/>
      <c r="S74" s="78">
        <v>9</v>
      </c>
      <c r="T74" s="78"/>
      <c r="U74" s="78" t="str">
        <f>IF('Event Tree Input'!$D$32="No","No",IF(AND('Event Tree Input'!$D$32="Yes",'Event Tree Input'!$D$29&gt;=S74),"Yes","No"))</f>
        <v>No</v>
      </c>
      <c r="V74" s="78"/>
      <c r="W74" s="78"/>
      <c r="X74" s="78" t="str">
        <f>'Event Tree Input'!$D$31</f>
        <v>Yes</v>
      </c>
      <c r="Y74" s="78"/>
      <c r="Z74" s="78"/>
    </row>
    <row r="76" spans="2:26" ht="15" customHeight="1" x14ac:dyDescent="0.2">
      <c r="B76" s="9" t="s">
        <v>39</v>
      </c>
      <c r="M76" s="25"/>
      <c r="N76" s="25"/>
      <c r="O76" s="25"/>
    </row>
    <row r="77" spans="2:26" ht="15" customHeight="1" x14ac:dyDescent="0.2">
      <c r="B77" s="77" t="str">
        <f>'Event Tree Input'!A45</f>
        <v>Node 1 Callout</v>
      </c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30"/>
    </row>
    <row r="78" spans="2:26" ht="15" customHeight="1" x14ac:dyDescent="0.2"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30"/>
    </row>
    <row r="79" spans="2:26" ht="15" customHeight="1" x14ac:dyDescent="0.2"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30"/>
      <c r="X79" s="31"/>
      <c r="Y79" s="30"/>
    </row>
    <row r="80" spans="2:26" ht="15" customHeight="1" x14ac:dyDescent="0.2"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30"/>
      <c r="X80" s="31"/>
      <c r="Y80" s="30"/>
    </row>
    <row r="81" spans="2:25" ht="15" customHeight="1" x14ac:dyDescent="0.2"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30"/>
      <c r="X81" s="31"/>
      <c r="Y81" s="30"/>
    </row>
    <row r="82" spans="2:25" ht="15" customHeight="1" x14ac:dyDescent="0.2"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30"/>
      <c r="X82" s="31"/>
      <c r="Y82" s="30"/>
    </row>
    <row r="83" spans="2:25" ht="15" customHeight="1" x14ac:dyDescent="0.2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1"/>
      <c r="Y83" s="30"/>
    </row>
    <row r="84" spans="2:25" ht="15" customHeight="1" x14ac:dyDescent="0.2">
      <c r="B84" s="9" t="s">
        <v>40</v>
      </c>
      <c r="M84" s="25"/>
      <c r="N84" s="25"/>
      <c r="O84" s="25"/>
      <c r="W84" s="30"/>
      <c r="X84" s="30"/>
      <c r="Y84" s="30"/>
    </row>
    <row r="85" spans="2:25" ht="15" customHeight="1" x14ac:dyDescent="0.2">
      <c r="B85" s="77" t="str">
        <f>'Event Tree Input'!A59</f>
        <v>Node 2 Callout</v>
      </c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</row>
    <row r="86" spans="2:25" ht="15" customHeight="1" x14ac:dyDescent="0.2"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31"/>
      <c r="X86" s="31"/>
    </row>
    <row r="87" spans="2:25" ht="15" customHeight="1" x14ac:dyDescent="0.2"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31"/>
      <c r="X87" s="31"/>
    </row>
    <row r="88" spans="2:25" ht="15" customHeight="1" x14ac:dyDescent="0.2"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31"/>
      <c r="X88" s="31"/>
    </row>
    <row r="89" spans="2:25" ht="15" customHeight="1" x14ac:dyDescent="0.2"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31"/>
      <c r="X89" s="31"/>
    </row>
    <row r="90" spans="2:25" ht="15" customHeight="1" x14ac:dyDescent="0.2"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31"/>
      <c r="X90" s="31"/>
    </row>
    <row r="92" spans="2:25" ht="15" customHeight="1" x14ac:dyDescent="0.2">
      <c r="B92" s="9" t="s">
        <v>41</v>
      </c>
      <c r="M92" s="25"/>
      <c r="N92" s="25"/>
      <c r="O92" s="25"/>
    </row>
    <row r="93" spans="2:25" ht="15" customHeight="1" x14ac:dyDescent="0.2">
      <c r="B93" s="77" t="str">
        <f>'Event Tree Input'!A73</f>
        <v>Node 3 Callout</v>
      </c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</row>
    <row r="94" spans="2:25" ht="15" customHeight="1" x14ac:dyDescent="0.2"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</row>
    <row r="95" spans="2:25" ht="15" customHeight="1" x14ac:dyDescent="0.2"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</row>
    <row r="96" spans="2:25" ht="15" customHeight="1" x14ac:dyDescent="0.2"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</row>
    <row r="97" spans="2:22" ht="15" customHeight="1" x14ac:dyDescent="0.2"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</row>
    <row r="98" spans="2:22" ht="15" customHeight="1" x14ac:dyDescent="0.2"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</row>
    <row r="100" spans="2:22" ht="15" customHeight="1" x14ac:dyDescent="0.2">
      <c r="B100" s="9" t="s">
        <v>42</v>
      </c>
      <c r="M100" s="25"/>
      <c r="N100" s="25"/>
      <c r="O100" s="25"/>
    </row>
    <row r="101" spans="2:22" ht="15" customHeight="1" x14ac:dyDescent="0.2">
      <c r="B101" s="77" t="str">
        <f>'Event Tree Input'!A87</f>
        <v>Node 4 Callout</v>
      </c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</row>
    <row r="102" spans="2:22" ht="15" customHeight="1" x14ac:dyDescent="0.2"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</row>
    <row r="103" spans="2:22" ht="15" customHeight="1" x14ac:dyDescent="0.2"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</row>
    <row r="104" spans="2:22" ht="15" customHeight="1" x14ac:dyDescent="0.2"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</row>
    <row r="105" spans="2:22" ht="15" customHeight="1" x14ac:dyDescent="0.2"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</row>
    <row r="106" spans="2:22" ht="15" customHeight="1" x14ac:dyDescent="0.2"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</row>
    <row r="108" spans="2:22" ht="15" customHeight="1" x14ac:dyDescent="0.2">
      <c r="B108" s="9" t="s">
        <v>43</v>
      </c>
      <c r="M108" s="25"/>
      <c r="N108" s="25"/>
      <c r="O108" s="25"/>
    </row>
    <row r="109" spans="2:22" ht="15" customHeight="1" x14ac:dyDescent="0.2">
      <c r="B109" s="77" t="str">
        <f>'Event Tree Input'!A101</f>
        <v>Node 5 Callout</v>
      </c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</row>
    <row r="110" spans="2:22" ht="15" customHeight="1" x14ac:dyDescent="0.2"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</row>
    <row r="111" spans="2:22" ht="15" customHeight="1" x14ac:dyDescent="0.2"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</row>
    <row r="112" spans="2:22" ht="15" customHeight="1" x14ac:dyDescent="0.2"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</row>
    <row r="113" spans="2:22" ht="15" customHeight="1" x14ac:dyDescent="0.2"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</row>
    <row r="114" spans="2:22" ht="15" customHeight="1" x14ac:dyDescent="0.2"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</row>
    <row r="116" spans="2:22" ht="15" customHeight="1" x14ac:dyDescent="0.2">
      <c r="B116" s="9" t="s">
        <v>44</v>
      </c>
      <c r="M116" s="25"/>
      <c r="N116" s="25"/>
      <c r="O116" s="25"/>
    </row>
    <row r="117" spans="2:22" ht="15" customHeight="1" x14ac:dyDescent="0.2">
      <c r="B117" s="77" t="str">
        <f>'Event Tree Input'!A115</f>
        <v>Node 6 Callout</v>
      </c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</row>
    <row r="118" spans="2:22" ht="15" customHeight="1" x14ac:dyDescent="0.2"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</row>
    <row r="119" spans="2:22" ht="15" customHeight="1" x14ac:dyDescent="0.2"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</row>
    <row r="120" spans="2:22" ht="15" customHeight="1" x14ac:dyDescent="0.2"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</row>
    <row r="121" spans="2:22" ht="15" customHeight="1" x14ac:dyDescent="0.2"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</row>
    <row r="122" spans="2:22" ht="15" customHeight="1" x14ac:dyDescent="0.2"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</row>
    <row r="124" spans="2:22" ht="15" customHeight="1" x14ac:dyDescent="0.2">
      <c r="B124" s="9" t="s">
        <v>45</v>
      </c>
      <c r="M124" s="25"/>
      <c r="N124" s="25"/>
      <c r="O124" s="25"/>
    </row>
    <row r="125" spans="2:22" ht="15" customHeight="1" x14ac:dyDescent="0.2">
      <c r="B125" s="77" t="str">
        <f>'Event Tree Input'!A129</f>
        <v>Node 7 Callout</v>
      </c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</row>
    <row r="126" spans="2:22" ht="15" customHeight="1" x14ac:dyDescent="0.2"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</row>
    <row r="127" spans="2:22" ht="15" customHeight="1" x14ac:dyDescent="0.2"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</row>
    <row r="128" spans="2:22" ht="15" customHeight="1" x14ac:dyDescent="0.2"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</row>
    <row r="129" spans="2:22" ht="15" customHeight="1" x14ac:dyDescent="0.2"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</row>
    <row r="130" spans="2:22" ht="15" customHeight="1" x14ac:dyDescent="0.2"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</row>
    <row r="132" spans="2:22" ht="15" customHeight="1" x14ac:dyDescent="0.2">
      <c r="B132" s="9" t="s">
        <v>46</v>
      </c>
      <c r="M132" s="25"/>
      <c r="N132" s="25"/>
      <c r="O132" s="25"/>
    </row>
    <row r="133" spans="2:22" ht="15" customHeight="1" x14ac:dyDescent="0.2">
      <c r="B133" s="77" t="str">
        <f>'Event Tree Input'!A143</f>
        <v>Node 8 Callout</v>
      </c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</row>
    <row r="134" spans="2:22" ht="15" customHeight="1" x14ac:dyDescent="0.2"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</row>
    <row r="135" spans="2:22" ht="15" customHeight="1" x14ac:dyDescent="0.2"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</row>
    <row r="136" spans="2:22" ht="15" customHeight="1" x14ac:dyDescent="0.2"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</row>
    <row r="137" spans="2:22" ht="15" customHeight="1" x14ac:dyDescent="0.2"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</row>
    <row r="138" spans="2:22" ht="15" customHeight="1" x14ac:dyDescent="0.2"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</row>
    <row r="140" spans="2:22" ht="15" customHeight="1" x14ac:dyDescent="0.2">
      <c r="B140" s="9" t="s">
        <v>47</v>
      </c>
      <c r="M140" s="25"/>
      <c r="N140" s="25"/>
      <c r="O140" s="25"/>
    </row>
    <row r="141" spans="2:22" ht="15" customHeight="1" x14ac:dyDescent="0.2">
      <c r="B141" s="77" t="str">
        <f>'Event Tree Input'!A157</f>
        <v>Node 9 Callout</v>
      </c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</row>
    <row r="142" spans="2:22" ht="15" customHeight="1" x14ac:dyDescent="0.2"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</row>
    <row r="143" spans="2:22" ht="15" customHeight="1" x14ac:dyDescent="0.2"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</row>
    <row r="144" spans="2:22" ht="15" customHeight="1" x14ac:dyDescent="0.2"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</row>
    <row r="145" spans="2:22" ht="15" customHeight="1" x14ac:dyDescent="0.2"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</row>
    <row r="146" spans="2:22" ht="15" customHeight="1" x14ac:dyDescent="0.2"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</row>
  </sheetData>
  <mergeCells count="92">
    <mergeCell ref="B44:H46"/>
    <mergeCell ref="B40:H41"/>
    <mergeCell ref="B35:H37"/>
    <mergeCell ref="B77:V82"/>
    <mergeCell ref="A5:CA5"/>
    <mergeCell ref="A62:CA62"/>
    <mergeCell ref="F64:G64"/>
    <mergeCell ref="A64:E64"/>
    <mergeCell ref="I69:J69"/>
    <mergeCell ref="X67:Z67"/>
    <mergeCell ref="X68:Z68"/>
    <mergeCell ref="X69:Z69"/>
    <mergeCell ref="N64:P64"/>
    <mergeCell ref="K65:M65"/>
    <mergeCell ref="N65:P65"/>
    <mergeCell ref="N66:P66"/>
    <mergeCell ref="X65:Z65"/>
    <mergeCell ref="X66:Z66"/>
    <mergeCell ref="U65:W65"/>
    <mergeCell ref="U66:W66"/>
    <mergeCell ref="U67:W67"/>
    <mergeCell ref="S68:T68"/>
    <mergeCell ref="S69:T69"/>
    <mergeCell ref="S70:T70"/>
    <mergeCell ref="S71:T71"/>
    <mergeCell ref="X70:Z70"/>
    <mergeCell ref="U68:W68"/>
    <mergeCell ref="U69:W69"/>
    <mergeCell ref="U70:W70"/>
    <mergeCell ref="X71:Z71"/>
    <mergeCell ref="U71:W71"/>
    <mergeCell ref="N68:P68"/>
    <mergeCell ref="N69:P69"/>
    <mergeCell ref="N70:P70"/>
    <mergeCell ref="I70:J70"/>
    <mergeCell ref="K68:M68"/>
    <mergeCell ref="K69:M69"/>
    <mergeCell ref="K70:M70"/>
    <mergeCell ref="I68:J68"/>
    <mergeCell ref="S66:T66"/>
    <mergeCell ref="K67:M67"/>
    <mergeCell ref="I64:J65"/>
    <mergeCell ref="N67:P67"/>
    <mergeCell ref="S65:T65"/>
    <mergeCell ref="K64:M64"/>
    <mergeCell ref="I66:J66"/>
    <mergeCell ref="I67:J67"/>
    <mergeCell ref="K66:M66"/>
    <mergeCell ref="S67:T67"/>
    <mergeCell ref="X72:Z72"/>
    <mergeCell ref="X73:Z73"/>
    <mergeCell ref="X74:Z74"/>
    <mergeCell ref="U72:W72"/>
    <mergeCell ref="U74:W74"/>
    <mergeCell ref="U73:W73"/>
    <mergeCell ref="N74:P74"/>
    <mergeCell ref="N71:P71"/>
    <mergeCell ref="N72:P72"/>
    <mergeCell ref="N73:P73"/>
    <mergeCell ref="B125:V130"/>
    <mergeCell ref="I74:J74"/>
    <mergeCell ref="K74:M74"/>
    <mergeCell ref="K71:M71"/>
    <mergeCell ref="K72:M72"/>
    <mergeCell ref="K73:M73"/>
    <mergeCell ref="I71:J71"/>
    <mergeCell ref="S74:T74"/>
    <mergeCell ref="I72:J72"/>
    <mergeCell ref="I73:J73"/>
    <mergeCell ref="S72:T72"/>
    <mergeCell ref="S73:T73"/>
    <mergeCell ref="B133:V138"/>
    <mergeCell ref="B141:V146"/>
    <mergeCell ref="B85:V90"/>
    <mergeCell ref="B93:V98"/>
    <mergeCell ref="B101:V106"/>
    <mergeCell ref="B109:V114"/>
    <mergeCell ref="B117:V122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paperSize="119" scale="77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2D9AB60F-178B-442E-95B0-3E8070E32E69}">
            <xm:f>'Event Tree Input'!$D$29&lt;9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BT21:BZ21 BT28:BZ28 BT22:BU22 BT23:BT27</xm:sqref>
        </x14:conditionalFormatting>
        <x14:conditionalFormatting xmlns:xm="http://schemas.microsoft.com/office/excel/2006/main">
          <x14:cfRule type="expression" priority="16" id="{95993CE9-E0BC-4C66-ADF2-5585FC697679}">
            <xm:f>'Event Tree Input'!$D$29&lt;8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BM24:BS24 BM31:BS31 BM25:BN25 BM26:BM30</xm:sqref>
        </x14:conditionalFormatting>
        <x14:conditionalFormatting xmlns:xm="http://schemas.microsoft.com/office/excel/2006/main">
          <x14:cfRule type="expression" priority="15" id="{471E27D4-AA9E-4E48-A209-383647B92C70}">
            <xm:f>'Event Tree Input'!$D$29&lt;7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BF27:BL27 BF34:BL34 BF28:BG28 BF29:BF33</xm:sqref>
        </x14:conditionalFormatting>
        <x14:conditionalFormatting xmlns:xm="http://schemas.microsoft.com/office/excel/2006/main">
          <x14:cfRule type="expression" priority="14" id="{86118574-C779-4D54-A418-76053363427F}">
            <xm:f>'Event Tree Input'!$D$29&lt;6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BB30:BE30 BA37:BE37 BA27 AZ22:AZ26</xm:sqref>
        </x14:conditionalFormatting>
        <x14:conditionalFormatting xmlns:xm="http://schemas.microsoft.com/office/excel/2006/main">
          <x14:cfRule type="expression" priority="13" id="{DDE9C9C1-D1BA-40B4-B77B-5CBED1EB305D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AS16:AT16 AS17:AS21</xm:sqref>
        </x14:conditionalFormatting>
        <x14:conditionalFormatting xmlns:xm="http://schemas.microsoft.com/office/excel/2006/main">
          <x14:cfRule type="expression" priority="12" id="{7747D35C-F5F4-4212-A851-AB1C2710FACD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AK43:AQ43 AK37:AL37 AK38:AK42 AK36:AP36 AR18</xm:sqref>
        </x14:conditionalFormatting>
        <x14:conditionalFormatting xmlns:xm="http://schemas.microsoft.com/office/excel/2006/main">
          <x14:cfRule type="expression" priority="11" id="{C28095E2-94F4-4F41-81FD-EA8881CF7778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AD39:AJ39 AD46:AJ46 AD40:AE40 AD41:AD45</xm:sqref>
        </x14:conditionalFormatting>
        <x14:conditionalFormatting xmlns:xm="http://schemas.microsoft.com/office/excel/2006/main">
          <x14:cfRule type="expression" priority="10" id="{B6CAEA3F-0270-48EB-9D71-422032B374F1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W42:AC42 W49:AC49 W43:X43 W44:W48</xm:sqref>
        </x14:conditionalFormatting>
        <x14:conditionalFormatting xmlns:xm="http://schemas.microsoft.com/office/excel/2006/main">
          <x14:cfRule type="expression" priority="8" id="{4A3A5A0F-7EF1-490D-BE5B-3A3F5FBE1426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AS27:AT27 AS28:AS32</xm:sqref>
        </x14:conditionalFormatting>
        <x14:conditionalFormatting xmlns:xm="http://schemas.microsoft.com/office/excel/2006/main">
          <x14:cfRule type="expression" priority="7" id="{BDAABDCE-D218-470F-A847-E6EF2FBDCD09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AR29</xm:sqref>
        </x14:conditionalFormatting>
        <x14:conditionalFormatting xmlns:xm="http://schemas.microsoft.com/office/excel/2006/main">
          <x14:cfRule type="expression" priority="6" id="{D756205E-9251-4D2C-9C94-2875F5E58B44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AS35:AT35 AS36:AS40</xm:sqref>
        </x14:conditionalFormatting>
        <x14:conditionalFormatting xmlns:xm="http://schemas.microsoft.com/office/excel/2006/main">
          <x14:cfRule type="expression" priority="5" id="{5C3EC80A-DAC6-4FBA-822C-AE1994686915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AR37</xm:sqref>
        </x14:conditionalFormatting>
        <x14:conditionalFormatting xmlns:xm="http://schemas.microsoft.com/office/excel/2006/main">
          <x14:cfRule type="expression" priority="4" id="{2D628007-35EB-4A0C-A5FD-39CCDFEABE11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AS43:AT43 AS44:AS48</xm:sqref>
        </x14:conditionalFormatting>
        <x14:conditionalFormatting xmlns:xm="http://schemas.microsoft.com/office/excel/2006/main">
          <x14:cfRule type="expression" priority="3" id="{976AF6C5-63AF-4C58-AC3C-FE28BEDF5F76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AR45</xm:sqref>
        </x14:conditionalFormatting>
        <x14:conditionalFormatting xmlns:xm="http://schemas.microsoft.com/office/excel/2006/main">
          <x14:cfRule type="expression" priority="2" id="{C91DDA5F-EF40-4B80-95BA-2FA6ED47B00B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AS51:AT51 AS52:AS56</xm:sqref>
        </x14:conditionalFormatting>
        <x14:conditionalFormatting xmlns:xm="http://schemas.microsoft.com/office/excel/2006/main">
          <x14:cfRule type="expression" priority="1" id="{B3D77377-D397-48E6-B6F8-8AF9C5962D4C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AR53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E361C5F-B995-4A01-8F3B-AA6CC12CBC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F31082-BAEB-46A2-BB01-4391E7EFA7FA}">
  <ds:schemaRefs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a8f80ecd-cddb-46c8-b263-c25672b580c6"/>
    <ds:schemaRef ds:uri="http://purl.org/dc/terms/"/>
    <ds:schemaRef ds:uri="http://purl.org/dc/elements/1.1/"/>
    <ds:schemaRef ds:uri="http://schemas.microsoft.com/office/2006/metadata/properties"/>
    <ds:schemaRef ds:uri="f254aa9d-3c64-433e-b325-d6b94ca3f691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E1AF896-52C1-4E0A-B703-88A14780DE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2024-12-20T18:24:33Z</cp:lastPrinted>
  <dcterms:created xsi:type="dcterms:W3CDTF">2016-11-03T19:42:04Z</dcterms:created>
  <dcterms:modified xsi:type="dcterms:W3CDTF">2025-09-04T00:49:36Z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  <property fmtid="{D5CDD505-2E9C-101B-9397-08002B2CF9AE}" pid="4" name="Folder_Number">
    <vt:lpwstr/>
  </property>
  <property fmtid="{D5CDD505-2E9C-101B-9397-08002B2CF9AE}" pid="5" name="Folder_Code">
    <vt:lpwstr/>
  </property>
  <property fmtid="{D5CDD505-2E9C-101B-9397-08002B2CF9AE}" pid="6" name="Folder_Name">
    <vt:lpwstr/>
  </property>
  <property fmtid="{D5CDD505-2E9C-101B-9397-08002B2CF9AE}" pid="7" name="Folder_Description">
    <vt:lpwstr/>
  </property>
  <property fmtid="{D5CDD505-2E9C-101B-9397-08002B2CF9AE}" pid="8" name="/Folder_Name/">
    <vt:lpwstr/>
  </property>
  <property fmtid="{D5CDD505-2E9C-101B-9397-08002B2CF9AE}" pid="9" name="/Folder_Description/">
    <vt:lpwstr/>
  </property>
  <property fmtid="{D5CDD505-2E9C-101B-9397-08002B2CF9AE}" pid="10" name="Folder_Version">
    <vt:lpwstr/>
  </property>
  <property fmtid="{D5CDD505-2E9C-101B-9397-08002B2CF9AE}" pid="11" name="Folder_VersionSeq">
    <vt:lpwstr/>
  </property>
  <property fmtid="{D5CDD505-2E9C-101B-9397-08002B2CF9AE}" pid="12" name="Folder_Manager">
    <vt:lpwstr/>
  </property>
  <property fmtid="{D5CDD505-2E9C-101B-9397-08002B2CF9AE}" pid="13" name="Folder_ManagerDesc">
    <vt:lpwstr/>
  </property>
  <property fmtid="{D5CDD505-2E9C-101B-9397-08002B2CF9AE}" pid="14" name="Folder_Storage">
    <vt:lpwstr/>
  </property>
  <property fmtid="{D5CDD505-2E9C-101B-9397-08002B2CF9AE}" pid="15" name="Folder_StorageDesc">
    <vt:lpwstr/>
  </property>
  <property fmtid="{D5CDD505-2E9C-101B-9397-08002B2CF9AE}" pid="16" name="Folder_Creator">
    <vt:lpwstr/>
  </property>
  <property fmtid="{D5CDD505-2E9C-101B-9397-08002B2CF9AE}" pid="17" name="Folder_CreatorDesc">
    <vt:lpwstr/>
  </property>
  <property fmtid="{D5CDD505-2E9C-101B-9397-08002B2CF9AE}" pid="18" name="Folder_CreateDate">
    <vt:lpwstr/>
  </property>
  <property fmtid="{D5CDD505-2E9C-101B-9397-08002B2CF9AE}" pid="19" name="Folder_Updater">
    <vt:lpwstr/>
  </property>
  <property fmtid="{D5CDD505-2E9C-101B-9397-08002B2CF9AE}" pid="20" name="Folder_UpdaterDesc">
    <vt:lpwstr/>
  </property>
  <property fmtid="{D5CDD505-2E9C-101B-9397-08002B2CF9AE}" pid="21" name="Folder_UpdateDate">
    <vt:lpwstr/>
  </property>
  <property fmtid="{D5CDD505-2E9C-101B-9397-08002B2CF9AE}" pid="22" name="Document_Number">
    <vt:lpwstr/>
  </property>
  <property fmtid="{D5CDD505-2E9C-101B-9397-08002B2CF9AE}" pid="23" name="Document_Name">
    <vt:lpwstr/>
  </property>
  <property fmtid="{D5CDD505-2E9C-101B-9397-08002B2CF9AE}" pid="24" name="Document_FileName">
    <vt:lpwstr/>
  </property>
  <property fmtid="{D5CDD505-2E9C-101B-9397-08002B2CF9AE}" pid="25" name="Document_Version">
    <vt:lpwstr/>
  </property>
  <property fmtid="{D5CDD505-2E9C-101B-9397-08002B2CF9AE}" pid="26" name="Document_VersionSeq">
    <vt:lpwstr/>
  </property>
  <property fmtid="{D5CDD505-2E9C-101B-9397-08002B2CF9AE}" pid="27" name="Document_Creator">
    <vt:lpwstr/>
  </property>
  <property fmtid="{D5CDD505-2E9C-101B-9397-08002B2CF9AE}" pid="28" name="Document_CreatorDesc">
    <vt:lpwstr/>
  </property>
  <property fmtid="{D5CDD505-2E9C-101B-9397-08002B2CF9AE}" pid="29" name="Document_CreateDate">
    <vt:lpwstr/>
  </property>
  <property fmtid="{D5CDD505-2E9C-101B-9397-08002B2CF9AE}" pid="30" name="Document_Updater">
    <vt:lpwstr/>
  </property>
  <property fmtid="{D5CDD505-2E9C-101B-9397-08002B2CF9AE}" pid="31" name="Document_UpdaterDesc">
    <vt:lpwstr/>
  </property>
  <property fmtid="{D5CDD505-2E9C-101B-9397-08002B2CF9AE}" pid="32" name="Document_UpdateDate">
    <vt:lpwstr/>
  </property>
  <property fmtid="{D5CDD505-2E9C-101B-9397-08002B2CF9AE}" pid="33" name="Document_Size">
    <vt:lpwstr/>
  </property>
  <property fmtid="{D5CDD505-2E9C-101B-9397-08002B2CF9AE}" pid="34" name="Document_Storage">
    <vt:lpwstr/>
  </property>
  <property fmtid="{D5CDD505-2E9C-101B-9397-08002B2CF9AE}" pid="35" name="Document_StorageDesc">
    <vt:lpwstr/>
  </property>
  <property fmtid="{D5CDD505-2E9C-101B-9397-08002B2CF9AE}" pid="36" name="Document_Department">
    <vt:lpwstr/>
  </property>
  <property fmtid="{D5CDD505-2E9C-101B-9397-08002B2CF9AE}" pid="37" name="Document_DepartmentDesc">
    <vt:lpwstr/>
  </property>
</Properties>
</file>