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674CA8A3-931B-4B53-9CAF-C919144AE495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<sst xmlns="http://schemas.openxmlformats.org/spreadsheetml/2006/main" count="117" uniqueCount="59">
  <si>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</si>
  <si>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</si>
  <si>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</si>
  <si>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</si>
  <si>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</si>
  <si>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</si>
  <si>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</si>
  <si>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</si>
  <si>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</si>
  <si>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</si>
  <si>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</si>
  <si>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</si>
  <si>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</si>
  <si>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</si>
  <si>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</si>
  <si>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</si>
  <si>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</si>
  <si>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</si>
  <si>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</si>
  <si>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</si>
  <si>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</si>
  <si>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</si>
  <si>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</si>
  <si>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</si>
  <si>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</si>
  <si>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</si>
  <si>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</si>
  <si>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</si>
  <si>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</si>
  <si>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</si>
  <si>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</si>
  <si>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</si>
  <si>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</si>
  <si>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</si>
  <si>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</si>
  <si>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</si>
  <si>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</si>
  <si>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</si>
  <si>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</si>
  <si>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</si>
  <si>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</si>
  <si>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</si>
  <si>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</si>
  <si>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</si>
  <si>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</si>
  <si>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</si>
  <si>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</si>
  <si>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</si>
  <si>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</si>
  <si>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</si>
  <si>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</si>
  <si>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</si>
  <si>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</si>
  <si>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</si>
  <si>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</si>
  <si>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Changes in driving or resisting forces cause increased internal moment and shear in the sheet pile?</t>
  </si>
  <si>
    <t>As the load increases, the tie-rod to pile connection capacity is exceeded?</t>
  </si>
  <si>
    <t>Connection fails and the rod separates from the pile leading to rotational failure of the wall (PFM CP-2)?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</si>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</sst>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5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top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4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115370</xdr:colOff>
      <xdr:row>22</xdr:row>
      <xdr:rowOff>188480</xdr:rowOff>
    </xdr:from>
    <xdr:to>
      <xdr:col>43</xdr:col>
      <xdr:colOff>136059</xdr:colOff>
      <xdr:row>24</xdr:row>
      <xdr:rowOff>73034</xdr:rowOff>
    </xdr:to>
    <xdr:sp macro="" textlink="">
      <xdr:nvSpPr>
        <xdr:cNvPr id="26" name="N4B1Tri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8494000" y="440190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Changes in driving or resisting forces cause increased internal moment and shear in the sheet pile?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load increases, the tie-rod to pile connection capacity is exceeded?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36</xdr:col>
      <xdr:colOff>176211</xdr:colOff>
      <xdr:row>27</xdr:row>
      <xdr:rowOff>38100</xdr:rowOff>
    </xdr:from>
    <xdr:to>
      <xdr:col>43</xdr:col>
      <xdr:colOff>38100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1" y="5181600"/>
          <a:ext cx="1262064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Connection fails and the rod separates from the pile leading to rotational failure of the wall (PFM CP-2)?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54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4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53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55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/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56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/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52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/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57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/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/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/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/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/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/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/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/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/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/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/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/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/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54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Triangle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/>
      </c>
      <c r="C162" s="9" t="str">
        <f t="shared" si="0"/>
        <v/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3" priority="69">
      <formula>$D$9="Seismic Hazard"</formula>
    </cfRule>
    <cfRule type="expression" dxfId="22" priority="70">
      <formula>$D$9="Hydrologic Hazard"</formula>
    </cfRule>
  </conditionalFormatting>
  <conditionalFormatting sqref="A32:H45">
    <cfRule type="expression" dxfId="21" priority="18" stopIfTrue="1">
      <formula>$D$11&lt;2</formula>
    </cfRule>
  </conditionalFormatting>
  <conditionalFormatting sqref="A110:H114 A138:H142 A40:H44 A54:H58 A68:H72 A82:H86 A96:H100 A124:H128 A26:H30">
    <cfRule type="expression" dxfId="20" priority="4" stopIfTrue="1">
      <formula>$D$14="No"</formula>
    </cfRule>
  </conditionalFormatting>
  <conditionalFormatting sqref="A46:H51 A53:H59">
    <cfRule type="expression" dxfId="19" priority="16" stopIfTrue="1">
      <formula>$D$11&lt;3</formula>
    </cfRule>
  </conditionalFormatting>
  <conditionalFormatting sqref="A60:H65 A67:H73">
    <cfRule type="expression" dxfId="18" priority="14" stopIfTrue="1">
      <formula>$D$11&lt;4</formula>
    </cfRule>
  </conditionalFormatting>
  <conditionalFormatting sqref="A74:H87">
    <cfRule type="expression" dxfId="17" priority="11" stopIfTrue="1">
      <formula>$D$11&lt;5</formula>
    </cfRule>
  </conditionalFormatting>
  <conditionalFormatting sqref="A88:H101">
    <cfRule type="expression" dxfId="16" priority="9" stopIfTrue="1">
      <formula>$D$11&lt;6</formula>
    </cfRule>
  </conditionalFormatting>
  <conditionalFormatting sqref="A102:H115">
    <cfRule type="expression" dxfId="15" priority="10" stopIfTrue="1">
      <formula>$D$11&lt;7</formula>
    </cfRule>
  </conditionalFormatting>
  <conditionalFormatting sqref="A116:H129">
    <cfRule type="expression" dxfId="14" priority="5" stopIfTrue="1">
      <formula>$D$11&lt;8</formula>
    </cfRule>
  </conditionalFormatting>
  <conditionalFormatting sqref="A130:H143">
    <cfRule type="expression" dxfId="13" priority="3" stopIfTrue="1">
      <formula>$D$11&lt;9</formula>
    </cfRule>
  </conditionalFormatting>
  <conditionalFormatting sqref="A20:H21 A34:H35 A48:H49 A62:H63 A76:H77 A90:H91 A104:H105 A118:H119 A132:H133">
    <cfRule type="expression" dxfId="12" priority="24">
      <formula>$D$13="No"</formula>
    </cfRule>
  </conditionalFormatting>
  <conditionalFormatting sqref="A27:H30">
    <cfRule type="expression" dxfId="11" priority="20" stopIfTrue="1">
      <formula>$D$11&lt;2</formula>
    </cfRule>
  </conditionalFormatting>
  <conditionalFormatting sqref="A52:H52">
    <cfRule type="expression" dxfId="10" priority="2" stopIfTrue="1">
      <formula>$D$11&lt;2</formula>
    </cfRule>
  </conditionalFormatting>
  <conditionalFormatting sqref="A66:H66">
    <cfRule type="expression" dxfId="9" priority="1" stopIfTrue="1">
      <formula>$D$11&lt;5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1" t="s">
        <v>8</v>
      </c>
      <c r="B1" s="51"/>
      <c r="C1" s="51"/>
      <c r="D1" s="5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3" t="s">
        <v>9</v>
      </c>
      <c r="AG1" s="53"/>
      <c r="AH1" s="53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3" t="s">
        <v>10</v>
      </c>
      <c r="BE1" s="53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1" t="s">
        <v>11</v>
      </c>
      <c r="B2" s="51"/>
      <c r="C2" s="51"/>
      <c r="D2" s="51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3" t="s">
        <v>9</v>
      </c>
      <c r="AG2" s="53"/>
      <c r="AH2" s="53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3" t="s">
        <v>10</v>
      </c>
      <c r="BE2" s="53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</row>
    <row r="3" spans="1:80" ht="15" customHeight="1" x14ac:dyDescent="0.2">
      <c r="A3" s="52" t="s">
        <v>12</v>
      </c>
      <c r="B3" s="52"/>
      <c r="C3" s="52"/>
      <c r="D3" s="52"/>
      <c r="E3" s="5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46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50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49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50" t="s">
        <v>58</v>
      </c>
      <c r="AS27" s="50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50"/>
      <c r="AS28" s="50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51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Triangle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/>
      </c>
      <c r="L61" s="48"/>
      <c r="M61" s="48"/>
      <c r="N61" s="48" t="str">
        <f>'Event Tree Input'!C162</f>
        <v/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/>
      </c>
      <c r="L62" s="48"/>
      <c r="M62" s="48"/>
      <c r="N62" s="48" t="str">
        <f>'Event Tree Input'!C163</f>
        <v/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37</v>
      </c>
      <c r="M67" s="25"/>
      <c r="N67" s="25"/>
      <c r="O67" s="25"/>
    </row>
    <row r="68" spans="2:26" ht="15" customHeight="1" x14ac:dyDescent="0.2">
      <c r="B68" s="45">
        <f>'Event Tree Input'!A27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38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>
        <f>'Event Tree Input'!A41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39</v>
      </c>
      <c r="M83" s="25"/>
      <c r="N83" s="25"/>
      <c r="O83" s="25"/>
    </row>
    <row r="84" spans="2:24" ht="15" customHeight="1" x14ac:dyDescent="0.2">
      <c r="B84" s="45">
        <f>'Event Tree Input'!A55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40</v>
      </c>
      <c r="M91" s="25"/>
      <c r="N91" s="25"/>
      <c r="O91" s="25"/>
    </row>
    <row r="92" spans="2:24" ht="15" customHeight="1" x14ac:dyDescent="0.2">
      <c r="B92" s="45">
        <f>'Event Tree Input'!A69</f>
        <v>0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41</v>
      </c>
      <c r="M99" s="25"/>
      <c r="N99" s="25"/>
      <c r="O99" s="25"/>
    </row>
    <row r="100" spans="2:22" ht="15" customHeight="1" x14ac:dyDescent="0.2">
      <c r="B100" s="45">
        <f>'Event Tree Input'!A83</f>
        <v>0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42</v>
      </c>
      <c r="M107" s="25"/>
      <c r="N107" s="25"/>
      <c r="O107" s="25"/>
    </row>
    <row r="108" spans="2:22" ht="15" customHeight="1" x14ac:dyDescent="0.2">
      <c r="B108" s="45">
        <f>'Event Tree Input'!A97</f>
        <v>0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43</v>
      </c>
      <c r="M115" s="25"/>
      <c r="N115" s="25"/>
      <c r="O115" s="25"/>
    </row>
    <row r="116" spans="2:22" ht="15" customHeight="1" x14ac:dyDescent="0.2">
      <c r="B116" s="45">
        <f>'Event Tree Input'!A111</f>
        <v>0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44</v>
      </c>
      <c r="M123" s="25"/>
      <c r="N123" s="25"/>
      <c r="O123" s="25"/>
    </row>
    <row r="124" spans="2:22" ht="15" customHeight="1" x14ac:dyDescent="0.2">
      <c r="B124" s="45">
        <f>'Event Tree Input'!A125</f>
        <v>0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45</v>
      </c>
      <c r="M131" s="25"/>
      <c r="N131" s="25"/>
      <c r="O131" s="25"/>
    </row>
    <row r="132" spans="2:22" ht="15" customHeight="1" x14ac:dyDescent="0.2">
      <c r="B132" s="45">
        <f>'Event Tree Input'!A139</f>
        <v>0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1">
    <mergeCell ref="AR27:AS28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AR26:AR27 AR29:AR30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8BA5CC5-5886-4DB7-9498-1F96402B8A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14D65B-1728-4837-9F41-FD956D9ADCC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C51478-C9E6-4BA0-8E3C-CE7C776F9234}">
  <ds:schemaRefs>
    <ds:schemaRef ds:uri="http://schemas.microsoft.com/office/2006/metadata/properties"/>
    <ds:schemaRef ds:uri="http://purl.org/dc/elements/1.1/"/>
    <ds:schemaRef ds:uri="a8f80ecd-cddb-46c8-b263-c25672b580c6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