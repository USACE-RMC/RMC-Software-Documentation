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BAC3A8A9-ABAE-4416-AB37-F72C31DE38D7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t_Reference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4" i="14" l="1"/>
  <c r="B36" i="14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<sst xmlns="http://schemas.openxmlformats.org/spreadsheetml/2006/main" count="155" uniqueCount="85">
  <si>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</si>
  <si>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</si>
  <si>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</si>
  <si>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</si>
  <si>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</si>
  <si>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</si>
  <si>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</si>
  <si>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</si>
  <si>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</si>
  <si>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</si>
  <si>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</si>
  <si>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</si>
  <si>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</si>
  <si>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</si>
  <si>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</si>
  <si>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</si>
  <si>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</si>
  <si>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</si>
  <si>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</si>
  <si>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</si>
  <si>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</si>
  <si>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</si>
  <si>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</si>
  <si>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</si>
  <si>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</si>
  <si>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</si>
  <si>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</si>
  <si>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</si>
  <si>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</si>
  <si>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</si>
  <si>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</si>
  <si>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</si>
  <si>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</si>
  <si>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</si>
  <si>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</si>
  <si>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</si>
  <si>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</si>
  <si>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</si>
  <si>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</si>
  <si>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</si>
  <si>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</si>
  <si>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</si>
  <si>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</si>
  <si>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</si>
  <si>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</si>
  <si>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</si>
  <si>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</si>
  <si>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</si>
  <si>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</si>
  <si>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</si>
  <si>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</si>
  <si>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</si>
  <si>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</si>
  <si>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</si>
  <si>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</si>
  <si>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</si>
  <si>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</si>
  <si>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</si>
  <si>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</si>
  <si>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</si>
  <si>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</si>
  <si>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</si>
  <si>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</si>
  <si>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</si>
  <si>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</si>
  <si>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</si>
  <si>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</si>
  <si>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</si>
  <si>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Progression: Mechanical Condition</t>
  </si>
  <si>
    <t>Continuous stable roof or sidewalls are maintained along seepage or leakage path?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</si>
  <si>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</si>
  <si>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</si>
  <si>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</si>
  <si>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</si>
  <si>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</si>
  <si>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</si>
  <si>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</si>
  <si>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</si>
  <si>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</si>
  <si>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</si>
  <si>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</si>
  <si>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</si>
  <si>
    <t>Detection</t>
  </si>
  <si>
    <t>Detection of need for intervention occurs?</t>
  </si>
  <si>
    <t>Intervention is unsuccessful?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</si>
</sst>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75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1" fillId="2" borderId="0" xfId="2" applyFill="1"/>
    <xf numFmtId="0" fontId="4" fillId="2" borderId="0" xfId="8" applyFill="1" applyAlignment="1" applyProtection="1">
      <alignment vertical="top" wrapText="1"/>
      <protection locked="0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5" fillId="2" borderId="0" xfId="2" applyFont="1" applyFill="1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wrapText="1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3" xfId="0" applyFont="1" applyBorder="1"/>
    <xf numFmtId="0" fontId="4" fillId="0" borderId="1" xfId="0" applyFont="1" applyBorder="1"/>
    <xf numFmtId="0" fontId="4" fillId="0" borderId="4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9" xfId="0" applyFont="1" applyBorder="1"/>
    <xf numFmtId="0" fontId="4" fillId="0" borderId="8" xfId="0" applyFont="1" applyBorder="1"/>
    <xf numFmtId="0" fontId="4" fillId="0" borderId="1" xfId="0" applyFont="1" applyBorder="1" applyAlignment="1">
      <alignment vertical="center" wrapText="1"/>
    </xf>
    <xf numFmtId="0" fontId="4" fillId="0" borderId="7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0" xfId="0" applyFont="1" applyBorder="1" applyAlignment="1">
      <alignment vertical="center" wrapText="1"/>
    </xf>
    <xf numFmtId="0" fontId="4" fillId="0" borderId="5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6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00B050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27</xdr:row>
      <xdr:rowOff>142874</xdr:rowOff>
    </xdr:from>
    <xdr:to>
      <xdr:col>21</xdr:col>
      <xdr:colOff>161925</xdr:colOff>
      <xdr:row>30</xdr:row>
      <xdr:rowOff>66293</xdr:rowOff>
    </xdr:to>
    <xdr:sp macro="" textlink="'Event Tree Input'!A39">
      <xdr:nvSpPr>
        <xdr:cNvPr id="41" name="N1Title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Detection</a:t>
          </a:fld>
          <a:r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t>: Evidence Observable</a:t>
          </a:r>
          <a:endParaRPr lang="en-US" sz="1100"/>
        </a:p>
      </xdr:txBody>
    </xdr:sp>
    <xdr:clientData/>
  </xdr:twoCellAnchor>
  <xdr:twoCellAnchor>
    <xdr:from>
      <xdr:col>22</xdr:col>
      <xdr:colOff>28575</xdr:colOff>
      <xdr:row>24</xdr:row>
      <xdr:rowOff>142874</xdr:rowOff>
    </xdr:from>
    <xdr:to>
      <xdr:col>28</xdr:col>
      <xdr:colOff>161925</xdr:colOff>
      <xdr:row>28</xdr:row>
      <xdr:rowOff>114300</xdr:rowOff>
    </xdr:to>
    <xdr:sp macro="" textlink="'Event Tree Input'!A53">
      <xdr:nvSpPr>
        <xdr:cNvPr id="77" name="N2Title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4429125" y="5476874"/>
          <a:ext cx="1333500" cy="733426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Detection: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Instrumentation and Monitoring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36</xdr:col>
      <xdr:colOff>9525</xdr:colOff>
      <xdr:row>19</xdr:row>
      <xdr:rowOff>66674</xdr:rowOff>
    </xdr:from>
    <xdr:to>
      <xdr:col>42</xdr:col>
      <xdr:colOff>142875</xdr:colOff>
      <xdr:row>21</xdr:row>
      <xdr:rowOff>180593</xdr:rowOff>
    </xdr:to>
    <xdr:sp macro="" textlink="'Event Tree Input'!A67">
      <xdr:nvSpPr>
        <xdr:cNvPr id="79" name="N3Title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7210425" y="4448174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36</xdr:col>
      <xdr:colOff>28575</xdr:colOff>
      <xdr:row>18</xdr:row>
      <xdr:rowOff>152399</xdr:rowOff>
    </xdr:from>
    <xdr:to>
      <xdr:col>42</xdr:col>
      <xdr:colOff>161925</xdr:colOff>
      <xdr:row>21</xdr:row>
      <xdr:rowOff>76199</xdr:rowOff>
    </xdr:to>
    <xdr:sp macro="" textlink="'Event Tree Input'!A81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229475" y="39242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Mechanical Condition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95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Hydraulic Condition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19</xdr:row>
      <xdr:rowOff>107155</xdr:rowOff>
    </xdr:from>
    <xdr:to>
      <xdr:col>29</xdr:col>
      <xdr:colOff>0</xdr:colOff>
      <xdr:row>21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40</xdr:row>
      <xdr:rowOff>83344</xdr:rowOff>
    </xdr:from>
    <xdr:to>
      <xdr:col>26</xdr:col>
      <xdr:colOff>23813</xdr:colOff>
      <xdr:row>42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22</xdr:row>
      <xdr:rowOff>11906</xdr:rowOff>
    </xdr:from>
    <xdr:to>
      <xdr:col>19</xdr:col>
      <xdr:colOff>95251</xdr:colOff>
      <xdr:row>23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14</xdr:col>
      <xdr:colOff>54695</xdr:colOff>
      <xdr:row>38</xdr:row>
      <xdr:rowOff>71290</xdr:rowOff>
    </xdr:from>
    <xdr:to>
      <xdr:col>15</xdr:col>
      <xdr:colOff>128993</xdr:colOff>
      <xdr:row>39</xdr:row>
      <xdr:rowOff>155112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2855045" y="788179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83270</xdr:colOff>
      <xdr:row>32</xdr:row>
      <xdr:rowOff>80815</xdr:rowOff>
    </xdr:from>
    <xdr:to>
      <xdr:col>22</xdr:col>
      <xdr:colOff>157568</xdr:colOff>
      <xdr:row>33</xdr:row>
      <xdr:rowOff>164637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4283795" y="67483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47627</xdr:colOff>
      <xdr:row>28</xdr:row>
      <xdr:rowOff>54699</xdr:rowOff>
    </xdr:from>
    <xdr:to>
      <xdr:col>43</xdr:col>
      <xdr:colOff>68316</xdr:colOff>
      <xdr:row>29</xdr:row>
      <xdr:rowOff>129752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16200000">
          <a:off x="8426257" y="5982619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28</xdr:row>
      <xdr:rowOff>52240</xdr:rowOff>
    </xdr:from>
    <xdr:to>
      <xdr:col>29</xdr:col>
      <xdr:colOff>138518</xdr:colOff>
      <xdr:row>29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66678</xdr:colOff>
      <xdr:row>33</xdr:row>
      <xdr:rowOff>54696</xdr:rowOff>
    </xdr:from>
    <xdr:to>
      <xdr:col>43</xdr:col>
      <xdr:colOff>87367</xdr:colOff>
      <xdr:row>34</xdr:row>
      <xdr:rowOff>129749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16200000">
          <a:off x="8445308" y="7316116"/>
          <a:ext cx="265553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800" kern="1200">
            <a:solidFill>
              <a:schemeClr val="lt1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25</xdr:row>
      <xdr:rowOff>52240</xdr:rowOff>
    </xdr:from>
    <xdr:to>
      <xdr:col>36</xdr:col>
      <xdr:colOff>138518</xdr:colOff>
      <xdr:row>26</xdr:row>
      <xdr:rowOff>136062</xdr:rowOff>
    </xdr:to>
    <xdr:sp macro="" textlink="">
      <xdr:nvSpPr>
        <xdr:cNvPr id="8" name="N4Num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21</xdr:row>
      <xdr:rowOff>52240</xdr:rowOff>
    </xdr:from>
    <xdr:to>
      <xdr:col>43</xdr:col>
      <xdr:colOff>138518</xdr:colOff>
      <xdr:row>22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66675</xdr:colOff>
      <xdr:row>31</xdr:row>
      <xdr:rowOff>54695</xdr:rowOff>
    </xdr:from>
    <xdr:to>
      <xdr:col>43</xdr:col>
      <xdr:colOff>87364</xdr:colOff>
      <xdr:row>32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rot="16200000">
          <a:off x="8445305" y="6744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29</xdr:row>
      <xdr:rowOff>54695</xdr:rowOff>
    </xdr:from>
    <xdr:to>
      <xdr:col>43</xdr:col>
      <xdr:colOff>96889</xdr:colOff>
      <xdr:row>30</xdr:row>
      <xdr:rowOff>129748</xdr:rowOff>
    </xdr:to>
    <xdr:sp macro="" textlink="">
      <xdr:nvSpPr>
        <xdr:cNvPr id="16" name="N4B2Tri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32</xdr:row>
      <xdr:rowOff>55169</xdr:rowOff>
    </xdr:from>
    <xdr:to>
      <xdr:col>22</xdr:col>
      <xdr:colOff>97956</xdr:colOff>
      <xdr:row>33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28</xdr:row>
      <xdr:rowOff>55150</xdr:rowOff>
    </xdr:from>
    <xdr:to>
      <xdr:col>29</xdr:col>
      <xdr:colOff>97957</xdr:colOff>
      <xdr:row>29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77269</xdr:colOff>
      <xdr:row>22</xdr:row>
      <xdr:rowOff>55140</xdr:rowOff>
    </xdr:from>
    <xdr:to>
      <xdr:col>43</xdr:col>
      <xdr:colOff>97958</xdr:colOff>
      <xdr:row>23</xdr:row>
      <xdr:rowOff>130194</xdr:rowOff>
    </xdr:to>
    <xdr:sp macro="" textlink="">
      <xdr:nvSpPr>
        <xdr:cNvPr id="25" name="N3B1Tri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8455899" y="5221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21</xdr:row>
      <xdr:rowOff>55130</xdr:rowOff>
    </xdr:from>
    <xdr:to>
      <xdr:col>43</xdr:col>
      <xdr:colOff>97959</xdr:colOff>
      <xdr:row>22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196679</xdr:colOff>
      <xdr:row>35</xdr:row>
      <xdr:rowOff>66674</xdr:rowOff>
    </xdr:from>
    <xdr:to>
      <xdr:col>21</xdr:col>
      <xdr:colOff>124598</xdr:colOff>
      <xdr:row>42</xdr:row>
      <xdr:rowOff>104775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197054" y="6734174"/>
          <a:ext cx="1128069" cy="1371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Evidence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of failure process is observable?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178593</xdr:colOff>
      <xdr:row>29</xdr:row>
      <xdr:rowOff>38100</xdr:rowOff>
    </xdr:from>
    <xdr:to>
      <xdr:col>28</xdr:col>
      <xdr:colOff>103155</xdr:colOff>
      <xdr:row>34</xdr:row>
      <xdr:rowOff>152400</xdr:rowOff>
    </xdr:to>
    <xdr:sp macro="" textlink="'Event Tree Input'!A56">
      <xdr:nvSpPr>
        <xdr:cNvPr id="58" name="N2Descr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Failure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process is detected in time?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29</xdr:col>
      <xdr:colOff>176213</xdr:colOff>
      <xdr:row>26</xdr:row>
      <xdr:rowOff>38100</xdr:rowOff>
    </xdr:from>
    <xdr:to>
      <xdr:col>35</xdr:col>
      <xdr:colOff>100775</xdr:colOff>
      <xdr:row>31</xdr:row>
      <xdr:rowOff>152400</xdr:rowOff>
    </xdr:to>
    <xdr:sp macro="" textlink="'Event Tree Input'!A70">
      <xdr:nvSpPr>
        <xdr:cNvPr id="59" name="N3Descr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Intervention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and repair are unsuccessful?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36</xdr:col>
      <xdr:colOff>176212</xdr:colOff>
      <xdr:row>23</xdr:row>
      <xdr:rowOff>38100</xdr:rowOff>
    </xdr:from>
    <xdr:to>
      <xdr:col>42</xdr:col>
      <xdr:colOff>100774</xdr:colOff>
      <xdr:row>28</xdr:row>
      <xdr:rowOff>152400</xdr:rowOff>
    </xdr:to>
    <xdr:sp macro="" textlink="'Event Tree Input'!A84">
      <xdr:nvSpPr>
        <xdr:cNvPr id="60" name="N4Descr" hidden="1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or sidewalls are maintained along seepage or leakage path?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98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continuously transport eroded particles to exit?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37</xdr:row>
      <xdr:rowOff>11906</xdr:rowOff>
    </xdr:from>
    <xdr:to>
      <xdr:col>19</xdr:col>
      <xdr:colOff>190501</xdr:colOff>
      <xdr:row>41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18</xdr:row>
      <xdr:rowOff>77390</xdr:rowOff>
    </xdr:from>
    <xdr:to>
      <xdr:col>39</xdr:col>
      <xdr:colOff>76200</xdr:colOff>
      <xdr:row>19</xdr:row>
      <xdr:rowOff>66674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6749058" y="3320057"/>
          <a:ext cx="179784" cy="2076450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28</xdr:row>
      <xdr:rowOff>11906</xdr:rowOff>
    </xdr:from>
    <xdr:to>
      <xdr:col>40</xdr:col>
      <xdr:colOff>95251</xdr:colOff>
      <xdr:row>33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22</xdr:row>
      <xdr:rowOff>142875</xdr:rowOff>
    </xdr:from>
    <xdr:to>
      <xdr:col>25</xdr:col>
      <xdr:colOff>95251</xdr:colOff>
      <xdr:row>24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05302" y="4686300"/>
          <a:ext cx="380999" cy="120014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66679</xdr:colOff>
      <xdr:row>41</xdr:row>
      <xdr:rowOff>54699</xdr:rowOff>
    </xdr:from>
    <xdr:to>
      <xdr:col>43</xdr:col>
      <xdr:colOff>87368</xdr:colOff>
      <xdr:row>42</xdr:row>
      <xdr:rowOff>129752</xdr:rowOff>
    </xdr:to>
    <xdr:sp macro="" textlink="">
      <xdr:nvSpPr>
        <xdr:cNvPr id="33" name="N1B2Tri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 rot="16200000">
          <a:off x="8445309" y="8649619"/>
          <a:ext cx="265553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800" kern="1200">
            <a:solidFill>
              <a:schemeClr val="lt1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42</xdr:col>
      <xdr:colOff>57154</xdr:colOff>
      <xdr:row>39</xdr:row>
      <xdr:rowOff>54698</xdr:rowOff>
    </xdr:from>
    <xdr:to>
      <xdr:col>43</xdr:col>
      <xdr:colOff>77843</xdr:colOff>
      <xdr:row>40</xdr:row>
      <xdr:rowOff>129751</xdr:rowOff>
    </xdr:to>
    <xdr:sp macro="" textlink="">
      <xdr:nvSpPr>
        <xdr:cNvPr id="34" name="N1B2Tri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 rot="16200000">
          <a:off x="8435784" y="8078118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en-US" sz="800" kern="1200">
            <a:solidFill>
              <a:schemeClr val="lt1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29</xdr:col>
      <xdr:colOff>152400</xdr:colOff>
      <xdr:row>22</xdr:row>
      <xdr:rowOff>19049</xdr:rowOff>
    </xdr:from>
    <xdr:to>
      <xdr:col>34</xdr:col>
      <xdr:colOff>180974</xdr:colOff>
      <xdr:row>24</xdr:row>
      <xdr:rowOff>171450</xdr:rowOff>
    </xdr:to>
    <xdr:sp macro="" textlink="'Event Tree Input'!A39">
      <xdr:nvSpPr>
        <xdr:cNvPr id="38" name="N1Title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5953125" y="4972049"/>
          <a:ext cx="1028699" cy="533401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Intervention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and Repair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35</xdr:col>
      <xdr:colOff>38296</xdr:colOff>
      <xdr:row>25</xdr:row>
      <xdr:rowOff>67166</xdr:rowOff>
    </xdr:from>
    <xdr:to>
      <xdr:col>36</xdr:col>
      <xdr:colOff>112594</xdr:colOff>
      <xdr:row>26</xdr:row>
      <xdr:rowOff>150988</xdr:rowOff>
    </xdr:to>
    <xdr:sp macro="" textlink="">
      <xdr:nvSpPr>
        <xdr:cNvPr id="39" name="N3Num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7039171" y="5591666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38296</xdr:colOff>
      <xdr:row>36</xdr:row>
      <xdr:rowOff>48116</xdr:rowOff>
    </xdr:from>
    <xdr:to>
      <xdr:col>36</xdr:col>
      <xdr:colOff>112594</xdr:colOff>
      <xdr:row>37</xdr:row>
      <xdr:rowOff>131938</xdr:rowOff>
    </xdr:to>
    <xdr:sp macro="" textlink="">
      <xdr:nvSpPr>
        <xdr:cNvPr id="40" name="N3Num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7039171" y="7668116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57155</xdr:colOff>
      <xdr:row>47</xdr:row>
      <xdr:rowOff>64224</xdr:rowOff>
    </xdr:from>
    <xdr:to>
      <xdr:col>43</xdr:col>
      <xdr:colOff>77844</xdr:colOff>
      <xdr:row>48</xdr:row>
      <xdr:rowOff>139277</xdr:rowOff>
    </xdr:to>
    <xdr:sp macro="" textlink="">
      <xdr:nvSpPr>
        <xdr:cNvPr id="44" name="N1B2Tri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 rot="16200000">
          <a:off x="8435785" y="9421144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176213</xdr:colOff>
      <xdr:row>34</xdr:row>
      <xdr:rowOff>28575</xdr:rowOff>
    </xdr:from>
    <xdr:to>
      <xdr:col>42</xdr:col>
      <xdr:colOff>100775</xdr:colOff>
      <xdr:row>39</xdr:row>
      <xdr:rowOff>142875</xdr:rowOff>
    </xdr:to>
    <xdr:sp macro="" textlink="'Event Tree Input'!A70">
      <xdr:nvSpPr>
        <xdr:cNvPr id="51" name="N3Descr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7377113" y="6505575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Uncontrolled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release of impounded water occurs?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35</xdr:col>
      <xdr:colOff>66871</xdr:colOff>
      <xdr:row>44</xdr:row>
      <xdr:rowOff>57641</xdr:rowOff>
    </xdr:from>
    <xdr:to>
      <xdr:col>36</xdr:col>
      <xdr:colOff>141169</xdr:colOff>
      <xdr:row>45</xdr:row>
      <xdr:rowOff>141463</xdr:rowOff>
    </xdr:to>
    <xdr:sp macro="" textlink="">
      <xdr:nvSpPr>
        <xdr:cNvPr id="54" name="N3Num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7067746" y="8630141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176213</xdr:colOff>
      <xdr:row>23</xdr:row>
      <xdr:rowOff>28575</xdr:rowOff>
    </xdr:from>
    <xdr:to>
      <xdr:col>42</xdr:col>
      <xdr:colOff>100775</xdr:colOff>
      <xdr:row>28</xdr:row>
      <xdr:rowOff>142875</xdr:rowOff>
    </xdr:to>
    <xdr:sp macro="" textlink="'Event Tree Input'!A70">
      <xdr:nvSpPr>
        <xdr:cNvPr id="35" name="N3Descr">
          <a:extLst>
            <a:ext uri="{FF2B5EF4-FFF2-40B4-BE49-F238E27FC236}">
              <a16:creationId xmlns:a16="http://schemas.microsoft.com/office/drawing/2014/main" id="{8F46DB75-72CB-4507-BD90-0C3AFB4E117B}"/>
            </a:ext>
          </a:extLst>
        </xdr:cNvPr>
        <xdr:cNvSpPr txBox="1"/>
      </xdr:nvSpPr>
      <xdr:spPr>
        <a:xfrm>
          <a:off x="7377113" y="4410075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Uncontrolled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release of impounded water occurs?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36</xdr:col>
      <xdr:colOff>176213</xdr:colOff>
      <xdr:row>42</xdr:row>
      <xdr:rowOff>38100</xdr:rowOff>
    </xdr:from>
    <xdr:to>
      <xdr:col>42</xdr:col>
      <xdr:colOff>100775</xdr:colOff>
      <xdr:row>47</xdr:row>
      <xdr:rowOff>152400</xdr:rowOff>
    </xdr:to>
    <xdr:sp macro="" textlink="'Event Tree Input'!A70">
      <xdr:nvSpPr>
        <xdr:cNvPr id="36" name="N3Descr">
          <a:extLst>
            <a:ext uri="{FF2B5EF4-FFF2-40B4-BE49-F238E27FC236}">
              <a16:creationId xmlns:a16="http://schemas.microsoft.com/office/drawing/2014/main" id="{38E37E34-F4B0-4384-B854-33DEEA602E62}"/>
            </a:ext>
          </a:extLst>
        </xdr:cNvPr>
        <xdr:cNvSpPr txBox="1"/>
      </xdr:nvSpPr>
      <xdr:spPr>
        <a:xfrm>
          <a:off x="7377113" y="8039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Uncontrolled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release of impounded water occurs?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62"/>
      <c r="C1" s="62"/>
      <c r="D1" s="62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62"/>
      <c r="C2" s="62"/>
      <c r="D2" s="62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63"/>
      <c r="D3" s="63"/>
      <c r="E3" s="63"/>
      <c r="F3" s="63"/>
      <c r="G3" s="63"/>
      <c r="H3" s="63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23"/>
      <c r="B6" s="34"/>
      <c r="C6" s="34"/>
      <c r="D6" s="34"/>
      <c r="E6" s="34"/>
      <c r="F6" s="34"/>
      <c r="G6" s="34"/>
      <c r="H6" s="34"/>
    </row>
    <row r="7" spans="1:8" x14ac:dyDescent="0.2">
      <c r="A7" s="35" t="s">
        <v>62</v>
      </c>
      <c r="B7" s="34"/>
      <c r="C7" s="34"/>
      <c r="D7" s="34"/>
      <c r="E7" s="34"/>
      <c r="F7" s="34"/>
      <c r="G7" s="34"/>
      <c r="H7" s="34"/>
    </row>
    <row r="8" spans="1:8" x14ac:dyDescent="0.2">
      <c r="A8" s="23" t="s">
        <v>76</v>
      </c>
      <c r="B8" s="34"/>
      <c r="C8" s="34"/>
      <c r="D8" s="34"/>
      <c r="E8" s="34"/>
      <c r="F8" s="34"/>
      <c r="G8" s="34"/>
      <c r="H8" s="34"/>
    </row>
    <row r="9" spans="1:8" x14ac:dyDescent="0.2">
      <c r="A9" s="23" t="s">
        <v>63</v>
      </c>
      <c r="B9" s="34"/>
      <c r="C9" s="34"/>
      <c r="D9" s="34"/>
      <c r="E9" s="34"/>
      <c r="F9" s="34"/>
      <c r="G9" s="34"/>
      <c r="H9" s="34"/>
    </row>
    <row r="10" spans="1:8" x14ac:dyDescent="0.2">
      <c r="A10" s="23" t="s">
        <v>77</v>
      </c>
      <c r="B10" s="34"/>
      <c r="C10" s="34"/>
      <c r="D10" s="34"/>
      <c r="E10" s="34"/>
      <c r="F10" s="34"/>
      <c r="G10" s="34"/>
      <c r="H10" s="34"/>
    </row>
    <row r="11" spans="1:8" x14ac:dyDescent="0.2">
      <c r="A11" s="23" t="s">
        <v>64</v>
      </c>
      <c r="B11" s="34"/>
      <c r="C11" s="34"/>
      <c r="D11" s="34"/>
      <c r="E11" s="34"/>
      <c r="F11" s="34"/>
      <c r="G11" s="34"/>
      <c r="H11" s="34"/>
    </row>
    <row r="12" spans="1:8" x14ac:dyDescent="0.2">
      <c r="A12" s="23"/>
      <c r="B12" s="34"/>
      <c r="C12" s="34"/>
      <c r="D12" s="34"/>
      <c r="E12" s="34"/>
      <c r="F12" s="34"/>
      <c r="G12" s="34"/>
      <c r="H12" s="34"/>
    </row>
    <row r="13" spans="1:8" x14ac:dyDescent="0.2">
      <c r="A13" s="35" t="s">
        <v>54</v>
      </c>
      <c r="B13" s="34"/>
      <c r="C13" s="34"/>
      <c r="D13" s="34"/>
      <c r="E13" s="34"/>
      <c r="F13" s="34"/>
      <c r="G13" s="34"/>
      <c r="H13" s="34"/>
    </row>
    <row r="14" spans="1:8" x14ac:dyDescent="0.2">
      <c r="A14" s="23" t="s">
        <v>55</v>
      </c>
      <c r="B14" s="34"/>
      <c r="C14" s="34"/>
      <c r="D14" s="34"/>
      <c r="E14" s="34"/>
      <c r="F14" s="34"/>
      <c r="G14" s="34"/>
      <c r="H14" s="34"/>
    </row>
    <row r="15" spans="1:8" x14ac:dyDescent="0.2">
      <c r="A15" s="23" t="s">
        <v>56</v>
      </c>
      <c r="B15" s="34"/>
      <c r="C15" s="34"/>
      <c r="D15" s="34"/>
      <c r="E15" s="34"/>
      <c r="F15" s="34"/>
      <c r="G15" s="34"/>
      <c r="H15" s="34"/>
    </row>
    <row r="16" spans="1:8" x14ac:dyDescent="0.2">
      <c r="A16" s="23" t="s">
        <v>57</v>
      </c>
      <c r="B16" s="34"/>
      <c r="C16" s="34"/>
      <c r="D16" s="34"/>
      <c r="E16" s="34"/>
      <c r="F16" s="34"/>
      <c r="G16" s="34"/>
      <c r="H16" s="34"/>
    </row>
    <row r="17" spans="1:9" x14ac:dyDescent="0.2">
      <c r="A17" s="23" t="s">
        <v>81</v>
      </c>
      <c r="B17" s="34"/>
      <c r="C17" s="34"/>
      <c r="D17" s="34"/>
      <c r="E17" s="34"/>
      <c r="F17" s="34"/>
      <c r="G17" s="34"/>
      <c r="H17" s="34"/>
    </row>
    <row r="18" spans="1:9" x14ac:dyDescent="0.2">
      <c r="A18" s="23" t="s">
        <v>58</v>
      </c>
      <c r="B18" s="34"/>
      <c r="C18" s="34"/>
      <c r="D18" s="34"/>
      <c r="E18" s="34"/>
      <c r="F18" s="34"/>
      <c r="G18" s="34"/>
      <c r="H18" s="34"/>
    </row>
    <row r="19" spans="1:9" x14ac:dyDescent="0.2">
      <c r="A19" s="23" t="s">
        <v>59</v>
      </c>
      <c r="B19" s="34"/>
      <c r="C19" s="34"/>
      <c r="D19" s="34"/>
      <c r="E19" s="34"/>
      <c r="F19" s="34"/>
      <c r="G19" s="34"/>
      <c r="H19" s="34"/>
    </row>
    <row r="20" spans="1:9" x14ac:dyDescent="0.2">
      <c r="A20" s="23" t="s">
        <v>79</v>
      </c>
      <c r="B20" s="34"/>
      <c r="C20" s="34"/>
      <c r="D20" s="34"/>
      <c r="E20" s="34"/>
      <c r="F20" s="34"/>
      <c r="G20" s="34"/>
      <c r="H20" s="34"/>
    </row>
    <row r="21" spans="1:9" x14ac:dyDescent="0.2">
      <c r="A21" s="23" t="s">
        <v>80</v>
      </c>
      <c r="B21" s="34"/>
      <c r="C21" s="34"/>
      <c r="D21" s="34"/>
      <c r="E21" s="34"/>
      <c r="F21" s="34"/>
      <c r="G21" s="34"/>
      <c r="H21" s="34"/>
    </row>
    <row r="22" spans="1:9" x14ac:dyDescent="0.2">
      <c r="A22" s="23" t="s">
        <v>60</v>
      </c>
      <c r="B22" s="34"/>
      <c r="C22" s="34"/>
      <c r="D22" s="34"/>
      <c r="E22" s="34"/>
      <c r="F22" s="34"/>
      <c r="G22" s="34"/>
      <c r="H22" s="34"/>
    </row>
    <row r="23" spans="1:9" x14ac:dyDescent="0.2">
      <c r="A23" s="23" t="s">
        <v>61</v>
      </c>
      <c r="B23" s="34"/>
      <c r="C23" s="34"/>
      <c r="D23" s="34"/>
      <c r="E23" s="34"/>
      <c r="F23" s="34"/>
      <c r="G23" s="34"/>
      <c r="H23" s="34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63" t="s">
        <v>28</v>
      </c>
      <c r="E27" s="63"/>
      <c r="F27" s="26" t="s">
        <v>28</v>
      </c>
      <c r="G27" s="63"/>
      <c r="H27" s="63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3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6" t="s">
        <v>78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61" t="s">
        <v>82</v>
      </c>
      <c r="B39" s="61"/>
      <c r="C39" s="61"/>
      <c r="D39" s="61"/>
      <c r="E39" s="61"/>
      <c r="F39" s="61"/>
      <c r="G39" s="61"/>
      <c r="H39" s="61"/>
    </row>
    <row r="40" spans="1:9" ht="8.1" customHeight="1" x14ac:dyDescent="0.2">
      <c r="A40" s="24"/>
      <c r="B40" s="24"/>
      <c r="C40" s="24"/>
      <c r="D40" s="24"/>
      <c r="E40" s="24"/>
      <c r="F40" s="24"/>
      <c r="G40" s="24"/>
      <c r="H40" s="24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61" t="s">
        <v>83</v>
      </c>
      <c r="B42" s="61"/>
      <c r="C42" s="61"/>
      <c r="D42" s="61"/>
      <c r="E42" s="61"/>
      <c r="F42" s="61"/>
      <c r="G42" s="61"/>
      <c r="H42" s="61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61" t="s">
        <v>39</v>
      </c>
      <c r="B45" s="61"/>
      <c r="C45" s="61"/>
      <c r="D45" s="61"/>
      <c r="E45" s="61"/>
      <c r="F45" s="61"/>
      <c r="G45" s="61"/>
      <c r="H45" s="61"/>
      <c r="I45" s="14"/>
    </row>
    <row r="46" spans="1:9" ht="12.75" customHeight="1" x14ac:dyDescent="0.2">
      <c r="A46" s="61"/>
      <c r="B46" s="61"/>
      <c r="C46" s="61"/>
      <c r="D46" s="61"/>
      <c r="E46" s="61"/>
      <c r="F46" s="61"/>
      <c r="G46" s="61"/>
      <c r="H46" s="61"/>
    </row>
    <row r="47" spans="1:9" ht="12.75" customHeight="1" x14ac:dyDescent="0.2">
      <c r="A47" s="61"/>
      <c r="B47" s="61"/>
      <c r="C47" s="61"/>
      <c r="D47" s="61"/>
      <c r="E47" s="61"/>
      <c r="F47" s="61"/>
      <c r="G47" s="61"/>
      <c r="H47" s="61"/>
    </row>
    <row r="48" spans="1:9" ht="12.75" customHeight="1" x14ac:dyDescent="0.2">
      <c r="A48" s="61"/>
      <c r="B48" s="61"/>
      <c r="C48" s="61"/>
      <c r="D48" s="61"/>
      <c r="E48" s="61"/>
      <c r="F48" s="61"/>
      <c r="G48" s="61"/>
      <c r="H48" s="61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61" t="s">
        <v>72</v>
      </c>
      <c r="B53" s="61"/>
      <c r="C53" s="61"/>
      <c r="D53" s="61"/>
      <c r="E53" s="61"/>
      <c r="F53" s="61"/>
      <c r="G53" s="61"/>
      <c r="H53" s="61"/>
    </row>
    <row r="54" spans="1:9" ht="8.1" customHeight="1" x14ac:dyDescent="0.2">
      <c r="A54" s="24"/>
      <c r="B54" s="24"/>
      <c r="C54" s="24"/>
      <c r="D54" s="24"/>
      <c r="E54" s="24"/>
      <c r="F54" s="24"/>
      <c r="G54" s="24"/>
      <c r="H54" s="24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61" t="s">
        <v>84</v>
      </c>
      <c r="B56" s="61"/>
      <c r="C56" s="61"/>
      <c r="D56" s="61"/>
      <c r="E56" s="61"/>
      <c r="F56" s="61"/>
      <c r="G56" s="61"/>
      <c r="H56" s="61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61" t="s">
        <v>40</v>
      </c>
      <c r="B59" s="61"/>
      <c r="C59" s="61"/>
      <c r="D59" s="61"/>
      <c r="E59" s="61"/>
      <c r="F59" s="61"/>
      <c r="G59" s="61"/>
      <c r="H59" s="61"/>
      <c r="I59" s="14"/>
    </row>
    <row r="60" spans="1:9" ht="12.75" customHeight="1" x14ac:dyDescent="0.2">
      <c r="A60" s="61"/>
      <c r="B60" s="61"/>
      <c r="C60" s="61"/>
      <c r="D60" s="61"/>
      <c r="E60" s="61"/>
      <c r="F60" s="61"/>
      <c r="G60" s="61"/>
      <c r="H60" s="61"/>
    </row>
    <row r="61" spans="1:9" ht="12.75" customHeight="1" x14ac:dyDescent="0.2">
      <c r="A61" s="61"/>
      <c r="B61" s="61"/>
      <c r="C61" s="61"/>
      <c r="D61" s="61"/>
      <c r="E61" s="61"/>
      <c r="F61" s="61"/>
      <c r="G61" s="61"/>
      <c r="H61" s="61"/>
    </row>
    <row r="62" spans="1:9" ht="12.75" customHeight="1" x14ac:dyDescent="0.2">
      <c r="A62" s="61"/>
      <c r="B62" s="61"/>
      <c r="C62" s="61"/>
      <c r="D62" s="61"/>
      <c r="E62" s="61"/>
      <c r="F62" s="61"/>
      <c r="G62" s="61"/>
      <c r="H62" s="61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61" t="s">
        <v>74</v>
      </c>
      <c r="B67" s="61"/>
      <c r="C67" s="61"/>
      <c r="D67" s="61"/>
      <c r="E67" s="61"/>
      <c r="F67" s="61"/>
      <c r="G67" s="61"/>
      <c r="H67" s="61"/>
    </row>
    <row r="68" spans="1:9" ht="8.1" customHeight="1" x14ac:dyDescent="0.2">
      <c r="A68" s="24"/>
      <c r="B68" s="24"/>
      <c r="C68" s="24"/>
      <c r="D68" s="24"/>
      <c r="E68" s="24"/>
      <c r="F68" s="24"/>
      <c r="G68" s="24"/>
      <c r="H68" s="24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61" t="s">
        <v>75</v>
      </c>
      <c r="B70" s="61"/>
      <c r="C70" s="61"/>
      <c r="D70" s="61"/>
      <c r="E70" s="61"/>
      <c r="F70" s="61"/>
      <c r="G70" s="61"/>
      <c r="H70" s="61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61" t="s">
        <v>41</v>
      </c>
      <c r="B73" s="61"/>
      <c r="C73" s="61"/>
      <c r="D73" s="61"/>
      <c r="E73" s="61"/>
      <c r="F73" s="61"/>
      <c r="G73" s="61"/>
      <c r="H73" s="61"/>
      <c r="I73" s="14"/>
    </row>
    <row r="74" spans="1:9" ht="12.75" customHeight="1" x14ac:dyDescent="0.2">
      <c r="A74" s="61"/>
      <c r="B74" s="61"/>
      <c r="C74" s="61"/>
      <c r="D74" s="61"/>
      <c r="E74" s="61"/>
      <c r="F74" s="61"/>
      <c r="G74" s="61"/>
      <c r="H74" s="61"/>
    </row>
    <row r="75" spans="1:9" ht="12.75" customHeight="1" x14ac:dyDescent="0.2">
      <c r="A75" s="61"/>
      <c r="B75" s="61"/>
      <c r="C75" s="61"/>
      <c r="D75" s="61"/>
      <c r="E75" s="61"/>
      <c r="F75" s="61"/>
      <c r="G75" s="61"/>
      <c r="H75" s="61"/>
    </row>
    <row r="76" spans="1:9" ht="12.75" customHeight="1" x14ac:dyDescent="0.2">
      <c r="A76" s="61"/>
      <c r="B76" s="61"/>
      <c r="C76" s="61"/>
      <c r="D76" s="61"/>
      <c r="E76" s="61"/>
      <c r="F76" s="61"/>
      <c r="G76" s="61"/>
      <c r="H76" s="61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61" t="s">
        <v>68</v>
      </c>
      <c r="B81" s="61"/>
      <c r="C81" s="61"/>
      <c r="D81" s="61"/>
      <c r="E81" s="61"/>
      <c r="F81" s="61"/>
      <c r="G81" s="61"/>
      <c r="H81" s="61"/>
    </row>
    <row r="82" spans="1:9" ht="8.1" customHeight="1" x14ac:dyDescent="0.2">
      <c r="A82" s="24"/>
      <c r="B82" s="24"/>
      <c r="C82" s="24"/>
      <c r="D82" s="24"/>
      <c r="E82" s="24"/>
      <c r="F82" s="24"/>
      <c r="G82" s="24"/>
      <c r="H82" s="24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61" t="s">
        <v>69</v>
      </c>
      <c r="B84" s="61"/>
      <c r="C84" s="61"/>
      <c r="D84" s="61"/>
      <c r="E84" s="61"/>
      <c r="F84" s="61"/>
      <c r="G84" s="61"/>
      <c r="H84" s="61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61" t="s">
        <v>42</v>
      </c>
      <c r="B87" s="61"/>
      <c r="C87" s="61"/>
      <c r="D87" s="61"/>
      <c r="E87" s="61"/>
      <c r="F87" s="61"/>
      <c r="G87" s="61"/>
      <c r="H87" s="61"/>
      <c r="I87" s="14"/>
    </row>
    <row r="88" spans="1:9" ht="12.75" customHeight="1" x14ac:dyDescent="0.2">
      <c r="A88" s="61"/>
      <c r="B88" s="61"/>
      <c r="C88" s="61"/>
      <c r="D88" s="61"/>
      <c r="E88" s="61"/>
      <c r="F88" s="61"/>
      <c r="G88" s="61"/>
      <c r="H88" s="61"/>
    </row>
    <row r="89" spans="1:9" ht="12.75" customHeight="1" x14ac:dyDescent="0.2">
      <c r="A89" s="61"/>
      <c r="B89" s="61"/>
      <c r="C89" s="61"/>
      <c r="D89" s="61"/>
      <c r="E89" s="61"/>
      <c r="F89" s="61"/>
      <c r="G89" s="61"/>
      <c r="H89" s="61"/>
    </row>
    <row r="90" spans="1:9" ht="12.75" customHeight="1" x14ac:dyDescent="0.2">
      <c r="A90" s="61"/>
      <c r="B90" s="61"/>
      <c r="C90" s="61"/>
      <c r="D90" s="61"/>
      <c r="E90" s="61"/>
      <c r="F90" s="61"/>
      <c r="G90" s="61"/>
      <c r="H90" s="61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61" t="s">
        <v>70</v>
      </c>
      <c r="B95" s="61"/>
      <c r="C95" s="61"/>
      <c r="D95" s="61"/>
      <c r="E95" s="61"/>
      <c r="F95" s="61"/>
      <c r="G95" s="61"/>
      <c r="H95" s="61"/>
    </row>
    <row r="96" spans="1:9" ht="8.1" customHeight="1" x14ac:dyDescent="0.2">
      <c r="A96" s="24"/>
      <c r="B96" s="24"/>
      <c r="C96" s="24"/>
      <c r="D96" s="24"/>
      <c r="E96" s="24"/>
      <c r="F96" s="24"/>
      <c r="G96" s="24"/>
      <c r="H96" s="24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61" t="s">
        <v>71</v>
      </c>
      <c r="B98" s="61"/>
      <c r="C98" s="61"/>
      <c r="D98" s="61"/>
      <c r="E98" s="61"/>
      <c r="F98" s="61"/>
      <c r="G98" s="61"/>
      <c r="H98" s="61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61" t="s">
        <v>43</v>
      </c>
      <c r="B101" s="61"/>
      <c r="C101" s="61"/>
      <c r="D101" s="61"/>
      <c r="E101" s="61"/>
      <c r="F101" s="61"/>
      <c r="G101" s="61"/>
      <c r="H101" s="61"/>
      <c r="I101" s="14"/>
    </row>
    <row r="102" spans="1:9" ht="12.75" customHeight="1" x14ac:dyDescent="0.2">
      <c r="A102" s="61"/>
      <c r="B102" s="61"/>
      <c r="C102" s="61"/>
      <c r="D102" s="61"/>
      <c r="E102" s="61"/>
      <c r="F102" s="61"/>
      <c r="G102" s="61"/>
      <c r="H102" s="61"/>
    </row>
    <row r="103" spans="1:9" ht="12.75" customHeight="1" x14ac:dyDescent="0.2">
      <c r="A103" s="61"/>
      <c r="B103" s="61"/>
      <c r="C103" s="61"/>
      <c r="D103" s="61"/>
      <c r="E103" s="61"/>
      <c r="F103" s="61"/>
      <c r="G103" s="61"/>
      <c r="H103" s="61"/>
    </row>
    <row r="104" spans="1:9" ht="12.75" customHeight="1" x14ac:dyDescent="0.2">
      <c r="A104" s="61"/>
      <c r="B104" s="61"/>
      <c r="C104" s="61"/>
      <c r="D104" s="61"/>
      <c r="E104" s="61"/>
      <c r="F104" s="61"/>
      <c r="G104" s="61"/>
      <c r="H104" s="61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61" t="s">
        <v>72</v>
      </c>
      <c r="B109" s="61"/>
      <c r="C109" s="61"/>
      <c r="D109" s="61"/>
      <c r="E109" s="61"/>
      <c r="F109" s="61"/>
      <c r="G109" s="61"/>
      <c r="H109" s="61"/>
    </row>
    <row r="110" spans="1:9" ht="8.1" customHeight="1" x14ac:dyDescent="0.2">
      <c r="A110" s="24"/>
      <c r="B110" s="24"/>
      <c r="C110" s="24"/>
      <c r="D110" s="24"/>
      <c r="E110" s="24"/>
      <c r="F110" s="24"/>
      <c r="G110" s="24"/>
      <c r="H110" s="24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61" t="s">
        <v>73</v>
      </c>
      <c r="B112" s="61"/>
      <c r="C112" s="61"/>
      <c r="D112" s="61"/>
      <c r="E112" s="61"/>
      <c r="F112" s="61"/>
      <c r="G112" s="61"/>
      <c r="H112" s="61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61" t="s">
        <v>44</v>
      </c>
      <c r="B115" s="61"/>
      <c r="C115" s="61"/>
      <c r="D115" s="61"/>
      <c r="E115" s="61"/>
      <c r="F115" s="61"/>
      <c r="G115" s="61"/>
      <c r="H115" s="61"/>
      <c r="I115" s="14"/>
    </row>
    <row r="116" spans="1:9" ht="12.75" customHeight="1" x14ac:dyDescent="0.2">
      <c r="A116" s="61"/>
      <c r="B116" s="61"/>
      <c r="C116" s="61"/>
      <c r="D116" s="61"/>
      <c r="E116" s="61"/>
      <c r="F116" s="61"/>
      <c r="G116" s="61"/>
      <c r="H116" s="61"/>
    </row>
    <row r="117" spans="1:9" ht="12.75" customHeight="1" x14ac:dyDescent="0.2">
      <c r="A117" s="61"/>
      <c r="B117" s="61"/>
      <c r="C117" s="61"/>
      <c r="D117" s="61"/>
      <c r="E117" s="61"/>
      <c r="F117" s="61"/>
      <c r="G117" s="61"/>
      <c r="H117" s="61"/>
    </row>
    <row r="118" spans="1:9" ht="12.75" customHeight="1" x14ac:dyDescent="0.2">
      <c r="A118" s="61"/>
      <c r="B118" s="61"/>
      <c r="C118" s="61"/>
      <c r="D118" s="61"/>
      <c r="E118" s="61"/>
      <c r="F118" s="61"/>
      <c r="G118" s="61"/>
      <c r="H118" s="61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61" t="s">
        <v>74</v>
      </c>
      <c r="B123" s="61"/>
      <c r="C123" s="61"/>
      <c r="D123" s="61"/>
      <c r="E123" s="61"/>
      <c r="F123" s="61"/>
      <c r="G123" s="61"/>
      <c r="H123" s="61"/>
    </row>
    <row r="124" spans="1:9" ht="8.1" customHeight="1" x14ac:dyDescent="0.2">
      <c r="A124" s="24"/>
      <c r="B124" s="24"/>
      <c r="C124" s="24"/>
      <c r="D124" s="24"/>
      <c r="E124" s="24"/>
      <c r="F124" s="24"/>
      <c r="G124" s="24"/>
      <c r="H124" s="24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61" t="s">
        <v>75</v>
      </c>
      <c r="B126" s="61"/>
      <c r="C126" s="61"/>
      <c r="D126" s="61"/>
      <c r="E126" s="61"/>
      <c r="F126" s="61"/>
      <c r="G126" s="61"/>
      <c r="H126" s="61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61" t="s">
        <v>45</v>
      </c>
      <c r="B129" s="61"/>
      <c r="C129" s="61"/>
      <c r="D129" s="61"/>
      <c r="E129" s="61"/>
      <c r="F129" s="61"/>
      <c r="G129" s="61"/>
      <c r="H129" s="61"/>
      <c r="I129" s="14"/>
      <c r="O129" s="31"/>
    </row>
    <row r="130" spans="1:15" ht="12.75" customHeight="1" x14ac:dyDescent="0.2">
      <c r="A130" s="61"/>
      <c r="B130" s="61"/>
      <c r="C130" s="61"/>
      <c r="D130" s="61"/>
      <c r="E130" s="61"/>
      <c r="F130" s="61"/>
      <c r="G130" s="61"/>
      <c r="H130" s="61"/>
    </row>
    <row r="131" spans="1:15" ht="12.75" customHeight="1" x14ac:dyDescent="0.2">
      <c r="A131" s="61"/>
      <c r="B131" s="61"/>
      <c r="C131" s="61"/>
      <c r="D131" s="61"/>
      <c r="E131" s="61"/>
      <c r="F131" s="61"/>
      <c r="G131" s="61"/>
      <c r="H131" s="61"/>
    </row>
    <row r="132" spans="1:15" ht="12.75" customHeight="1" x14ac:dyDescent="0.2">
      <c r="A132" s="61"/>
      <c r="B132" s="61"/>
      <c r="C132" s="61"/>
      <c r="D132" s="61"/>
      <c r="E132" s="61"/>
      <c r="F132" s="61"/>
      <c r="G132" s="61"/>
      <c r="H132" s="61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61" t="s">
        <v>51</v>
      </c>
      <c r="B137" s="61"/>
      <c r="C137" s="61"/>
      <c r="D137" s="61"/>
      <c r="E137" s="61"/>
      <c r="F137" s="61"/>
      <c r="G137" s="61"/>
      <c r="H137" s="61"/>
    </row>
    <row r="138" spans="1:15" ht="8.1" customHeight="1" x14ac:dyDescent="0.2">
      <c r="A138" s="24"/>
      <c r="B138" s="24"/>
      <c r="C138" s="24"/>
      <c r="D138" s="24"/>
      <c r="E138" s="24"/>
      <c r="F138" s="24"/>
      <c r="G138" s="24"/>
      <c r="H138" s="24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61" t="s">
        <v>52</v>
      </c>
      <c r="B140" s="61"/>
      <c r="C140" s="61"/>
      <c r="D140" s="61"/>
      <c r="E140" s="61"/>
      <c r="F140" s="61"/>
      <c r="G140" s="61"/>
      <c r="H140" s="61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61" t="s">
        <v>46</v>
      </c>
      <c r="B143" s="61"/>
      <c r="C143" s="61"/>
      <c r="D143" s="61"/>
      <c r="E143" s="61"/>
      <c r="F143" s="61"/>
      <c r="G143" s="61"/>
      <c r="H143" s="61"/>
      <c r="I143" s="14"/>
    </row>
    <row r="144" spans="1:15" ht="12.75" customHeight="1" x14ac:dyDescent="0.2">
      <c r="A144" s="61"/>
      <c r="B144" s="61"/>
      <c r="C144" s="61"/>
      <c r="D144" s="61"/>
      <c r="E144" s="61"/>
      <c r="F144" s="61"/>
      <c r="G144" s="61"/>
      <c r="H144" s="61"/>
    </row>
    <row r="145" spans="1:9" ht="12.75" customHeight="1" x14ac:dyDescent="0.2">
      <c r="A145" s="61"/>
      <c r="B145" s="61"/>
      <c r="C145" s="61"/>
      <c r="D145" s="61"/>
      <c r="E145" s="61"/>
      <c r="F145" s="61"/>
      <c r="G145" s="61"/>
      <c r="H145" s="61"/>
    </row>
    <row r="146" spans="1:9" ht="12.75" customHeight="1" x14ac:dyDescent="0.2">
      <c r="A146" s="61"/>
      <c r="B146" s="61"/>
      <c r="C146" s="61"/>
      <c r="D146" s="61"/>
      <c r="E146" s="61"/>
      <c r="F146" s="61"/>
      <c r="G146" s="61"/>
      <c r="H146" s="61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61" t="s">
        <v>36</v>
      </c>
      <c r="B151" s="61"/>
      <c r="C151" s="61"/>
      <c r="D151" s="61"/>
      <c r="E151" s="61"/>
      <c r="F151" s="61"/>
      <c r="G151" s="61"/>
      <c r="H151" s="61"/>
    </row>
    <row r="152" spans="1:9" ht="8.1" customHeight="1" x14ac:dyDescent="0.2">
      <c r="A152" s="24"/>
      <c r="B152" s="24"/>
      <c r="C152" s="24"/>
      <c r="D152" s="24"/>
      <c r="E152" s="24"/>
      <c r="F152" s="24"/>
      <c r="G152" s="24"/>
      <c r="H152" s="24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61" t="s">
        <v>53</v>
      </c>
      <c r="B154" s="61"/>
      <c r="C154" s="61"/>
      <c r="D154" s="61"/>
      <c r="E154" s="61"/>
      <c r="F154" s="61"/>
      <c r="G154" s="61"/>
      <c r="H154" s="61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61" t="s">
        <v>47</v>
      </c>
      <c r="B157" s="61"/>
      <c r="C157" s="61"/>
      <c r="D157" s="61"/>
      <c r="E157" s="61"/>
      <c r="F157" s="61"/>
      <c r="G157" s="61"/>
      <c r="H157" s="61"/>
      <c r="I157" s="14"/>
    </row>
    <row r="158" spans="1:9" ht="12.75" customHeight="1" x14ac:dyDescent="0.2">
      <c r="A158" s="61"/>
      <c r="B158" s="61"/>
      <c r="C158" s="61"/>
      <c r="D158" s="61"/>
      <c r="E158" s="61"/>
      <c r="F158" s="61"/>
      <c r="G158" s="61"/>
      <c r="H158" s="61"/>
    </row>
    <row r="159" spans="1:9" ht="12.75" customHeight="1" x14ac:dyDescent="0.2">
      <c r="A159" s="61"/>
      <c r="B159" s="61"/>
      <c r="C159" s="61"/>
      <c r="D159" s="61"/>
      <c r="E159" s="61"/>
      <c r="F159" s="61"/>
      <c r="G159" s="61"/>
      <c r="H159" s="61"/>
    </row>
    <row r="160" spans="1:9" ht="12.75" customHeight="1" x14ac:dyDescent="0.2">
      <c r="A160" s="61"/>
      <c r="B160" s="61"/>
      <c r="C160" s="61"/>
      <c r="D160" s="61"/>
      <c r="E160" s="61"/>
      <c r="F160" s="61"/>
      <c r="G160" s="61"/>
      <c r="H160" s="61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67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64" t="s">
        <v>17</v>
      </c>
      <c r="B174" s="15" t="s">
        <v>23</v>
      </c>
      <c r="C174" s="15" t="s">
        <v>24</v>
      </c>
    </row>
    <row r="175" spans="1:8" x14ac:dyDescent="0.2">
      <c r="A175" s="64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Triangle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/>
      </c>
      <c r="C179" s="15" t="str">
        <f t="shared" si="0"/>
        <v/>
      </c>
      <c r="D179" s="15"/>
      <c r="E179" s="15"/>
    </row>
    <row r="180" spans="1:5" x14ac:dyDescent="0.2">
      <c r="A180" s="15">
        <v>5</v>
      </c>
      <c r="B180" s="15" t="str">
        <f t="shared" si="1"/>
        <v/>
      </c>
      <c r="C180" s="15" t="str">
        <f t="shared" si="0"/>
        <v/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3:H76"/>
    <mergeCell ref="A84:H84"/>
    <mergeCell ref="A87:H90"/>
    <mergeCell ref="A98:H98"/>
    <mergeCell ref="A101:H104"/>
    <mergeCell ref="A81:H81"/>
    <mergeCell ref="A95:H95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</mergeCells>
  <conditionalFormatting sqref="F27:H27">
    <cfRule type="expression" dxfId="25" priority="67">
      <formula>$D$27="Seismic Hazard"</formula>
    </cfRule>
    <cfRule type="expression" dxfId="24" priority="68">
      <formula>$D$27="Flood Loading"</formula>
    </cfRule>
  </conditionalFormatting>
  <conditionalFormatting sqref="A50:H63">
    <cfRule type="expression" dxfId="23" priority="16" stopIfTrue="1">
      <formula>$D$29&lt;2</formula>
    </cfRule>
  </conditionalFormatting>
  <conditionalFormatting sqref="A128:H132 A156:H160 A58:H62 A72:H76 A86:H90 A100:H104 A114:H118 A142:H146 A44:H48">
    <cfRule type="expression" dxfId="22" priority="2" stopIfTrue="1">
      <formula>$D$32="No"</formula>
    </cfRule>
  </conditionalFormatting>
  <conditionalFormatting sqref="A64:H77">
    <cfRule type="expression" dxfId="21" priority="14" stopIfTrue="1">
      <formula>$D$29&lt;3</formula>
    </cfRule>
  </conditionalFormatting>
  <conditionalFormatting sqref="A78:H91">
    <cfRule type="expression" dxfId="20" priority="12" stopIfTrue="1">
      <formula>$D$29&lt;4</formula>
    </cfRule>
  </conditionalFormatting>
  <conditionalFormatting sqref="A92:H105">
    <cfRule type="expression" dxfId="19" priority="9" stopIfTrue="1">
      <formula>$D$29&lt;5</formula>
    </cfRule>
  </conditionalFormatting>
  <conditionalFormatting sqref="A106:H119">
    <cfRule type="expression" dxfId="18" priority="7" stopIfTrue="1">
      <formula>$D$29&lt;6</formula>
    </cfRule>
  </conditionalFormatting>
  <conditionalFormatting sqref="A120:H133">
    <cfRule type="expression" dxfId="17" priority="8" stopIfTrue="1">
      <formula>$D$29&lt;7</formula>
    </cfRule>
  </conditionalFormatting>
  <conditionalFormatting sqref="A134:H147">
    <cfRule type="expression" dxfId="16" priority="3" stopIfTrue="1">
      <formula>$D$29&lt;8</formula>
    </cfRule>
  </conditionalFormatting>
  <conditionalFormatting sqref="A148:H161">
    <cfRule type="expression" dxfId="15" priority="1" stopIfTrue="1">
      <formula>$D$29&lt;9</formula>
    </cfRule>
  </conditionalFormatting>
  <conditionalFormatting sqref="A38:H39 A52:H53 A66:H67 A80:H81 A94:H95 A108:H109 A122:H123 A136:H137 A150:H151">
    <cfRule type="expression" dxfId="14" priority="22">
      <formula>$D$31="No"</formula>
    </cfRule>
  </conditionalFormatting>
  <conditionalFormatting sqref="A45:H48">
    <cfRule type="expression" dxfId="13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68" t="s">
        <v>8</v>
      </c>
      <c r="B1" s="68"/>
      <c r="C1" s="68"/>
      <c r="D1" s="68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0" t="s">
        <v>9</v>
      </c>
      <c r="AG1" s="70"/>
      <c r="AH1" s="70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0" t="s">
        <v>10</v>
      </c>
      <c r="BE1" s="70"/>
      <c r="BF1" s="74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</row>
    <row r="2" spans="1:80" ht="15" customHeight="1" x14ac:dyDescent="0.2">
      <c r="A2" s="68" t="s">
        <v>11</v>
      </c>
      <c r="B2" s="68"/>
      <c r="C2" s="68"/>
      <c r="D2" s="68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0" t="s">
        <v>9</v>
      </c>
      <c r="AG2" s="70"/>
      <c r="AH2" s="70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0" t="s">
        <v>10</v>
      </c>
      <c r="BE2" s="70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</row>
    <row r="3" spans="1:80" ht="15" customHeight="1" x14ac:dyDescent="0.2">
      <c r="A3" s="69" t="s">
        <v>12</v>
      </c>
      <c r="B3" s="69"/>
      <c r="C3" s="69"/>
      <c r="D3" s="69"/>
      <c r="E3" s="69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66" t="s">
        <v>25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</row>
    <row r="6" spans="1:80" ht="15" customHeight="1" x14ac:dyDescent="0.2">
      <c r="A6" s="10"/>
      <c r="B6" s="10"/>
      <c r="C6" s="10"/>
      <c r="D6" s="10"/>
      <c r="E6" s="10"/>
      <c r="F6" s="10"/>
      <c r="G6" s="10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A7" s="10"/>
      <c r="B7" s="10"/>
      <c r="C7" s="10"/>
      <c r="D7" s="10"/>
      <c r="E7" s="10"/>
      <c r="F7" s="10"/>
      <c r="G7" s="10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23"/>
      <c r="AK7" s="23"/>
      <c r="AL7" s="23"/>
      <c r="AM7" s="23"/>
      <c r="AN7" s="23"/>
      <c r="AO7" s="23"/>
      <c r="AP7" s="23"/>
      <c r="AQ7" s="10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6"/>
      <c r="CB7" s="14" t="s">
        <v>48</v>
      </c>
    </row>
    <row r="8" spans="1:80" ht="15" customHeight="1" x14ac:dyDescent="0.2">
      <c r="A8" s="10"/>
      <c r="B8" s="10"/>
      <c r="C8" s="10"/>
      <c r="D8" s="10"/>
      <c r="E8" s="10"/>
      <c r="F8" s="10"/>
      <c r="G8" s="10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23"/>
      <c r="AK8" s="23"/>
      <c r="AL8" s="23"/>
      <c r="AM8" s="23"/>
      <c r="AN8" s="23"/>
      <c r="AO8" s="23"/>
      <c r="AP8" s="23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6"/>
    </row>
    <row r="9" spans="1:80" ht="15" customHeight="1" x14ac:dyDescent="0.2">
      <c r="A9" s="10"/>
      <c r="B9" s="10"/>
      <c r="C9" s="10"/>
      <c r="D9" s="10"/>
      <c r="E9" s="10"/>
      <c r="F9" s="10"/>
      <c r="G9" s="10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23"/>
      <c r="AK9" s="23"/>
      <c r="AL9" s="23"/>
      <c r="AM9" s="23"/>
      <c r="AN9" s="23"/>
      <c r="AO9" s="23"/>
      <c r="AP9" s="23"/>
      <c r="AQ9" s="10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25"/>
      <c r="BU9" s="25"/>
      <c r="BV9" s="25"/>
      <c r="BW9" s="25"/>
      <c r="BX9" s="25"/>
      <c r="BY9" s="25"/>
      <c r="BZ9" s="25"/>
      <c r="CA9" s="16"/>
      <c r="CB9" s="14" t="s">
        <v>66</v>
      </c>
    </row>
    <row r="10" spans="1:80" ht="15" customHeight="1" x14ac:dyDescent="0.2">
      <c r="A10" s="10"/>
      <c r="B10" s="10"/>
      <c r="C10" s="10"/>
      <c r="D10" s="10"/>
      <c r="E10" s="10"/>
      <c r="F10" s="10"/>
      <c r="G10" s="10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23"/>
      <c r="AK10" s="23"/>
      <c r="AL10" s="23"/>
      <c r="AM10" s="23"/>
      <c r="AN10" s="23"/>
      <c r="AO10" s="23"/>
      <c r="AP10" s="23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25"/>
      <c r="BU10" s="25"/>
      <c r="BV10" s="25"/>
      <c r="BW10" s="25"/>
      <c r="BX10" s="25"/>
      <c r="BY10" s="25"/>
      <c r="BZ10" s="25"/>
      <c r="CA10" s="16"/>
    </row>
    <row r="11" spans="1:80" ht="15" customHeight="1" x14ac:dyDescent="0.2">
      <c r="A11" s="10"/>
      <c r="B11" s="10"/>
      <c r="C11" s="10"/>
      <c r="D11" s="10"/>
      <c r="E11" s="10"/>
      <c r="F11" s="10"/>
      <c r="G11" s="10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23"/>
      <c r="AK11" s="23"/>
      <c r="AL11" s="23"/>
      <c r="AM11" s="23"/>
      <c r="AN11" s="23"/>
      <c r="AO11" s="23"/>
      <c r="AP11" s="23"/>
      <c r="AQ11" s="10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23"/>
      <c r="BF11" s="23"/>
      <c r="BG11" s="23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6"/>
      <c r="CA11" s="16"/>
      <c r="CB11" s="14" t="s">
        <v>65</v>
      </c>
    </row>
    <row r="12" spans="1:80" ht="15" customHeight="1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25"/>
      <c r="BN12" s="25"/>
      <c r="BO12" s="25"/>
      <c r="BP12" s="25"/>
      <c r="BQ12" s="25"/>
      <c r="BR12" s="25"/>
      <c r="BS12" s="25"/>
      <c r="BT12" s="10"/>
      <c r="BU12" s="10"/>
      <c r="BV12" s="10"/>
      <c r="BW12" s="10"/>
      <c r="BX12" s="10"/>
      <c r="BY12" s="10"/>
      <c r="BZ12" s="10"/>
      <c r="CA12" s="10"/>
    </row>
    <row r="13" spans="1:80" ht="15" customHeight="1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8"/>
      <c r="M13" s="18"/>
      <c r="N13" s="18"/>
      <c r="O13" s="18"/>
      <c r="P13" s="10"/>
      <c r="Q13" s="10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25"/>
      <c r="BN13" s="25"/>
      <c r="BO13" s="25"/>
      <c r="BP13" s="25"/>
      <c r="BQ13" s="25"/>
      <c r="BR13" s="25"/>
      <c r="BS13" s="25"/>
      <c r="BT13" s="19"/>
      <c r="BU13" s="28"/>
      <c r="BV13" s="28"/>
      <c r="BW13" s="28"/>
      <c r="BX13" s="28"/>
      <c r="BY13" s="28"/>
      <c r="BZ13" s="28"/>
      <c r="CA13" s="10"/>
    </row>
    <row r="14" spans="1:80" ht="15" customHeight="1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0"/>
      <c r="BT14" s="20"/>
      <c r="BU14" s="29"/>
      <c r="BV14" s="29"/>
      <c r="BW14" s="29"/>
      <c r="BX14" s="29"/>
      <c r="BY14" s="29"/>
      <c r="BZ14" s="29"/>
      <c r="CA14" s="10"/>
    </row>
    <row r="15" spans="1:80" ht="15" customHeight="1" x14ac:dyDescent="0.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25"/>
      <c r="BG15" s="25"/>
      <c r="BH15" s="25"/>
      <c r="BI15" s="25"/>
      <c r="BJ15" s="25"/>
      <c r="BK15" s="25"/>
      <c r="BL15" s="25"/>
      <c r="BM15" s="10"/>
      <c r="BN15" s="10"/>
      <c r="BO15" s="10"/>
      <c r="BP15" s="10"/>
      <c r="BQ15" s="10"/>
      <c r="BR15" s="10"/>
      <c r="BS15" s="10"/>
      <c r="BT15" s="20"/>
      <c r="BU15" s="29"/>
      <c r="BV15" s="29"/>
      <c r="BW15" s="29"/>
      <c r="BX15" s="29"/>
      <c r="BY15" s="29"/>
      <c r="BZ15" s="29"/>
      <c r="CA15" s="10"/>
    </row>
    <row r="16" spans="1:80" ht="15" customHeight="1" x14ac:dyDescent="0.2">
      <c r="A16" s="10"/>
      <c r="B16" s="10"/>
      <c r="J16" s="32"/>
      <c r="K16" s="32"/>
      <c r="L16" s="32"/>
      <c r="M16" s="32"/>
      <c r="N16" s="32"/>
      <c r="O16" s="32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40"/>
      <c r="AR16" s="40"/>
      <c r="AS16" s="40"/>
      <c r="AT16" s="40"/>
      <c r="AU16" s="40"/>
      <c r="AV16" s="40"/>
      <c r="AW16" s="40"/>
      <c r="AY16" s="40"/>
      <c r="AZ16" s="40"/>
      <c r="BA16" s="40"/>
      <c r="BB16" s="40"/>
      <c r="BC16" s="40"/>
      <c r="BD16" s="40"/>
      <c r="BE16" s="40"/>
      <c r="BF16" s="41"/>
      <c r="BG16" s="41"/>
      <c r="BH16" s="41"/>
      <c r="BI16" s="41"/>
      <c r="BJ16" s="41"/>
      <c r="BK16" s="41"/>
      <c r="BL16" s="41"/>
      <c r="BM16" s="42"/>
      <c r="BN16" s="28"/>
      <c r="BO16" s="28"/>
      <c r="BP16" s="28"/>
      <c r="BQ16" s="28"/>
      <c r="BR16" s="28"/>
      <c r="BS16" s="28"/>
      <c r="BT16" s="20"/>
      <c r="BU16" s="29"/>
      <c r="BV16" s="29"/>
      <c r="BW16" s="29"/>
      <c r="BX16" s="29"/>
      <c r="BY16" s="29"/>
      <c r="BZ16" s="29"/>
      <c r="CA16" s="10"/>
    </row>
    <row r="17" spans="1:79" ht="15" customHeight="1" x14ac:dyDescent="0.2">
      <c r="A17" s="10"/>
      <c r="B17" s="10"/>
      <c r="J17" s="32"/>
      <c r="K17" s="32"/>
      <c r="L17" s="32"/>
      <c r="M17" s="32"/>
      <c r="N17" s="32"/>
      <c r="O17" s="32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M17" s="43"/>
      <c r="BN17" s="29"/>
      <c r="BO17" s="29"/>
      <c r="BP17" s="29"/>
      <c r="BQ17" s="29"/>
      <c r="BR17" s="29"/>
      <c r="BS17" s="29"/>
      <c r="BT17" s="20"/>
      <c r="BU17" s="29"/>
      <c r="BV17" s="29"/>
      <c r="BW17" s="29"/>
      <c r="BX17" s="29"/>
      <c r="BY17" s="29"/>
      <c r="BZ17" s="29"/>
      <c r="CA17" s="10"/>
    </row>
    <row r="18" spans="1:79" ht="15" customHeight="1" x14ac:dyDescent="0.2">
      <c r="A18" s="10"/>
      <c r="B18" s="10"/>
      <c r="J18" s="32"/>
      <c r="K18" s="32"/>
      <c r="L18" s="32"/>
      <c r="M18" s="32"/>
      <c r="N18" s="32"/>
      <c r="O18" s="32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M18" s="43"/>
      <c r="BN18" s="29"/>
      <c r="BO18" s="29"/>
      <c r="BP18" s="29"/>
      <c r="BQ18" s="29"/>
      <c r="BR18" s="29"/>
      <c r="BS18" s="29"/>
      <c r="BT18" s="22"/>
      <c r="BU18" s="30"/>
      <c r="BV18" s="30"/>
      <c r="BW18" s="30"/>
      <c r="BX18" s="30"/>
      <c r="BY18" s="30"/>
      <c r="BZ18" s="30"/>
      <c r="CA18" s="10"/>
    </row>
    <row r="19" spans="1:79" ht="15" customHeight="1" x14ac:dyDescent="0.2">
      <c r="A19" s="10"/>
      <c r="B19" s="10"/>
      <c r="J19" s="32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2"/>
      <c r="BG19" s="44"/>
      <c r="BH19" s="44"/>
      <c r="BI19" s="44"/>
      <c r="BJ19" s="44"/>
      <c r="BK19" s="44"/>
      <c r="BL19" s="44"/>
      <c r="BM19" s="43"/>
      <c r="BN19" s="29"/>
      <c r="BO19" s="29"/>
      <c r="BP19" s="29"/>
      <c r="BQ19" s="29"/>
      <c r="BR19" s="29"/>
      <c r="BS19" s="29"/>
      <c r="BT19" s="10"/>
      <c r="BU19" s="10"/>
      <c r="BV19" s="10"/>
      <c r="BW19" s="10"/>
      <c r="BX19" s="10"/>
      <c r="BY19" s="10"/>
      <c r="BZ19" s="10"/>
      <c r="CA19" s="10"/>
    </row>
    <row r="20" spans="1:79" ht="15" customHeight="1" x14ac:dyDescent="0.2">
      <c r="A20" s="10"/>
      <c r="B20" s="10"/>
      <c r="J20" s="32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45"/>
      <c r="AL20" s="45"/>
      <c r="AM20" s="45"/>
      <c r="AN20" s="45"/>
      <c r="AO20" s="45"/>
      <c r="AP20" s="45"/>
      <c r="AQ20" s="45"/>
      <c r="AS20" s="45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F20" s="43"/>
      <c r="BG20" s="45"/>
      <c r="BH20" s="45"/>
      <c r="BI20" s="45"/>
      <c r="BJ20" s="45"/>
      <c r="BK20" s="45"/>
      <c r="BL20" s="45"/>
      <c r="BM20" s="43"/>
      <c r="BN20" s="29"/>
      <c r="BO20" s="29"/>
      <c r="BP20" s="29"/>
      <c r="BQ20" s="29"/>
      <c r="BR20" s="29"/>
      <c r="BS20" s="29"/>
      <c r="BT20" s="10"/>
      <c r="BU20" s="10"/>
      <c r="BV20" s="10"/>
      <c r="BW20" s="10"/>
      <c r="BX20" s="10"/>
      <c r="BY20" s="10"/>
      <c r="BZ20" s="10"/>
      <c r="CA20" s="10"/>
    </row>
    <row r="21" spans="1:79" ht="15" customHeight="1" x14ac:dyDescent="0.2">
      <c r="A21" s="10"/>
      <c r="B21" s="10"/>
      <c r="J21" s="32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K21" s="45"/>
      <c r="AL21" s="45"/>
      <c r="AM21" s="45"/>
      <c r="AN21" s="45"/>
      <c r="AO21" s="45"/>
      <c r="AP21" s="45"/>
      <c r="AQ21" s="45"/>
      <c r="AR21" s="42"/>
      <c r="AS21" s="39"/>
      <c r="AT21" s="45"/>
      <c r="AU21" s="45"/>
      <c r="AV21" s="45"/>
      <c r="AW21" s="45"/>
      <c r="AX21" s="45"/>
      <c r="BF21" s="43"/>
      <c r="BG21" s="45"/>
      <c r="BH21" s="45"/>
      <c r="BI21" s="45"/>
      <c r="BJ21" s="45"/>
      <c r="BK21" s="45"/>
      <c r="BL21" s="45"/>
      <c r="BM21" s="46"/>
      <c r="BN21" s="30"/>
      <c r="BO21" s="30"/>
      <c r="BP21" s="30"/>
      <c r="BQ21" s="30"/>
      <c r="BR21" s="30"/>
      <c r="BS21" s="30"/>
      <c r="BT21" s="10"/>
      <c r="BU21" s="10"/>
      <c r="BV21" s="10"/>
      <c r="BW21" s="10"/>
      <c r="BX21" s="10"/>
      <c r="BY21" s="10"/>
      <c r="BZ21" s="10"/>
      <c r="CA21" s="10"/>
    </row>
    <row r="22" spans="1:79" ht="15" customHeight="1" x14ac:dyDescent="0.2">
      <c r="A22" s="10"/>
      <c r="B22" s="10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T22" s="45"/>
      <c r="AU22" s="45"/>
      <c r="AV22" s="45"/>
      <c r="AW22" s="45"/>
      <c r="AX22" s="45"/>
      <c r="AY22" s="42"/>
      <c r="AZ22" s="44"/>
      <c r="BA22" s="44"/>
      <c r="BB22" s="44"/>
      <c r="BC22" s="44"/>
      <c r="BD22" s="44"/>
      <c r="BE22" s="44"/>
      <c r="BF22" s="43"/>
      <c r="BG22" s="45"/>
      <c r="BH22" s="45"/>
      <c r="BI22" s="45"/>
      <c r="BJ22" s="45"/>
      <c r="BK22" s="45"/>
      <c r="BL22" s="45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</row>
    <row r="23" spans="1:79" ht="15" customHeight="1" x14ac:dyDescent="0.2">
      <c r="A23" s="10"/>
      <c r="B23" s="10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45"/>
      <c r="AE23" s="45"/>
      <c r="AF23" s="45"/>
      <c r="AG23" s="45"/>
      <c r="AH23" s="45"/>
      <c r="AI23" s="45"/>
      <c r="AJ23" s="45"/>
      <c r="AN23" s="45"/>
      <c r="AO23" s="45"/>
      <c r="AP23" s="45"/>
      <c r="AQ23" s="45"/>
      <c r="AS23" s="44"/>
      <c r="AT23" s="39"/>
      <c r="AU23" s="39"/>
      <c r="AY23" s="43"/>
      <c r="AZ23" s="45"/>
      <c r="BA23" s="45"/>
      <c r="BB23" s="45"/>
      <c r="BC23" s="45"/>
      <c r="BD23" s="45"/>
      <c r="BE23" s="45"/>
      <c r="BF23" s="43"/>
      <c r="BG23" s="45"/>
      <c r="BH23" s="45"/>
      <c r="BI23" s="45"/>
      <c r="BJ23" s="45"/>
      <c r="BK23" s="45"/>
      <c r="BL23" s="45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</row>
    <row r="24" spans="1:79" ht="15" customHeight="1" x14ac:dyDescent="0.2">
      <c r="A24" s="10"/>
      <c r="B24" s="10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45"/>
      <c r="AE24" s="45"/>
      <c r="AF24" s="45"/>
      <c r="AG24" s="45"/>
      <c r="AH24" s="45"/>
      <c r="AI24" s="45"/>
      <c r="AJ24" s="45"/>
      <c r="AK24" s="42"/>
      <c r="AL24" s="44"/>
      <c r="AM24" s="44"/>
      <c r="AN24" s="44"/>
      <c r="AO24" s="44"/>
      <c r="AP24" s="44"/>
      <c r="AQ24" s="58"/>
      <c r="AR24" s="43"/>
      <c r="AS24" s="45"/>
      <c r="AY24" s="43"/>
      <c r="AZ24" s="45"/>
      <c r="BA24" s="45"/>
      <c r="BB24" s="45"/>
      <c r="BC24" s="45"/>
      <c r="BD24" s="45"/>
      <c r="BE24" s="45"/>
      <c r="BF24" s="46"/>
      <c r="BG24" s="47"/>
      <c r="BH24" s="47"/>
      <c r="BI24" s="47"/>
      <c r="BJ24" s="47"/>
      <c r="BK24" s="47"/>
      <c r="BL24" s="47"/>
      <c r="BN24" s="10"/>
      <c r="BO24" s="10"/>
      <c r="BP24" s="10"/>
      <c r="BQ24" s="10"/>
      <c r="BR24" s="21"/>
      <c r="BS24" s="21"/>
      <c r="BT24" s="21"/>
      <c r="BU24" s="21"/>
      <c r="BV24" s="21"/>
      <c r="BW24" s="21"/>
      <c r="BX24" s="21"/>
      <c r="BY24" s="21"/>
      <c r="BZ24" s="21"/>
      <c r="CA24" s="10"/>
    </row>
    <row r="25" spans="1:79" ht="15" customHeight="1" x14ac:dyDescent="0.2">
      <c r="A25" s="10"/>
      <c r="B25" s="10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K25" s="43"/>
      <c r="AS25" s="45"/>
      <c r="AT25" s="44"/>
      <c r="AU25" s="44"/>
      <c r="AV25" s="44"/>
      <c r="AW25" s="44"/>
      <c r="AX25" s="44"/>
      <c r="AY25" s="43"/>
      <c r="AZ25" s="45"/>
      <c r="BA25" s="45"/>
      <c r="BB25" s="45"/>
      <c r="BC25" s="45"/>
      <c r="BD25" s="45"/>
      <c r="BE25" s="45"/>
      <c r="BN25" s="10"/>
      <c r="BO25" s="10"/>
      <c r="BP25" s="1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10"/>
    </row>
    <row r="26" spans="1:79" ht="15" customHeight="1" x14ac:dyDescent="0.2">
      <c r="A26" s="10"/>
      <c r="B26" s="10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45"/>
      <c r="X26" s="45"/>
      <c r="Y26" s="45"/>
      <c r="Z26" s="45"/>
      <c r="AA26" s="45"/>
      <c r="AB26" s="45"/>
      <c r="AC26" s="45"/>
      <c r="AK26" s="43"/>
      <c r="AL26" s="45"/>
      <c r="AM26" s="45"/>
      <c r="AN26" s="45"/>
      <c r="AO26" s="45"/>
      <c r="AP26" s="45"/>
      <c r="AQ26" s="45"/>
      <c r="AR26" s="46"/>
      <c r="AS26" s="45"/>
      <c r="AT26" s="45"/>
      <c r="AU26" s="45"/>
      <c r="AV26" s="45"/>
      <c r="AW26" s="45"/>
      <c r="AX26" s="45"/>
      <c r="AY26" s="43"/>
      <c r="AZ26" s="45"/>
      <c r="BA26" s="45"/>
      <c r="BB26" s="45"/>
      <c r="BC26" s="45"/>
      <c r="BD26" s="45"/>
      <c r="BE26" s="45"/>
      <c r="BN26" s="10"/>
      <c r="BO26" s="10"/>
      <c r="BP26" s="10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10"/>
    </row>
    <row r="27" spans="1:79" ht="15" customHeight="1" x14ac:dyDescent="0.2">
      <c r="A27" s="10"/>
      <c r="B27" s="10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45"/>
      <c r="X27" s="45"/>
      <c r="Y27" s="45"/>
      <c r="Z27" s="45"/>
      <c r="AA27" s="45"/>
      <c r="AB27" s="45"/>
      <c r="AC27" s="45"/>
      <c r="AD27" s="42"/>
      <c r="AE27" s="44"/>
      <c r="AF27" s="44"/>
      <c r="AG27" s="44"/>
      <c r="AH27" s="44"/>
      <c r="AI27" s="44"/>
      <c r="AJ27" s="44"/>
      <c r="AK27" s="43"/>
      <c r="AL27" s="45"/>
      <c r="AM27" s="45"/>
      <c r="AN27" s="45"/>
      <c r="AO27" s="45"/>
      <c r="AP27" s="45"/>
      <c r="AQ27" s="45"/>
      <c r="AS27" s="45"/>
      <c r="AT27" s="45"/>
      <c r="AU27" s="45"/>
      <c r="AV27" s="45"/>
      <c r="AW27" s="45"/>
      <c r="AX27" s="45"/>
      <c r="AY27" s="46"/>
      <c r="AZ27" s="47"/>
      <c r="BA27" s="47"/>
      <c r="BB27" s="47"/>
      <c r="BC27" s="47"/>
      <c r="BD27" s="47"/>
      <c r="BE27" s="47"/>
      <c r="BG27" s="32"/>
      <c r="BH27" s="32"/>
      <c r="BI27" s="32"/>
      <c r="BJ27" s="32"/>
      <c r="BK27" s="32"/>
      <c r="BL27" s="32"/>
      <c r="BM27" s="32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</row>
    <row r="28" spans="1:79" ht="15" customHeight="1" x14ac:dyDescent="0.2">
      <c r="A28" s="10"/>
      <c r="B28" s="10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D28" s="43"/>
      <c r="AE28" s="45"/>
      <c r="AF28" s="45"/>
      <c r="AG28" s="45"/>
      <c r="AH28" s="45"/>
      <c r="AI28" s="45"/>
      <c r="AJ28" s="45"/>
      <c r="AK28" s="43"/>
      <c r="AR28" s="45"/>
      <c r="AS28" s="47"/>
      <c r="AT28" s="45"/>
      <c r="AU28" s="45"/>
      <c r="AV28" s="45"/>
      <c r="AW28" s="45"/>
      <c r="AX28" s="45"/>
      <c r="BG28" s="32"/>
      <c r="BH28" s="32"/>
      <c r="BI28" s="32"/>
      <c r="BJ28" s="32"/>
      <c r="BK28" s="32"/>
      <c r="BL28" s="32"/>
      <c r="BM28" s="32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</row>
    <row r="29" spans="1:79" ht="15" customHeight="1" x14ac:dyDescent="0.2">
      <c r="A29" s="10"/>
      <c r="B29" s="10"/>
      <c r="I29" s="39"/>
      <c r="J29" s="39"/>
      <c r="K29" s="39"/>
      <c r="L29" s="39"/>
      <c r="P29" s="45"/>
      <c r="Q29" s="45"/>
      <c r="R29" s="45"/>
      <c r="S29" s="45"/>
      <c r="T29" s="45"/>
      <c r="U29" s="45"/>
      <c r="V29" s="45"/>
      <c r="AD29" s="43"/>
      <c r="AE29" s="45"/>
      <c r="AF29" s="45"/>
      <c r="AG29" s="45"/>
      <c r="AH29" s="45"/>
      <c r="AI29" s="45"/>
      <c r="AJ29" s="45"/>
      <c r="AK29" s="54"/>
      <c r="AL29" s="45"/>
      <c r="AM29" s="45"/>
      <c r="AN29" s="45"/>
      <c r="AO29" s="45"/>
      <c r="AP29" s="45"/>
      <c r="AQ29" s="45"/>
      <c r="AR29" s="45"/>
      <c r="AT29" s="45"/>
      <c r="AU29" s="45"/>
      <c r="AV29" s="45"/>
      <c r="AW29" s="45"/>
      <c r="AX29" s="45"/>
      <c r="BG29" s="32"/>
      <c r="BH29" s="32"/>
      <c r="BI29" s="32"/>
      <c r="BJ29" s="32"/>
      <c r="BK29" s="32"/>
      <c r="BL29" s="32"/>
      <c r="BM29" s="32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</row>
    <row r="30" spans="1:79" ht="15" customHeight="1" x14ac:dyDescent="0.2">
      <c r="A30" s="10"/>
      <c r="B30" s="10"/>
      <c r="I30" s="39"/>
      <c r="J30" s="39"/>
      <c r="K30" s="39"/>
      <c r="L30" s="39"/>
      <c r="P30" s="45"/>
      <c r="Q30" s="45"/>
      <c r="R30" s="45"/>
      <c r="S30" s="45"/>
      <c r="T30" s="45"/>
      <c r="U30" s="45"/>
      <c r="V30" s="45"/>
      <c r="W30" s="42"/>
      <c r="X30" s="44"/>
      <c r="Y30" s="44"/>
      <c r="Z30" s="44"/>
      <c r="AA30" s="44"/>
      <c r="AB30" s="44"/>
      <c r="AC30" s="44"/>
      <c r="AD30" s="43"/>
      <c r="AE30" s="45"/>
      <c r="AF30" s="45"/>
      <c r="AG30" s="45"/>
      <c r="AH30" s="45"/>
      <c r="AI30" s="45"/>
      <c r="AJ30" s="45"/>
      <c r="AK30" s="44"/>
      <c r="AL30" s="44"/>
      <c r="AM30" s="44"/>
      <c r="AN30" s="44"/>
      <c r="AO30" s="44"/>
      <c r="AP30" s="44"/>
      <c r="AQ30" s="44"/>
      <c r="AS30" s="45"/>
      <c r="AT30" s="47"/>
      <c r="AU30" s="47"/>
      <c r="AV30" s="47"/>
      <c r="AW30" s="47"/>
      <c r="AX30" s="47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</row>
    <row r="31" spans="1:79" ht="15" customHeight="1" x14ac:dyDescent="0.2">
      <c r="A31" s="10"/>
      <c r="B31" s="10"/>
      <c r="W31" s="43"/>
      <c r="X31" s="45"/>
      <c r="Y31" s="45"/>
      <c r="Z31" s="45"/>
      <c r="AA31" s="45"/>
      <c r="AB31" s="45"/>
      <c r="AC31" s="45"/>
      <c r="AD31" s="43"/>
      <c r="AE31" s="45"/>
      <c r="AF31" s="45"/>
      <c r="AG31" s="45"/>
      <c r="AH31" s="45"/>
      <c r="AI31" s="45"/>
      <c r="AJ31" s="45"/>
      <c r="AN31" s="32"/>
      <c r="AO31" s="32"/>
      <c r="AP31" s="32"/>
      <c r="AQ31" s="32"/>
      <c r="AS31" s="45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</row>
    <row r="32" spans="1:79" ht="15" customHeight="1" x14ac:dyDescent="0.2">
      <c r="A32" s="10"/>
      <c r="B32" s="10"/>
      <c r="M32" s="49"/>
      <c r="N32" s="49"/>
      <c r="O32" s="49"/>
      <c r="W32" s="43"/>
      <c r="X32" s="45"/>
      <c r="Y32" s="45"/>
      <c r="Z32" s="45"/>
      <c r="AA32" s="45"/>
      <c r="AB32" s="45"/>
      <c r="AC32" s="45"/>
      <c r="AD32" s="46"/>
      <c r="AE32" s="47"/>
      <c r="AF32" s="47"/>
      <c r="AG32" s="47"/>
      <c r="AH32" s="47"/>
      <c r="AI32" s="47"/>
      <c r="AJ32" s="47"/>
      <c r="AK32" s="48"/>
      <c r="AL32" s="48"/>
      <c r="AM32" s="50"/>
      <c r="AN32" s="50"/>
      <c r="AO32" s="48"/>
      <c r="AP32" s="50"/>
      <c r="AQ32" s="50"/>
      <c r="AR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2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</row>
    <row r="33" spans="1:79" ht="15" customHeight="1" x14ac:dyDescent="0.2">
      <c r="A33" s="10"/>
      <c r="B33" s="10"/>
      <c r="M33" s="49"/>
      <c r="N33" s="49"/>
      <c r="O33" s="49"/>
      <c r="W33" s="43"/>
      <c r="X33" s="45"/>
      <c r="Y33" s="45"/>
      <c r="Z33" s="45"/>
      <c r="AA33" s="45"/>
      <c r="AB33" s="45"/>
      <c r="AC33" s="45"/>
      <c r="AM33" s="32"/>
      <c r="AN33" s="32"/>
      <c r="AO33" s="32"/>
      <c r="AP33" s="32"/>
      <c r="AQ33" s="32"/>
      <c r="AR33" s="32"/>
      <c r="AT33" s="45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21"/>
      <c r="BO33" s="10"/>
      <c r="BP33" s="10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10"/>
    </row>
    <row r="34" spans="1:79" ht="15" customHeight="1" x14ac:dyDescent="0.2">
      <c r="A34" s="10"/>
      <c r="B34" s="10"/>
      <c r="I34" s="49" t="str">
        <f>IF('Event Tree Input'!D27="Flood Loading","Flood Loading",IF('Event Tree Input'!D27="Seismic Hazard","Coincident Stage",IF('Event Tree Input'!D27="Other",IF(ISBLANK('Event Tree Input'!G27),"",'Event Tree Input'!G27))))</f>
        <v/>
      </c>
      <c r="J34" s="49"/>
      <c r="K34" s="49"/>
      <c r="L34" s="49"/>
      <c r="P34" s="42"/>
      <c r="Q34" s="44"/>
      <c r="R34" s="44"/>
      <c r="S34" s="44"/>
      <c r="T34" s="44"/>
      <c r="U34" s="44"/>
      <c r="V34" s="44"/>
      <c r="W34" s="43"/>
      <c r="X34" s="45"/>
      <c r="Y34" s="45"/>
      <c r="Z34" s="45"/>
      <c r="AA34" s="45"/>
      <c r="AB34" s="45"/>
      <c r="AC34" s="45"/>
      <c r="AM34" s="32"/>
      <c r="AN34" s="32"/>
      <c r="AO34" s="32"/>
      <c r="AP34" s="32"/>
      <c r="AQ34" s="32"/>
      <c r="AR34" s="32"/>
      <c r="AS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10"/>
    </row>
    <row r="35" spans="1:79" ht="15" customHeight="1" x14ac:dyDescent="0.2">
      <c r="A35" s="10"/>
      <c r="B35" s="10"/>
      <c r="I35" s="49"/>
      <c r="J35" s="49"/>
      <c r="K35" s="49"/>
      <c r="L35" s="49"/>
      <c r="P35" s="43"/>
      <c r="Q35" s="45"/>
      <c r="R35" s="45"/>
      <c r="S35" s="45"/>
      <c r="T35" s="45"/>
      <c r="U35" s="45"/>
      <c r="V35" s="45"/>
      <c r="W35" s="43"/>
      <c r="X35" s="45"/>
      <c r="Y35" s="45"/>
      <c r="Z35" s="45"/>
      <c r="AA35" s="45"/>
      <c r="AB35" s="45"/>
      <c r="AC35" s="45"/>
      <c r="AK35" s="56"/>
      <c r="AL35" s="57"/>
      <c r="AM35" s="57"/>
      <c r="AN35" s="57"/>
      <c r="AO35" s="57"/>
      <c r="AP35" s="57"/>
      <c r="AQ35" s="57"/>
      <c r="AR35" s="32"/>
      <c r="AS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10"/>
    </row>
    <row r="36" spans="1:79" ht="15" customHeight="1" x14ac:dyDescent="0.2">
      <c r="A36" s="10"/>
      <c r="B36" s="37" t="str">
        <f>IF('Event Tree Input'!D27="Seismic Hazard","Seismic Hazard","")</f>
        <v/>
      </c>
      <c r="C36" s="49"/>
      <c r="D36" s="49"/>
      <c r="E36" s="49"/>
      <c r="F36" s="49"/>
      <c r="G36" s="49"/>
      <c r="H36" s="49"/>
      <c r="P36" s="43"/>
      <c r="Q36" s="45"/>
      <c r="R36" s="45"/>
      <c r="S36" s="45"/>
      <c r="T36" s="45"/>
      <c r="U36" s="45"/>
      <c r="V36" s="45"/>
      <c r="W36" s="43"/>
      <c r="AF36" s="32"/>
      <c r="AG36" s="32"/>
      <c r="AH36" s="32"/>
      <c r="AI36" s="32"/>
      <c r="AJ36" s="32"/>
      <c r="AK36" s="43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10"/>
    </row>
    <row r="37" spans="1:79" ht="15" customHeight="1" x14ac:dyDescent="0.2">
      <c r="A37" s="10"/>
      <c r="B37" s="37"/>
      <c r="C37" s="49"/>
      <c r="D37" s="49"/>
      <c r="E37" s="49"/>
      <c r="F37" s="49"/>
      <c r="G37" s="49"/>
      <c r="H37" s="49"/>
      <c r="P37" s="43"/>
      <c r="Q37" s="45"/>
      <c r="R37" s="45"/>
      <c r="S37" s="45"/>
      <c r="T37" s="45"/>
      <c r="U37" s="45"/>
      <c r="V37" s="45"/>
      <c r="W37" s="46"/>
      <c r="X37" s="48"/>
      <c r="Y37" s="48"/>
      <c r="Z37" s="48"/>
      <c r="AA37" s="48"/>
      <c r="AB37" s="48"/>
      <c r="AC37" s="48"/>
      <c r="AD37" s="48"/>
      <c r="AE37" s="48"/>
      <c r="AF37" s="50"/>
      <c r="AG37" s="50"/>
      <c r="AH37" s="50"/>
      <c r="AI37" s="50"/>
      <c r="AJ37" s="50"/>
      <c r="AK37" s="51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21"/>
      <c r="BO37" s="21"/>
      <c r="BP37" s="21"/>
      <c r="BQ37" s="21"/>
      <c r="BR37" s="21"/>
      <c r="BS37" s="21"/>
      <c r="BT37" s="10"/>
      <c r="BU37" s="10"/>
      <c r="BV37" s="10"/>
      <c r="BW37" s="10"/>
      <c r="BX37" s="10"/>
      <c r="BY37" s="10"/>
      <c r="BZ37" s="10"/>
      <c r="CA37" s="10"/>
    </row>
    <row r="38" spans="1:79" ht="15" customHeight="1" x14ac:dyDescent="0.2">
      <c r="A38" s="10"/>
      <c r="B38" s="10"/>
      <c r="P38" s="43"/>
      <c r="Q38" s="45"/>
      <c r="R38" s="45"/>
      <c r="S38" s="45"/>
      <c r="T38" s="45"/>
      <c r="U38" s="45"/>
      <c r="V38" s="45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51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21"/>
      <c r="BO38" s="21"/>
      <c r="BP38" s="21"/>
      <c r="BQ38" s="21"/>
      <c r="BR38" s="21"/>
      <c r="BS38" s="21"/>
      <c r="BT38" s="10"/>
      <c r="BU38" s="10"/>
      <c r="BV38" s="10"/>
      <c r="BW38" s="10"/>
      <c r="BX38" s="10"/>
      <c r="BY38" s="10"/>
      <c r="BZ38" s="10"/>
      <c r="CA38" s="10"/>
    </row>
    <row r="39" spans="1:79" ht="15" customHeight="1" thickBot="1" x14ac:dyDescent="0.25">
      <c r="A39" s="10"/>
      <c r="B39" s="10"/>
      <c r="N39" s="52"/>
      <c r="O39" s="53"/>
      <c r="P39" s="43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43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21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</row>
    <row r="40" spans="1:79" ht="15" customHeight="1" x14ac:dyDescent="0.2">
      <c r="A40" s="10"/>
      <c r="B40" s="10"/>
      <c r="P40" s="43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59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21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</row>
    <row r="41" spans="1:79" ht="15" customHeight="1" x14ac:dyDescent="0.2">
      <c r="A41" s="10"/>
      <c r="B41" s="10"/>
      <c r="P41" s="43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57"/>
      <c r="AL41" s="57"/>
      <c r="AM41" s="57"/>
      <c r="AN41" s="57"/>
      <c r="AO41" s="57"/>
      <c r="AP41" s="57"/>
      <c r="AQ41" s="57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21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</row>
    <row r="42" spans="1:79" ht="15" customHeight="1" x14ac:dyDescent="0.2">
      <c r="A42" s="10"/>
      <c r="B42" s="10"/>
      <c r="P42" s="43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21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</row>
    <row r="43" spans="1:79" ht="15" customHeight="1" x14ac:dyDescent="0.2">
      <c r="A43" s="10"/>
      <c r="B43" s="10"/>
      <c r="P43" s="43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56"/>
      <c r="AL43" s="57"/>
      <c r="AM43" s="57"/>
      <c r="AN43" s="57"/>
      <c r="AO43" s="57"/>
      <c r="AP43" s="57"/>
      <c r="AQ43" s="57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</row>
    <row r="44" spans="1:79" ht="15" customHeight="1" x14ac:dyDescent="0.2">
      <c r="A44" s="10"/>
      <c r="B44" s="10"/>
      <c r="P44" s="43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60"/>
      <c r="AK44" s="51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</row>
    <row r="45" spans="1:79" ht="15" customHeight="1" x14ac:dyDescent="0.2">
      <c r="A45" s="10"/>
      <c r="B45" s="10"/>
      <c r="P45" s="46"/>
      <c r="Q45" s="48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5"/>
      <c r="AK45" s="51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</row>
    <row r="46" spans="1:79" ht="15" customHeight="1" x14ac:dyDescent="0.2">
      <c r="A46" s="10"/>
      <c r="B46" s="10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43"/>
      <c r="AS46" s="32"/>
      <c r="AT46" s="32"/>
      <c r="AU46" s="32"/>
      <c r="AV46" s="32"/>
      <c r="AW46" s="32"/>
      <c r="AX46" s="32"/>
      <c r="AY46" s="32"/>
      <c r="AZ46" s="32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</row>
    <row r="47" spans="1:79" ht="15" customHeight="1" x14ac:dyDescent="0.2">
      <c r="A47" s="10"/>
      <c r="B47" s="10"/>
      <c r="AK47" s="43"/>
      <c r="AS47" s="32"/>
      <c r="AT47" s="32"/>
      <c r="AU47" s="32"/>
      <c r="AV47" s="32"/>
      <c r="AW47" s="32"/>
      <c r="AX47" s="32"/>
      <c r="AY47" s="32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</row>
    <row r="48" spans="1:79" ht="15" customHeight="1" x14ac:dyDescent="0.2">
      <c r="A48" s="10"/>
      <c r="B48" s="10"/>
      <c r="AK48" s="59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">
      <c r="A49" s="10"/>
      <c r="B49" s="10"/>
      <c r="AK49" s="57"/>
      <c r="AL49" s="57"/>
      <c r="AM49" s="57"/>
      <c r="AN49" s="57"/>
      <c r="AO49" s="57"/>
      <c r="AP49" s="57"/>
      <c r="AQ49" s="57"/>
      <c r="AT49" s="32"/>
      <c r="AU49" s="32"/>
      <c r="AV49" s="32"/>
      <c r="AW49" s="32"/>
      <c r="AX49" s="32"/>
      <c r="AY49" s="32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">
      <c r="A50" s="10"/>
      <c r="B50" s="10"/>
      <c r="AT50" s="32"/>
      <c r="AU50" s="32"/>
      <c r="AV50" s="38"/>
      <c r="AW50" s="32"/>
      <c r="AX50" s="32"/>
      <c r="AY50" s="32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A51" s="10"/>
      <c r="B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A52" s="10"/>
      <c r="B52" s="10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s="14" customFormat="1" ht="15" customHeight="1" x14ac:dyDescent="0.2">
      <c r="A53" s="66" t="s">
        <v>19</v>
      </c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</row>
    <row r="55" spans="1:79" ht="15" customHeight="1" x14ac:dyDescent="0.2">
      <c r="A55" s="67" t="s">
        <v>67</v>
      </c>
      <c r="B55" s="67"/>
      <c r="C55" s="67"/>
      <c r="D55" s="67"/>
      <c r="E55" s="67"/>
      <c r="F55" s="67" t="str">
        <f>IF('Event Tree Input'!D27="Seismic Hazard","Yes","No")</f>
        <v>No</v>
      </c>
      <c r="G55" s="67"/>
      <c r="I55" s="64" t="s">
        <v>17</v>
      </c>
      <c r="J55" s="64"/>
      <c r="K55" s="67" t="s">
        <v>23</v>
      </c>
      <c r="L55" s="67"/>
      <c r="M55" s="67"/>
      <c r="N55" s="67" t="s">
        <v>24</v>
      </c>
      <c r="O55" s="67"/>
      <c r="P55" s="67"/>
    </row>
    <row r="56" spans="1:79" ht="15" customHeight="1" x14ac:dyDescent="0.2">
      <c r="I56" s="64"/>
      <c r="J56" s="64"/>
      <c r="K56" s="67" t="s">
        <v>22</v>
      </c>
      <c r="L56" s="67"/>
      <c r="M56" s="67"/>
      <c r="N56" s="67" t="s">
        <v>22</v>
      </c>
      <c r="O56" s="67"/>
      <c r="P56" s="67"/>
      <c r="S56" s="67" t="s">
        <v>17</v>
      </c>
      <c r="T56" s="67"/>
      <c r="U56" s="67" t="s">
        <v>27</v>
      </c>
      <c r="V56" s="67"/>
      <c r="W56" s="67"/>
      <c r="X56" s="67" t="s">
        <v>30</v>
      </c>
      <c r="Y56" s="67"/>
      <c r="Z56" s="67"/>
    </row>
    <row r="57" spans="1:79" ht="15" customHeight="1" x14ac:dyDescent="0.2">
      <c r="I57" s="67">
        <v>1</v>
      </c>
      <c r="J57" s="67"/>
      <c r="K57" s="67" t="str">
        <f>'Event Tree Input'!B176</f>
        <v>Circle</v>
      </c>
      <c r="L57" s="67"/>
      <c r="M57" s="67"/>
      <c r="N57" s="67" t="str">
        <f>'Event Tree Input'!C176</f>
        <v>Triangle</v>
      </c>
      <c r="O57" s="67"/>
      <c r="P57" s="67"/>
      <c r="S57" s="67">
        <v>1</v>
      </c>
      <c r="T57" s="67"/>
      <c r="U57" s="67" t="str">
        <f>IF('Event Tree Input'!$D$32="No","No",IF(AND('Event Tree Input'!$D$32="Yes",'Event Tree Input'!$D$29&gt;=S57),"Yes","No"))</f>
        <v>No</v>
      </c>
      <c r="V57" s="67"/>
      <c r="W57" s="67"/>
      <c r="X57" s="67" t="str">
        <f>'Event Tree Input'!$D$31</f>
        <v>Yes</v>
      </c>
      <c r="Y57" s="67"/>
      <c r="Z57" s="67"/>
    </row>
    <row r="58" spans="1:79" ht="15" customHeight="1" x14ac:dyDescent="0.2">
      <c r="I58" s="67">
        <v>2</v>
      </c>
      <c r="J58" s="67"/>
      <c r="K58" s="67" t="str">
        <f>'Event Tree Input'!B177</f>
        <v>Circle</v>
      </c>
      <c r="L58" s="67"/>
      <c r="M58" s="67"/>
      <c r="N58" s="67" t="str">
        <f>'Event Tree Input'!C177</f>
        <v>Triangle</v>
      </c>
      <c r="O58" s="67"/>
      <c r="P58" s="67"/>
      <c r="S58" s="67">
        <v>2</v>
      </c>
      <c r="T58" s="67"/>
      <c r="U58" s="67" t="str">
        <f>IF('Event Tree Input'!$D$32="No","No",IF(AND('Event Tree Input'!$D$32="Yes",'Event Tree Input'!$D$29&gt;=S58),"Yes","No"))</f>
        <v>No</v>
      </c>
      <c r="V58" s="67"/>
      <c r="W58" s="67"/>
      <c r="X58" s="67" t="str">
        <f>'Event Tree Input'!$D$31</f>
        <v>Yes</v>
      </c>
      <c r="Y58" s="67"/>
      <c r="Z58" s="67"/>
    </row>
    <row r="59" spans="1:79" ht="15" customHeight="1" x14ac:dyDescent="0.2">
      <c r="I59" s="67">
        <v>3</v>
      </c>
      <c r="J59" s="67"/>
      <c r="K59" s="67" t="str">
        <f>'Event Tree Input'!B178</f>
        <v>Triangle</v>
      </c>
      <c r="L59" s="67"/>
      <c r="M59" s="67"/>
      <c r="N59" s="67" t="str">
        <f>'Event Tree Input'!C178</f>
        <v>Triangle</v>
      </c>
      <c r="O59" s="67"/>
      <c r="P59" s="67"/>
      <c r="S59" s="67">
        <v>3</v>
      </c>
      <c r="T59" s="67"/>
      <c r="U59" s="67" t="str">
        <f>IF('Event Tree Input'!$D$32="No","No",IF(AND('Event Tree Input'!$D$32="Yes",'Event Tree Input'!$D$29&gt;=S59),"Yes","No"))</f>
        <v>No</v>
      </c>
      <c r="V59" s="67"/>
      <c r="W59" s="67"/>
      <c r="X59" s="67" t="str">
        <f>'Event Tree Input'!$D$31</f>
        <v>Yes</v>
      </c>
      <c r="Y59" s="67"/>
      <c r="Z59" s="67"/>
    </row>
    <row r="60" spans="1:79" ht="15" customHeight="1" x14ac:dyDescent="0.2">
      <c r="I60" s="67">
        <v>4</v>
      </c>
      <c r="J60" s="67"/>
      <c r="K60" s="67" t="str">
        <f>'Event Tree Input'!B179</f>
        <v/>
      </c>
      <c r="L60" s="67"/>
      <c r="M60" s="67"/>
      <c r="N60" s="67" t="str">
        <f>'Event Tree Input'!C179</f>
        <v/>
      </c>
      <c r="O60" s="67"/>
      <c r="P60" s="67"/>
      <c r="S60" s="67">
        <v>4</v>
      </c>
      <c r="T60" s="67"/>
      <c r="U60" s="67" t="str">
        <f>IF('Event Tree Input'!$D$32="No","No",IF(AND('Event Tree Input'!$D$32="Yes",'Event Tree Input'!$D$29&gt;=S60),"Yes","No"))</f>
        <v>No</v>
      </c>
      <c r="V60" s="67"/>
      <c r="W60" s="67"/>
      <c r="X60" s="67" t="str">
        <f>'Event Tree Input'!$D$31</f>
        <v>Yes</v>
      </c>
      <c r="Y60" s="67"/>
      <c r="Z60" s="67"/>
    </row>
    <row r="61" spans="1:79" ht="15" customHeight="1" x14ac:dyDescent="0.2">
      <c r="I61" s="67">
        <v>5</v>
      </c>
      <c r="J61" s="67"/>
      <c r="K61" s="67" t="str">
        <f>'Event Tree Input'!B180</f>
        <v/>
      </c>
      <c r="L61" s="67"/>
      <c r="M61" s="67"/>
      <c r="N61" s="67" t="str">
        <f>'Event Tree Input'!C180</f>
        <v/>
      </c>
      <c r="O61" s="67"/>
      <c r="P61" s="67"/>
      <c r="S61" s="67">
        <v>5</v>
      </c>
      <c r="T61" s="67"/>
      <c r="U61" s="67" t="str">
        <f>IF('Event Tree Input'!$D$32="No","No",IF(AND('Event Tree Input'!$D$32="Yes",'Event Tree Input'!$D$29&gt;=S61),"Yes","No"))</f>
        <v>No</v>
      </c>
      <c r="V61" s="67"/>
      <c r="W61" s="67"/>
      <c r="X61" s="67" t="str">
        <f>'Event Tree Input'!$D$31</f>
        <v>Yes</v>
      </c>
      <c r="Y61" s="67"/>
      <c r="Z61" s="67"/>
    </row>
    <row r="62" spans="1:79" ht="15" customHeight="1" x14ac:dyDescent="0.2">
      <c r="I62" s="67">
        <v>6</v>
      </c>
      <c r="J62" s="67"/>
      <c r="K62" s="67" t="str">
        <f>'Event Tree Input'!B181</f>
        <v/>
      </c>
      <c r="L62" s="67"/>
      <c r="M62" s="67"/>
      <c r="N62" s="67" t="str">
        <f>'Event Tree Input'!C181</f>
        <v/>
      </c>
      <c r="O62" s="67"/>
      <c r="P62" s="67"/>
      <c r="S62" s="67">
        <v>6</v>
      </c>
      <c r="T62" s="67"/>
      <c r="U62" s="67" t="str">
        <f>IF('Event Tree Input'!$D$32="No","No",IF(AND('Event Tree Input'!$D$32="Yes",'Event Tree Input'!$D$29&gt;=S62),"Yes","No"))</f>
        <v>No</v>
      </c>
      <c r="V62" s="67"/>
      <c r="W62" s="67"/>
      <c r="X62" s="67" t="str">
        <f>'Event Tree Input'!$D$31</f>
        <v>Yes</v>
      </c>
      <c r="Y62" s="67"/>
      <c r="Z62" s="67"/>
    </row>
    <row r="63" spans="1:79" ht="15" customHeight="1" x14ac:dyDescent="0.2">
      <c r="I63" s="67">
        <v>7</v>
      </c>
      <c r="J63" s="67"/>
      <c r="K63" s="67" t="str">
        <f>'Event Tree Input'!B182</f>
        <v/>
      </c>
      <c r="L63" s="67"/>
      <c r="M63" s="67"/>
      <c r="N63" s="67" t="str">
        <f>'Event Tree Input'!C182</f>
        <v/>
      </c>
      <c r="O63" s="67"/>
      <c r="P63" s="67"/>
      <c r="S63" s="67">
        <v>7</v>
      </c>
      <c r="T63" s="67"/>
      <c r="U63" s="67" t="str">
        <f>IF('Event Tree Input'!$D$32="No","No",IF(AND('Event Tree Input'!$D$32="Yes",'Event Tree Input'!$D$29&gt;=S63),"Yes","No"))</f>
        <v>No</v>
      </c>
      <c r="V63" s="67"/>
      <c r="W63" s="67"/>
      <c r="X63" s="67" t="str">
        <f>'Event Tree Input'!$D$31</f>
        <v>Yes</v>
      </c>
      <c r="Y63" s="67"/>
      <c r="Z63" s="67"/>
    </row>
    <row r="64" spans="1:79" ht="15" customHeight="1" x14ac:dyDescent="0.2">
      <c r="I64" s="67">
        <v>8</v>
      </c>
      <c r="J64" s="67"/>
      <c r="K64" s="67" t="str">
        <f>'Event Tree Input'!B183</f>
        <v/>
      </c>
      <c r="L64" s="67"/>
      <c r="M64" s="67"/>
      <c r="N64" s="67" t="str">
        <f>'Event Tree Input'!C183</f>
        <v/>
      </c>
      <c r="O64" s="67"/>
      <c r="P64" s="67"/>
      <c r="S64" s="67">
        <v>8</v>
      </c>
      <c r="T64" s="67"/>
      <c r="U64" s="67" t="str">
        <f>IF('Event Tree Input'!$D$32="No","No",IF(AND('Event Tree Input'!$D$32="Yes",'Event Tree Input'!$D$29&gt;=S64),"Yes","No"))</f>
        <v>No</v>
      </c>
      <c r="V64" s="67"/>
      <c r="W64" s="67"/>
      <c r="X64" s="67" t="str">
        <f>'Event Tree Input'!$D$31</f>
        <v>Yes</v>
      </c>
      <c r="Y64" s="67"/>
      <c r="Z64" s="67"/>
    </row>
    <row r="65" spans="2:26" ht="15" customHeight="1" x14ac:dyDescent="0.2">
      <c r="I65" s="67">
        <v>9</v>
      </c>
      <c r="J65" s="67"/>
      <c r="K65" s="67" t="str">
        <f>'Event Tree Input'!B184</f>
        <v/>
      </c>
      <c r="L65" s="67"/>
      <c r="M65" s="67"/>
      <c r="N65" s="67" t="str">
        <f>'Event Tree Input'!C184</f>
        <v/>
      </c>
      <c r="O65" s="67"/>
      <c r="P65" s="67"/>
      <c r="S65" s="67">
        <v>9</v>
      </c>
      <c r="T65" s="67"/>
      <c r="U65" s="67" t="str">
        <f>IF('Event Tree Input'!$D$32="No","No",IF(AND('Event Tree Input'!$D$32="Yes",'Event Tree Input'!$D$29&gt;=S65),"Yes","No"))</f>
        <v>No</v>
      </c>
      <c r="V65" s="67"/>
      <c r="W65" s="67"/>
      <c r="X65" s="67" t="str">
        <f>'Event Tree Input'!$D$31</f>
        <v>Yes</v>
      </c>
      <c r="Y65" s="67"/>
      <c r="Z65" s="67"/>
    </row>
    <row r="67" spans="2:26" ht="15" customHeight="1" x14ac:dyDescent="0.2">
      <c r="B67" s="9" t="s">
        <v>39</v>
      </c>
      <c r="M67" s="27"/>
      <c r="N67" s="27"/>
      <c r="O67" s="27"/>
    </row>
    <row r="68" spans="2:26" ht="15" customHeight="1" x14ac:dyDescent="0.2">
      <c r="B68" s="65" t="str">
        <f>'Event Tree Input'!A45</f>
        <v>Node 1 Callout</v>
      </c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32"/>
    </row>
    <row r="69" spans="2:26" ht="15" customHeight="1" x14ac:dyDescent="0.2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32"/>
    </row>
    <row r="70" spans="2:26" ht="15" customHeight="1" x14ac:dyDescent="0.2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32"/>
      <c r="X70" s="33"/>
      <c r="Y70" s="32"/>
    </row>
    <row r="71" spans="2:26" ht="15" customHeight="1" x14ac:dyDescent="0.2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32"/>
      <c r="X71" s="33"/>
      <c r="Y71" s="32"/>
    </row>
    <row r="72" spans="2:26" ht="15" customHeight="1" x14ac:dyDescent="0.2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32"/>
      <c r="X72" s="33"/>
      <c r="Y72" s="32"/>
    </row>
    <row r="73" spans="2:26" ht="15" customHeight="1" x14ac:dyDescent="0.2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32"/>
      <c r="X73" s="33"/>
      <c r="Y73" s="32"/>
    </row>
    <row r="74" spans="2:26" ht="15" customHeight="1" x14ac:dyDescent="0.2"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3"/>
      <c r="Y74" s="32"/>
    </row>
    <row r="75" spans="2:26" ht="15" customHeight="1" x14ac:dyDescent="0.2">
      <c r="B75" s="9" t="s">
        <v>40</v>
      </c>
      <c r="M75" s="27"/>
      <c r="N75" s="27"/>
      <c r="O75" s="27"/>
      <c r="W75" s="32"/>
      <c r="X75" s="32"/>
      <c r="Y75" s="32"/>
    </row>
    <row r="76" spans="2:26" ht="15" customHeight="1" x14ac:dyDescent="0.2">
      <c r="B76" s="65" t="str">
        <f>'Event Tree Input'!A59</f>
        <v>Node 2 Callout</v>
      </c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</row>
    <row r="77" spans="2:26" ht="15" customHeight="1" x14ac:dyDescent="0.2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33"/>
      <c r="X77" s="33"/>
    </row>
    <row r="78" spans="2:26" ht="15" customHeight="1" x14ac:dyDescent="0.2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33"/>
      <c r="X78" s="33"/>
    </row>
    <row r="79" spans="2:26" ht="15" customHeight="1" x14ac:dyDescent="0.2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33"/>
      <c r="X79" s="33"/>
    </row>
    <row r="80" spans="2:26" ht="15" customHeight="1" x14ac:dyDescent="0.2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33"/>
      <c r="X80" s="33"/>
    </row>
    <row r="81" spans="2:24" ht="15" customHeight="1" x14ac:dyDescent="0.2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33"/>
      <c r="X81" s="33"/>
    </row>
    <row r="83" spans="2:24" ht="15" customHeight="1" x14ac:dyDescent="0.2">
      <c r="B83" s="9" t="s">
        <v>41</v>
      </c>
      <c r="M83" s="27"/>
      <c r="N83" s="27"/>
      <c r="O83" s="27"/>
    </row>
    <row r="84" spans="2:24" ht="15" customHeight="1" x14ac:dyDescent="0.2">
      <c r="B84" s="65" t="str">
        <f>'Event Tree Input'!A73</f>
        <v>Node 3 Callout</v>
      </c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</row>
    <row r="85" spans="2:24" ht="15" customHeight="1" x14ac:dyDescent="0.2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</row>
    <row r="86" spans="2:24" ht="15" customHeight="1" x14ac:dyDescent="0.2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</row>
    <row r="87" spans="2:24" ht="15" customHeight="1" x14ac:dyDescent="0.2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</row>
    <row r="88" spans="2:24" ht="15" customHeight="1" x14ac:dyDescent="0.2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</row>
    <row r="89" spans="2:24" ht="15" customHeight="1" x14ac:dyDescent="0.2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</row>
    <row r="91" spans="2:24" ht="15" customHeight="1" x14ac:dyDescent="0.2">
      <c r="B91" s="9" t="s">
        <v>42</v>
      </c>
      <c r="M91" s="27"/>
      <c r="N91" s="27"/>
      <c r="O91" s="27"/>
    </row>
    <row r="92" spans="2:24" ht="15" customHeight="1" x14ac:dyDescent="0.2">
      <c r="B92" s="65" t="str">
        <f>'Event Tree Input'!A87</f>
        <v>Node 4 Callout</v>
      </c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</row>
    <row r="93" spans="2:24" ht="15" customHeight="1" x14ac:dyDescent="0.2"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</row>
    <row r="94" spans="2:24" ht="15" customHeight="1" x14ac:dyDescent="0.2"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</row>
    <row r="95" spans="2:24" ht="15" customHeight="1" x14ac:dyDescent="0.2"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</row>
    <row r="96" spans="2:24" ht="15" customHeight="1" x14ac:dyDescent="0.2"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</row>
    <row r="97" spans="2:22" ht="15" customHeight="1" x14ac:dyDescent="0.2"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</row>
    <row r="99" spans="2:22" ht="15" customHeight="1" x14ac:dyDescent="0.2">
      <c r="B99" s="9" t="s">
        <v>43</v>
      </c>
      <c r="M99" s="27"/>
      <c r="N99" s="27"/>
      <c r="O99" s="27"/>
    </row>
    <row r="100" spans="2:22" ht="15" customHeight="1" x14ac:dyDescent="0.2">
      <c r="B100" s="65" t="str">
        <f>'Event Tree Input'!A101</f>
        <v>Node 5 Callout</v>
      </c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</row>
    <row r="101" spans="2:22" ht="15" customHeight="1" x14ac:dyDescent="0.2"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</row>
    <row r="102" spans="2:22" ht="15" customHeight="1" x14ac:dyDescent="0.2"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</row>
    <row r="103" spans="2:22" ht="15" customHeight="1" x14ac:dyDescent="0.2"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</row>
    <row r="104" spans="2:22" ht="15" customHeight="1" x14ac:dyDescent="0.2"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</row>
    <row r="105" spans="2:22" ht="15" customHeight="1" x14ac:dyDescent="0.2"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</row>
    <row r="107" spans="2:22" ht="15" customHeight="1" x14ac:dyDescent="0.2">
      <c r="B107" s="9" t="s">
        <v>44</v>
      </c>
      <c r="M107" s="27"/>
      <c r="N107" s="27"/>
      <c r="O107" s="27"/>
    </row>
    <row r="108" spans="2:22" ht="15" customHeight="1" x14ac:dyDescent="0.2">
      <c r="B108" s="65" t="str">
        <f>'Event Tree Input'!A115</f>
        <v>Node 6 Callout</v>
      </c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</row>
    <row r="109" spans="2:22" ht="15" customHeight="1" x14ac:dyDescent="0.2"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</row>
    <row r="110" spans="2:22" ht="15" customHeight="1" x14ac:dyDescent="0.2"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</row>
    <row r="111" spans="2:22" ht="15" customHeight="1" x14ac:dyDescent="0.2"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</row>
    <row r="112" spans="2:22" ht="15" customHeight="1" x14ac:dyDescent="0.2"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</row>
    <row r="113" spans="2:22" ht="15" customHeight="1" x14ac:dyDescent="0.2"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</row>
    <row r="115" spans="2:22" ht="15" customHeight="1" x14ac:dyDescent="0.2">
      <c r="B115" s="9" t="s">
        <v>45</v>
      </c>
      <c r="M115" s="27"/>
      <c r="N115" s="27"/>
      <c r="O115" s="27"/>
    </row>
    <row r="116" spans="2:22" ht="15" customHeight="1" x14ac:dyDescent="0.2">
      <c r="B116" s="65" t="str">
        <f>'Event Tree Input'!A129</f>
        <v>Node 7 Callout</v>
      </c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</row>
    <row r="117" spans="2:22" ht="15" customHeight="1" x14ac:dyDescent="0.2"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</row>
    <row r="118" spans="2:22" ht="15" customHeight="1" x14ac:dyDescent="0.2"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</row>
    <row r="119" spans="2:22" ht="15" customHeight="1" x14ac:dyDescent="0.2"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</row>
    <row r="120" spans="2:22" ht="15" customHeight="1" x14ac:dyDescent="0.2"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</row>
    <row r="121" spans="2:22" ht="15" customHeight="1" x14ac:dyDescent="0.2"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</row>
    <row r="123" spans="2:22" ht="15" customHeight="1" x14ac:dyDescent="0.2">
      <c r="B123" s="9" t="s">
        <v>46</v>
      </c>
      <c r="M123" s="27"/>
      <c r="N123" s="27"/>
      <c r="O123" s="27"/>
    </row>
    <row r="124" spans="2:22" ht="15" customHeight="1" x14ac:dyDescent="0.2">
      <c r="B124" s="65" t="str">
        <f>'Event Tree Input'!A143</f>
        <v>Node 8 Callout</v>
      </c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</row>
    <row r="125" spans="2:22" ht="15" customHeight="1" x14ac:dyDescent="0.2"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</row>
    <row r="126" spans="2:22" ht="15" customHeight="1" x14ac:dyDescent="0.2"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</row>
    <row r="127" spans="2:22" ht="15" customHeight="1" x14ac:dyDescent="0.2"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</row>
    <row r="128" spans="2:22" ht="15" customHeight="1" x14ac:dyDescent="0.2"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</row>
    <row r="129" spans="2:22" ht="15" customHeight="1" x14ac:dyDescent="0.2"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</row>
    <row r="131" spans="2:22" ht="15" customHeight="1" x14ac:dyDescent="0.2">
      <c r="B131" s="9" t="s">
        <v>47</v>
      </c>
      <c r="M131" s="27"/>
      <c r="N131" s="27"/>
      <c r="O131" s="27"/>
    </row>
    <row r="132" spans="2:22" ht="15" customHeight="1" x14ac:dyDescent="0.2">
      <c r="B132" s="65" t="str">
        <f>'Event Tree Input'!A157</f>
        <v>Node 9 Callout</v>
      </c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</row>
    <row r="133" spans="2:22" ht="15" customHeight="1" x14ac:dyDescent="0.2"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</row>
    <row r="134" spans="2:22" ht="15" customHeight="1" x14ac:dyDescent="0.2"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</row>
    <row r="135" spans="2:22" ht="15" customHeight="1" x14ac:dyDescent="0.2"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</row>
    <row r="136" spans="2:22" ht="15" customHeight="1" x14ac:dyDescent="0.2"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</row>
    <row r="137" spans="2:22" ht="15" customHeight="1" x14ac:dyDescent="0.2"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</row>
  </sheetData>
  <mergeCells count="89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2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40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39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38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37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AR26:AR27 AR20:AR24 AT24:AX24 AS22:AS23 AT31:AX31 AS29</xm:sqref>
        </x14:conditionalFormatting>
        <x14:conditionalFormatting xmlns:xm="http://schemas.microsoft.com/office/excel/2006/main">
          <x14:cfRule type="expression" priority="35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AD26:AJ26 AD33:AJ33 AD27:AE27 AD28:AD32</xm:sqref>
        </x14:conditionalFormatting>
        <x14:conditionalFormatting xmlns:xm="http://schemas.microsoft.com/office/excel/2006/main">
          <x14:cfRule type="expression" priority="34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W29:AC29 W36:AC36 W30:X30 W31:W35 AR30:AR31 AT34:AT35 AS32:AS33</xm:sqref>
        </x14:conditionalFormatting>
        <x14:conditionalFormatting xmlns:xm="http://schemas.microsoft.com/office/excel/2006/main">
          <x14:cfRule type="expression" priority="33" id="{191CA392-050A-4C26-B51D-6604DA129D01}">
            <xm:f>'Event Tree Input'!$D$27="Seismic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  <x14:conditionalFormatting xmlns:xm="http://schemas.microsoft.com/office/excel/2006/main">
          <x14:cfRule type="expression" priority="32" id="{289F0D29-402C-491F-9341-2C8D5E921AAA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AK26</xm:sqref>
        </x14:conditionalFormatting>
        <x14:conditionalFormatting xmlns:xm="http://schemas.microsoft.com/office/excel/2006/main">
          <x14:cfRule type="expression" priority="31" id="{53EBAB74-AABC-494A-A03B-28590E5F1875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AK24</xm:sqref>
        </x14:conditionalFormatting>
        <x14:conditionalFormatting xmlns:xm="http://schemas.microsoft.com/office/excel/2006/main">
          <x14:cfRule type="expression" priority="29" id="{F8289E8F-EA9A-40FF-B894-F06631ACB495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</xm:sqref>
        </x14:conditionalFormatting>
        <x14:conditionalFormatting xmlns:xm="http://schemas.microsoft.com/office/excel/2006/main">
          <x14:cfRule type="expression" priority="7" id="{76E15940-C1FE-4270-8F45-8A1431163D08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AK23:AM23</xm:sqref>
        </x14:conditionalFormatting>
        <x14:conditionalFormatting xmlns:xm="http://schemas.microsoft.com/office/excel/2006/main">
          <x14:cfRule type="expression" priority="6" id="{92F223E9-4511-4AF6-BD27-394BA15764BE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AK31:AM31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72B1144-AB70-4E2A-89AC-637033A661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ACD870C-2826-49F3-8D17-C5961A7D965A}">
  <ds:schemaRefs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purl.org/dc/dcmitype/"/>
    <ds:schemaRef ds:uri="http://schemas.microsoft.com/office/2006/documentManagement/types"/>
    <ds:schemaRef ds:uri="a8f80ecd-cddb-46c8-b263-c25672b580c6"/>
    <ds:schemaRef ds:uri="f254aa9d-3c64-433e-b325-d6b94ca3f691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7C8C3B5-90B7-4210-8774-BB7FA190AF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2023-01-25T18:53:47Z</cp:lastPrinted>
  <dcterms:created xsi:type="dcterms:W3CDTF">2016-11-03T19:42:04Z</dcterms:created>
  <dcterms:modified xsi:type="dcterms:W3CDTF">2025-09-03T01:54:28Z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