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D8845958-4955-453E-8851-913CC448DFEB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<sst xmlns="http://schemas.openxmlformats.org/spreadsheetml/2006/main" count="141" uniqueCount="73">
  <si>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</si>
  <si>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</si>
  <si>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</si>
  <si>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</si>
  <si>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</si>
  <si>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</si>
  <si>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</si>
  <si>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</si>
  <si>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</si>
  <si>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</si>
  <si>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</si>
  <si>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</si>
  <si>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</si>
  <si>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</si>
  <si>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</si>
  <si>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</si>
  <si>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</si>
  <si>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</si>
  <si>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</si>
  <si>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</si>
  <si>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</si>
  <si>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</si>
  <si>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</si>
  <si>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</si>
  <si>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</si>
  <si>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</si>
  <si>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</si>
  <si>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</si>
  <si>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</si>
  <si>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</si>
  <si>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</si>
  <si>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</si>
  <si>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</si>
  <si>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</si>
  <si>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</si>
  <si>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</si>
  <si>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</si>
  <si>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</si>
  <si>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</si>
  <si>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</si>
  <si>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</si>
  <si>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</si>
  <si>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</si>
  <si>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</si>
  <si>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</si>
  <si>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</si>
  <si>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</si>
  <si>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</si>
  <si>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</si>
  <si>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</si>
  <si>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</si>
  <si>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</si>
  <si>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</si>
  <si>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</si>
  <si>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</si>
  <si>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</si>
  <si>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</si>
  <si>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</si>
  <si>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</si>
  <si>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</si>
  <si>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 (Zone 1): Transverse Crack</t>
  </si>
  <si>
    <t>A continuous transverse crack (or high-permeability zone) exists in Zone 1 (impervious core)?</t>
  </si>
  <si>
    <t>Flaw (Zone 2): Transverse Crack</t>
  </si>
  <si>
    <t>A continuous transverse crack (or high-permeability zone) exists in Zone 2 (pervious shell)?</t>
  </si>
  <si>
    <t>Initiation</t>
  </si>
  <si>
    <t>Sufficient hydraulic shear stress exists to initiate concentrated leak erosion in the crack?</t>
  </si>
  <si>
    <t>Progression: Crack Stability</t>
  </si>
  <si>
    <t>Continuous stable roof forms over the crack or stable sidewalls are maintained along the crack and do not swell shut?</t>
  </si>
  <si>
    <t>Progression: Flow Limitation</t>
  </si>
  <si>
    <t>Upstream zoning fails to limit flows into the crack?</t>
  </si>
  <si>
    <t>Progression: Crack-Filling</t>
  </si>
  <si>
    <t>Upstream zoning fails to self-heal the crack?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</si>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</sst>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6048374"/>
          <a:ext cx="1333500" cy="494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 (Zone 1): 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476874"/>
          <a:ext cx="1333500" cy="494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 (Zone 2): Transverse Crack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905374"/>
          <a:ext cx="1333500" cy="494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762374"/>
          <a:ext cx="133350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Flow Limitation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Crack-Filling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transverse crack (or high-permeability zone) exists in Zone 1 (impervious core)?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transverse crack (or high-permeability zone) exists in Zone 2 (pervious shell)?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concentrated leak erosion in the crack?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 and do not swell shut?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zoning fails to limit flows into the crack?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zoning fails to self-heal the crack?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57346</xdr:colOff>
      <xdr:row>38</xdr:row>
      <xdr:rowOff>57641</xdr:rowOff>
    </xdr:from>
    <xdr:to>
      <xdr:col>29</xdr:col>
      <xdr:colOff>131644</xdr:colOff>
      <xdr:row>39</xdr:row>
      <xdr:rowOff>141463</xdr:rowOff>
    </xdr:to>
    <xdr:sp macro="" textlink="">
      <xdr:nvSpPr>
        <xdr:cNvPr id="34" name="N3Num">
          <a:extLst>
            <a:ext uri="{FF2B5EF4-FFF2-40B4-BE49-F238E27FC236}">
              <a16:creationId xmlns:a16="http://schemas.microsoft.com/office/drawing/2014/main" id="{5651B8CE-029D-47FA-A740-CB2EC1B79777}"/>
            </a:ext>
          </a:extLst>
        </xdr:cNvPr>
        <xdr:cNvSpPr>
          <a:spLocks noChangeAspect="1"/>
        </xdr:cNvSpPr>
      </xdr:nvSpPr>
      <xdr:spPr>
        <a:xfrm>
          <a:off x="5658046" y="7296641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0"/>
      <c r="C1" s="40"/>
      <c r="D1" s="40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0"/>
      <c r="C2" s="40"/>
      <c r="D2" s="40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59</v>
      </c>
      <c r="E9" s="42"/>
      <c r="F9" s="11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9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58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60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61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37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62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63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38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64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65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39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52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53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40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66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67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41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68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69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42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70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71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43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54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55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44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56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57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45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59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3" t="s">
        <v>17</v>
      </c>
      <c r="B156" s="9" t="s">
        <v>23</v>
      </c>
      <c r="C156" s="9" t="s">
        <v>24</v>
      </c>
    </row>
    <row r="157" spans="1:5" x14ac:dyDescent="0.2">
      <c r="A157" s="43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Circle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>Triangle</v>
      </c>
      <c r="C166" s="9" t="str">
        <f t="shared" si="0"/>
        <v>Triangle</v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8" t="s">
        <v>8</v>
      </c>
      <c r="B1" s="48"/>
      <c r="C1" s="48"/>
      <c r="D1" s="48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50" t="s">
        <v>9</v>
      </c>
      <c r="AG1" s="50"/>
      <c r="AH1" s="5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50" t="s">
        <v>10</v>
      </c>
      <c r="BE1" s="5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8" t="s">
        <v>11</v>
      </c>
      <c r="B2" s="48"/>
      <c r="C2" s="48"/>
      <c r="D2" s="48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0" t="s">
        <v>9</v>
      </c>
      <c r="AG2" s="50"/>
      <c r="AH2" s="50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0" t="s">
        <v>10</v>
      </c>
      <c r="BE2" s="50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</row>
    <row r="3" spans="1:80" ht="15" customHeight="1" x14ac:dyDescent="0.2">
      <c r="A3" s="49" t="s">
        <v>12</v>
      </c>
      <c r="B3" s="49"/>
      <c r="C3" s="49"/>
      <c r="D3" s="49"/>
      <c r="E3" s="49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5" t="s">
        <v>25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46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50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49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3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3"/>
      <c r="K36" s="43"/>
      <c r="L36" s="43"/>
      <c r="M36" s="43"/>
      <c r="N36" s="43"/>
      <c r="O36" s="43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3"/>
      <c r="J37" s="43"/>
      <c r="K37" s="43"/>
      <c r="L37" s="43"/>
      <c r="M37" s="43"/>
      <c r="N37" s="43"/>
      <c r="O37" s="43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D39" s="3" t="s">
        <v>72</v>
      </c>
      <c r="AE39" s="3" t="s">
        <v>72</v>
      </c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6" t="s">
        <v>19</v>
      </c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</row>
    <row r="55" spans="1:79" ht="15" customHeight="1" x14ac:dyDescent="0.2">
      <c r="A55" s="47" t="s">
        <v>51</v>
      </c>
      <c r="B55" s="47"/>
      <c r="C55" s="47"/>
      <c r="D55" s="47"/>
      <c r="E55" s="47"/>
      <c r="F55" s="47" t="str">
        <f>IF('Event Tree Input'!D9="Seismic Hazard","Yes","No")</f>
        <v>No</v>
      </c>
      <c r="G55" s="47"/>
      <c r="I55" s="43" t="s">
        <v>17</v>
      </c>
      <c r="J55" s="43"/>
      <c r="K55" s="47" t="s">
        <v>23</v>
      </c>
      <c r="L55" s="47"/>
      <c r="M55" s="47"/>
      <c r="N55" s="47" t="s">
        <v>24</v>
      </c>
      <c r="O55" s="47"/>
      <c r="P55" s="47"/>
    </row>
    <row r="56" spans="1:79" ht="15" customHeight="1" x14ac:dyDescent="0.2">
      <c r="I56" s="43"/>
      <c r="J56" s="43"/>
      <c r="K56" s="47" t="s">
        <v>22</v>
      </c>
      <c r="L56" s="47"/>
      <c r="M56" s="47"/>
      <c r="N56" s="47" t="s">
        <v>22</v>
      </c>
      <c r="O56" s="47"/>
      <c r="P56" s="47"/>
      <c r="S56" s="47" t="s">
        <v>17</v>
      </c>
      <c r="T56" s="47"/>
      <c r="U56" s="47" t="s">
        <v>27</v>
      </c>
      <c r="V56" s="47"/>
      <c r="W56" s="47"/>
      <c r="X56" s="47" t="s">
        <v>29</v>
      </c>
      <c r="Y56" s="47"/>
      <c r="Z56" s="47"/>
    </row>
    <row r="57" spans="1:79" ht="15" customHeight="1" x14ac:dyDescent="0.2">
      <c r="I57" s="47">
        <v>1</v>
      </c>
      <c r="J57" s="47"/>
      <c r="K57" s="47" t="str">
        <f>'Event Tree Input'!B158</f>
        <v>Circle</v>
      </c>
      <c r="L57" s="47"/>
      <c r="M57" s="47"/>
      <c r="N57" s="47" t="str">
        <f>'Event Tree Input'!C158</f>
        <v>Triangle</v>
      </c>
      <c r="O57" s="47"/>
      <c r="P57" s="47"/>
      <c r="S57" s="47">
        <v>1</v>
      </c>
      <c r="T57" s="47"/>
      <c r="U57" s="47" t="str">
        <f>IF('Event Tree Input'!$D$14="No","No",IF(AND('Event Tree Input'!$D$14="Yes",'Event Tree Input'!$D$11&gt;=S57),"Yes","No"))</f>
        <v>No</v>
      </c>
      <c r="V57" s="47"/>
      <c r="W57" s="47"/>
      <c r="X57" s="47" t="str">
        <f>'Event Tree Input'!$D$13</f>
        <v>Yes</v>
      </c>
      <c r="Y57" s="47"/>
      <c r="Z57" s="47"/>
    </row>
    <row r="58" spans="1:79" ht="15" customHeight="1" x14ac:dyDescent="0.2">
      <c r="I58" s="47">
        <v>2</v>
      </c>
      <c r="J58" s="47"/>
      <c r="K58" s="47" t="str">
        <f>'Event Tree Input'!B159</f>
        <v>Circle</v>
      </c>
      <c r="L58" s="47"/>
      <c r="M58" s="47"/>
      <c r="N58" s="47" t="str">
        <f>'Event Tree Input'!C159</f>
        <v>Triangle</v>
      </c>
      <c r="O58" s="47"/>
      <c r="P58" s="47"/>
      <c r="S58" s="47">
        <v>2</v>
      </c>
      <c r="T58" s="47"/>
      <c r="U58" s="47" t="str">
        <f>IF('Event Tree Input'!$D$14="No","No",IF(AND('Event Tree Input'!$D$14="Yes",'Event Tree Input'!$D$11&gt;=S58),"Yes","No"))</f>
        <v>No</v>
      </c>
      <c r="V58" s="47"/>
      <c r="W58" s="47"/>
      <c r="X58" s="47" t="str">
        <f>'Event Tree Input'!$D$13</f>
        <v>Yes</v>
      </c>
      <c r="Y58" s="47"/>
      <c r="Z58" s="47"/>
    </row>
    <row r="59" spans="1:79" ht="15" customHeight="1" x14ac:dyDescent="0.2">
      <c r="I59" s="47">
        <v>3</v>
      </c>
      <c r="J59" s="47"/>
      <c r="K59" s="47" t="str">
        <f>'Event Tree Input'!B160</f>
        <v>Circle</v>
      </c>
      <c r="L59" s="47"/>
      <c r="M59" s="47"/>
      <c r="N59" s="47" t="str">
        <f>'Event Tree Input'!C160</f>
        <v>Triangle</v>
      </c>
      <c r="O59" s="47"/>
      <c r="P59" s="47"/>
      <c r="S59" s="47">
        <v>3</v>
      </c>
      <c r="T59" s="47"/>
      <c r="U59" s="47" t="str">
        <f>IF('Event Tree Input'!$D$14="No","No",IF(AND('Event Tree Input'!$D$14="Yes",'Event Tree Input'!$D$11&gt;=S59),"Yes","No"))</f>
        <v>No</v>
      </c>
      <c r="V59" s="47"/>
      <c r="W59" s="47"/>
      <c r="X59" s="47" t="str">
        <f>'Event Tree Input'!$D$13</f>
        <v>Yes</v>
      </c>
      <c r="Y59" s="47"/>
      <c r="Z59" s="47"/>
    </row>
    <row r="60" spans="1:79" ht="15" customHeight="1" x14ac:dyDescent="0.2">
      <c r="I60" s="47">
        <v>4</v>
      </c>
      <c r="J60" s="47"/>
      <c r="K60" s="47" t="str">
        <f>'Event Tree Input'!B161</f>
        <v>Circle</v>
      </c>
      <c r="L60" s="47"/>
      <c r="M60" s="47"/>
      <c r="N60" s="47" t="str">
        <f>'Event Tree Input'!C161</f>
        <v>Triangle</v>
      </c>
      <c r="O60" s="47"/>
      <c r="P60" s="47"/>
      <c r="S60" s="47">
        <v>4</v>
      </c>
      <c r="T60" s="47"/>
      <c r="U60" s="47" t="str">
        <f>IF('Event Tree Input'!$D$14="No","No",IF(AND('Event Tree Input'!$D$14="Yes",'Event Tree Input'!$D$11&gt;=S60),"Yes","No"))</f>
        <v>No</v>
      </c>
      <c r="V60" s="47"/>
      <c r="W60" s="47"/>
      <c r="X60" s="47" t="str">
        <f>'Event Tree Input'!$D$13</f>
        <v>Yes</v>
      </c>
      <c r="Y60" s="47"/>
      <c r="Z60" s="47"/>
    </row>
    <row r="61" spans="1:79" ht="15" customHeight="1" x14ac:dyDescent="0.2">
      <c r="I61" s="47">
        <v>5</v>
      </c>
      <c r="J61" s="47"/>
      <c r="K61" s="47" t="str">
        <f>'Event Tree Input'!B162</f>
        <v>Circle</v>
      </c>
      <c r="L61" s="47"/>
      <c r="M61" s="47"/>
      <c r="N61" s="47" t="str">
        <f>'Event Tree Input'!C162</f>
        <v>Triangle</v>
      </c>
      <c r="O61" s="47"/>
      <c r="P61" s="47"/>
      <c r="S61" s="47">
        <v>5</v>
      </c>
      <c r="T61" s="47"/>
      <c r="U61" s="47" t="str">
        <f>IF('Event Tree Input'!$D$14="No","No",IF(AND('Event Tree Input'!$D$14="Yes",'Event Tree Input'!$D$11&gt;=S61),"Yes","No"))</f>
        <v>No</v>
      </c>
      <c r="V61" s="47"/>
      <c r="W61" s="47"/>
      <c r="X61" s="47" t="str">
        <f>'Event Tree Input'!$D$13</f>
        <v>Yes</v>
      </c>
      <c r="Y61" s="47"/>
      <c r="Z61" s="47"/>
    </row>
    <row r="62" spans="1:79" ht="15" customHeight="1" x14ac:dyDescent="0.2">
      <c r="I62" s="47">
        <v>6</v>
      </c>
      <c r="J62" s="47"/>
      <c r="K62" s="47" t="str">
        <f>'Event Tree Input'!B163</f>
        <v>Circle</v>
      </c>
      <c r="L62" s="47"/>
      <c r="M62" s="47"/>
      <c r="N62" s="47" t="str">
        <f>'Event Tree Input'!C163</f>
        <v>Triangle</v>
      </c>
      <c r="O62" s="47"/>
      <c r="P62" s="47"/>
      <c r="S62" s="47">
        <v>6</v>
      </c>
      <c r="T62" s="47"/>
      <c r="U62" s="47" t="str">
        <f>IF('Event Tree Input'!$D$14="No","No",IF(AND('Event Tree Input'!$D$14="Yes",'Event Tree Input'!$D$11&gt;=S62),"Yes","No"))</f>
        <v>No</v>
      </c>
      <c r="V62" s="47"/>
      <c r="W62" s="47"/>
      <c r="X62" s="47" t="str">
        <f>'Event Tree Input'!$D$13</f>
        <v>Yes</v>
      </c>
      <c r="Y62" s="47"/>
      <c r="Z62" s="47"/>
    </row>
    <row r="63" spans="1:79" ht="15" customHeight="1" x14ac:dyDescent="0.2">
      <c r="I63" s="47">
        <v>7</v>
      </c>
      <c r="J63" s="47"/>
      <c r="K63" s="47" t="str">
        <f>'Event Tree Input'!B164</f>
        <v>Circle</v>
      </c>
      <c r="L63" s="47"/>
      <c r="M63" s="47"/>
      <c r="N63" s="47" t="str">
        <f>'Event Tree Input'!C164</f>
        <v>Triangle</v>
      </c>
      <c r="O63" s="47"/>
      <c r="P63" s="47"/>
      <c r="S63" s="47">
        <v>7</v>
      </c>
      <c r="T63" s="47"/>
      <c r="U63" s="47" t="str">
        <f>IF('Event Tree Input'!$D$14="No","No",IF(AND('Event Tree Input'!$D$14="Yes",'Event Tree Input'!$D$11&gt;=S63),"Yes","No"))</f>
        <v>No</v>
      </c>
      <c r="V63" s="47"/>
      <c r="W63" s="47"/>
      <c r="X63" s="47" t="str">
        <f>'Event Tree Input'!$D$13</f>
        <v>Yes</v>
      </c>
      <c r="Y63" s="47"/>
      <c r="Z63" s="47"/>
    </row>
    <row r="64" spans="1:79" ht="15" customHeight="1" x14ac:dyDescent="0.2">
      <c r="I64" s="47">
        <v>8</v>
      </c>
      <c r="J64" s="47"/>
      <c r="K64" s="47" t="str">
        <f>'Event Tree Input'!B165</f>
        <v>Circle</v>
      </c>
      <c r="L64" s="47"/>
      <c r="M64" s="47"/>
      <c r="N64" s="47" t="str">
        <f>'Event Tree Input'!C165</f>
        <v>Triangle</v>
      </c>
      <c r="O64" s="47"/>
      <c r="P64" s="47"/>
      <c r="S64" s="47">
        <v>8</v>
      </c>
      <c r="T64" s="47"/>
      <c r="U64" s="47" t="str">
        <f>IF('Event Tree Input'!$D$14="No","No",IF(AND('Event Tree Input'!$D$14="Yes",'Event Tree Input'!$D$11&gt;=S64),"Yes","No"))</f>
        <v>No</v>
      </c>
      <c r="V64" s="47"/>
      <c r="W64" s="47"/>
      <c r="X64" s="47" t="str">
        <f>'Event Tree Input'!$D$13</f>
        <v>Yes</v>
      </c>
      <c r="Y64" s="47"/>
      <c r="Z64" s="47"/>
    </row>
    <row r="65" spans="2:26" ht="15" customHeight="1" x14ac:dyDescent="0.2">
      <c r="I65" s="47">
        <v>9</v>
      </c>
      <c r="J65" s="47"/>
      <c r="K65" s="47" t="str">
        <f>'Event Tree Input'!B166</f>
        <v>Triangle</v>
      </c>
      <c r="L65" s="47"/>
      <c r="M65" s="47"/>
      <c r="N65" s="47" t="str">
        <f>'Event Tree Input'!C166</f>
        <v>Triangle</v>
      </c>
      <c r="O65" s="47"/>
      <c r="P65" s="47"/>
      <c r="S65" s="47">
        <v>9</v>
      </c>
      <c r="T65" s="47"/>
      <c r="U65" s="47" t="str">
        <f>IF('Event Tree Input'!$D$14="No","No",IF(AND('Event Tree Input'!$D$14="Yes",'Event Tree Input'!$D$11&gt;=S65),"Yes","No"))</f>
        <v>No</v>
      </c>
      <c r="V65" s="47"/>
      <c r="W65" s="47"/>
      <c r="X65" s="47" t="str">
        <f>'Event Tree Input'!$D$13</f>
        <v>Yes</v>
      </c>
      <c r="Y65" s="47"/>
      <c r="Z65" s="47"/>
    </row>
    <row r="67" spans="2:26" ht="15" customHeight="1" x14ac:dyDescent="0.2">
      <c r="B67" s="3" t="s">
        <v>37</v>
      </c>
      <c r="M67" s="12"/>
      <c r="N67" s="12"/>
      <c r="O67" s="12"/>
    </row>
    <row r="68" spans="2:26" ht="15" customHeight="1" x14ac:dyDescent="0.2">
      <c r="B68" s="44" t="str">
        <f>'Event Tree Input'!A27</f>
        <v>Node 1 Callout</v>
      </c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14"/>
    </row>
    <row r="69" spans="2:26" ht="15" customHeight="1" x14ac:dyDescent="0.2"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14"/>
    </row>
    <row r="70" spans="2:26" ht="15" customHeight="1" x14ac:dyDescent="0.2"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14"/>
      <c r="X70" s="15"/>
      <c r="Y70" s="14"/>
    </row>
    <row r="71" spans="2:26" ht="15" customHeight="1" x14ac:dyDescent="0.2"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14"/>
      <c r="X71" s="15"/>
      <c r="Y71" s="14"/>
    </row>
    <row r="72" spans="2:26" ht="15" customHeight="1" x14ac:dyDescent="0.2"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14"/>
      <c r="X72" s="15"/>
      <c r="Y72" s="14"/>
    </row>
    <row r="73" spans="2:26" ht="15" customHeight="1" x14ac:dyDescent="0.2"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38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4" t="str">
        <f>'Event Tree Input'!A41</f>
        <v>Node 2 Callout</v>
      </c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</row>
    <row r="77" spans="2:26" ht="15" customHeight="1" x14ac:dyDescent="0.2"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15"/>
      <c r="X77" s="15"/>
    </row>
    <row r="78" spans="2:26" ht="15" customHeight="1" x14ac:dyDescent="0.2"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15"/>
      <c r="X78" s="15"/>
    </row>
    <row r="79" spans="2:26" ht="15" customHeight="1" x14ac:dyDescent="0.2"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15"/>
      <c r="X79" s="15"/>
    </row>
    <row r="80" spans="2:26" ht="15" customHeight="1" x14ac:dyDescent="0.2"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15"/>
      <c r="X80" s="15"/>
    </row>
    <row r="81" spans="2:24" ht="15" customHeight="1" x14ac:dyDescent="0.2"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15"/>
      <c r="X81" s="15"/>
    </row>
    <row r="83" spans="2:24" ht="15" customHeight="1" x14ac:dyDescent="0.2">
      <c r="B83" s="3" t="s">
        <v>39</v>
      </c>
      <c r="M83" s="12"/>
      <c r="N83" s="12"/>
      <c r="O83" s="12"/>
    </row>
    <row r="84" spans="2:24" ht="15" customHeight="1" x14ac:dyDescent="0.2">
      <c r="B84" s="44" t="str">
        <f>'Event Tree Input'!A55</f>
        <v>Node 3 Callout</v>
      </c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</row>
    <row r="85" spans="2:24" ht="15" customHeight="1" x14ac:dyDescent="0.2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</row>
    <row r="86" spans="2:24" ht="15" customHeight="1" x14ac:dyDescent="0.2"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</row>
    <row r="87" spans="2:24" ht="15" customHeight="1" x14ac:dyDescent="0.2"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</row>
    <row r="88" spans="2:24" ht="15" customHeight="1" x14ac:dyDescent="0.2"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</row>
    <row r="89" spans="2:24" ht="15" customHeight="1" x14ac:dyDescent="0.2"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</row>
    <row r="91" spans="2:24" ht="15" customHeight="1" x14ac:dyDescent="0.2">
      <c r="B91" s="3" t="s">
        <v>40</v>
      </c>
      <c r="M91" s="12"/>
      <c r="N91" s="12"/>
      <c r="O91" s="12"/>
    </row>
    <row r="92" spans="2:24" ht="15" customHeight="1" x14ac:dyDescent="0.2">
      <c r="B92" s="44" t="str">
        <f>'Event Tree Input'!A69</f>
        <v>Node 4 Callout</v>
      </c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</row>
    <row r="93" spans="2:24" ht="15" customHeight="1" x14ac:dyDescent="0.2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</row>
    <row r="94" spans="2:24" ht="15" customHeight="1" x14ac:dyDescent="0.2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</row>
    <row r="95" spans="2:24" ht="15" customHeight="1" x14ac:dyDescent="0.2"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</row>
    <row r="96" spans="2:24" ht="15" customHeight="1" x14ac:dyDescent="0.2"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</row>
    <row r="97" spans="2:22" ht="15" customHeight="1" x14ac:dyDescent="0.2"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</row>
    <row r="99" spans="2:22" ht="15" customHeight="1" x14ac:dyDescent="0.2">
      <c r="B99" s="3" t="s">
        <v>41</v>
      </c>
      <c r="M99" s="12"/>
      <c r="N99" s="12"/>
      <c r="O99" s="12"/>
    </row>
    <row r="100" spans="2:22" ht="15" customHeight="1" x14ac:dyDescent="0.2">
      <c r="B100" s="44" t="str">
        <f>'Event Tree Input'!A83</f>
        <v>Node 5 Callout</v>
      </c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</row>
    <row r="101" spans="2:22" ht="15" customHeight="1" x14ac:dyDescent="0.2"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</row>
    <row r="102" spans="2:22" ht="15" customHeight="1" x14ac:dyDescent="0.2"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</row>
    <row r="103" spans="2:22" ht="15" customHeight="1" x14ac:dyDescent="0.2"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</row>
    <row r="104" spans="2:22" ht="15" customHeight="1" x14ac:dyDescent="0.2"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</row>
    <row r="105" spans="2:22" ht="15" customHeight="1" x14ac:dyDescent="0.2"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</row>
    <row r="107" spans="2:22" ht="15" customHeight="1" x14ac:dyDescent="0.2">
      <c r="B107" s="3" t="s">
        <v>42</v>
      </c>
      <c r="M107" s="12"/>
      <c r="N107" s="12"/>
      <c r="O107" s="12"/>
    </row>
    <row r="108" spans="2:22" ht="15" customHeight="1" x14ac:dyDescent="0.2">
      <c r="B108" s="44" t="str">
        <f>'Event Tree Input'!A97</f>
        <v>Node 6 Callout</v>
      </c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</row>
    <row r="109" spans="2:22" ht="15" customHeight="1" x14ac:dyDescent="0.2"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</row>
    <row r="110" spans="2:22" ht="15" customHeight="1" x14ac:dyDescent="0.2"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</row>
    <row r="111" spans="2:22" ht="15" customHeight="1" x14ac:dyDescent="0.2"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</row>
    <row r="112" spans="2:22" ht="15" customHeight="1" x14ac:dyDescent="0.2"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</row>
    <row r="113" spans="2:22" ht="15" customHeight="1" x14ac:dyDescent="0.2"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</row>
    <row r="115" spans="2:22" ht="15" customHeight="1" x14ac:dyDescent="0.2">
      <c r="B115" s="3" t="s">
        <v>43</v>
      </c>
      <c r="M115" s="12"/>
      <c r="N115" s="12"/>
      <c r="O115" s="12"/>
    </row>
    <row r="116" spans="2:22" ht="15" customHeight="1" x14ac:dyDescent="0.2">
      <c r="B116" s="44" t="str">
        <f>'Event Tree Input'!A111</f>
        <v>Node 7 Callout</v>
      </c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</row>
    <row r="117" spans="2:22" ht="15" customHeight="1" x14ac:dyDescent="0.2"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</row>
    <row r="118" spans="2:22" ht="15" customHeight="1" x14ac:dyDescent="0.2"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</row>
    <row r="119" spans="2:22" ht="15" customHeight="1" x14ac:dyDescent="0.2"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</row>
    <row r="120" spans="2:22" ht="15" customHeight="1" x14ac:dyDescent="0.2"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</row>
    <row r="121" spans="2:22" ht="15" customHeight="1" x14ac:dyDescent="0.2"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</row>
    <row r="123" spans="2:22" ht="15" customHeight="1" x14ac:dyDescent="0.2">
      <c r="B123" s="3" t="s">
        <v>44</v>
      </c>
      <c r="M123" s="12"/>
      <c r="N123" s="12"/>
      <c r="O123" s="12"/>
    </row>
    <row r="124" spans="2:22" ht="15" customHeight="1" x14ac:dyDescent="0.2">
      <c r="B124" s="44" t="str">
        <f>'Event Tree Input'!A125</f>
        <v>Node 8 Callout</v>
      </c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</row>
    <row r="125" spans="2:22" ht="15" customHeight="1" x14ac:dyDescent="0.2"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</row>
    <row r="126" spans="2:22" ht="15" customHeight="1" x14ac:dyDescent="0.2"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</row>
    <row r="127" spans="2:22" ht="15" customHeight="1" x14ac:dyDescent="0.2"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</row>
    <row r="128" spans="2:22" ht="15" customHeight="1" x14ac:dyDescent="0.2"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</row>
    <row r="129" spans="2:22" ht="15" customHeight="1" x14ac:dyDescent="0.2"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</row>
    <row r="131" spans="2:22" ht="15" customHeight="1" x14ac:dyDescent="0.2">
      <c r="B131" s="3" t="s">
        <v>45</v>
      </c>
      <c r="M131" s="12"/>
      <c r="N131" s="12"/>
      <c r="O131" s="12"/>
    </row>
    <row r="132" spans="2:22" ht="15" customHeight="1" x14ac:dyDescent="0.2">
      <c r="B132" s="44" t="str">
        <f>'Event Tree Input'!A139</f>
        <v>Node 9 Callout</v>
      </c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</row>
    <row r="133" spans="2:22" ht="15" customHeight="1" x14ac:dyDescent="0.2"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</row>
    <row r="134" spans="2:22" ht="15" customHeight="1" x14ac:dyDescent="0.2"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</row>
    <row r="135" spans="2:22" ht="15" customHeight="1" x14ac:dyDescent="0.2"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</row>
    <row r="136" spans="2:22" ht="15" customHeight="1" x14ac:dyDescent="0.2"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</row>
    <row r="137" spans="2:22" ht="15" customHeight="1" x14ac:dyDescent="0.2"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A45D3A8-52A6-4E7F-8AD4-9831513C7D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356AA1D-B2B8-4148-9938-40720819D1B2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f254aa9d-3c64-433e-b325-d6b94ca3f691"/>
    <ds:schemaRef ds:uri="http://purl.org/dc/terms/"/>
    <ds:schemaRef ds:uri="a8f80ecd-cddb-46c8-b263-c25672b580c6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A8D9F2C-4767-4260-A45C-ABEB2BE5433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2025-09-04T00:37:37Z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