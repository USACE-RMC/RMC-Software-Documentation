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ACE\OneDrive\Desktop\Typical Sub-Event Tree Database\Files For Website\Toolboxes\"/>
    </mc:Choice>
  </mc:AlternateContent>
  <xr:revisionPtr revIDLastSave="0" documentId="13_ncr:1_{E76FAAE9-C2A2-4418-A32E-823F057B28F3}" xr6:coauthVersionLast="47" xr6:coauthVersionMax="47" xr10:uidLastSave="{00000000-0000-0000-0000-000000000000}"/>
  <bookViews>
    <workbookView xWindow="-120" yWindow="-120" windowWidth="38640" windowHeight="21120" xr2:uid="{A7905DFA-89CE-48F4-B388-E61921010955}"/>
  </bookViews>
  <sheets>
    <sheet name="Event Tree Input" sheetId="2" r:id="rId1"/>
    <sheet name="Event Tree" sheetId="14" r:id="rId2"/>
  </sheets>
  <definedNames>
    <definedName name="_AtRisk_SimSetting_AutomaticallyGenerateReports" hidden="1">FALSE</definedName>
    <definedName name="_AtRisk_SimSetting_AutomaticResultsDisplayMode" hidden="1">2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GoalSeekTargetValue" hidden="1">0</definedName>
    <definedName name="_AtRisk_SimSetting_LiveUpdate" hidden="1">TRUE</definedName>
    <definedName name="_AtRisk_SimSetting_LiveUpdatePeriod" hidden="1">-1</definedName>
    <definedName name="_AtRisk_SimSetting_MacroMode" hidden="1">0</definedName>
    <definedName name="_AtRisk_SimSetting_MacroRecalculationBehavior" hidden="1">0</definedName>
    <definedName name="_AtRisk_SimSetting_MaxAutoIterations" hidden="1">50000</definedName>
    <definedName name="_AtRisk_SimSetting_MultipleCPUCount" hidden="1">-1</definedName>
    <definedName name="_AtRisk_SimSetting_MultipleCPUManualCount" hidden="1">8</definedName>
    <definedName name="_AtRisk_SimSetting_MultipleCPUMode" hidden="1">2</definedName>
    <definedName name="_AtRisk_SimSetting_MultipleCPUModeV8" hidden="1">2</definedName>
    <definedName name="_AtRisk_SimSetting_RandomNumberGenerator" hidden="1">0</definedName>
    <definedName name="_AtRisk_SimSetting_ReportOptionCustomItemsCount" hidden="1">0</definedName>
    <definedName name="_AtRisk_SimSetting_ReportOptionDataMode" hidden="1">1</definedName>
    <definedName name="_AtRisk_SimSetting_ReportOptionReportMultiSimType" hidden="1">1</definedName>
    <definedName name="_AtRisk_SimSetting_ReportOptionReportPlacement" hidden="1">1</definedName>
    <definedName name="_AtRisk_SimSetting_ReportOptionReportSelection" hidden="1">0</definedName>
    <definedName name="_AtRisk_SimSetting_ReportOptionReportsFileType" hidden="1">1</definedName>
    <definedName name="_AtRisk_SimSetting_ReportOptionReportStyle" hidden="1">1</definedName>
    <definedName name="_AtRisk_SimSetting_ReportOptionSelectiveQR" hidden="1">FALSE</definedName>
    <definedName name="_AtRisk_SimSetting_ReportsList" hidden="1">0</definedName>
    <definedName name="_AtRisk_SimSetting_ShowSimulationProgressWindow" hidden="1">TRUE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ActiveSimulationNumber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Callouts">'Event Tree'!$V$55</definedName>
    <definedName name="ConsIncRef1">#REF!</definedName>
    <definedName name="ConsIncRef2">#REF!</definedName>
    <definedName name="ConsNBRef1">#REF!</definedName>
    <definedName name="ConsNBRef2">#REF!</definedName>
    <definedName name="N1B1Shape">'Event Tree'!$K$57</definedName>
    <definedName name="N1B2Shape">'Event Tree'!$N$57</definedName>
    <definedName name="N1Call">'Event Tree'!$U$57</definedName>
    <definedName name="N1CallText">'Event Tree'!$B$68</definedName>
    <definedName name="N1Name">'Event Tree'!$X$57</definedName>
    <definedName name="N2B1Shape">'Event Tree'!$K$58</definedName>
    <definedName name="N2B2Shape">'Event Tree'!$N$58</definedName>
    <definedName name="N2Call">'Event Tree'!$U$58</definedName>
    <definedName name="N2CallText">'Event Tree'!$B$76</definedName>
    <definedName name="N2Name">'Event Tree'!$X$58</definedName>
    <definedName name="N3B1Shape">'Event Tree'!$K$59</definedName>
    <definedName name="N3B2Shape">'Event Tree'!$N$59</definedName>
    <definedName name="N3Call">'Event Tree'!$U$59</definedName>
    <definedName name="N3CallText">'Event Tree'!$B$84</definedName>
    <definedName name="N3Name">'Event Tree'!$X$59</definedName>
    <definedName name="N4B1Shape">'Event Tree'!$K$60</definedName>
    <definedName name="N4B2Shape">'Event Tree'!$N$60</definedName>
    <definedName name="N4Call">'Event Tree'!$U$60</definedName>
    <definedName name="N4CallText">'Event Tree'!$B$92</definedName>
    <definedName name="N4Name">'Event Tree'!$X$60</definedName>
    <definedName name="N5B1Shape">'Event Tree'!$K$61</definedName>
    <definedName name="N5B2Shape">'Event Tree'!$N$61</definedName>
    <definedName name="N5Call">'Event Tree'!$U$61</definedName>
    <definedName name="N5CallText">'Event Tree'!$B$100</definedName>
    <definedName name="N5Name">'Event Tree'!$X$61</definedName>
    <definedName name="N6B1Shape">'Event Tree'!$K$62</definedName>
    <definedName name="N6B2Shape">'Event Tree'!$N$62</definedName>
    <definedName name="N6Call">'Event Tree'!$U$62</definedName>
    <definedName name="N6CallText">'Event Tree'!$B$108</definedName>
    <definedName name="N6Name">'Event Tree'!$X$62</definedName>
    <definedName name="N7B1Shape">'Event Tree'!$K$63</definedName>
    <definedName name="N7B2Shape">'Event Tree'!$N$63</definedName>
    <definedName name="N7Call">'Event Tree'!$U$63</definedName>
    <definedName name="N7CallText">'Event Tree'!$B$116</definedName>
    <definedName name="N7Name">'Event Tree'!$X$63</definedName>
    <definedName name="N8B1Shape">'Event Tree'!$K$64</definedName>
    <definedName name="N8B2Shape">'Event Tree'!$N$64</definedName>
    <definedName name="N8Call">'Event Tree'!$U$64</definedName>
    <definedName name="N8CallText">'Event Tree'!$B$124</definedName>
    <definedName name="N8Name">'Event Tree'!$X$64</definedName>
    <definedName name="N9B1Shape">'Event Tree'!$K$65</definedName>
    <definedName name="N9B2Shape">'Event Tree'!$N$65</definedName>
    <definedName name="N9Call">'Event Tree'!$U$65</definedName>
    <definedName name="N9CallText">'Event Tree'!$B$132</definedName>
    <definedName name="N9Name">'Event Tree'!$X$65</definedName>
    <definedName name="Oval_Reference">#REF!</definedName>
    <definedName name="Pal_Workbook_GUID" hidden="1">"BP4PZSBBT3IIB14AVDRCTAYA"</definedName>
    <definedName name="_xlnm.Print_Area" localSheetId="1">'Event Tree'!$A$1:$CA$52</definedName>
    <definedName name="_xlnm.Print_Area" localSheetId="0">'Event Tree Input'!$A$1:$H$143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8</definedName>
    <definedName name="RiskMinimizeOnStart" hidden="1">FALSE</definedName>
    <definedName name="RiskMonitorConvergence" hidden="1">FALSE</definedName>
    <definedName name="RiskMultipleCPUSupportEnabled" hidden="1">FALSE</definedName>
    <definedName name="RiskNumIterations" hidden="1">10000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electedCell" hidden="1">"$B$62"</definedName>
    <definedName name="RiskSelectedNameCell1" hidden="1">"$A$62"</definedName>
    <definedName name="RiskSelectedNameCell2" hidden="1">"$B$49"</definedName>
    <definedName name="RiskSimulationResultsStorageLocation" hidden="1">"2"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FALSE</definedName>
    <definedName name="SeismicLoad">'Event Tree'!$F$55</definedName>
    <definedName name="test" hidden="1">5</definedName>
    <definedName name="Toolbox_Name">#REF!</definedName>
    <definedName name="Toolbox_Suite">#REF!</definedName>
    <definedName name="Toolbox_Version">#REF!</definedName>
    <definedName name="Triangle_Referenc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36" i="14" l="1"/>
  <c r="B36" i="14" l="1"/>
  <c r="F55" i="14"/>
  <c r="B132" i="14" l="1"/>
  <c r="B124" i="14"/>
  <c r="B116" i="14"/>
  <c r="B108" i="14"/>
  <c r="B100" i="14"/>
  <c r="B92" i="14"/>
  <c r="B84" i="14"/>
  <c r="B76" i="14"/>
  <c r="B68" i="14" l="1"/>
  <c r="X58" i="14" l="1"/>
  <c r="X59" i="14"/>
  <c r="X60" i="14"/>
  <c r="X61" i="14"/>
  <c r="X62" i="14"/>
  <c r="X63" i="14"/>
  <c r="X64" i="14"/>
  <c r="X65" i="14"/>
  <c r="X57" i="14"/>
  <c r="U58" i="14" l="1"/>
  <c r="U59" i="14"/>
  <c r="U60" i="14"/>
  <c r="U61" i="14"/>
  <c r="U62" i="14"/>
  <c r="U63" i="14"/>
  <c r="U64" i="14"/>
  <c r="U65" i="14"/>
  <c r="U57" i="14"/>
  <c r="B158" i="2" l="1"/>
  <c r="C159" i="2" l="1"/>
  <c r="C160" i="2"/>
  <c r="C161" i="2"/>
  <c r="C162" i="2"/>
  <c r="C163" i="2"/>
  <c r="C164" i="2"/>
  <c r="C165" i="2"/>
  <c r="C166" i="2"/>
  <c r="C158" i="2"/>
  <c r="B159" i="2"/>
  <c r="B160" i="2"/>
  <c r="B161" i="2"/>
  <c r="B162" i="2"/>
  <c r="B163" i="2"/>
  <c r="B164" i="2"/>
  <c r="B165" i="2"/>
  <c r="B166" i="2"/>
  <c r="K64" i="14" l="1"/>
  <c r="N65" i="14"/>
  <c r="K63" i="14"/>
  <c r="N64" i="14"/>
  <c r="K62" i="14"/>
  <c r="N63" i="14"/>
  <c r="K61" i="14"/>
  <c r="N62" i="14"/>
  <c r="K60" i="14"/>
  <c r="N61" i="14"/>
  <c r="K59" i="14"/>
  <c r="N60" i="14"/>
  <c r="K57" i="14"/>
  <c r="K58" i="14"/>
  <c r="N59" i="14"/>
  <c r="K65" i="14"/>
  <c r="N57" i="14"/>
  <c r="N58" i="14"/>
</calcChain>
</file>

<file path=xl/sharedStrings.xml><?xml version="1.0" encoding="utf-8"?>
<sst xmlns="http://schemas.openxmlformats.org/spreadsheetml/2006/main" count="132" uniqueCount="65">
  <si>
    <t>Node 1</t>
  </si>
  <si>
    <t>Node 2</t>
  </si>
  <si>
    <t>Node 3</t>
  </si>
  <si>
    <t>Node 4</t>
  </si>
  <si>
    <t>Node 5</t>
  </si>
  <si>
    <t>Node 6</t>
  </si>
  <si>
    <t>Node 7</t>
  </si>
  <si>
    <t>Node 9</t>
  </si>
  <si>
    <t>Prepared by:</t>
  </si>
  <si>
    <t>Office:</t>
  </si>
  <si>
    <t>Date:</t>
  </si>
  <si>
    <t>Checked by:</t>
  </si>
  <si>
    <t>Calculation Title:</t>
  </si>
  <si>
    <t>Number of event tree nodes</t>
  </si>
  <si>
    <t>◄ Use drop-down list.</t>
  </si>
  <si>
    <t>Yes</t>
  </si>
  <si>
    <t>No</t>
  </si>
  <si>
    <t>Node</t>
  </si>
  <si>
    <t>Event Tree Input</t>
  </si>
  <si>
    <t>Caution: Do not delete any of the following rows.</t>
  </si>
  <si>
    <t xml:space="preserve">Node 8 </t>
  </si>
  <si>
    <t>Initiating event</t>
  </si>
  <si>
    <t>Shape</t>
  </si>
  <si>
    <t>Branch 1</t>
  </si>
  <si>
    <t>Branch 2</t>
  </si>
  <si>
    <t>Event Tree</t>
  </si>
  <si>
    <t>Include nodal callouts?</t>
  </si>
  <si>
    <t>Callouts</t>
  </si>
  <si>
    <t>Other</t>
  </si>
  <si>
    <t>Names</t>
  </si>
  <si>
    <t>Step 2: Define node-specific information</t>
  </si>
  <si>
    <t>Step 1: Characterize the event tree</t>
  </si>
  <si>
    <t>Node 8</t>
  </si>
  <si>
    <t>Event Description</t>
  </si>
  <si>
    <t>Title</t>
  </si>
  <si>
    <t>Node 9 Title</t>
  </si>
  <si>
    <t>Callout</t>
  </si>
  <si>
    <t>Include node titles?</t>
  </si>
  <si>
    <t>Node 1 Callout</t>
  </si>
  <si>
    <t>Node 2 Callout</t>
  </si>
  <si>
    <t>Node 3 Callout</t>
  </si>
  <si>
    <t>Node 4 Callout</t>
  </si>
  <si>
    <t>Node 5 Callout</t>
  </si>
  <si>
    <t>Node 6 Callout</t>
  </si>
  <si>
    <t>Node 7 Callout</t>
  </si>
  <si>
    <t>Node 8 Callout</t>
  </si>
  <si>
    <t>Node 9 Callout</t>
  </si>
  <si>
    <t>◄ When nodal callouts are on, adjust text boxes and arrows as necessary.</t>
  </si>
  <si>
    <t>Description</t>
  </si>
  <si>
    <t>Max Char.</t>
  </si>
  <si>
    <t>Node 8 Title</t>
  </si>
  <si>
    <t>Node 8 Description</t>
  </si>
  <si>
    <t>Node 9 Description</t>
  </si>
  <si>
    <t>◄ See directions for copy and paste in the 'Event Tree Input' worksheet.</t>
  </si>
  <si>
    <t>◄ To change arrow type, right click the arrow and hover over "Connector Types."</t>
  </si>
  <si>
    <t>Seismic Hazard</t>
  </si>
  <si>
    <t>Detection and intervention are unsuccessful?</t>
  </si>
  <si>
    <t>◄ If using copy/paste, paste values only to preserve conditional formatting.</t>
  </si>
  <si>
    <t>Hydrologic Hazard</t>
  </si>
  <si>
    <t>A head difference occurs across the wall creating a driving lateral force applied to the wall?</t>
  </si>
  <si>
    <t>The driving lateral force exerts an overturning moment about the base of the wall?</t>
  </si>
  <si>
    <t>The wall starts to overturn when the heel lifts off the foundation?</t>
  </si>
  <si>
    <t>Water enters the gap beneath the footing and causes increased uplift pressure and overturning moment?</t>
  </si>
  <si>
    <t>The wall completely overturns leading to a full breach?</t>
  </si>
  <si>
    <t>The driving force increases and exceeds the resisting overturning moment?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</si>
</sst>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/d/yyyy;@"/>
  </numFmts>
  <fonts count="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u/>
      <sz val="10"/>
      <color theme="1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  <font>
      <b/>
      <u/>
      <sz val="10"/>
      <color theme="1"/>
      <name val="Arial"/>
      <family val="2"/>
    </font>
    <font>
      <sz val="11"/>
      <color rgb="FF00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EF334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1" fillId="0" borderId="0"/>
    <xf numFmtId="0" fontId="4" fillId="0" borderId="0"/>
    <xf numFmtId="0" fontId="4" fillId="0" borderId="0"/>
  </cellStyleXfs>
  <cellXfs count="54">
    <xf numFmtId="0" fontId="0" fillId="0" borderId="0" xfId="0"/>
    <xf numFmtId="0" fontId="2" fillId="3" borderId="0" xfId="2" applyFont="1" applyFill="1"/>
    <xf numFmtId="0" fontId="5" fillId="0" borderId="0" xfId="0" applyFont="1"/>
    <xf numFmtId="0" fontId="4" fillId="0" borderId="0" xfId="0" applyFont="1"/>
    <xf numFmtId="0" fontId="4" fillId="2" borderId="0" xfId="0" applyFont="1" applyFill="1"/>
    <xf numFmtId="0" fontId="4" fillId="5" borderId="2" xfId="0" applyFont="1" applyFill="1" applyBorder="1" applyAlignment="1" applyProtection="1">
      <alignment horizontal="left"/>
      <protection locked="0"/>
    </xf>
    <xf numFmtId="0" fontId="4" fillId="2" borderId="0" xfId="0" applyFont="1" applyFill="1" applyAlignment="1">
      <alignment vertical="center"/>
    </xf>
    <xf numFmtId="0" fontId="6" fillId="2" borderId="0" xfId="0" applyFont="1" applyFill="1"/>
    <xf numFmtId="0" fontId="1" fillId="0" borderId="0" xfId="2"/>
    <xf numFmtId="0" fontId="4" fillId="0" borderId="0" xfId="0" applyFont="1" applyAlignment="1">
      <alignment horizontal="center"/>
    </xf>
    <xf numFmtId="0" fontId="2" fillId="2" borderId="0" xfId="2" applyFont="1" applyFill="1" applyAlignment="1">
      <alignment horizontal="left"/>
    </xf>
    <xf numFmtId="0" fontId="1" fillId="2" borderId="0" xfId="2" applyFill="1" applyAlignment="1">
      <alignment wrapText="1"/>
    </xf>
    <xf numFmtId="0" fontId="4" fillId="2" borderId="0" xfId="0" applyFont="1" applyFill="1" applyAlignment="1">
      <alignment wrapText="1"/>
    </xf>
    <xf numFmtId="0" fontId="4" fillId="2" borderId="3" xfId="0" applyFont="1" applyFill="1" applyBorder="1"/>
    <xf numFmtId="0" fontId="4" fillId="2" borderId="1" xfId="0" applyFont="1" applyFill="1" applyBorder="1"/>
    <xf numFmtId="0" fontId="4" fillId="2" borderId="0" xfId="0" applyFont="1" applyFill="1" applyAlignment="1">
      <alignment vertical="top" wrapText="1"/>
    </xf>
    <xf numFmtId="0" fontId="4" fillId="2" borderId="5" xfId="0" applyFont="1" applyFill="1" applyBorder="1"/>
    <xf numFmtId="0" fontId="4" fillId="2" borderId="2" xfId="0" applyFont="1" applyFill="1" applyBorder="1"/>
    <xf numFmtId="0" fontId="4" fillId="2" borderId="4" xfId="0" applyFont="1" applyFill="1" applyBorder="1"/>
    <xf numFmtId="0" fontId="1" fillId="2" borderId="0" xfId="2" applyFill="1"/>
    <xf numFmtId="0" fontId="4" fillId="2" borderId="0" xfId="0" applyFont="1" applyFill="1" applyAlignment="1">
      <alignment horizontal="left" vertical="top" wrapText="1"/>
    </xf>
    <xf numFmtId="0" fontId="4" fillId="2" borderId="0" xfId="8" applyFill="1" applyAlignment="1" applyProtection="1">
      <alignment vertical="top" wrapText="1"/>
      <protection locked="0"/>
    </xf>
    <xf numFmtId="0" fontId="4" fillId="2" borderId="0" xfId="0" applyFont="1" applyFill="1" applyAlignment="1">
      <alignment vertical="center" wrapText="1"/>
    </xf>
    <xf numFmtId="0" fontId="1" fillId="2" borderId="0" xfId="2" applyFill="1" applyAlignment="1">
      <alignment vertical="center" wrapText="1"/>
    </xf>
    <xf numFmtId="0" fontId="4" fillId="2" borderId="0" xfId="0" applyFont="1" applyFill="1" applyAlignment="1">
      <alignment horizontal="right"/>
    </xf>
    <xf numFmtId="0" fontId="4" fillId="0" borderId="0" xfId="0" applyFont="1" applyAlignment="1">
      <alignment vertical="center"/>
    </xf>
    <xf numFmtId="0" fontId="4" fillId="2" borderId="4" xfId="0" applyFont="1" applyFill="1" applyBorder="1" applyAlignment="1">
      <alignment vertical="center" wrapText="1"/>
    </xf>
    <xf numFmtId="0" fontId="4" fillId="2" borderId="2" xfId="0" applyFont="1" applyFill="1" applyBorder="1" applyAlignment="1">
      <alignment vertical="center" wrapText="1"/>
    </xf>
    <xf numFmtId="0" fontId="7" fillId="0" borderId="0" xfId="0" applyFont="1"/>
    <xf numFmtId="0" fontId="4" fillId="0" borderId="0" xfId="0" applyFont="1" applyAlignment="1">
      <alignment vertical="top" wrapText="1"/>
    </xf>
    <xf numFmtId="0" fontId="1" fillId="0" borderId="0" xfId="0" applyFont="1" applyAlignment="1">
      <alignment vertical="top" wrapText="1"/>
    </xf>
    <xf numFmtId="0" fontId="2" fillId="2" borderId="0" xfId="2" applyFont="1" applyFill="1"/>
    <xf numFmtId="0" fontId="1" fillId="0" borderId="0" xfId="0" applyFont="1"/>
    <xf numFmtId="0" fontId="1" fillId="4" borderId="0" xfId="8" applyFont="1" applyFill="1" applyAlignment="1">
      <alignment vertical="center"/>
    </xf>
    <xf numFmtId="0" fontId="1" fillId="4" borderId="0" xfId="8" applyFont="1" applyFill="1" applyAlignment="1">
      <alignment horizontal="right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1" fillId="2" borderId="0" xfId="8" applyFont="1" applyFill="1" applyAlignment="1">
      <alignment horizontal="right" vertical="center"/>
    </xf>
    <xf numFmtId="164" fontId="4" fillId="5" borderId="2" xfId="8" applyNumberFormat="1" applyFill="1" applyBorder="1" applyAlignment="1" applyProtection="1">
      <alignment horizontal="left" vertical="center"/>
      <protection locked="0"/>
    </xf>
    <xf numFmtId="0" fontId="1" fillId="2" borderId="0" xfId="0" applyFont="1" applyFill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4" fillId="5" borderId="0" xfId="8" applyFill="1" applyAlignment="1" applyProtection="1">
      <alignment horizontal="left" vertical="top" wrapText="1"/>
      <protection locked="0"/>
    </xf>
    <xf numFmtId="0" fontId="4" fillId="0" borderId="0" xfId="0" applyFont="1" applyAlignment="1">
      <alignment horizontal="center" vertical="center"/>
    </xf>
    <xf numFmtId="0" fontId="4" fillId="5" borderId="2" xfId="8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 vertical="center"/>
      <protection locked="0"/>
    </xf>
    <xf numFmtId="0" fontId="4" fillId="5" borderId="2" xfId="0" applyFont="1" applyFill="1" applyBorder="1" applyAlignment="1" applyProtection="1">
      <alignment horizontal="left"/>
      <protection locked="0"/>
    </xf>
    <xf numFmtId="0" fontId="1" fillId="2" borderId="0" xfId="8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0" xfId="8" applyFont="1" applyFill="1" applyAlignment="1">
      <alignment horizontal="right" vertical="center"/>
    </xf>
    <xf numFmtId="0" fontId="4" fillId="5" borderId="6" xfId="8" applyFill="1" applyBorder="1" applyAlignment="1" applyProtection="1">
      <alignment horizontal="left" vertical="center"/>
      <protection locked="0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horizontal="center"/>
    </xf>
    <xf numFmtId="0" fontId="4" fillId="2" borderId="0" xfId="0" applyFont="1" applyFill="1" applyAlignment="1">
      <alignment horizontal="center" vertical="center"/>
    </xf>
    <xf numFmtId="0" fontId="2" fillId="3" borderId="0" xfId="2" applyFont="1" applyFill="1" applyAlignment="1">
      <alignment horizontal="left"/>
    </xf>
    <xf numFmtId="0" fontId="2" fillId="3" borderId="0" xfId="2" applyFont="1" applyFill="1" applyAlignment="1">
      <alignment horizontal="left" vertical="center"/>
    </xf>
  </cellXfs>
  <cellStyles count="9">
    <cellStyle name="Hyperlink 2" xfId="4" xr:uid="{CECC2427-518E-4A69-BA07-57DF917B3191}"/>
    <cellStyle name="Normal" xfId="0" builtinId="0"/>
    <cellStyle name="Normal 2" xfId="2" xr:uid="{98A43E53-164E-4960-A2BB-317B0FCC08DE}"/>
    <cellStyle name="Normal 4" xfId="8" xr:uid="{B0BBEBA6-8E01-43A5-B311-A787C063FA15}"/>
    <cellStyle name="Normal 4 2" xfId="1" xr:uid="{E863137D-D914-421F-9112-0DB88FB197AA}"/>
    <cellStyle name="Normal 4 2 2" xfId="3" xr:uid="{D0C4138F-867E-49CF-980C-BB3ED14E5459}"/>
    <cellStyle name="Normal 6 2" xfId="6" xr:uid="{E2DCF6FD-4360-4E5F-B09D-F17EE2582376}"/>
    <cellStyle name="Normal 7" xfId="5" xr:uid="{529FF831-DFC4-410A-B18C-A3EB37ECB8E4}"/>
    <cellStyle name="Normal 7 2" xfId="7" xr:uid="{3D0251A6-0FFC-40EA-9794-273AB05A343E}"/>
  </cellStyles>
  <dxfs count="22">
    <dxf>
      <border>
        <bottom style="thin">
          <color auto="1"/>
        </bottom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0070C0"/>
      <color rgb="FFFFFF99"/>
      <color rgb="FF00FFFF"/>
      <color rgb="FF00B050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19</xdr:row>
      <xdr:rowOff>0</xdr:rowOff>
    </xdr:from>
    <xdr:to>
      <xdr:col>23</xdr:col>
      <xdr:colOff>687366</xdr:colOff>
      <xdr:row>51</xdr:row>
      <xdr:rowOff>29237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772275" y="3009900"/>
          <a:ext cx="11222016" cy="474411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28575</xdr:colOff>
      <xdr:row>31</xdr:row>
      <xdr:rowOff>142874</xdr:rowOff>
    </xdr:from>
    <xdr:to>
      <xdr:col>21</xdr:col>
      <xdr:colOff>161925</xdr:colOff>
      <xdr:row>34</xdr:row>
      <xdr:rowOff>66293</xdr:rowOff>
    </xdr:to>
    <xdr:sp macro="" textlink="'Event Tree Input'!A21">
      <xdr:nvSpPr>
        <xdr:cNvPr id="41" name="N1Title" hidden="1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 txBox="1"/>
      </xdr:nvSpPr>
      <xdr:spPr>
        <a:xfrm>
          <a:off x="3028950" y="554354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69D4AF6-D54C-4C42-BAA3-52B69276E52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22</xdr:col>
      <xdr:colOff>28575</xdr:colOff>
      <xdr:row>28</xdr:row>
      <xdr:rowOff>142874</xdr:rowOff>
    </xdr:from>
    <xdr:to>
      <xdr:col>28</xdr:col>
      <xdr:colOff>161925</xdr:colOff>
      <xdr:row>31</xdr:row>
      <xdr:rowOff>66293</xdr:rowOff>
    </xdr:to>
    <xdr:sp macro="" textlink="'Event Tree Input'!A35">
      <xdr:nvSpPr>
        <xdr:cNvPr id="77" name="N2Title" hidden="1">
          <a:extLst>
            <a:ext uri="{FF2B5EF4-FFF2-40B4-BE49-F238E27FC236}">
              <a16:creationId xmlns:a16="http://schemas.microsoft.com/office/drawing/2014/main" id="{00000000-0008-0000-0600-00004D000000}"/>
            </a:ext>
          </a:extLst>
        </xdr:cNvPr>
        <xdr:cNvSpPr txBox="1"/>
      </xdr:nvSpPr>
      <xdr:spPr>
        <a:xfrm>
          <a:off x="4429125" y="5000624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B6492B0-02BB-4554-A758-C17D85B9CE1A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29</xdr:col>
      <xdr:colOff>38100</xdr:colOff>
      <xdr:row>25</xdr:row>
      <xdr:rowOff>142874</xdr:rowOff>
    </xdr:from>
    <xdr:to>
      <xdr:col>35</xdr:col>
      <xdr:colOff>171450</xdr:colOff>
      <xdr:row>28</xdr:row>
      <xdr:rowOff>66293</xdr:rowOff>
    </xdr:to>
    <xdr:sp macro="" textlink="'Event Tree Input'!A49">
      <xdr:nvSpPr>
        <xdr:cNvPr id="79" name="N3Title" hidden="1">
          <a:extLst>
            <a:ext uri="{FF2B5EF4-FFF2-40B4-BE49-F238E27FC236}">
              <a16:creationId xmlns:a16="http://schemas.microsoft.com/office/drawing/2014/main" id="{00000000-0008-0000-0600-00004F000000}"/>
            </a:ext>
          </a:extLst>
        </xdr:cNvPr>
        <xdr:cNvSpPr txBox="1"/>
      </xdr:nvSpPr>
      <xdr:spPr>
        <a:xfrm>
          <a:off x="5838825" y="4457699"/>
          <a:ext cx="1333500" cy="466344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432F4AB-A9CC-44FA-8435-8EB20B29818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36</xdr:col>
      <xdr:colOff>9524</xdr:colOff>
      <xdr:row>22</xdr:row>
      <xdr:rowOff>152399</xdr:rowOff>
    </xdr:from>
    <xdr:to>
      <xdr:col>43</xdr:col>
      <xdr:colOff>0</xdr:colOff>
      <xdr:row>26</xdr:row>
      <xdr:rowOff>1</xdr:rowOff>
    </xdr:to>
    <xdr:sp macro="" textlink="'Event Tree Input'!A63">
      <xdr:nvSpPr>
        <xdr:cNvPr id="83" name="N4Title" hidden="1">
          <a:extLst>
            <a:ext uri="{FF2B5EF4-FFF2-40B4-BE49-F238E27FC236}">
              <a16:creationId xmlns:a16="http://schemas.microsoft.com/office/drawing/2014/main" id="{00000000-0008-0000-0600-000053000000}"/>
            </a:ext>
          </a:extLst>
        </xdr:cNvPr>
        <xdr:cNvSpPr txBox="1"/>
      </xdr:nvSpPr>
      <xdr:spPr>
        <a:xfrm>
          <a:off x="7210424" y="4343399"/>
          <a:ext cx="1390651" cy="609602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2242954-56BB-4181-A758-985516CDAE9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43</xdr:col>
      <xdr:colOff>28575</xdr:colOff>
      <xdr:row>19</xdr:row>
      <xdr:rowOff>142874</xdr:rowOff>
    </xdr:from>
    <xdr:to>
      <xdr:col>49</xdr:col>
      <xdr:colOff>161925</xdr:colOff>
      <xdr:row>22</xdr:row>
      <xdr:rowOff>66674</xdr:rowOff>
    </xdr:to>
    <xdr:sp macro="" textlink="'Event Tree Input'!A77">
      <xdr:nvSpPr>
        <xdr:cNvPr id="84" name="N5Title" hidden="1">
          <a:extLst>
            <a:ext uri="{FF2B5EF4-FFF2-40B4-BE49-F238E27FC236}">
              <a16:creationId xmlns:a16="http://schemas.microsoft.com/office/drawing/2014/main" id="{00000000-0008-0000-0600-000054000000}"/>
            </a:ext>
          </a:extLst>
        </xdr:cNvPr>
        <xdr:cNvSpPr txBox="1"/>
      </xdr:nvSpPr>
      <xdr:spPr>
        <a:xfrm>
          <a:off x="8629650" y="33718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FD8FC2-940D-4A8B-A1DA-5B0F3683FF9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50</xdr:col>
      <xdr:colOff>28575</xdr:colOff>
      <xdr:row>16</xdr:row>
      <xdr:rowOff>142874</xdr:rowOff>
    </xdr:from>
    <xdr:to>
      <xdr:col>56</xdr:col>
      <xdr:colOff>161925</xdr:colOff>
      <xdr:row>19</xdr:row>
      <xdr:rowOff>66674</xdr:rowOff>
    </xdr:to>
    <xdr:sp macro="" textlink="'Event Tree Input'!A91">
      <xdr:nvSpPr>
        <xdr:cNvPr id="85" name="N6Title" hidden="1">
          <a:extLst>
            <a:ext uri="{FF2B5EF4-FFF2-40B4-BE49-F238E27FC236}">
              <a16:creationId xmlns:a16="http://schemas.microsoft.com/office/drawing/2014/main" id="{00000000-0008-0000-0600-000055000000}"/>
            </a:ext>
          </a:extLst>
        </xdr:cNvPr>
        <xdr:cNvSpPr txBox="1"/>
      </xdr:nvSpPr>
      <xdr:spPr>
        <a:xfrm>
          <a:off x="10029825" y="282892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BD80564-05C4-4A01-8758-FE0FD55DE67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57</xdr:col>
      <xdr:colOff>28575</xdr:colOff>
      <xdr:row>13</xdr:row>
      <xdr:rowOff>142874</xdr:rowOff>
    </xdr:from>
    <xdr:to>
      <xdr:col>63</xdr:col>
      <xdr:colOff>161925</xdr:colOff>
      <xdr:row>16</xdr:row>
      <xdr:rowOff>66674</xdr:rowOff>
    </xdr:to>
    <xdr:sp macro="" textlink="'Event Tree Input'!A105">
      <xdr:nvSpPr>
        <xdr:cNvPr id="91" name="N7Title" hidden="1">
          <a:extLst>
            <a:ext uri="{FF2B5EF4-FFF2-40B4-BE49-F238E27FC236}">
              <a16:creationId xmlns:a16="http://schemas.microsoft.com/office/drawing/2014/main" id="{00000000-0008-0000-0600-00005B000000}"/>
            </a:ext>
          </a:extLst>
        </xdr:cNvPr>
        <xdr:cNvSpPr txBox="1"/>
      </xdr:nvSpPr>
      <xdr:spPr>
        <a:xfrm>
          <a:off x="11430000" y="228599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47451A5-1A1F-4D6F-ADCB-5853D3B37F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 </a:t>
          </a:fld>
          <a:endParaRPr lang="en-US" sz="1100"/>
        </a:p>
      </xdr:txBody>
    </xdr:sp>
    <xdr:clientData/>
  </xdr:twoCellAnchor>
  <xdr:twoCellAnchor>
    <xdr:from>
      <xdr:col>64</xdr:col>
      <xdr:colOff>28575</xdr:colOff>
      <xdr:row>10</xdr:row>
      <xdr:rowOff>123824</xdr:rowOff>
    </xdr:from>
    <xdr:to>
      <xdr:col>70</xdr:col>
      <xdr:colOff>161925</xdr:colOff>
      <xdr:row>13</xdr:row>
      <xdr:rowOff>66674</xdr:rowOff>
    </xdr:to>
    <xdr:sp macro="" textlink="'Event Tree Input'!A119">
      <xdr:nvSpPr>
        <xdr:cNvPr id="92" name="N8Title" hidden="1">
          <a:extLst>
            <a:ext uri="{FF2B5EF4-FFF2-40B4-BE49-F238E27FC236}">
              <a16:creationId xmlns:a16="http://schemas.microsoft.com/office/drawing/2014/main" id="{00000000-0008-0000-0600-00005C000000}"/>
            </a:ext>
          </a:extLst>
        </xdr:cNvPr>
        <xdr:cNvSpPr txBox="1"/>
      </xdr:nvSpPr>
      <xdr:spPr>
        <a:xfrm>
          <a:off x="12830175" y="1743074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142FD-C7A8-49DE-A237-57B36855006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8 Title</a:t>
          </a:fld>
          <a:endParaRPr lang="en-US" sz="1100"/>
        </a:p>
      </xdr:txBody>
    </xdr:sp>
    <xdr:clientData/>
  </xdr:twoCellAnchor>
  <xdr:twoCellAnchor>
    <xdr:from>
      <xdr:col>71</xdr:col>
      <xdr:colOff>28575</xdr:colOff>
      <xdr:row>7</xdr:row>
      <xdr:rowOff>66674</xdr:rowOff>
    </xdr:from>
    <xdr:to>
      <xdr:col>77</xdr:col>
      <xdr:colOff>161925</xdr:colOff>
      <xdr:row>10</xdr:row>
      <xdr:rowOff>47624</xdr:rowOff>
    </xdr:to>
    <xdr:sp macro="" textlink="'Event Tree Input'!A133">
      <xdr:nvSpPr>
        <xdr:cNvPr id="93" name="N9Title" hidden="1">
          <a:extLst>
            <a:ext uri="{FF2B5EF4-FFF2-40B4-BE49-F238E27FC236}">
              <a16:creationId xmlns:a16="http://schemas.microsoft.com/office/drawing/2014/main" id="{00000000-0008-0000-0600-00005D000000}"/>
            </a:ext>
          </a:extLst>
        </xdr:cNvPr>
        <xdr:cNvSpPr txBox="1"/>
      </xdr:nvSpPr>
      <xdr:spPr>
        <a:xfrm>
          <a:off x="14230350" y="1200149"/>
          <a:ext cx="1333500" cy="466725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AC8595F-8254-4EB2-81EB-C3A93AF71F0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 algn="ctr"/>
            <a:t>Node 9 Title</a:t>
          </a:fld>
          <a:endParaRPr lang="en-US" sz="1100"/>
        </a:p>
      </xdr:txBody>
    </xdr:sp>
    <xdr:clientData/>
  </xdr:twoCellAnchor>
  <xdr:twoCellAnchor>
    <xdr:from>
      <xdr:col>60</xdr:col>
      <xdr:colOff>83343</xdr:colOff>
      <xdr:row>5</xdr:row>
      <xdr:rowOff>166688</xdr:rowOff>
    </xdr:from>
    <xdr:to>
      <xdr:col>66</xdr:col>
      <xdr:colOff>133348</xdr:colOff>
      <xdr:row>7</xdr:row>
      <xdr:rowOff>35720</xdr:rowOff>
    </xdr:to>
    <xdr:sp macro="" textlink="">
      <xdr:nvSpPr>
        <xdr:cNvPr id="90" name="N9Callout" hidden="1">
          <a:extLst>
            <a:ext uri="{FF2B5EF4-FFF2-40B4-BE49-F238E27FC236}">
              <a16:creationId xmlns:a16="http://schemas.microsoft.com/office/drawing/2014/main" id="{00000000-0008-0000-0600-00005A000000}"/>
            </a:ext>
          </a:extLst>
        </xdr:cNvPr>
        <xdr:cNvSpPr txBox="1"/>
      </xdr:nvSpPr>
      <xdr:spPr>
        <a:xfrm>
          <a:off x="12227718" y="1119188"/>
          <a:ext cx="1264443" cy="25003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9 Callout</a:t>
          </a:r>
        </a:p>
      </xdr:txBody>
    </xdr:sp>
    <xdr:clientData/>
  </xdr:twoCellAnchor>
  <xdr:twoCellAnchor>
    <xdr:from>
      <xdr:col>64</xdr:col>
      <xdr:colOff>95251</xdr:colOff>
      <xdr:row>27</xdr:row>
      <xdr:rowOff>64293</xdr:rowOff>
    </xdr:from>
    <xdr:to>
      <xdr:col>70</xdr:col>
      <xdr:colOff>119063</xdr:colOff>
      <xdr:row>29</xdr:row>
      <xdr:rowOff>59531</xdr:rowOff>
    </xdr:to>
    <xdr:sp macro="" textlink="">
      <xdr:nvSpPr>
        <xdr:cNvPr id="88" name="N8Callout" hidden="1">
          <a:extLst>
            <a:ext uri="{FF2B5EF4-FFF2-40B4-BE49-F238E27FC236}">
              <a16:creationId xmlns:a16="http://schemas.microsoft.com/office/drawing/2014/main" id="{00000000-0008-0000-0600-000058000000}"/>
            </a:ext>
          </a:extLst>
        </xdr:cNvPr>
        <xdr:cNvSpPr txBox="1"/>
      </xdr:nvSpPr>
      <xdr:spPr>
        <a:xfrm>
          <a:off x="13049251" y="5207793"/>
          <a:ext cx="1238250" cy="3762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8 Callout</a:t>
          </a:r>
        </a:p>
      </xdr:txBody>
    </xdr:sp>
    <xdr:clientData/>
  </xdr:twoCellAnchor>
  <xdr:twoCellAnchor>
    <xdr:from>
      <xdr:col>50</xdr:col>
      <xdr:colOff>59531</xdr:colOff>
      <xdr:row>10</xdr:row>
      <xdr:rowOff>95250</xdr:rowOff>
    </xdr:from>
    <xdr:to>
      <xdr:col>56</xdr:col>
      <xdr:colOff>166688</xdr:colOff>
      <xdr:row>12</xdr:row>
      <xdr:rowOff>23812</xdr:rowOff>
    </xdr:to>
    <xdr:sp macro="" textlink="">
      <xdr:nvSpPr>
        <xdr:cNvPr id="87" name="N7Callout" hidden="1">
          <a:extLst>
            <a:ext uri="{FF2B5EF4-FFF2-40B4-BE49-F238E27FC236}">
              <a16:creationId xmlns:a16="http://schemas.microsoft.com/office/drawing/2014/main" id="{00000000-0008-0000-0600-000057000000}"/>
            </a:ext>
          </a:extLst>
        </xdr:cNvPr>
        <xdr:cNvSpPr txBox="1"/>
      </xdr:nvSpPr>
      <xdr:spPr>
        <a:xfrm>
          <a:off x="10179844" y="2000250"/>
          <a:ext cx="1321594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7 Callout</a:t>
          </a:r>
        </a:p>
      </xdr:txBody>
    </xdr:sp>
    <xdr:clientData/>
  </xdr:twoCellAnchor>
  <xdr:twoCellAnchor>
    <xdr:from>
      <xdr:col>55</xdr:col>
      <xdr:colOff>142874</xdr:colOff>
      <xdr:row>31</xdr:row>
      <xdr:rowOff>142876</xdr:rowOff>
    </xdr:from>
    <xdr:to>
      <xdr:col>61</xdr:col>
      <xdr:colOff>142875</xdr:colOff>
      <xdr:row>33</xdr:row>
      <xdr:rowOff>47626</xdr:rowOff>
    </xdr:to>
    <xdr:sp macro="" textlink="">
      <xdr:nvSpPr>
        <xdr:cNvPr id="86" name="N6Callout" hidden="1">
          <a:extLst>
            <a:ext uri="{FF2B5EF4-FFF2-40B4-BE49-F238E27FC236}">
              <a16:creationId xmlns:a16="http://schemas.microsoft.com/office/drawing/2014/main" id="{00000000-0008-0000-0600-000056000000}"/>
            </a:ext>
          </a:extLst>
        </xdr:cNvPr>
        <xdr:cNvSpPr txBox="1"/>
      </xdr:nvSpPr>
      <xdr:spPr>
        <a:xfrm>
          <a:off x="11275218" y="6048376"/>
          <a:ext cx="1214438" cy="2857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6 Callout</a:t>
          </a:r>
        </a:p>
      </xdr:txBody>
    </xdr:sp>
    <xdr:clientData/>
  </xdr:twoCellAnchor>
  <xdr:twoCellAnchor>
    <xdr:from>
      <xdr:col>35</xdr:col>
      <xdr:colOff>23812</xdr:colOff>
      <xdr:row>15</xdr:row>
      <xdr:rowOff>142876</xdr:rowOff>
    </xdr:from>
    <xdr:to>
      <xdr:col>41</xdr:col>
      <xdr:colOff>83344</xdr:colOff>
      <xdr:row>17</xdr:row>
      <xdr:rowOff>71438</xdr:rowOff>
    </xdr:to>
    <xdr:sp macro="" textlink="">
      <xdr:nvSpPr>
        <xdr:cNvPr id="82" name="N5Callout" hidden="1">
          <a:extLst>
            <a:ext uri="{FF2B5EF4-FFF2-40B4-BE49-F238E27FC236}">
              <a16:creationId xmlns:a16="http://schemas.microsoft.com/office/drawing/2014/main" id="{00000000-0008-0000-0600-000052000000}"/>
            </a:ext>
          </a:extLst>
        </xdr:cNvPr>
        <xdr:cNvSpPr txBox="1"/>
      </xdr:nvSpPr>
      <xdr:spPr>
        <a:xfrm>
          <a:off x="7108031" y="3000376"/>
          <a:ext cx="1273969" cy="30956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5 Callout</a:t>
          </a:r>
        </a:p>
      </xdr:txBody>
    </xdr:sp>
    <xdr:clientData/>
  </xdr:twoCellAnchor>
  <xdr:twoCellAnchor>
    <xdr:from>
      <xdr:col>40</xdr:col>
      <xdr:colOff>95252</xdr:colOff>
      <xdr:row>37</xdr:row>
      <xdr:rowOff>23812</xdr:rowOff>
    </xdr:from>
    <xdr:to>
      <xdr:col>46</xdr:col>
      <xdr:colOff>142875</xdr:colOff>
      <xdr:row>38</xdr:row>
      <xdr:rowOff>107156</xdr:rowOff>
    </xdr:to>
    <xdr:sp macro="" textlink="">
      <xdr:nvSpPr>
        <xdr:cNvPr id="81" name="N4Callout" hidden="1">
          <a:extLst>
            <a:ext uri="{FF2B5EF4-FFF2-40B4-BE49-F238E27FC236}">
              <a16:creationId xmlns:a16="http://schemas.microsoft.com/office/drawing/2014/main" id="{00000000-0008-0000-0600-000051000000}"/>
            </a:ext>
          </a:extLst>
        </xdr:cNvPr>
        <xdr:cNvSpPr txBox="1"/>
      </xdr:nvSpPr>
      <xdr:spPr>
        <a:xfrm>
          <a:off x="8191502" y="7072312"/>
          <a:ext cx="1262061" cy="273844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4 Callout</a:t>
          </a:r>
        </a:p>
      </xdr:txBody>
    </xdr:sp>
    <xdr:clientData/>
  </xdr:twoCellAnchor>
  <xdr:twoCellAnchor>
    <xdr:from>
      <xdr:col>22</xdr:col>
      <xdr:colOff>142874</xdr:colOff>
      <xdr:row>21</xdr:row>
      <xdr:rowOff>107155</xdr:rowOff>
    </xdr:from>
    <xdr:to>
      <xdr:col>29</xdr:col>
      <xdr:colOff>0</xdr:colOff>
      <xdr:row>23</xdr:row>
      <xdr:rowOff>47624</xdr:rowOff>
    </xdr:to>
    <xdr:sp macro="" textlink="">
      <xdr:nvSpPr>
        <xdr:cNvPr id="80" name="N3Callout" hidden="1">
          <a:extLst>
            <a:ext uri="{FF2B5EF4-FFF2-40B4-BE49-F238E27FC236}">
              <a16:creationId xmlns:a16="http://schemas.microsoft.com/office/drawing/2014/main" id="{00000000-0008-0000-0600-000050000000}"/>
            </a:ext>
          </a:extLst>
        </xdr:cNvPr>
        <xdr:cNvSpPr txBox="1"/>
      </xdr:nvSpPr>
      <xdr:spPr>
        <a:xfrm>
          <a:off x="4595812" y="4107655"/>
          <a:ext cx="1273969" cy="321469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3 Callout</a:t>
          </a:r>
        </a:p>
      </xdr:txBody>
    </xdr:sp>
    <xdr:clientData/>
  </xdr:twoCellAnchor>
  <xdr:twoCellAnchor>
    <xdr:from>
      <xdr:col>19</xdr:col>
      <xdr:colOff>190501</xdr:colOff>
      <xdr:row>44</xdr:row>
      <xdr:rowOff>83344</xdr:rowOff>
    </xdr:from>
    <xdr:to>
      <xdr:col>26</xdr:col>
      <xdr:colOff>23813</xdr:colOff>
      <xdr:row>46</xdr:row>
      <xdr:rowOff>0</xdr:rowOff>
    </xdr:to>
    <xdr:sp macro="" textlink="">
      <xdr:nvSpPr>
        <xdr:cNvPr id="31" name="N1Callout" hidden="1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 txBox="1"/>
      </xdr:nvSpPr>
      <xdr:spPr>
        <a:xfrm>
          <a:off x="4036220" y="8465344"/>
          <a:ext cx="1250156" cy="297656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1 Callout</a:t>
          </a:r>
        </a:p>
      </xdr:txBody>
    </xdr:sp>
    <xdr:clientData/>
  </xdr:twoCellAnchor>
  <xdr:twoCellAnchor>
    <xdr:from>
      <xdr:col>13</xdr:col>
      <xdr:colOff>71439</xdr:colOff>
      <xdr:row>26</xdr:row>
      <xdr:rowOff>11906</xdr:rowOff>
    </xdr:from>
    <xdr:to>
      <xdr:col>19</xdr:col>
      <xdr:colOff>95251</xdr:colOff>
      <xdr:row>27</xdr:row>
      <xdr:rowOff>83344</xdr:rowOff>
    </xdr:to>
    <xdr:sp macro="" textlink="">
      <xdr:nvSpPr>
        <xdr:cNvPr id="78" name="N2Callout" hidden="1">
          <a:extLst>
            <a:ext uri="{FF2B5EF4-FFF2-40B4-BE49-F238E27FC236}">
              <a16:creationId xmlns:a16="http://schemas.microsoft.com/office/drawing/2014/main" id="{00000000-0008-0000-0600-00004E000000}"/>
            </a:ext>
          </a:extLst>
        </xdr:cNvPr>
        <xdr:cNvSpPr txBox="1"/>
      </xdr:nvSpPr>
      <xdr:spPr>
        <a:xfrm>
          <a:off x="2702720" y="4964906"/>
          <a:ext cx="1238250" cy="261938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Node 2 Callout</a:t>
          </a:r>
        </a:p>
      </xdr:txBody>
    </xdr:sp>
    <xdr:clientData/>
  </xdr:twoCellAnchor>
  <xdr:twoCellAnchor>
    <xdr:from>
      <xdr:col>9</xdr:col>
      <xdr:colOff>180975</xdr:colOff>
      <xdr:row>37</xdr:row>
      <xdr:rowOff>147490</xdr:rowOff>
    </xdr:from>
    <xdr:to>
      <xdr:col>12</xdr:col>
      <xdr:colOff>27104</xdr:colOff>
      <xdr:row>40</xdr:row>
      <xdr:rowOff>37942</xdr:rowOff>
    </xdr:to>
    <xdr:sp macro="" textlink="">
      <xdr:nvSpPr>
        <xdr:cNvPr id="2" name="Load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777515" y="5680828"/>
          <a:ext cx="442669" cy="435439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14</xdr:col>
      <xdr:colOff>64220</xdr:colOff>
      <xdr:row>38</xdr:row>
      <xdr:rowOff>52240</xdr:rowOff>
    </xdr:from>
    <xdr:to>
      <xdr:col>15</xdr:col>
      <xdr:colOff>138518</xdr:colOff>
      <xdr:row>39</xdr:row>
      <xdr:rowOff>136062</xdr:rowOff>
    </xdr:to>
    <xdr:sp macro="" textlink="">
      <xdr:nvSpPr>
        <xdr:cNvPr id="3" name="N1Num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 noChangeAspect="1"/>
        </xdr:cNvSpPr>
      </xdr:nvSpPr>
      <xdr:spPr>
        <a:xfrm>
          <a:off x="1654993" y="5767240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1</a:t>
          </a:r>
        </a:p>
      </xdr:txBody>
    </xdr:sp>
    <xdr:clientData/>
  </xdr:twoCellAnchor>
  <xdr:twoCellAnchor>
    <xdr:from>
      <xdr:col>21</xdr:col>
      <xdr:colOff>64220</xdr:colOff>
      <xdr:row>35</xdr:row>
      <xdr:rowOff>52240</xdr:rowOff>
    </xdr:from>
    <xdr:to>
      <xdr:col>22</xdr:col>
      <xdr:colOff>138518</xdr:colOff>
      <xdr:row>36</xdr:row>
      <xdr:rowOff>136062</xdr:rowOff>
    </xdr:to>
    <xdr:sp macro="" textlink="">
      <xdr:nvSpPr>
        <xdr:cNvPr id="4" name="N2Num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spect="1"/>
        </xdr:cNvSpPr>
      </xdr:nvSpPr>
      <xdr:spPr>
        <a:xfrm>
          <a:off x="3046920" y="522225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2</a:t>
          </a:r>
        </a:p>
      </xdr:txBody>
    </xdr:sp>
    <xdr:clientData/>
  </xdr:twoCellAnchor>
  <xdr:twoCellAnchor>
    <xdr:from>
      <xdr:col>21</xdr:col>
      <xdr:colOff>76200</xdr:colOff>
      <xdr:row>41</xdr:row>
      <xdr:rowOff>54695</xdr:rowOff>
    </xdr:from>
    <xdr:to>
      <xdr:col>22</xdr:col>
      <xdr:colOff>96889</xdr:colOff>
      <xdr:row>42</xdr:row>
      <xdr:rowOff>129748</xdr:rowOff>
    </xdr:to>
    <xdr:sp macro="" textlink="">
      <xdr:nvSpPr>
        <xdr:cNvPr id="5" name="N1B2Tri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/>
      </xdr:nvSpPr>
      <xdr:spPr>
        <a:xfrm rot="16200000">
          <a:off x="4254305" y="7887615"/>
          <a:ext cx="265553" cy="220714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64220</xdr:colOff>
      <xdr:row>32</xdr:row>
      <xdr:rowOff>52240</xdr:rowOff>
    </xdr:from>
    <xdr:to>
      <xdr:col>29</xdr:col>
      <xdr:colOff>138518</xdr:colOff>
      <xdr:row>33</xdr:row>
      <xdr:rowOff>136062</xdr:rowOff>
    </xdr:to>
    <xdr:sp macro="" textlink="">
      <xdr:nvSpPr>
        <xdr:cNvPr id="6" name="N3Num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spect="1"/>
        </xdr:cNvSpPr>
      </xdr:nvSpPr>
      <xdr:spPr>
        <a:xfrm>
          <a:off x="4438846" y="4677266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3</a:t>
          </a:r>
        </a:p>
      </xdr:txBody>
    </xdr:sp>
    <xdr:clientData/>
  </xdr:twoCellAnchor>
  <xdr:twoCellAnchor>
    <xdr:from>
      <xdr:col>28</xdr:col>
      <xdr:colOff>76200</xdr:colOff>
      <xdr:row>38</xdr:row>
      <xdr:rowOff>54695</xdr:rowOff>
    </xdr:from>
    <xdr:to>
      <xdr:col>29</xdr:col>
      <xdr:colOff>96889</xdr:colOff>
      <xdr:row>39</xdr:row>
      <xdr:rowOff>129748</xdr:rowOff>
    </xdr:to>
    <xdr:sp macro="" textlink="">
      <xdr:nvSpPr>
        <xdr:cNvPr id="7" name="N2B2Tri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 rot="16200000">
          <a:off x="4432236" y="5788285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64220</xdr:colOff>
      <xdr:row>29</xdr:row>
      <xdr:rowOff>52240</xdr:rowOff>
    </xdr:from>
    <xdr:to>
      <xdr:col>36</xdr:col>
      <xdr:colOff>138518</xdr:colOff>
      <xdr:row>30</xdr:row>
      <xdr:rowOff>136062</xdr:rowOff>
    </xdr:to>
    <xdr:sp macro="" textlink="">
      <xdr:nvSpPr>
        <xdr:cNvPr id="8" name="N4Num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Aspect="1"/>
        </xdr:cNvSpPr>
      </xdr:nvSpPr>
      <xdr:spPr>
        <a:xfrm>
          <a:off x="5830773" y="4132279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4</a:t>
          </a:r>
        </a:p>
      </xdr:txBody>
    </xdr:sp>
    <xdr:clientData/>
  </xdr:twoCellAnchor>
  <xdr:twoCellAnchor>
    <xdr:from>
      <xdr:col>42</xdr:col>
      <xdr:colOff>64220</xdr:colOff>
      <xdr:row>26</xdr:row>
      <xdr:rowOff>52240</xdr:rowOff>
    </xdr:from>
    <xdr:to>
      <xdr:col>43</xdr:col>
      <xdr:colOff>138518</xdr:colOff>
      <xdr:row>27</xdr:row>
      <xdr:rowOff>136062</xdr:rowOff>
    </xdr:to>
    <xdr:sp macro="" textlink="">
      <xdr:nvSpPr>
        <xdr:cNvPr id="9" name="N5Num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Aspect="1"/>
        </xdr:cNvSpPr>
      </xdr:nvSpPr>
      <xdr:spPr>
        <a:xfrm>
          <a:off x="7222699" y="3587292"/>
          <a:ext cx="273145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5</a:t>
          </a:r>
        </a:p>
      </xdr:txBody>
    </xdr:sp>
    <xdr:clientData/>
  </xdr:twoCellAnchor>
  <xdr:twoCellAnchor>
    <xdr:from>
      <xdr:col>49</xdr:col>
      <xdr:colOff>64220</xdr:colOff>
      <xdr:row>23</xdr:row>
      <xdr:rowOff>52240</xdr:rowOff>
    </xdr:from>
    <xdr:to>
      <xdr:col>50</xdr:col>
      <xdr:colOff>138518</xdr:colOff>
      <xdr:row>24</xdr:row>
      <xdr:rowOff>136062</xdr:rowOff>
    </xdr:to>
    <xdr:sp macro="" textlink="">
      <xdr:nvSpPr>
        <xdr:cNvPr id="10" name="N6Num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Aspect="1"/>
        </xdr:cNvSpPr>
      </xdr:nvSpPr>
      <xdr:spPr>
        <a:xfrm>
          <a:off x="8614626" y="3042304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6</a:t>
          </a:r>
        </a:p>
      </xdr:txBody>
    </xdr:sp>
    <xdr:clientData/>
  </xdr:twoCellAnchor>
  <xdr:twoCellAnchor>
    <xdr:from>
      <xdr:col>56</xdr:col>
      <xdr:colOff>64220</xdr:colOff>
      <xdr:row>20</xdr:row>
      <xdr:rowOff>52240</xdr:rowOff>
    </xdr:from>
    <xdr:to>
      <xdr:col>57</xdr:col>
      <xdr:colOff>138518</xdr:colOff>
      <xdr:row>21</xdr:row>
      <xdr:rowOff>136062</xdr:rowOff>
    </xdr:to>
    <xdr:sp macro="" textlink="">
      <xdr:nvSpPr>
        <xdr:cNvPr id="11" name="N7Num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Aspect="1"/>
        </xdr:cNvSpPr>
      </xdr:nvSpPr>
      <xdr:spPr>
        <a:xfrm>
          <a:off x="10006552" y="2497317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7</a:t>
          </a:r>
        </a:p>
      </xdr:txBody>
    </xdr:sp>
    <xdr:clientData/>
  </xdr:twoCellAnchor>
  <xdr:twoCellAnchor>
    <xdr:from>
      <xdr:col>63</xdr:col>
      <xdr:colOff>64220</xdr:colOff>
      <xdr:row>17</xdr:row>
      <xdr:rowOff>52240</xdr:rowOff>
    </xdr:from>
    <xdr:to>
      <xdr:col>64</xdr:col>
      <xdr:colOff>138518</xdr:colOff>
      <xdr:row>18</xdr:row>
      <xdr:rowOff>136062</xdr:rowOff>
    </xdr:to>
    <xdr:sp macro="" textlink="">
      <xdr:nvSpPr>
        <xdr:cNvPr id="12" name="N8Num" hidden="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Aspect="1"/>
        </xdr:cNvSpPr>
      </xdr:nvSpPr>
      <xdr:spPr>
        <a:xfrm>
          <a:off x="11398479" y="1952330"/>
          <a:ext cx="273145" cy="265485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8</a:t>
          </a:r>
        </a:p>
      </xdr:txBody>
    </xdr:sp>
    <xdr:clientData/>
  </xdr:twoCellAnchor>
  <xdr:twoCellAnchor>
    <xdr:from>
      <xdr:col>70</xdr:col>
      <xdr:colOff>64220</xdr:colOff>
      <xdr:row>14</xdr:row>
      <xdr:rowOff>52240</xdr:rowOff>
    </xdr:from>
    <xdr:to>
      <xdr:col>71</xdr:col>
      <xdr:colOff>138518</xdr:colOff>
      <xdr:row>15</xdr:row>
      <xdr:rowOff>136062</xdr:rowOff>
    </xdr:to>
    <xdr:sp macro="" textlink="">
      <xdr:nvSpPr>
        <xdr:cNvPr id="13" name="N9Num" hidden="1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Aspect="1"/>
        </xdr:cNvSpPr>
      </xdr:nvSpPr>
      <xdr:spPr>
        <a:xfrm>
          <a:off x="12790406" y="1407343"/>
          <a:ext cx="273144" cy="265484"/>
        </a:xfrm>
        <a:prstGeom prst="ellipse">
          <a:avLst/>
        </a:prstGeom>
        <a:solidFill>
          <a:srgbClr val="0070C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200" b="1">
              <a:solidFill>
                <a:schemeClr val="bg1"/>
              </a:solidFill>
              <a:latin typeface="Arial" pitchFamily="34" charset="0"/>
              <a:cs typeface="Arial" pitchFamily="34" charset="0"/>
            </a:rPr>
            <a:t>9</a:t>
          </a:r>
          <a:endParaRPr lang="en-US" sz="1400" b="1">
            <a:solidFill>
              <a:schemeClr val="bg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76200</xdr:colOff>
      <xdr:row>35</xdr:row>
      <xdr:rowOff>54695</xdr:rowOff>
    </xdr:from>
    <xdr:to>
      <xdr:col>36</xdr:col>
      <xdr:colOff>96889</xdr:colOff>
      <xdr:row>36</xdr:row>
      <xdr:rowOff>129748</xdr:rowOff>
    </xdr:to>
    <xdr:sp macro="" textlink="">
      <xdr:nvSpPr>
        <xdr:cNvPr id="15" name="N3B2Tri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/>
      </xdr:nvSpPr>
      <xdr:spPr>
        <a:xfrm rot="16200000">
          <a:off x="5824163" y="5243298"/>
          <a:ext cx="256715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76200</xdr:colOff>
      <xdr:row>32</xdr:row>
      <xdr:rowOff>54695</xdr:rowOff>
    </xdr:from>
    <xdr:to>
      <xdr:col>43</xdr:col>
      <xdr:colOff>96889</xdr:colOff>
      <xdr:row>33</xdr:row>
      <xdr:rowOff>129748</xdr:rowOff>
    </xdr:to>
    <xdr:sp macro="" textlink="">
      <xdr:nvSpPr>
        <xdr:cNvPr id="16" name="N4B2Tri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/>
      </xdr:nvSpPr>
      <xdr:spPr>
        <a:xfrm rot="16200000">
          <a:off x="7216089" y="4698311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66675</xdr:colOff>
      <xdr:row>29</xdr:row>
      <xdr:rowOff>54695</xdr:rowOff>
    </xdr:from>
    <xdr:to>
      <xdr:col>50</xdr:col>
      <xdr:colOff>87364</xdr:colOff>
      <xdr:row>30</xdr:row>
      <xdr:rowOff>129748</xdr:rowOff>
    </xdr:to>
    <xdr:sp macro="" textlink="">
      <xdr:nvSpPr>
        <xdr:cNvPr id="17" name="N5B2Tri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/>
      </xdr:nvSpPr>
      <xdr:spPr>
        <a:xfrm rot="16200000">
          <a:off x="8598491" y="4153324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66675</xdr:colOff>
      <xdr:row>26</xdr:row>
      <xdr:rowOff>54695</xdr:rowOff>
    </xdr:from>
    <xdr:to>
      <xdr:col>57</xdr:col>
      <xdr:colOff>87364</xdr:colOff>
      <xdr:row>27</xdr:row>
      <xdr:rowOff>129748</xdr:rowOff>
    </xdr:to>
    <xdr:sp macro="" textlink="">
      <xdr:nvSpPr>
        <xdr:cNvPr id="18" name="N6B2Tri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/>
      </xdr:nvSpPr>
      <xdr:spPr>
        <a:xfrm rot="16200000">
          <a:off x="9990417" y="3608337"/>
          <a:ext cx="256715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66675</xdr:colOff>
      <xdr:row>23</xdr:row>
      <xdr:rowOff>54695</xdr:rowOff>
    </xdr:from>
    <xdr:to>
      <xdr:col>64</xdr:col>
      <xdr:colOff>87364</xdr:colOff>
      <xdr:row>24</xdr:row>
      <xdr:rowOff>129748</xdr:rowOff>
    </xdr:to>
    <xdr:sp macro="" textlink="">
      <xdr:nvSpPr>
        <xdr:cNvPr id="19" name="N7B2Tri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/>
      </xdr:nvSpPr>
      <xdr:spPr>
        <a:xfrm rot="16200000">
          <a:off x="11382344" y="3063349"/>
          <a:ext cx="256716" cy="219536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66675</xdr:colOff>
      <xdr:row>20</xdr:row>
      <xdr:rowOff>54695</xdr:rowOff>
    </xdr:from>
    <xdr:to>
      <xdr:col>71</xdr:col>
      <xdr:colOff>87364</xdr:colOff>
      <xdr:row>21</xdr:row>
      <xdr:rowOff>129748</xdr:rowOff>
    </xdr:to>
    <xdr:sp macro="" textlink="">
      <xdr:nvSpPr>
        <xdr:cNvPr id="20" name="N8B2Tri" hidden="1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/>
      </xdr:nvSpPr>
      <xdr:spPr>
        <a:xfrm rot="16200000">
          <a:off x="12774271" y="25183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65681</xdr:colOff>
      <xdr:row>11</xdr:row>
      <xdr:rowOff>54695</xdr:rowOff>
    </xdr:from>
    <xdr:to>
      <xdr:col>78</xdr:col>
      <xdr:colOff>86370</xdr:colOff>
      <xdr:row>12</xdr:row>
      <xdr:rowOff>129749</xdr:rowOff>
    </xdr:to>
    <xdr:sp macro="" textlink="">
      <xdr:nvSpPr>
        <xdr:cNvPr id="21" name="N9B1Tri" hidden="1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/>
      </xdr:nvSpPr>
      <xdr:spPr>
        <a:xfrm rot="16200000">
          <a:off x="14165203" y="883401"/>
          <a:ext cx="256716" cy="219536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77</xdr:col>
      <xdr:colOff>63534</xdr:colOff>
      <xdr:row>17</xdr:row>
      <xdr:rowOff>55382</xdr:rowOff>
    </xdr:from>
    <xdr:to>
      <xdr:col>78</xdr:col>
      <xdr:colOff>84222</xdr:colOff>
      <xdr:row>18</xdr:row>
      <xdr:rowOff>130435</xdr:rowOff>
    </xdr:to>
    <xdr:sp macro="" textlink="">
      <xdr:nvSpPr>
        <xdr:cNvPr id="22" name="N9B2Tri" hidden="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/>
      </xdr:nvSpPr>
      <xdr:spPr>
        <a:xfrm rot="16200000">
          <a:off x="14163056" y="1974062"/>
          <a:ext cx="256716" cy="219535"/>
        </a:xfrm>
        <a:prstGeom prst="triangle">
          <a:avLst/>
        </a:prstGeom>
        <a:solidFill>
          <a:srgbClr val="00B05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21</xdr:col>
      <xdr:colOff>77267</xdr:colOff>
      <xdr:row>35</xdr:row>
      <xdr:rowOff>55169</xdr:rowOff>
    </xdr:from>
    <xdr:to>
      <xdr:col>22</xdr:col>
      <xdr:colOff>97956</xdr:colOff>
      <xdr:row>36</xdr:row>
      <xdr:rowOff>130223</xdr:rowOff>
    </xdr:to>
    <xdr:sp macro="" textlink="">
      <xdr:nvSpPr>
        <xdr:cNvPr id="23" name="N1B1Tri" hidden="1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/>
      </xdr:nvSpPr>
      <xdr:spPr>
        <a:xfrm rot="16200000">
          <a:off x="3059984" y="5225852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28</xdr:col>
      <xdr:colOff>77268</xdr:colOff>
      <xdr:row>32</xdr:row>
      <xdr:rowOff>55150</xdr:rowOff>
    </xdr:from>
    <xdr:to>
      <xdr:col>29</xdr:col>
      <xdr:colOff>97957</xdr:colOff>
      <xdr:row>33</xdr:row>
      <xdr:rowOff>130204</xdr:rowOff>
    </xdr:to>
    <xdr:sp macro="" textlink="">
      <xdr:nvSpPr>
        <xdr:cNvPr id="24" name="N2B1Tri" hidden="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/>
      </xdr:nvSpPr>
      <xdr:spPr>
        <a:xfrm rot="16200000">
          <a:off x="4460160" y="468290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35</xdr:col>
      <xdr:colOff>77269</xdr:colOff>
      <xdr:row>29</xdr:row>
      <xdr:rowOff>55140</xdr:rowOff>
    </xdr:from>
    <xdr:to>
      <xdr:col>36</xdr:col>
      <xdr:colOff>97958</xdr:colOff>
      <xdr:row>30</xdr:row>
      <xdr:rowOff>130194</xdr:rowOff>
    </xdr:to>
    <xdr:sp macro="" textlink="">
      <xdr:nvSpPr>
        <xdr:cNvPr id="25" name="N3B1Tri" hidden="1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/>
      </xdr:nvSpPr>
      <xdr:spPr>
        <a:xfrm rot="16200000">
          <a:off x="5860336" y="4139973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42</xdr:col>
      <xdr:colOff>77270</xdr:colOff>
      <xdr:row>26</xdr:row>
      <xdr:rowOff>55130</xdr:rowOff>
    </xdr:from>
    <xdr:to>
      <xdr:col>43</xdr:col>
      <xdr:colOff>97959</xdr:colOff>
      <xdr:row>27</xdr:row>
      <xdr:rowOff>130184</xdr:rowOff>
    </xdr:to>
    <xdr:sp macro="" textlink="">
      <xdr:nvSpPr>
        <xdr:cNvPr id="26" name="N4B1Tri" hidden="1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/>
      </xdr:nvSpPr>
      <xdr:spPr>
        <a:xfrm rot="16200000">
          <a:off x="7260512" y="359703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49</xdr:col>
      <xdr:colOff>67746</xdr:colOff>
      <xdr:row>23</xdr:row>
      <xdr:rowOff>55117</xdr:rowOff>
    </xdr:from>
    <xdr:to>
      <xdr:col>50</xdr:col>
      <xdr:colOff>88435</xdr:colOff>
      <xdr:row>24</xdr:row>
      <xdr:rowOff>130171</xdr:rowOff>
    </xdr:to>
    <xdr:sp macro="" textlink="">
      <xdr:nvSpPr>
        <xdr:cNvPr id="27" name="N5B1Tri" hidden="1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/>
      </xdr:nvSpPr>
      <xdr:spPr>
        <a:xfrm rot="16200000">
          <a:off x="8651163" y="3054100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56</xdr:col>
      <xdr:colOff>67747</xdr:colOff>
      <xdr:row>20</xdr:row>
      <xdr:rowOff>55101</xdr:rowOff>
    </xdr:from>
    <xdr:to>
      <xdr:col>57</xdr:col>
      <xdr:colOff>88436</xdr:colOff>
      <xdr:row>21</xdr:row>
      <xdr:rowOff>130155</xdr:rowOff>
    </xdr:to>
    <xdr:sp macro="" textlink="">
      <xdr:nvSpPr>
        <xdr:cNvPr id="28" name="N6B1Tri" hidden="1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/>
      </xdr:nvSpPr>
      <xdr:spPr>
        <a:xfrm rot="16200000">
          <a:off x="10051339" y="2511159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63</xdr:col>
      <xdr:colOff>67748</xdr:colOff>
      <xdr:row>17</xdr:row>
      <xdr:rowOff>55085</xdr:rowOff>
    </xdr:from>
    <xdr:to>
      <xdr:col>64</xdr:col>
      <xdr:colOff>88437</xdr:colOff>
      <xdr:row>18</xdr:row>
      <xdr:rowOff>130139</xdr:rowOff>
    </xdr:to>
    <xdr:sp macro="" textlink="">
      <xdr:nvSpPr>
        <xdr:cNvPr id="29" name="N7B1Tri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/>
      </xdr:nvSpPr>
      <xdr:spPr>
        <a:xfrm rot="16200000">
          <a:off x="11451515" y="196821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70</xdr:col>
      <xdr:colOff>67749</xdr:colOff>
      <xdr:row>14</xdr:row>
      <xdr:rowOff>55070</xdr:rowOff>
    </xdr:from>
    <xdr:to>
      <xdr:col>71</xdr:col>
      <xdr:colOff>88438</xdr:colOff>
      <xdr:row>15</xdr:row>
      <xdr:rowOff>130124</xdr:rowOff>
    </xdr:to>
    <xdr:sp macro="" textlink="">
      <xdr:nvSpPr>
        <xdr:cNvPr id="30" name="N8B1Tri" hidden="1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/>
      </xdr:nvSpPr>
      <xdr:spPr>
        <a:xfrm rot="16200000">
          <a:off x="12851691" y="1425278"/>
          <a:ext cx="256029" cy="220714"/>
        </a:xfrm>
        <a:prstGeom prst="triangle">
          <a:avLst/>
        </a:prstGeom>
        <a:solidFill>
          <a:srgbClr val="FF0000"/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1437" tIns="45719" rIns="91437" bIns="45719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67</xdr:col>
      <xdr:colOff>47625</xdr:colOff>
      <xdr:row>21</xdr:row>
      <xdr:rowOff>59531</xdr:rowOff>
    </xdr:from>
    <xdr:to>
      <xdr:col>67</xdr:col>
      <xdr:colOff>47626</xdr:colOff>
      <xdr:row>27</xdr:row>
      <xdr:rowOff>11905</xdr:rowOff>
    </xdr:to>
    <xdr:cxnSp macro="">
      <xdr:nvCxnSpPr>
        <xdr:cNvPr id="130" name="N8Arrow" hidden="1">
          <a:extLst>
            <a:ext uri="{FF2B5EF4-FFF2-40B4-BE49-F238E27FC236}">
              <a16:creationId xmlns:a16="http://schemas.microsoft.com/office/drawing/2014/main" id="{00000000-0008-0000-0600-000082000000}"/>
            </a:ext>
          </a:extLst>
        </xdr:cNvPr>
        <xdr:cNvCxnSpPr/>
      </xdr:nvCxnSpPr>
      <xdr:spPr>
        <a:xfrm>
          <a:off x="13608844" y="4060031"/>
          <a:ext cx="1" cy="1095374"/>
        </a:xfrm>
        <a:prstGeom prst="straightConnector1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177629</xdr:colOff>
      <xdr:row>36</xdr:row>
      <xdr:rowOff>38100</xdr:rowOff>
    </xdr:from>
    <xdr:to>
      <xdr:col>21</xdr:col>
      <xdr:colOff>105548</xdr:colOff>
      <xdr:row>41</xdr:row>
      <xdr:rowOff>152400</xdr:rowOff>
    </xdr:to>
    <xdr:sp macro="" textlink="'Event Tree Input'!A24">
      <xdr:nvSpPr>
        <xdr:cNvPr id="14" name="N1Descr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 txBox="1"/>
      </xdr:nvSpPr>
      <xdr:spPr>
        <a:xfrm>
          <a:off x="3189588" y="6896100"/>
          <a:ext cx="1132703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4C25913-1A64-40AE-A557-7F2DF157F632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A head difference occurs across the wall creating a driving lateral force applied to the wall?</a:t>
          </a:fld>
          <a:endParaRPr lang="en-US" sz="1100"/>
        </a:p>
      </xdr:txBody>
    </xdr:sp>
    <xdr:clientData/>
  </xdr:twoCellAnchor>
  <xdr:twoCellAnchor>
    <xdr:from>
      <xdr:col>22</xdr:col>
      <xdr:colOff>178593</xdr:colOff>
      <xdr:row>33</xdr:row>
      <xdr:rowOff>38100</xdr:rowOff>
    </xdr:from>
    <xdr:to>
      <xdr:col>28</xdr:col>
      <xdr:colOff>103155</xdr:colOff>
      <xdr:row>38</xdr:row>
      <xdr:rowOff>152400</xdr:rowOff>
    </xdr:to>
    <xdr:sp macro="" textlink="'Event Tree Input'!A38">
      <xdr:nvSpPr>
        <xdr:cNvPr id="58" name="N2Descr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 txBox="1"/>
      </xdr:nvSpPr>
      <xdr:spPr>
        <a:xfrm>
          <a:off x="4579143" y="6324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23217786-DCF7-4408-9E32-BF2377362C68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driving lateral force exerts an overturning moment about the base of the wall?</a:t>
          </a:fld>
          <a:endParaRPr lang="en-US" sz="1100"/>
        </a:p>
      </xdr:txBody>
    </xdr:sp>
    <xdr:clientData/>
  </xdr:twoCellAnchor>
  <xdr:twoCellAnchor>
    <xdr:from>
      <xdr:col>29</xdr:col>
      <xdr:colOff>176213</xdr:colOff>
      <xdr:row>30</xdr:row>
      <xdr:rowOff>38100</xdr:rowOff>
    </xdr:from>
    <xdr:to>
      <xdr:col>35</xdr:col>
      <xdr:colOff>100775</xdr:colOff>
      <xdr:row>35</xdr:row>
      <xdr:rowOff>152400</xdr:rowOff>
    </xdr:to>
    <xdr:sp macro="" textlink="'Event Tree Input'!A52">
      <xdr:nvSpPr>
        <xdr:cNvPr id="59" name="N3Descr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 txBox="1"/>
      </xdr:nvSpPr>
      <xdr:spPr>
        <a:xfrm>
          <a:off x="5976938" y="5753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AC39B62-B40E-4B48-97D1-0D61F48215D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driving force increases and exceeds the resisting overturning moment?</a:t>
          </a:fld>
          <a:endParaRPr lang="en-US" sz="1100"/>
        </a:p>
      </xdr:txBody>
    </xdr:sp>
    <xdr:clientData/>
  </xdr:twoCellAnchor>
  <xdr:twoCellAnchor>
    <xdr:from>
      <xdr:col>36</xdr:col>
      <xdr:colOff>176212</xdr:colOff>
      <xdr:row>27</xdr:row>
      <xdr:rowOff>38100</xdr:rowOff>
    </xdr:from>
    <xdr:to>
      <xdr:col>42</xdr:col>
      <xdr:colOff>100774</xdr:colOff>
      <xdr:row>32</xdr:row>
      <xdr:rowOff>152400</xdr:rowOff>
    </xdr:to>
    <xdr:sp macro="" textlink="'Event Tree Input'!A66">
      <xdr:nvSpPr>
        <xdr:cNvPr id="60" name="N4Descr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/>
      </xdr:nvSpPr>
      <xdr:spPr>
        <a:xfrm>
          <a:off x="7377112" y="5181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6FBC72-25DC-4325-B26C-0F16790D404E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starts to overturn when the heel lifts off the foundation?</a:t>
          </a:fld>
          <a:endParaRPr lang="en-US" sz="1100"/>
        </a:p>
      </xdr:txBody>
    </xdr:sp>
    <xdr:clientData/>
  </xdr:twoCellAnchor>
  <xdr:twoCellAnchor>
    <xdr:from>
      <xdr:col>43</xdr:col>
      <xdr:colOff>178594</xdr:colOff>
      <xdr:row>24</xdr:row>
      <xdr:rowOff>38100</xdr:rowOff>
    </xdr:from>
    <xdr:to>
      <xdr:col>49</xdr:col>
      <xdr:colOff>103156</xdr:colOff>
      <xdr:row>29</xdr:row>
      <xdr:rowOff>152400</xdr:rowOff>
    </xdr:to>
    <xdr:sp macro="" textlink="'Event Tree Input'!A80">
      <xdr:nvSpPr>
        <xdr:cNvPr id="61" name="N5Descr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/>
      </xdr:nvSpPr>
      <xdr:spPr>
        <a:xfrm>
          <a:off x="8779669" y="4610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D942999E-238E-4EAF-951D-A724AA793D3F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Water enters the gap beneath the footing and causes increased uplift pressure and overturning moment?</a:t>
          </a:fld>
          <a:endParaRPr lang="en-US" sz="1100"/>
        </a:p>
      </xdr:txBody>
    </xdr:sp>
    <xdr:clientData/>
  </xdr:twoCellAnchor>
  <xdr:twoCellAnchor>
    <xdr:from>
      <xdr:col>50</xdr:col>
      <xdr:colOff>176212</xdr:colOff>
      <xdr:row>21</xdr:row>
      <xdr:rowOff>38100</xdr:rowOff>
    </xdr:from>
    <xdr:to>
      <xdr:col>56</xdr:col>
      <xdr:colOff>100774</xdr:colOff>
      <xdr:row>26</xdr:row>
      <xdr:rowOff>152400</xdr:rowOff>
    </xdr:to>
    <xdr:sp macro="" textlink="'Event Tree Input'!A94">
      <xdr:nvSpPr>
        <xdr:cNvPr id="62" name="N6Descr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 txBox="1"/>
      </xdr:nvSpPr>
      <xdr:spPr>
        <a:xfrm>
          <a:off x="10177462" y="4038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0BC75C90-A5D8-4AFE-BB3A-85153218BCE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Detection and intervention are unsuccessful?</a:t>
          </a:fld>
          <a:endParaRPr lang="en-US" sz="1100"/>
        </a:p>
      </xdr:txBody>
    </xdr:sp>
    <xdr:clientData/>
  </xdr:twoCellAnchor>
  <xdr:twoCellAnchor>
    <xdr:from>
      <xdr:col>57</xdr:col>
      <xdr:colOff>178594</xdr:colOff>
      <xdr:row>18</xdr:row>
      <xdr:rowOff>38100</xdr:rowOff>
    </xdr:from>
    <xdr:to>
      <xdr:col>63</xdr:col>
      <xdr:colOff>103156</xdr:colOff>
      <xdr:row>23</xdr:row>
      <xdr:rowOff>152400</xdr:rowOff>
    </xdr:to>
    <xdr:sp macro="" textlink="'Event Tree Input'!A108">
      <xdr:nvSpPr>
        <xdr:cNvPr id="64" name="N7Descr">
          <a:extLst>
            <a:ext uri="{FF2B5EF4-FFF2-40B4-BE49-F238E27FC236}">
              <a16:creationId xmlns:a16="http://schemas.microsoft.com/office/drawing/2014/main" id="{00000000-0008-0000-0600-000040000000}"/>
            </a:ext>
          </a:extLst>
        </xdr:cNvPr>
        <xdr:cNvSpPr txBox="1"/>
      </xdr:nvSpPr>
      <xdr:spPr>
        <a:xfrm>
          <a:off x="11580019" y="3467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43BC8269-56F4-4CFD-87BE-074666FD6D41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The wall completely overturns leading to a full breach?</a:t>
          </a:fld>
          <a:endParaRPr lang="en-US" sz="1100"/>
        </a:p>
      </xdr:txBody>
    </xdr:sp>
    <xdr:clientData/>
  </xdr:twoCellAnchor>
  <xdr:twoCellAnchor>
    <xdr:from>
      <xdr:col>64</xdr:col>
      <xdr:colOff>176212</xdr:colOff>
      <xdr:row>15</xdr:row>
      <xdr:rowOff>38100</xdr:rowOff>
    </xdr:from>
    <xdr:to>
      <xdr:col>70</xdr:col>
      <xdr:colOff>100774</xdr:colOff>
      <xdr:row>20</xdr:row>
      <xdr:rowOff>152400</xdr:rowOff>
    </xdr:to>
    <xdr:sp macro="" textlink="'Event Tree Input'!A122">
      <xdr:nvSpPr>
        <xdr:cNvPr id="65" name="N8Descr" hidden="1">
          <a:extLst>
            <a:ext uri="{FF2B5EF4-FFF2-40B4-BE49-F238E27FC236}">
              <a16:creationId xmlns:a16="http://schemas.microsoft.com/office/drawing/2014/main" id="{00000000-0008-0000-0600-000041000000}"/>
            </a:ext>
          </a:extLst>
        </xdr:cNvPr>
        <xdr:cNvSpPr txBox="1"/>
      </xdr:nvSpPr>
      <xdr:spPr>
        <a:xfrm>
          <a:off x="12977812" y="28956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745D4977-564C-42ED-901E-8C7F45B31194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8 Description</a:t>
          </a:fld>
          <a:endParaRPr lang="en-US" sz="1100"/>
        </a:p>
      </xdr:txBody>
    </xdr:sp>
    <xdr:clientData/>
  </xdr:twoCellAnchor>
  <xdr:twoCellAnchor>
    <xdr:from>
      <xdr:col>71</xdr:col>
      <xdr:colOff>176212</xdr:colOff>
      <xdr:row>12</xdr:row>
      <xdr:rowOff>38100</xdr:rowOff>
    </xdr:from>
    <xdr:to>
      <xdr:col>77</xdr:col>
      <xdr:colOff>100774</xdr:colOff>
      <xdr:row>17</xdr:row>
      <xdr:rowOff>152400</xdr:rowOff>
    </xdr:to>
    <xdr:sp macro="" textlink="'Event Tree Input'!A136">
      <xdr:nvSpPr>
        <xdr:cNvPr id="66" name="N9Descr" hidden="1">
          <a:extLst>
            <a:ext uri="{FF2B5EF4-FFF2-40B4-BE49-F238E27FC236}">
              <a16:creationId xmlns:a16="http://schemas.microsoft.com/office/drawing/2014/main" id="{00000000-0008-0000-0600-000042000000}"/>
            </a:ext>
          </a:extLst>
        </xdr:cNvPr>
        <xdr:cNvSpPr txBox="1"/>
      </xdr:nvSpPr>
      <xdr:spPr>
        <a:xfrm>
          <a:off x="14377987" y="2324100"/>
          <a:ext cx="1124712" cy="1066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576" tIns="0" rIns="0" bIns="0" rtlCol="0" anchor="ctr" anchorCtr="0"/>
        <a:lstStyle/>
        <a:p>
          <a:fld id="{C15BE28D-35A2-42B9-8859-0145931983F7}" type="TxLink">
            <a:rPr lang="en-US" sz="1000" b="0" i="0" u="none" strike="noStrike">
              <a:solidFill>
                <a:srgbClr val="000000"/>
              </a:solidFill>
              <a:latin typeface="Arial"/>
              <a:cs typeface="Arial"/>
            </a:rPr>
            <a:pPr/>
            <a:t>Node 9 Description</a:t>
          </a:fld>
          <a:endParaRPr lang="en-US" sz="1100"/>
        </a:p>
      </xdr:txBody>
    </xdr:sp>
    <xdr:clientData/>
  </xdr:twoCellAnchor>
  <xdr:twoCellAnchor>
    <xdr:from>
      <xdr:col>2</xdr:col>
      <xdr:colOff>151246</xdr:colOff>
      <xdr:row>37</xdr:row>
      <xdr:rowOff>146803</xdr:rowOff>
    </xdr:from>
    <xdr:to>
      <xdr:col>4</xdr:col>
      <xdr:colOff>197400</xdr:colOff>
      <xdr:row>40</xdr:row>
      <xdr:rowOff>37255</xdr:rowOff>
    </xdr:to>
    <xdr:sp macro="" textlink="">
      <xdr:nvSpPr>
        <xdr:cNvPr id="67" name="Load2" hidden="1">
          <a:extLst>
            <a:ext uri="{FF2B5EF4-FFF2-40B4-BE49-F238E27FC236}">
              <a16:creationId xmlns:a16="http://schemas.microsoft.com/office/drawing/2014/main" id="{00000000-0008-0000-0600-000043000000}"/>
            </a:ext>
          </a:extLst>
        </xdr:cNvPr>
        <xdr:cNvSpPr/>
      </xdr:nvSpPr>
      <xdr:spPr>
        <a:xfrm>
          <a:off x="551296" y="6633328"/>
          <a:ext cx="446204" cy="433377"/>
        </a:xfrm>
        <a:prstGeom prst="pie">
          <a:avLst>
            <a:gd name="adj1" fmla="val 19030585"/>
            <a:gd name="adj2" fmla="val 2260575"/>
          </a:avLst>
        </a:prstGeom>
        <a:solidFill>
          <a:srgbClr val="0070C0"/>
        </a:solidFill>
        <a:ln>
          <a:solidFill>
            <a:sysClr val="windowText" lastClr="00000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lIns="98469" tIns="49235" rIns="98469" bIns="49235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n-US" sz="800">
            <a:solidFill>
              <a:schemeClr val="tx1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17</xdr:col>
      <xdr:colOff>95250</xdr:colOff>
      <xdr:row>41</xdr:row>
      <xdr:rowOff>11906</xdr:rowOff>
    </xdr:from>
    <xdr:to>
      <xdr:col>19</xdr:col>
      <xdr:colOff>190501</xdr:colOff>
      <xdr:row>45</xdr:row>
      <xdr:rowOff>41672</xdr:rowOff>
    </xdr:to>
    <xdr:cxnSp macro="">
      <xdr:nvCxnSpPr>
        <xdr:cNvPr id="150" name="N1Arrow" hidden="1">
          <a:extLst>
            <a:ext uri="{FF2B5EF4-FFF2-40B4-BE49-F238E27FC236}">
              <a16:creationId xmlns:a16="http://schemas.microsoft.com/office/drawing/2014/main" id="{00000000-0008-0000-0600-000096000000}"/>
            </a:ext>
          </a:extLst>
        </xdr:cNvPr>
        <xdr:cNvCxnSpPr>
          <a:endCxn id="31" idx="1"/>
        </xdr:cNvCxnSpPr>
      </xdr:nvCxnSpPr>
      <xdr:spPr>
        <a:xfrm rot="16200000" flipH="1">
          <a:off x="3390305" y="7968257"/>
          <a:ext cx="791766" cy="50006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miter lim="800000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83345</xdr:colOff>
      <xdr:row>16</xdr:row>
      <xdr:rowOff>107157</xdr:rowOff>
    </xdr:from>
    <xdr:to>
      <xdr:col>46</xdr:col>
      <xdr:colOff>95251</xdr:colOff>
      <xdr:row>19</xdr:row>
      <xdr:rowOff>142874</xdr:rowOff>
    </xdr:to>
    <xdr:cxnSp macro="">
      <xdr:nvCxnSpPr>
        <xdr:cNvPr id="89" name="N5Arrow" hidden="1">
          <a:extLst>
            <a:ext uri="{FF2B5EF4-FFF2-40B4-BE49-F238E27FC236}">
              <a16:creationId xmlns:a16="http://schemas.microsoft.com/office/drawing/2014/main" id="{00000000-0008-0000-0600-000059000000}"/>
            </a:ext>
          </a:extLst>
        </xdr:cNvPr>
        <xdr:cNvCxnSpPr>
          <a:stCxn id="84" idx="0"/>
          <a:endCxn id="82" idx="3"/>
        </xdr:cNvCxnSpPr>
      </xdr:nvCxnSpPr>
      <xdr:spPr>
        <a:xfrm rot="16200000" flipV="1">
          <a:off x="8590361" y="2946797"/>
          <a:ext cx="607217" cy="1023938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0</xdr:colOff>
      <xdr:row>22</xdr:row>
      <xdr:rowOff>77390</xdr:rowOff>
    </xdr:from>
    <xdr:to>
      <xdr:col>32</xdr:col>
      <xdr:colOff>104775</xdr:colOff>
      <xdr:row>25</xdr:row>
      <xdr:rowOff>142874</xdr:rowOff>
    </xdr:to>
    <xdr:cxnSp macro="">
      <xdr:nvCxnSpPr>
        <xdr:cNvPr id="43" name="N3Arrow" hidden="1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CxnSpPr>
          <a:stCxn id="79" idx="0"/>
          <a:endCxn id="80" idx="3"/>
        </xdr:cNvCxnSpPr>
      </xdr:nvCxnSpPr>
      <xdr:spPr>
        <a:xfrm rot="16200000" flipV="1">
          <a:off x="5907286" y="4230885"/>
          <a:ext cx="636984" cy="711994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83342</xdr:colOff>
      <xdr:row>32</xdr:row>
      <xdr:rowOff>11906</xdr:rowOff>
    </xdr:from>
    <xdr:to>
      <xdr:col>40</xdr:col>
      <xdr:colOff>95251</xdr:colOff>
      <xdr:row>37</xdr:row>
      <xdr:rowOff>160734</xdr:rowOff>
    </xdr:to>
    <xdr:cxnSp macro="">
      <xdr:nvCxnSpPr>
        <xdr:cNvPr id="63" name="N4Arrow" hidden="1">
          <a:extLst>
            <a:ext uri="{FF2B5EF4-FFF2-40B4-BE49-F238E27FC236}">
              <a16:creationId xmlns:a16="http://schemas.microsoft.com/office/drawing/2014/main" id="{00000000-0008-0000-0600-00003F000000}"/>
            </a:ext>
          </a:extLst>
        </xdr:cNvPr>
        <xdr:cNvCxnSpPr>
          <a:endCxn id="81" idx="1"/>
        </xdr:cNvCxnSpPr>
      </xdr:nvCxnSpPr>
      <xdr:spPr>
        <a:xfrm rot="16200000" flipH="1">
          <a:off x="7432477" y="6450209"/>
          <a:ext cx="1101328" cy="416721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52</xdr:col>
      <xdr:colOff>173039</xdr:colOff>
      <xdr:row>26</xdr:row>
      <xdr:rowOff>30161</xdr:rowOff>
    </xdr:from>
    <xdr:to>
      <xdr:col>55</xdr:col>
      <xdr:colOff>142873</xdr:colOff>
      <xdr:row>32</xdr:row>
      <xdr:rowOff>95251</xdr:rowOff>
    </xdr:to>
    <xdr:cxnSp macro="">
      <xdr:nvCxnSpPr>
        <xdr:cNvPr id="144" name="N6Arrow" hidden="1">
          <a:extLst>
            <a:ext uri="{FF2B5EF4-FFF2-40B4-BE49-F238E27FC236}">
              <a16:creationId xmlns:a16="http://schemas.microsoft.com/office/drawing/2014/main" id="{00000000-0008-0000-0600-000090000000}"/>
            </a:ext>
          </a:extLst>
        </xdr:cNvPr>
        <xdr:cNvCxnSpPr>
          <a:endCxn id="86" idx="1"/>
        </xdr:cNvCxnSpPr>
      </xdr:nvCxnSpPr>
      <xdr:spPr>
        <a:xfrm rot="16200000" flipH="1">
          <a:off x="10382646" y="5298679"/>
          <a:ext cx="1208090" cy="577053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66</xdr:col>
      <xdr:colOff>133348</xdr:colOff>
      <xdr:row>6</xdr:row>
      <xdr:rowOff>101204</xdr:rowOff>
    </xdr:from>
    <xdr:to>
      <xdr:col>74</xdr:col>
      <xdr:colOff>95250</xdr:colOff>
      <xdr:row>7</xdr:row>
      <xdr:rowOff>66674</xdr:rowOff>
    </xdr:to>
    <xdr:cxnSp macro="">
      <xdr:nvCxnSpPr>
        <xdr:cNvPr id="112" name="N9Arrow" hidden="1">
          <a:extLst>
            <a:ext uri="{FF2B5EF4-FFF2-40B4-BE49-F238E27FC236}">
              <a16:creationId xmlns:a16="http://schemas.microsoft.com/office/drawing/2014/main" id="{00000000-0008-0000-0600-000070000000}"/>
            </a:ext>
          </a:extLst>
        </xdr:cNvPr>
        <xdr:cNvCxnSpPr>
          <a:stCxn id="93" idx="0"/>
          <a:endCxn id="90" idx="3"/>
        </xdr:cNvCxnSpPr>
      </xdr:nvCxnSpPr>
      <xdr:spPr>
        <a:xfrm rot="16200000" flipV="1">
          <a:off x="14204752" y="531613"/>
          <a:ext cx="155970" cy="1581152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95252</xdr:colOff>
      <xdr:row>26</xdr:row>
      <xdr:rowOff>142875</xdr:rowOff>
    </xdr:from>
    <xdr:to>
      <xdr:col>25</xdr:col>
      <xdr:colOff>95252</xdr:colOff>
      <xdr:row>28</xdr:row>
      <xdr:rowOff>142874</xdr:rowOff>
    </xdr:to>
    <xdr:cxnSp macro="">
      <xdr:nvCxnSpPr>
        <xdr:cNvPr id="106" name="N2Arrow" hidden="1">
          <a:extLst>
            <a:ext uri="{FF2B5EF4-FFF2-40B4-BE49-F238E27FC236}">
              <a16:creationId xmlns:a16="http://schemas.microsoft.com/office/drawing/2014/main" id="{00000000-0008-0000-0600-00006A000000}"/>
            </a:ext>
          </a:extLst>
        </xdr:cNvPr>
        <xdr:cNvCxnSpPr>
          <a:stCxn id="77" idx="0"/>
          <a:endCxn id="78" idx="3"/>
        </xdr:cNvCxnSpPr>
      </xdr:nvCxnSpPr>
      <xdr:spPr>
        <a:xfrm rot="16200000" flipV="1">
          <a:off x="4357690" y="4679156"/>
          <a:ext cx="380999" cy="121443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56</xdr:col>
      <xdr:colOff>166689</xdr:colOff>
      <xdr:row>11</xdr:row>
      <xdr:rowOff>59531</xdr:rowOff>
    </xdr:from>
    <xdr:to>
      <xdr:col>60</xdr:col>
      <xdr:colOff>95251</xdr:colOff>
      <xdr:row>13</xdr:row>
      <xdr:rowOff>142874</xdr:rowOff>
    </xdr:to>
    <xdr:cxnSp macro="">
      <xdr:nvCxnSpPr>
        <xdr:cNvPr id="107" name="N7Arrow" hidden="1">
          <a:extLst>
            <a:ext uri="{FF2B5EF4-FFF2-40B4-BE49-F238E27FC236}">
              <a16:creationId xmlns:a16="http://schemas.microsoft.com/office/drawing/2014/main" id="{00000000-0008-0000-0600-00006B000000}"/>
            </a:ext>
          </a:extLst>
        </xdr:cNvPr>
        <xdr:cNvCxnSpPr>
          <a:stCxn id="91" idx="0"/>
          <a:endCxn id="87" idx="3"/>
        </xdr:cNvCxnSpPr>
      </xdr:nvCxnSpPr>
      <xdr:spPr>
        <a:xfrm rot="16200000" flipV="1">
          <a:off x="11638361" y="2018109"/>
          <a:ext cx="464343" cy="738187"/>
        </a:xfrm>
        <a:prstGeom prst="bentConnector2">
          <a:avLst/>
        </a:prstGeom>
        <a:ln>
          <a:solidFill>
            <a:schemeClr val="bg1">
              <a:lumMod val="65000"/>
            </a:schemeClr>
          </a:solidFill>
          <a:prstDash val="lgDash"/>
          <a:headEnd type="oval"/>
          <a:tailEnd type="arrow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05"/>
  <dimension ref="A1:O169"/>
  <sheetViews>
    <sheetView tabSelected="1" zoomScaleNormal="100" workbookViewId="0"/>
  </sheetViews>
  <sheetFormatPr defaultColWidth="9.140625" defaultRowHeight="12.75" x14ac:dyDescent="0.2"/>
  <cols>
    <col min="1" max="33" width="11.28515625" style="3" customWidth="1"/>
    <col min="34" max="16384" width="9.140625" style="3"/>
  </cols>
  <sheetData>
    <row r="1" spans="1:9" ht="12.75" customHeight="1" x14ac:dyDescent="0.2">
      <c r="A1" s="33" t="s">
        <v>8</v>
      </c>
      <c r="B1" s="42"/>
      <c r="C1" s="42"/>
      <c r="D1" s="42"/>
      <c r="E1" s="34" t="s">
        <v>9</v>
      </c>
      <c r="F1" s="35"/>
      <c r="G1" s="36" t="s">
        <v>10</v>
      </c>
      <c r="H1" s="37"/>
    </row>
    <row r="2" spans="1:9" x14ac:dyDescent="0.2">
      <c r="A2" s="33" t="s">
        <v>11</v>
      </c>
      <c r="B2" s="42"/>
      <c r="C2" s="42"/>
      <c r="D2" s="42"/>
      <c r="E2" s="34" t="s">
        <v>9</v>
      </c>
      <c r="F2" s="35"/>
      <c r="G2" s="36" t="s">
        <v>10</v>
      </c>
      <c r="H2" s="37"/>
    </row>
    <row r="3" spans="1:9" x14ac:dyDescent="0.2">
      <c r="A3" s="38" t="s">
        <v>12</v>
      </c>
      <c r="B3" s="6"/>
      <c r="C3" s="43"/>
      <c r="D3" s="43"/>
      <c r="E3" s="43"/>
      <c r="F3" s="43"/>
      <c r="G3" s="43"/>
      <c r="H3" s="43"/>
    </row>
    <row r="4" spans="1:9" x14ac:dyDescent="0.2">
      <c r="A4" s="4"/>
      <c r="B4" s="4"/>
      <c r="C4" s="4"/>
      <c r="D4" s="4"/>
      <c r="E4" s="4"/>
      <c r="F4" s="4"/>
      <c r="G4" s="4"/>
      <c r="H4" s="4"/>
    </row>
    <row r="5" spans="1:9" x14ac:dyDescent="0.2">
      <c r="A5" s="1" t="s">
        <v>18</v>
      </c>
      <c r="B5" s="1"/>
      <c r="C5" s="1"/>
      <c r="D5" s="1"/>
      <c r="E5" s="1"/>
      <c r="F5" s="1"/>
      <c r="G5" s="1"/>
      <c r="H5" s="1"/>
    </row>
    <row r="6" spans="1:9" x14ac:dyDescent="0.2">
      <c r="A6" s="19"/>
      <c r="B6" s="31"/>
      <c r="C6" s="31"/>
      <c r="D6" s="31"/>
      <c r="E6" s="31"/>
      <c r="F6" s="31"/>
      <c r="G6" s="31"/>
      <c r="H6" s="31"/>
    </row>
    <row r="7" spans="1:9" x14ac:dyDescent="0.2">
      <c r="A7" s="1" t="s">
        <v>31</v>
      </c>
      <c r="B7" s="1"/>
      <c r="C7" s="1"/>
      <c r="D7" s="1"/>
      <c r="E7" s="1"/>
      <c r="F7" s="1"/>
      <c r="G7" s="1"/>
      <c r="H7" s="1"/>
    </row>
    <row r="8" spans="1:9" x14ac:dyDescent="0.2">
      <c r="A8" s="4"/>
      <c r="B8" s="4"/>
      <c r="C8" s="4"/>
      <c r="D8" s="4"/>
      <c r="E8" s="4"/>
      <c r="F8" s="4"/>
      <c r="G8" s="4"/>
      <c r="H8" s="4"/>
    </row>
    <row r="9" spans="1:9" x14ac:dyDescent="0.2">
      <c r="A9" s="4" t="s">
        <v>21</v>
      </c>
      <c r="B9" s="4"/>
      <c r="C9" s="4"/>
      <c r="D9" s="44" t="s">
        <v>58</v>
      </c>
      <c r="E9" s="44"/>
      <c r="F9" s="24" t="s">
        <v>28</v>
      </c>
      <c r="G9" s="44"/>
      <c r="H9" s="44"/>
      <c r="I9" s="2" t="s">
        <v>14</v>
      </c>
    </row>
    <row r="10" spans="1:9" x14ac:dyDescent="0.2">
      <c r="A10" s="4"/>
      <c r="B10" s="4"/>
      <c r="C10" s="4"/>
      <c r="D10" s="4"/>
      <c r="E10" s="4"/>
      <c r="F10" s="4"/>
      <c r="G10" s="4"/>
      <c r="H10" s="4"/>
    </row>
    <row r="11" spans="1:9" x14ac:dyDescent="0.2">
      <c r="A11" s="4" t="s">
        <v>13</v>
      </c>
      <c r="B11" s="4"/>
      <c r="C11" s="4"/>
      <c r="D11" s="5">
        <v>7</v>
      </c>
      <c r="E11" s="4"/>
      <c r="F11" s="4"/>
      <c r="G11" s="4"/>
      <c r="H11" s="4"/>
      <c r="I11" s="2" t="s">
        <v>14</v>
      </c>
    </row>
    <row r="12" spans="1:9" x14ac:dyDescent="0.2">
      <c r="A12" s="4"/>
      <c r="B12" s="4"/>
      <c r="C12" s="4"/>
      <c r="D12" s="4"/>
      <c r="E12" s="4"/>
      <c r="F12" s="4"/>
      <c r="G12" s="4"/>
      <c r="H12" s="4"/>
    </row>
    <row r="13" spans="1:9" x14ac:dyDescent="0.2">
      <c r="A13" s="4" t="s">
        <v>37</v>
      </c>
      <c r="B13" s="4"/>
      <c r="C13" s="4"/>
      <c r="D13" s="5" t="s">
        <v>16</v>
      </c>
      <c r="E13" s="4"/>
      <c r="F13" s="4"/>
      <c r="G13" s="4"/>
      <c r="H13" s="4"/>
      <c r="I13" s="2" t="s">
        <v>14</v>
      </c>
    </row>
    <row r="14" spans="1:9" x14ac:dyDescent="0.2">
      <c r="A14" s="4" t="s">
        <v>26</v>
      </c>
      <c r="B14" s="4"/>
      <c r="C14" s="4"/>
      <c r="D14" s="5" t="s">
        <v>16</v>
      </c>
      <c r="E14" s="4"/>
      <c r="F14" s="4"/>
      <c r="G14" s="4"/>
      <c r="H14" s="4"/>
      <c r="I14" s="2" t="s">
        <v>14</v>
      </c>
    </row>
    <row r="15" spans="1:9" x14ac:dyDescent="0.2">
      <c r="A15" s="4"/>
      <c r="B15" s="4"/>
      <c r="C15" s="4"/>
      <c r="D15" s="4"/>
      <c r="E15" s="4"/>
      <c r="F15" s="4"/>
      <c r="G15" s="4"/>
      <c r="H15" s="4"/>
    </row>
    <row r="16" spans="1:9" x14ac:dyDescent="0.2">
      <c r="A16" s="1" t="s">
        <v>30</v>
      </c>
      <c r="B16" s="1"/>
      <c r="C16" s="1"/>
      <c r="D16" s="1"/>
      <c r="E16" s="1"/>
      <c r="F16" s="1"/>
      <c r="G16" s="1"/>
      <c r="H16" s="1"/>
      <c r="I16" s="32" t="s">
        <v>57</v>
      </c>
    </row>
    <row r="17" spans="1:9" x14ac:dyDescent="0.2">
      <c r="A17" s="4"/>
      <c r="B17" s="4"/>
      <c r="C17" s="4"/>
      <c r="D17" s="4"/>
      <c r="E17" s="4"/>
      <c r="F17" s="4"/>
      <c r="G17" s="4"/>
      <c r="H17" s="4"/>
    </row>
    <row r="18" spans="1:9" x14ac:dyDescent="0.2">
      <c r="A18" s="7" t="s">
        <v>0</v>
      </c>
      <c r="B18" s="4"/>
      <c r="C18" s="4"/>
      <c r="D18" s="4"/>
      <c r="E18" s="4"/>
      <c r="F18" s="4"/>
      <c r="G18" s="4"/>
      <c r="H18" s="4"/>
    </row>
    <row r="19" spans="1:9" ht="8.1" customHeight="1" x14ac:dyDescent="0.2">
      <c r="A19" s="7"/>
      <c r="B19" s="4"/>
      <c r="C19" s="4"/>
      <c r="D19" s="4"/>
      <c r="E19" s="4"/>
      <c r="F19" s="4"/>
      <c r="G19" s="4"/>
      <c r="H19" s="4"/>
    </row>
    <row r="20" spans="1:9" ht="12.75" customHeight="1" x14ac:dyDescent="0.2">
      <c r="A20" s="4" t="s">
        <v>34</v>
      </c>
      <c r="B20" s="4"/>
      <c r="C20" s="4"/>
      <c r="D20" s="4"/>
      <c r="E20" s="4"/>
      <c r="F20" s="4"/>
      <c r="G20" s="4"/>
      <c r="H20" s="4"/>
    </row>
    <row r="21" spans="1:9" ht="12.75" customHeight="1" x14ac:dyDescent="0.2">
      <c r="A21" s="40"/>
      <c r="B21" s="40"/>
      <c r="C21" s="40"/>
      <c r="D21" s="40"/>
      <c r="E21" s="40"/>
      <c r="F21" s="40"/>
      <c r="G21" s="40"/>
      <c r="H21" s="40"/>
    </row>
    <row r="22" spans="1:9" ht="8.1" customHeight="1" x14ac:dyDescent="0.2">
      <c r="A22" s="21"/>
      <c r="B22" s="21"/>
      <c r="C22" s="21"/>
      <c r="D22" s="21"/>
      <c r="E22" s="21"/>
      <c r="F22" s="21"/>
      <c r="G22" s="21"/>
      <c r="H22" s="21"/>
    </row>
    <row r="23" spans="1:9" x14ac:dyDescent="0.2">
      <c r="A23" s="6" t="s">
        <v>33</v>
      </c>
      <c r="B23" s="6"/>
      <c r="C23" s="6"/>
      <c r="D23" s="6"/>
      <c r="E23" s="6"/>
      <c r="F23" s="6"/>
      <c r="G23" s="6"/>
      <c r="H23" s="6"/>
    </row>
    <row r="24" spans="1:9" ht="12.75" customHeight="1" x14ac:dyDescent="0.2">
      <c r="A24" s="40" t="s">
        <v>59</v>
      </c>
      <c r="B24" s="40"/>
      <c r="C24" s="40"/>
      <c r="D24" s="40"/>
      <c r="E24" s="40"/>
      <c r="F24" s="40"/>
      <c r="G24" s="40"/>
      <c r="H24" s="40"/>
      <c r="I24" s="8"/>
    </row>
    <row r="25" spans="1:9" ht="8.1" customHeight="1" x14ac:dyDescent="0.2">
      <c r="A25" s="4"/>
      <c r="B25" s="4"/>
      <c r="C25" s="6"/>
      <c r="D25" s="6"/>
      <c r="E25" s="6"/>
      <c r="F25" s="6"/>
      <c r="G25" s="6"/>
      <c r="H25" s="6"/>
    </row>
    <row r="26" spans="1:9" x14ac:dyDescent="0.2">
      <c r="A26" s="6" t="s">
        <v>36</v>
      </c>
      <c r="B26" s="4"/>
      <c r="C26" s="4"/>
      <c r="D26" s="4"/>
      <c r="E26" s="4"/>
      <c r="F26" s="4"/>
      <c r="G26" s="4"/>
      <c r="H26" s="4"/>
    </row>
    <row r="27" spans="1:9" ht="12.75" customHeight="1" x14ac:dyDescent="0.2">
      <c r="A27" s="40" t="s">
        <v>38</v>
      </c>
      <c r="B27" s="40"/>
      <c r="C27" s="40"/>
      <c r="D27" s="40"/>
      <c r="E27" s="40"/>
      <c r="F27" s="40"/>
      <c r="G27" s="40"/>
      <c r="H27" s="40"/>
      <c r="I27" s="8"/>
    </row>
    <row r="28" spans="1:9" ht="12.75" customHeight="1" x14ac:dyDescent="0.2">
      <c r="A28" s="40"/>
      <c r="B28" s="40"/>
      <c r="C28" s="40"/>
      <c r="D28" s="40"/>
      <c r="E28" s="40"/>
      <c r="F28" s="40"/>
      <c r="G28" s="40"/>
      <c r="H28" s="40"/>
    </row>
    <row r="29" spans="1:9" ht="12.75" customHeight="1" x14ac:dyDescent="0.2">
      <c r="A29" s="40"/>
      <c r="B29" s="40"/>
      <c r="C29" s="40"/>
      <c r="D29" s="40"/>
      <c r="E29" s="40"/>
      <c r="F29" s="40"/>
      <c r="G29" s="40"/>
      <c r="H29" s="40"/>
    </row>
    <row r="30" spans="1:9" ht="12.75" customHeight="1" x14ac:dyDescent="0.2">
      <c r="A30" s="40"/>
      <c r="B30" s="40"/>
      <c r="C30" s="40"/>
      <c r="D30" s="40"/>
      <c r="E30" s="40"/>
      <c r="F30" s="40"/>
      <c r="G30" s="40"/>
      <c r="H30" s="40"/>
    </row>
    <row r="31" spans="1:9" x14ac:dyDescent="0.2">
      <c r="A31" s="4"/>
      <c r="B31" s="4"/>
      <c r="C31" s="4"/>
      <c r="D31" s="4"/>
      <c r="E31" s="4"/>
      <c r="F31" s="4"/>
      <c r="G31" s="4"/>
      <c r="H31" s="4"/>
    </row>
    <row r="32" spans="1:9" x14ac:dyDescent="0.2">
      <c r="A32" s="7" t="s">
        <v>1</v>
      </c>
      <c r="B32" s="4"/>
      <c r="C32" s="4"/>
      <c r="D32" s="4"/>
      <c r="E32" s="4"/>
      <c r="F32" s="4"/>
      <c r="G32" s="4"/>
      <c r="H32" s="4"/>
    </row>
    <row r="33" spans="1:9" ht="8.1" customHeight="1" x14ac:dyDescent="0.2">
      <c r="A33" s="7"/>
      <c r="B33" s="4"/>
      <c r="C33" s="4"/>
      <c r="D33" s="4"/>
      <c r="E33" s="4"/>
      <c r="F33" s="4"/>
      <c r="G33" s="4"/>
      <c r="H33" s="4"/>
    </row>
    <row r="34" spans="1:9" x14ac:dyDescent="0.2">
      <c r="A34" s="4" t="s">
        <v>34</v>
      </c>
      <c r="B34" s="4"/>
      <c r="C34" s="4"/>
      <c r="D34" s="4"/>
      <c r="E34" s="4"/>
      <c r="F34" s="4"/>
      <c r="G34" s="4"/>
      <c r="H34" s="4"/>
    </row>
    <row r="35" spans="1:9" ht="12.75" customHeight="1" x14ac:dyDescent="0.2">
      <c r="A35" s="40"/>
      <c r="B35" s="40"/>
      <c r="C35" s="40"/>
      <c r="D35" s="40"/>
      <c r="E35" s="40"/>
      <c r="F35" s="40"/>
      <c r="G35" s="40"/>
      <c r="H35" s="40"/>
    </row>
    <row r="36" spans="1:9" ht="8.1" customHeight="1" x14ac:dyDescent="0.2">
      <c r="A36" s="21"/>
      <c r="B36" s="21"/>
      <c r="C36" s="21"/>
      <c r="D36" s="21"/>
      <c r="E36" s="21"/>
      <c r="F36" s="21"/>
      <c r="G36" s="21"/>
      <c r="H36" s="21"/>
    </row>
    <row r="37" spans="1:9" x14ac:dyDescent="0.2">
      <c r="A37" s="6" t="s">
        <v>33</v>
      </c>
      <c r="B37" s="6"/>
      <c r="C37" s="6"/>
      <c r="D37" s="6"/>
      <c r="E37" s="6"/>
      <c r="F37" s="6"/>
      <c r="G37" s="6"/>
      <c r="H37" s="6"/>
    </row>
    <row r="38" spans="1:9" ht="12.75" customHeight="1" x14ac:dyDescent="0.2">
      <c r="A38" s="40" t="s">
        <v>60</v>
      </c>
      <c r="B38" s="40"/>
      <c r="C38" s="40"/>
      <c r="D38" s="40"/>
      <c r="E38" s="40"/>
      <c r="F38" s="40"/>
      <c r="G38" s="40"/>
      <c r="H38" s="40"/>
      <c r="I38" s="8"/>
    </row>
    <row r="39" spans="1:9" ht="8.1" customHeight="1" x14ac:dyDescent="0.2">
      <c r="A39" s="4"/>
      <c r="B39" s="4"/>
      <c r="C39" s="6"/>
      <c r="D39" s="6"/>
      <c r="E39" s="6"/>
      <c r="F39" s="6"/>
      <c r="G39" s="6"/>
      <c r="H39" s="6"/>
    </row>
    <row r="40" spans="1:9" x14ac:dyDescent="0.2">
      <c r="A40" s="6" t="s">
        <v>36</v>
      </c>
      <c r="B40" s="4"/>
      <c r="C40" s="4"/>
      <c r="D40" s="4"/>
      <c r="E40" s="4"/>
      <c r="F40" s="4"/>
      <c r="G40" s="4"/>
      <c r="H40" s="4"/>
    </row>
    <row r="41" spans="1:9" ht="12.75" customHeight="1" x14ac:dyDescent="0.2">
      <c r="A41" s="40" t="s">
        <v>39</v>
      </c>
      <c r="B41" s="40"/>
      <c r="C41" s="40"/>
      <c r="D41" s="40"/>
      <c r="E41" s="40"/>
      <c r="F41" s="40"/>
      <c r="G41" s="40"/>
      <c r="H41" s="40"/>
      <c r="I41" s="8"/>
    </row>
    <row r="42" spans="1:9" ht="12.75" customHeight="1" x14ac:dyDescent="0.2">
      <c r="A42" s="40"/>
      <c r="B42" s="40"/>
      <c r="C42" s="40"/>
      <c r="D42" s="40"/>
      <c r="E42" s="40"/>
      <c r="F42" s="40"/>
      <c r="G42" s="40"/>
      <c r="H42" s="40"/>
    </row>
    <row r="43" spans="1:9" ht="12.75" customHeight="1" x14ac:dyDescent="0.2">
      <c r="A43" s="40"/>
      <c r="B43" s="40"/>
      <c r="C43" s="40"/>
      <c r="D43" s="40"/>
      <c r="E43" s="40"/>
      <c r="F43" s="40"/>
      <c r="G43" s="40"/>
      <c r="H43" s="40"/>
    </row>
    <row r="44" spans="1:9" ht="12.75" customHeight="1" x14ac:dyDescent="0.2">
      <c r="A44" s="40"/>
      <c r="B44" s="40"/>
      <c r="C44" s="40"/>
      <c r="D44" s="40"/>
      <c r="E44" s="40"/>
      <c r="F44" s="40"/>
      <c r="G44" s="40"/>
      <c r="H44" s="40"/>
    </row>
    <row r="45" spans="1:9" x14ac:dyDescent="0.2">
      <c r="A45" s="4"/>
      <c r="B45" s="4"/>
      <c r="C45" s="4"/>
      <c r="D45" s="4"/>
      <c r="E45" s="4"/>
      <c r="F45" s="4"/>
      <c r="G45" s="4"/>
      <c r="H45" s="4"/>
    </row>
    <row r="46" spans="1:9" x14ac:dyDescent="0.2">
      <c r="A46" s="7" t="s">
        <v>2</v>
      </c>
      <c r="B46" s="4"/>
      <c r="C46" s="4"/>
      <c r="D46" s="4"/>
      <c r="E46" s="4"/>
      <c r="F46" s="4"/>
      <c r="G46" s="4"/>
      <c r="H46" s="4"/>
    </row>
    <row r="47" spans="1:9" ht="8.1" customHeight="1" x14ac:dyDescent="0.2">
      <c r="A47" s="7"/>
      <c r="B47" s="4"/>
      <c r="C47" s="4"/>
      <c r="D47" s="4"/>
      <c r="E47" s="4"/>
      <c r="F47" s="4"/>
      <c r="G47" s="4"/>
      <c r="H47" s="4"/>
    </row>
    <row r="48" spans="1:9" x14ac:dyDescent="0.2">
      <c r="A48" s="4" t="s">
        <v>34</v>
      </c>
      <c r="B48" s="4"/>
      <c r="C48" s="4"/>
      <c r="D48" s="4"/>
      <c r="E48" s="4"/>
      <c r="F48" s="4"/>
      <c r="G48" s="4"/>
      <c r="H48" s="4"/>
    </row>
    <row r="49" spans="1:9" ht="12.75" customHeight="1" x14ac:dyDescent="0.2">
      <c r="A49" s="40"/>
      <c r="B49" s="40"/>
      <c r="C49" s="40"/>
      <c r="D49" s="40"/>
      <c r="E49" s="40"/>
      <c r="F49" s="40"/>
      <c r="G49" s="40"/>
      <c r="H49" s="40"/>
    </row>
    <row r="50" spans="1:9" ht="8.1" customHeight="1" x14ac:dyDescent="0.2">
      <c r="A50" s="21"/>
      <c r="B50" s="21"/>
      <c r="C50" s="21"/>
      <c r="D50" s="21"/>
      <c r="E50" s="21"/>
      <c r="F50" s="21"/>
      <c r="G50" s="21"/>
      <c r="H50" s="21"/>
    </row>
    <row r="51" spans="1:9" x14ac:dyDescent="0.2">
      <c r="A51" s="6" t="s">
        <v>33</v>
      </c>
      <c r="B51" s="6"/>
      <c r="C51" s="6"/>
      <c r="D51" s="6"/>
      <c r="E51" s="6"/>
      <c r="F51" s="6"/>
      <c r="G51" s="6"/>
      <c r="H51" s="6"/>
    </row>
    <row r="52" spans="1:9" ht="12.75" customHeight="1" x14ac:dyDescent="0.2">
      <c r="A52" s="40" t="s">
        <v>64</v>
      </c>
      <c r="B52" s="40"/>
      <c r="C52" s="40"/>
      <c r="D52" s="40"/>
      <c r="E52" s="40"/>
      <c r="F52" s="40"/>
      <c r="G52" s="40"/>
      <c r="H52" s="40"/>
      <c r="I52" s="8"/>
    </row>
    <row r="53" spans="1:9" ht="8.1" customHeight="1" x14ac:dyDescent="0.2">
      <c r="A53" s="4"/>
      <c r="B53" s="4"/>
      <c r="C53" s="6"/>
      <c r="D53" s="6"/>
      <c r="E53" s="6"/>
      <c r="F53" s="6"/>
      <c r="G53" s="6"/>
      <c r="H53" s="6"/>
    </row>
    <row r="54" spans="1:9" x14ac:dyDescent="0.2">
      <c r="A54" s="6" t="s">
        <v>36</v>
      </c>
      <c r="B54" s="4"/>
      <c r="C54" s="4"/>
      <c r="D54" s="4"/>
      <c r="E54" s="4"/>
      <c r="F54" s="4"/>
      <c r="G54" s="4"/>
      <c r="H54" s="4"/>
    </row>
    <row r="55" spans="1:9" ht="12.75" customHeight="1" x14ac:dyDescent="0.2">
      <c r="A55" s="40" t="s">
        <v>40</v>
      </c>
      <c r="B55" s="40"/>
      <c r="C55" s="40"/>
      <c r="D55" s="40"/>
      <c r="E55" s="40"/>
      <c r="F55" s="40"/>
      <c r="G55" s="40"/>
      <c r="H55" s="40"/>
      <c r="I55" s="8"/>
    </row>
    <row r="56" spans="1:9" ht="12.75" customHeight="1" x14ac:dyDescent="0.2">
      <c r="A56" s="40"/>
      <c r="B56" s="40"/>
      <c r="C56" s="40"/>
      <c r="D56" s="40"/>
      <c r="E56" s="40"/>
      <c r="F56" s="40"/>
      <c r="G56" s="40"/>
      <c r="H56" s="40"/>
    </row>
    <row r="57" spans="1:9" ht="12.75" customHeight="1" x14ac:dyDescent="0.2">
      <c r="A57" s="40"/>
      <c r="B57" s="40"/>
      <c r="C57" s="40"/>
      <c r="D57" s="40"/>
      <c r="E57" s="40"/>
      <c r="F57" s="40"/>
      <c r="G57" s="40"/>
      <c r="H57" s="40"/>
    </row>
    <row r="58" spans="1:9" ht="12.75" customHeight="1" x14ac:dyDescent="0.2">
      <c r="A58" s="40"/>
      <c r="B58" s="40"/>
      <c r="C58" s="40"/>
      <c r="D58" s="40"/>
      <c r="E58" s="40"/>
      <c r="F58" s="40"/>
      <c r="G58" s="40"/>
      <c r="H58" s="40"/>
    </row>
    <row r="59" spans="1:9" x14ac:dyDescent="0.2">
      <c r="A59" s="4"/>
      <c r="B59" s="4"/>
      <c r="C59" s="4"/>
      <c r="D59" s="4"/>
      <c r="E59" s="4"/>
      <c r="F59" s="4"/>
      <c r="G59" s="4"/>
      <c r="H59" s="4"/>
    </row>
    <row r="60" spans="1:9" x14ac:dyDescent="0.2">
      <c r="A60" s="7" t="s">
        <v>3</v>
      </c>
      <c r="B60" s="4"/>
      <c r="C60" s="4"/>
      <c r="D60" s="4"/>
      <c r="E60" s="4"/>
      <c r="F60" s="4"/>
      <c r="G60" s="4"/>
      <c r="H60" s="4"/>
    </row>
    <row r="61" spans="1:9" ht="8.1" customHeight="1" x14ac:dyDescent="0.2">
      <c r="A61" s="7"/>
      <c r="B61" s="4"/>
      <c r="C61" s="4"/>
      <c r="D61" s="4"/>
      <c r="E61" s="4"/>
      <c r="F61" s="4"/>
      <c r="G61" s="4"/>
      <c r="H61" s="4"/>
    </row>
    <row r="62" spans="1:9" x14ac:dyDescent="0.2">
      <c r="A62" s="4" t="s">
        <v>34</v>
      </c>
      <c r="B62" s="4"/>
      <c r="C62" s="4"/>
      <c r="D62" s="4"/>
      <c r="E62" s="4"/>
      <c r="F62" s="4"/>
      <c r="G62" s="4"/>
      <c r="H62" s="4"/>
    </row>
    <row r="63" spans="1:9" ht="12.75" customHeight="1" x14ac:dyDescent="0.2">
      <c r="A63" s="40"/>
      <c r="B63" s="40"/>
      <c r="C63" s="40"/>
      <c r="D63" s="40"/>
      <c r="E63" s="40"/>
      <c r="F63" s="40"/>
      <c r="G63" s="40"/>
      <c r="H63" s="40"/>
    </row>
    <row r="64" spans="1:9" ht="8.1" customHeight="1" x14ac:dyDescent="0.2">
      <c r="A64" s="21"/>
      <c r="B64" s="21"/>
      <c r="C64" s="21"/>
      <c r="D64" s="21"/>
      <c r="E64" s="21"/>
      <c r="F64" s="21"/>
      <c r="G64" s="21"/>
      <c r="H64" s="21"/>
    </row>
    <row r="65" spans="1:9" x14ac:dyDescent="0.2">
      <c r="A65" s="6" t="s">
        <v>33</v>
      </c>
      <c r="B65" s="6"/>
      <c r="C65" s="6"/>
      <c r="D65" s="6"/>
      <c r="E65" s="6"/>
      <c r="F65" s="6"/>
      <c r="G65" s="6"/>
      <c r="H65" s="6"/>
    </row>
    <row r="66" spans="1:9" ht="12.75" customHeight="1" x14ac:dyDescent="0.2">
      <c r="A66" s="40" t="s">
        <v>61</v>
      </c>
      <c r="B66" s="40"/>
      <c r="C66" s="40"/>
      <c r="D66" s="40"/>
      <c r="E66" s="40"/>
      <c r="F66" s="40"/>
      <c r="G66" s="40"/>
      <c r="H66" s="40"/>
      <c r="I66" s="8"/>
    </row>
    <row r="67" spans="1:9" ht="8.1" customHeight="1" x14ac:dyDescent="0.2">
      <c r="A67" s="4"/>
      <c r="B67" s="4"/>
      <c r="C67" s="6"/>
      <c r="D67" s="6"/>
      <c r="E67" s="6"/>
      <c r="F67" s="6"/>
      <c r="G67" s="6"/>
      <c r="H67" s="6"/>
    </row>
    <row r="68" spans="1:9" x14ac:dyDescent="0.2">
      <c r="A68" s="6" t="s">
        <v>36</v>
      </c>
      <c r="B68" s="4"/>
      <c r="C68" s="4"/>
      <c r="D68" s="4"/>
      <c r="E68" s="4"/>
      <c r="F68" s="4"/>
      <c r="G68" s="4"/>
      <c r="H68" s="4"/>
    </row>
    <row r="69" spans="1:9" ht="12.75" customHeight="1" x14ac:dyDescent="0.2">
      <c r="A69" s="40" t="s">
        <v>41</v>
      </c>
      <c r="B69" s="40"/>
      <c r="C69" s="40"/>
      <c r="D69" s="40"/>
      <c r="E69" s="40"/>
      <c r="F69" s="40"/>
      <c r="G69" s="40"/>
      <c r="H69" s="40"/>
      <c r="I69" s="8"/>
    </row>
    <row r="70" spans="1:9" ht="12.75" customHeight="1" x14ac:dyDescent="0.2">
      <c r="A70" s="40"/>
      <c r="B70" s="40"/>
      <c r="C70" s="40"/>
      <c r="D70" s="40"/>
      <c r="E70" s="40"/>
      <c r="F70" s="40"/>
      <c r="G70" s="40"/>
      <c r="H70" s="40"/>
    </row>
    <row r="71" spans="1:9" ht="12.75" customHeight="1" x14ac:dyDescent="0.2">
      <c r="A71" s="40"/>
      <c r="B71" s="40"/>
      <c r="C71" s="40"/>
      <c r="D71" s="40"/>
      <c r="E71" s="40"/>
      <c r="F71" s="40"/>
      <c r="G71" s="40"/>
      <c r="H71" s="40"/>
    </row>
    <row r="72" spans="1:9" ht="12.75" customHeight="1" x14ac:dyDescent="0.2">
      <c r="A72" s="40"/>
      <c r="B72" s="40"/>
      <c r="C72" s="40"/>
      <c r="D72" s="40"/>
      <c r="E72" s="40"/>
      <c r="F72" s="40"/>
      <c r="G72" s="40"/>
      <c r="H72" s="40"/>
    </row>
    <row r="73" spans="1:9" x14ac:dyDescent="0.2">
      <c r="A73" s="4"/>
      <c r="B73" s="4"/>
      <c r="C73" s="4"/>
      <c r="D73" s="4"/>
      <c r="E73" s="4"/>
      <c r="F73" s="4"/>
      <c r="G73" s="4"/>
      <c r="H73" s="4"/>
    </row>
    <row r="74" spans="1:9" x14ac:dyDescent="0.2">
      <c r="A74" s="7" t="s">
        <v>4</v>
      </c>
      <c r="B74" s="4"/>
      <c r="C74" s="4"/>
      <c r="D74" s="4"/>
      <c r="E74" s="4"/>
      <c r="F74" s="4"/>
      <c r="G74" s="4"/>
      <c r="H74" s="4"/>
    </row>
    <row r="75" spans="1:9" ht="8.1" customHeight="1" x14ac:dyDescent="0.2">
      <c r="A75" s="7"/>
      <c r="B75" s="4"/>
      <c r="C75" s="4"/>
      <c r="D75" s="4"/>
      <c r="E75" s="4"/>
      <c r="F75" s="4"/>
      <c r="G75" s="4"/>
      <c r="H75" s="4"/>
    </row>
    <row r="76" spans="1:9" x14ac:dyDescent="0.2">
      <c r="A76" s="4" t="s">
        <v>34</v>
      </c>
      <c r="B76" s="4"/>
      <c r="C76" s="4"/>
      <c r="D76" s="4"/>
      <c r="E76" s="4"/>
      <c r="F76" s="4"/>
      <c r="G76" s="4"/>
      <c r="H76" s="4"/>
    </row>
    <row r="77" spans="1:9" ht="12.75" customHeight="1" x14ac:dyDescent="0.2">
      <c r="A77" s="40"/>
      <c r="B77" s="40"/>
      <c r="C77" s="40"/>
      <c r="D77" s="40"/>
      <c r="E77" s="40"/>
      <c r="F77" s="40"/>
      <c r="G77" s="40"/>
      <c r="H77" s="40"/>
    </row>
    <row r="78" spans="1:9" ht="8.1" customHeight="1" x14ac:dyDescent="0.2">
      <c r="A78" s="21"/>
      <c r="B78" s="21"/>
      <c r="C78" s="21"/>
      <c r="D78" s="21"/>
      <c r="E78" s="21"/>
      <c r="F78" s="21"/>
      <c r="G78" s="21"/>
      <c r="H78" s="21"/>
    </row>
    <row r="79" spans="1:9" x14ac:dyDescent="0.2">
      <c r="A79" s="6" t="s">
        <v>33</v>
      </c>
      <c r="B79" s="6"/>
      <c r="C79" s="6"/>
      <c r="D79" s="6"/>
      <c r="E79" s="6"/>
      <c r="F79" s="6"/>
      <c r="G79" s="6"/>
      <c r="H79" s="6"/>
    </row>
    <row r="80" spans="1:9" ht="12.75" customHeight="1" x14ac:dyDescent="0.2">
      <c r="A80" s="40" t="s">
        <v>62</v>
      </c>
      <c r="B80" s="40"/>
      <c r="C80" s="40"/>
      <c r="D80" s="40"/>
      <c r="E80" s="40"/>
      <c r="F80" s="40"/>
      <c r="G80" s="40"/>
      <c r="H80" s="40"/>
      <c r="I80" s="8"/>
    </row>
    <row r="81" spans="1:9" ht="8.1" customHeight="1" x14ac:dyDescent="0.2">
      <c r="A81" s="4"/>
      <c r="B81" s="4"/>
      <c r="C81" s="6"/>
      <c r="D81" s="6"/>
      <c r="E81" s="6"/>
      <c r="F81" s="6"/>
      <c r="G81" s="6"/>
      <c r="H81" s="6"/>
    </row>
    <row r="82" spans="1:9" x14ac:dyDescent="0.2">
      <c r="A82" s="6" t="s">
        <v>36</v>
      </c>
      <c r="B82" s="4"/>
      <c r="C82" s="4"/>
      <c r="D82" s="4"/>
      <c r="E82" s="4"/>
      <c r="F82" s="4"/>
      <c r="G82" s="4"/>
      <c r="H82" s="4"/>
    </row>
    <row r="83" spans="1:9" ht="12.75" customHeight="1" x14ac:dyDescent="0.2">
      <c r="A83" s="40" t="s">
        <v>42</v>
      </c>
      <c r="B83" s="40"/>
      <c r="C83" s="40"/>
      <c r="D83" s="40"/>
      <c r="E83" s="40"/>
      <c r="F83" s="40"/>
      <c r="G83" s="40"/>
      <c r="H83" s="40"/>
      <c r="I83" s="8"/>
    </row>
    <row r="84" spans="1:9" ht="12.75" customHeight="1" x14ac:dyDescent="0.2">
      <c r="A84" s="40"/>
      <c r="B84" s="40"/>
      <c r="C84" s="40"/>
      <c r="D84" s="40"/>
      <c r="E84" s="40"/>
      <c r="F84" s="40"/>
      <c r="G84" s="40"/>
      <c r="H84" s="40"/>
    </row>
    <row r="85" spans="1:9" ht="12.75" customHeight="1" x14ac:dyDescent="0.2">
      <c r="A85" s="40"/>
      <c r="B85" s="40"/>
      <c r="C85" s="40"/>
      <c r="D85" s="40"/>
      <c r="E85" s="40"/>
      <c r="F85" s="40"/>
      <c r="G85" s="40"/>
      <c r="H85" s="40"/>
    </row>
    <row r="86" spans="1:9" ht="12.75" customHeight="1" x14ac:dyDescent="0.2">
      <c r="A86" s="40"/>
      <c r="B86" s="40"/>
      <c r="C86" s="40"/>
      <c r="D86" s="40"/>
      <c r="E86" s="40"/>
      <c r="F86" s="40"/>
      <c r="G86" s="40"/>
      <c r="H86" s="40"/>
    </row>
    <row r="87" spans="1:9" x14ac:dyDescent="0.2">
      <c r="A87" s="4"/>
      <c r="B87" s="4"/>
      <c r="C87" s="4"/>
      <c r="D87" s="4"/>
      <c r="E87" s="4"/>
      <c r="F87" s="4"/>
      <c r="G87" s="4"/>
      <c r="H87" s="4"/>
    </row>
    <row r="88" spans="1:9" x14ac:dyDescent="0.2">
      <c r="A88" s="7" t="s">
        <v>5</v>
      </c>
      <c r="B88" s="4"/>
      <c r="C88" s="4"/>
      <c r="D88" s="4"/>
      <c r="E88" s="4"/>
      <c r="F88" s="4"/>
      <c r="G88" s="4"/>
      <c r="H88" s="4"/>
    </row>
    <row r="89" spans="1:9" ht="8.1" customHeight="1" x14ac:dyDescent="0.2">
      <c r="A89" s="7"/>
      <c r="B89" s="4"/>
      <c r="C89" s="4"/>
      <c r="D89" s="4"/>
      <c r="E89" s="4"/>
      <c r="F89" s="4"/>
      <c r="G89" s="4"/>
      <c r="H89" s="4"/>
    </row>
    <row r="90" spans="1:9" x14ac:dyDescent="0.2">
      <c r="A90" s="4" t="s">
        <v>34</v>
      </c>
      <c r="B90" s="4"/>
      <c r="C90" s="4"/>
      <c r="D90" s="4"/>
      <c r="E90" s="4"/>
      <c r="F90" s="4"/>
      <c r="G90" s="4"/>
      <c r="H90" s="4"/>
    </row>
    <row r="91" spans="1:9" ht="12.75" customHeight="1" x14ac:dyDescent="0.2">
      <c r="A91" s="40"/>
      <c r="B91" s="40"/>
      <c r="C91" s="40"/>
      <c r="D91" s="40"/>
      <c r="E91" s="40"/>
      <c r="F91" s="40"/>
      <c r="G91" s="40"/>
      <c r="H91" s="40"/>
    </row>
    <row r="92" spans="1:9" ht="8.1" customHeight="1" x14ac:dyDescent="0.2">
      <c r="A92" s="21"/>
      <c r="B92" s="21"/>
      <c r="C92" s="21"/>
      <c r="D92" s="21"/>
      <c r="E92" s="21"/>
      <c r="F92" s="21"/>
      <c r="G92" s="21"/>
      <c r="H92" s="21"/>
    </row>
    <row r="93" spans="1:9" x14ac:dyDescent="0.2">
      <c r="A93" s="6" t="s">
        <v>33</v>
      </c>
      <c r="B93" s="6"/>
      <c r="C93" s="6"/>
      <c r="D93" s="6"/>
      <c r="E93" s="6"/>
      <c r="F93" s="6"/>
      <c r="G93" s="6"/>
      <c r="H93" s="6"/>
    </row>
    <row r="94" spans="1:9" ht="12.75" customHeight="1" x14ac:dyDescent="0.2">
      <c r="A94" s="40" t="s">
        <v>56</v>
      </c>
      <c r="B94" s="40"/>
      <c r="C94" s="40"/>
      <c r="D94" s="40"/>
      <c r="E94" s="40"/>
      <c r="F94" s="40"/>
      <c r="G94" s="40"/>
      <c r="H94" s="40"/>
      <c r="I94" s="8"/>
    </row>
    <row r="95" spans="1:9" ht="8.1" customHeight="1" x14ac:dyDescent="0.2">
      <c r="A95" s="4"/>
      <c r="B95" s="4"/>
      <c r="C95" s="6"/>
      <c r="D95" s="6"/>
      <c r="E95" s="6"/>
      <c r="F95" s="6"/>
      <c r="G95" s="6"/>
      <c r="H95" s="6"/>
    </row>
    <row r="96" spans="1:9" x14ac:dyDescent="0.2">
      <c r="A96" s="6" t="s">
        <v>36</v>
      </c>
      <c r="B96" s="4"/>
      <c r="C96" s="4"/>
      <c r="D96" s="4"/>
      <c r="E96" s="4"/>
      <c r="F96" s="4"/>
      <c r="G96" s="4"/>
      <c r="H96" s="4"/>
    </row>
    <row r="97" spans="1:15" ht="12.75" customHeight="1" x14ac:dyDescent="0.2">
      <c r="A97" s="40" t="s">
        <v>43</v>
      </c>
      <c r="B97" s="40"/>
      <c r="C97" s="40"/>
      <c r="D97" s="40"/>
      <c r="E97" s="40"/>
      <c r="F97" s="40"/>
      <c r="G97" s="40"/>
      <c r="H97" s="40"/>
      <c r="I97" s="8"/>
    </row>
    <row r="98" spans="1:15" ht="12.75" customHeight="1" x14ac:dyDescent="0.2">
      <c r="A98" s="40"/>
      <c r="B98" s="40"/>
      <c r="C98" s="40"/>
      <c r="D98" s="40"/>
      <c r="E98" s="40"/>
      <c r="F98" s="40"/>
      <c r="G98" s="40"/>
      <c r="H98" s="40"/>
    </row>
    <row r="99" spans="1:15" ht="12.75" customHeight="1" x14ac:dyDescent="0.2">
      <c r="A99" s="40"/>
      <c r="B99" s="40"/>
      <c r="C99" s="40"/>
      <c r="D99" s="40"/>
      <c r="E99" s="40"/>
      <c r="F99" s="40"/>
      <c r="G99" s="40"/>
      <c r="H99" s="40"/>
    </row>
    <row r="100" spans="1:15" ht="12.75" customHeight="1" x14ac:dyDescent="0.2">
      <c r="A100" s="40"/>
      <c r="B100" s="40"/>
      <c r="C100" s="40"/>
      <c r="D100" s="40"/>
      <c r="E100" s="40"/>
      <c r="F100" s="40"/>
      <c r="G100" s="40"/>
      <c r="H100" s="40"/>
    </row>
    <row r="101" spans="1:15" x14ac:dyDescent="0.2">
      <c r="A101" s="4"/>
      <c r="B101" s="4"/>
      <c r="C101" s="4"/>
      <c r="D101" s="4"/>
      <c r="E101" s="4"/>
      <c r="F101" s="4"/>
      <c r="G101" s="4"/>
      <c r="H101" s="4"/>
    </row>
    <row r="102" spans="1:15" x14ac:dyDescent="0.2">
      <c r="A102" s="7" t="s">
        <v>6</v>
      </c>
      <c r="B102" s="4"/>
      <c r="C102" s="4"/>
      <c r="D102" s="4"/>
      <c r="E102" s="4"/>
      <c r="F102" s="4"/>
      <c r="G102" s="4"/>
      <c r="H102" s="4"/>
    </row>
    <row r="103" spans="1:15" ht="8.1" customHeight="1" x14ac:dyDescent="0.2">
      <c r="A103" s="7"/>
      <c r="B103" s="4"/>
      <c r="C103" s="4"/>
      <c r="D103" s="4"/>
      <c r="E103" s="4"/>
      <c r="F103" s="4"/>
      <c r="G103" s="4"/>
      <c r="H103" s="4"/>
    </row>
    <row r="104" spans="1:15" x14ac:dyDescent="0.2">
      <c r="A104" s="4" t="s">
        <v>34</v>
      </c>
      <c r="B104" s="4"/>
      <c r="C104" s="4"/>
      <c r="D104" s="4"/>
      <c r="E104" s="4"/>
      <c r="F104" s="4"/>
      <c r="G104" s="4"/>
      <c r="H104" s="4"/>
    </row>
    <row r="105" spans="1:15" ht="12.75" customHeight="1" x14ac:dyDescent="0.2">
      <c r="A105" s="40"/>
      <c r="B105" s="40"/>
      <c r="C105" s="40"/>
      <c r="D105" s="40"/>
      <c r="E105" s="40"/>
      <c r="F105" s="40"/>
      <c r="G105" s="40"/>
      <c r="H105" s="40"/>
    </row>
    <row r="106" spans="1:15" ht="8.1" customHeight="1" x14ac:dyDescent="0.2">
      <c r="A106" s="21"/>
      <c r="B106" s="21"/>
      <c r="C106" s="21"/>
      <c r="D106" s="21"/>
      <c r="E106" s="21"/>
      <c r="F106" s="21"/>
      <c r="G106" s="21"/>
      <c r="H106" s="21"/>
    </row>
    <row r="107" spans="1:15" x14ac:dyDescent="0.2">
      <c r="A107" s="6" t="s">
        <v>33</v>
      </c>
      <c r="B107" s="6"/>
      <c r="C107" s="6"/>
      <c r="D107" s="6"/>
      <c r="E107" s="6"/>
      <c r="F107" s="6"/>
      <c r="G107" s="6"/>
      <c r="H107" s="6"/>
    </row>
    <row r="108" spans="1:15" ht="12.75" customHeight="1" x14ac:dyDescent="0.2">
      <c r="A108" s="40" t="s">
        <v>63</v>
      </c>
      <c r="B108" s="40"/>
      <c r="C108" s="40"/>
      <c r="D108" s="40"/>
      <c r="E108" s="40"/>
      <c r="F108" s="40"/>
      <c r="G108" s="40"/>
      <c r="H108" s="40"/>
      <c r="I108" s="8"/>
    </row>
    <row r="109" spans="1:15" ht="8.1" customHeight="1" x14ac:dyDescent="0.2">
      <c r="A109" s="4"/>
      <c r="B109" s="4"/>
      <c r="C109" s="6"/>
      <c r="D109" s="6"/>
      <c r="E109" s="6"/>
      <c r="F109" s="6"/>
      <c r="G109" s="6"/>
      <c r="H109" s="6"/>
    </row>
    <row r="110" spans="1:15" x14ac:dyDescent="0.2">
      <c r="A110" s="6" t="s">
        <v>36</v>
      </c>
      <c r="B110" s="4"/>
      <c r="C110" s="4"/>
      <c r="D110" s="4"/>
      <c r="E110" s="4"/>
      <c r="F110" s="4"/>
      <c r="G110" s="4"/>
      <c r="H110" s="4"/>
    </row>
    <row r="111" spans="1:15" ht="12.75" customHeight="1" x14ac:dyDescent="0.25">
      <c r="A111" s="40" t="s">
        <v>44</v>
      </c>
      <c r="B111" s="40"/>
      <c r="C111" s="40"/>
      <c r="D111" s="40"/>
      <c r="E111" s="40"/>
      <c r="F111" s="40"/>
      <c r="G111" s="40"/>
      <c r="H111" s="40"/>
      <c r="I111" s="8"/>
      <c r="O111" s="28"/>
    </row>
    <row r="112" spans="1:15" ht="12.75" customHeight="1" x14ac:dyDescent="0.2">
      <c r="A112" s="40"/>
      <c r="B112" s="40"/>
      <c r="C112" s="40"/>
      <c r="D112" s="40"/>
      <c r="E112" s="40"/>
      <c r="F112" s="40"/>
      <c r="G112" s="40"/>
      <c r="H112" s="40"/>
    </row>
    <row r="113" spans="1:9" ht="12.75" customHeight="1" x14ac:dyDescent="0.2">
      <c r="A113" s="40"/>
      <c r="B113" s="40"/>
      <c r="C113" s="40"/>
      <c r="D113" s="40"/>
      <c r="E113" s="40"/>
      <c r="F113" s="40"/>
      <c r="G113" s="40"/>
      <c r="H113" s="40"/>
    </row>
    <row r="114" spans="1:9" ht="12.75" customHeight="1" x14ac:dyDescent="0.2">
      <c r="A114" s="40"/>
      <c r="B114" s="40"/>
      <c r="C114" s="40"/>
      <c r="D114" s="40"/>
      <c r="E114" s="40"/>
      <c r="F114" s="40"/>
      <c r="G114" s="40"/>
      <c r="H114" s="40"/>
    </row>
    <row r="115" spans="1:9" ht="12.75" customHeight="1" x14ac:dyDescent="0.2">
      <c r="A115" s="4"/>
      <c r="B115" s="4"/>
      <c r="C115" s="4"/>
      <c r="D115" s="4"/>
      <c r="E115" s="4"/>
      <c r="F115" s="4"/>
      <c r="G115" s="4"/>
      <c r="H115" s="4"/>
    </row>
    <row r="116" spans="1:9" x14ac:dyDescent="0.2">
      <c r="A116" s="7" t="s">
        <v>32</v>
      </c>
      <c r="B116" s="4"/>
      <c r="C116" s="4"/>
      <c r="D116" s="4"/>
      <c r="E116" s="4"/>
      <c r="F116" s="4"/>
      <c r="G116" s="4"/>
      <c r="H116" s="4"/>
    </row>
    <row r="117" spans="1:9" ht="8.1" customHeight="1" x14ac:dyDescent="0.2">
      <c r="A117" s="7"/>
      <c r="B117" s="4"/>
      <c r="C117" s="4"/>
      <c r="D117" s="4"/>
      <c r="E117" s="4"/>
      <c r="F117" s="4"/>
      <c r="G117" s="4"/>
      <c r="H117" s="4"/>
    </row>
    <row r="118" spans="1:9" x14ac:dyDescent="0.2">
      <c r="A118" s="4" t="s">
        <v>34</v>
      </c>
      <c r="B118" s="4"/>
      <c r="C118" s="4"/>
      <c r="D118" s="4"/>
      <c r="E118" s="4"/>
      <c r="F118" s="4"/>
      <c r="G118" s="4"/>
      <c r="H118" s="4"/>
    </row>
    <row r="119" spans="1:9" ht="12.75" customHeight="1" x14ac:dyDescent="0.2">
      <c r="A119" s="40" t="s">
        <v>50</v>
      </c>
      <c r="B119" s="40"/>
      <c r="C119" s="40"/>
      <c r="D119" s="40"/>
      <c r="E119" s="40"/>
      <c r="F119" s="40"/>
      <c r="G119" s="40"/>
      <c r="H119" s="40"/>
    </row>
    <row r="120" spans="1:9" ht="8.1" customHeight="1" x14ac:dyDescent="0.2">
      <c r="A120" s="21"/>
      <c r="B120" s="21"/>
      <c r="C120" s="21"/>
      <c r="D120" s="21"/>
      <c r="E120" s="21"/>
      <c r="F120" s="21"/>
      <c r="G120" s="21"/>
      <c r="H120" s="21"/>
    </row>
    <row r="121" spans="1:9" x14ac:dyDescent="0.2">
      <c r="A121" s="6" t="s">
        <v>33</v>
      </c>
      <c r="B121" s="6"/>
      <c r="C121" s="6"/>
      <c r="D121" s="6"/>
      <c r="E121" s="6"/>
      <c r="F121" s="6"/>
      <c r="G121" s="6"/>
      <c r="H121" s="6"/>
    </row>
    <row r="122" spans="1:9" ht="12.75" customHeight="1" x14ac:dyDescent="0.2">
      <c r="A122" s="40" t="s">
        <v>51</v>
      </c>
      <c r="B122" s="40"/>
      <c r="C122" s="40"/>
      <c r="D122" s="40"/>
      <c r="E122" s="40"/>
      <c r="F122" s="40"/>
      <c r="G122" s="40"/>
      <c r="H122" s="40"/>
      <c r="I122" s="8"/>
    </row>
    <row r="123" spans="1:9" ht="8.1" customHeight="1" x14ac:dyDescent="0.2">
      <c r="A123" s="4"/>
      <c r="B123" s="4"/>
      <c r="C123" s="6"/>
      <c r="D123" s="6"/>
      <c r="E123" s="6"/>
      <c r="F123" s="6"/>
      <c r="G123" s="6"/>
      <c r="H123" s="6"/>
    </row>
    <row r="124" spans="1:9" x14ac:dyDescent="0.2">
      <c r="A124" s="6" t="s">
        <v>36</v>
      </c>
      <c r="B124" s="4"/>
      <c r="C124" s="4"/>
      <c r="D124" s="4"/>
      <c r="E124" s="4"/>
      <c r="F124" s="4"/>
      <c r="G124" s="4"/>
      <c r="H124" s="4"/>
    </row>
    <row r="125" spans="1:9" ht="12.75" customHeight="1" x14ac:dyDescent="0.2">
      <c r="A125" s="40" t="s">
        <v>45</v>
      </c>
      <c r="B125" s="40"/>
      <c r="C125" s="40"/>
      <c r="D125" s="40"/>
      <c r="E125" s="40"/>
      <c r="F125" s="40"/>
      <c r="G125" s="40"/>
      <c r="H125" s="40"/>
      <c r="I125" s="8"/>
    </row>
    <row r="126" spans="1:9" ht="12.75" customHeight="1" x14ac:dyDescent="0.2">
      <c r="A126" s="40"/>
      <c r="B126" s="40"/>
      <c r="C126" s="40"/>
      <c r="D126" s="40"/>
      <c r="E126" s="40"/>
      <c r="F126" s="40"/>
      <c r="G126" s="40"/>
      <c r="H126" s="40"/>
    </row>
    <row r="127" spans="1:9" ht="12.75" customHeight="1" x14ac:dyDescent="0.2">
      <c r="A127" s="40"/>
      <c r="B127" s="40"/>
      <c r="C127" s="40"/>
      <c r="D127" s="40"/>
      <c r="E127" s="40"/>
      <c r="F127" s="40"/>
      <c r="G127" s="40"/>
      <c r="H127" s="40"/>
    </row>
    <row r="128" spans="1:9" ht="12.75" customHeight="1" x14ac:dyDescent="0.2">
      <c r="A128" s="40"/>
      <c r="B128" s="40"/>
      <c r="C128" s="40"/>
      <c r="D128" s="40"/>
      <c r="E128" s="40"/>
      <c r="F128" s="40"/>
      <c r="G128" s="40"/>
      <c r="H128" s="40"/>
    </row>
    <row r="129" spans="1:9" x14ac:dyDescent="0.2">
      <c r="A129" s="4"/>
      <c r="B129" s="4"/>
      <c r="C129" s="4"/>
      <c r="D129" s="4"/>
      <c r="E129" s="4"/>
      <c r="F129" s="4"/>
      <c r="G129" s="4"/>
      <c r="H129" s="4"/>
    </row>
    <row r="130" spans="1:9" x14ac:dyDescent="0.2">
      <c r="A130" s="7" t="s">
        <v>7</v>
      </c>
      <c r="B130" s="4"/>
      <c r="C130" s="4"/>
      <c r="D130" s="4"/>
      <c r="E130" s="4"/>
      <c r="F130" s="4"/>
      <c r="G130" s="4"/>
      <c r="H130" s="4"/>
    </row>
    <row r="131" spans="1:9" ht="8.1" customHeight="1" x14ac:dyDescent="0.2">
      <c r="A131" s="7"/>
      <c r="B131" s="4"/>
      <c r="C131" s="4"/>
      <c r="D131" s="4"/>
      <c r="E131" s="4"/>
      <c r="F131" s="4"/>
      <c r="G131" s="4"/>
      <c r="H131" s="4"/>
    </row>
    <row r="132" spans="1:9" x14ac:dyDescent="0.2">
      <c r="A132" s="4" t="s">
        <v>34</v>
      </c>
      <c r="B132" s="4"/>
      <c r="C132" s="4"/>
      <c r="D132" s="4"/>
      <c r="E132" s="4"/>
      <c r="F132" s="4"/>
      <c r="G132" s="4"/>
      <c r="H132" s="4"/>
    </row>
    <row r="133" spans="1:9" ht="12.75" customHeight="1" x14ac:dyDescent="0.2">
      <c r="A133" s="40" t="s">
        <v>35</v>
      </c>
      <c r="B133" s="40"/>
      <c r="C133" s="40"/>
      <c r="D133" s="40"/>
      <c r="E133" s="40"/>
      <c r="F133" s="40"/>
      <c r="G133" s="40"/>
      <c r="H133" s="40"/>
    </row>
    <row r="134" spans="1:9" ht="8.1" customHeight="1" x14ac:dyDescent="0.2">
      <c r="A134" s="21"/>
      <c r="B134" s="21"/>
      <c r="C134" s="21"/>
      <c r="D134" s="21"/>
      <c r="E134" s="21"/>
      <c r="F134" s="21"/>
      <c r="G134" s="21"/>
      <c r="H134" s="21"/>
    </row>
    <row r="135" spans="1:9" x14ac:dyDescent="0.2">
      <c r="A135" s="6" t="s">
        <v>33</v>
      </c>
      <c r="B135" s="6"/>
      <c r="C135" s="6"/>
      <c r="D135" s="6"/>
      <c r="E135" s="6"/>
      <c r="F135" s="6"/>
      <c r="G135" s="6"/>
      <c r="H135" s="6"/>
    </row>
    <row r="136" spans="1:9" ht="12.75" customHeight="1" x14ac:dyDescent="0.2">
      <c r="A136" s="40" t="s">
        <v>52</v>
      </c>
      <c r="B136" s="40"/>
      <c r="C136" s="40"/>
      <c r="D136" s="40"/>
      <c r="E136" s="40"/>
      <c r="F136" s="40"/>
      <c r="G136" s="40"/>
      <c r="H136" s="40"/>
      <c r="I136" s="8"/>
    </row>
    <row r="137" spans="1:9" ht="8.1" customHeight="1" x14ac:dyDescent="0.2">
      <c r="A137" s="4"/>
      <c r="B137" s="4"/>
      <c r="C137" s="6"/>
      <c r="D137" s="6"/>
      <c r="E137" s="6"/>
      <c r="F137" s="6"/>
      <c r="G137" s="6"/>
      <c r="H137" s="6"/>
    </row>
    <row r="138" spans="1:9" x14ac:dyDescent="0.2">
      <c r="A138" s="6" t="s">
        <v>36</v>
      </c>
      <c r="B138" s="4"/>
      <c r="C138" s="4"/>
      <c r="D138" s="4"/>
      <c r="E138" s="4"/>
      <c r="F138" s="4"/>
      <c r="G138" s="4"/>
      <c r="H138" s="4"/>
    </row>
    <row r="139" spans="1:9" ht="12.75" customHeight="1" x14ac:dyDescent="0.2">
      <c r="A139" s="40" t="s">
        <v>46</v>
      </c>
      <c r="B139" s="40"/>
      <c r="C139" s="40"/>
      <c r="D139" s="40"/>
      <c r="E139" s="40"/>
      <c r="F139" s="40"/>
      <c r="G139" s="40"/>
      <c r="H139" s="40"/>
      <c r="I139" s="8"/>
    </row>
    <row r="140" spans="1:9" ht="12.75" customHeight="1" x14ac:dyDescent="0.2">
      <c r="A140" s="40"/>
      <c r="B140" s="40"/>
      <c r="C140" s="40"/>
      <c r="D140" s="40"/>
      <c r="E140" s="40"/>
      <c r="F140" s="40"/>
      <c r="G140" s="40"/>
      <c r="H140" s="40"/>
    </row>
    <row r="141" spans="1:9" ht="12.75" customHeight="1" x14ac:dyDescent="0.2">
      <c r="A141" s="40"/>
      <c r="B141" s="40"/>
      <c r="C141" s="40"/>
      <c r="D141" s="40"/>
      <c r="E141" s="40"/>
      <c r="F141" s="40"/>
      <c r="G141" s="40"/>
      <c r="H141" s="40"/>
    </row>
    <row r="142" spans="1:9" ht="12.75" customHeight="1" x14ac:dyDescent="0.2">
      <c r="A142" s="40"/>
      <c r="B142" s="40"/>
      <c r="C142" s="40"/>
      <c r="D142" s="40"/>
      <c r="E142" s="40"/>
      <c r="F142" s="40"/>
      <c r="G142" s="40"/>
      <c r="H142" s="40"/>
    </row>
    <row r="143" spans="1:9" x14ac:dyDescent="0.2">
      <c r="A143" s="4"/>
      <c r="B143" s="4"/>
      <c r="C143" s="4"/>
      <c r="D143" s="4"/>
      <c r="E143" s="4"/>
      <c r="F143" s="4"/>
      <c r="G143" s="4"/>
      <c r="H143" s="4"/>
    </row>
    <row r="144" spans="1:9" s="8" customFormat="1" x14ac:dyDescent="0.2">
      <c r="A144" s="1" t="s">
        <v>19</v>
      </c>
      <c r="B144" s="1"/>
      <c r="C144" s="1"/>
      <c r="D144" s="1"/>
      <c r="E144" s="1"/>
      <c r="F144" s="1"/>
      <c r="G144" s="1"/>
      <c r="H144" s="1"/>
    </row>
    <row r="146" spans="1:5" x14ac:dyDescent="0.2">
      <c r="A146" s="3" t="s">
        <v>58</v>
      </c>
      <c r="C146" s="3">
        <v>1</v>
      </c>
      <c r="E146" s="3" t="s">
        <v>0</v>
      </c>
    </row>
    <row r="147" spans="1:5" x14ac:dyDescent="0.2">
      <c r="A147" s="3" t="s">
        <v>55</v>
      </c>
      <c r="C147" s="3">
        <v>2</v>
      </c>
      <c r="E147" s="3" t="s">
        <v>1</v>
      </c>
    </row>
    <row r="148" spans="1:5" x14ac:dyDescent="0.2">
      <c r="A148" s="3" t="s">
        <v>28</v>
      </c>
      <c r="C148" s="3">
        <v>3</v>
      </c>
      <c r="E148" s="3" t="s">
        <v>2</v>
      </c>
    </row>
    <row r="149" spans="1:5" x14ac:dyDescent="0.2">
      <c r="C149" s="3">
        <v>4</v>
      </c>
      <c r="E149" s="3" t="s">
        <v>3</v>
      </c>
    </row>
    <row r="150" spans="1:5" x14ac:dyDescent="0.2">
      <c r="A150" s="3" t="s">
        <v>15</v>
      </c>
      <c r="C150" s="3">
        <v>5</v>
      </c>
      <c r="E150" s="3" t="s">
        <v>4</v>
      </c>
    </row>
    <row r="151" spans="1:5" x14ac:dyDescent="0.2">
      <c r="A151" s="3" t="s">
        <v>16</v>
      </c>
      <c r="C151" s="3">
        <v>6</v>
      </c>
      <c r="E151" s="3" t="s">
        <v>5</v>
      </c>
    </row>
    <row r="152" spans="1:5" x14ac:dyDescent="0.2">
      <c r="C152" s="3">
        <v>7</v>
      </c>
      <c r="E152" s="3" t="s">
        <v>6</v>
      </c>
    </row>
    <row r="153" spans="1:5" x14ac:dyDescent="0.2">
      <c r="C153" s="3">
        <v>8</v>
      </c>
      <c r="E153" s="3" t="s">
        <v>20</v>
      </c>
    </row>
    <row r="154" spans="1:5" x14ac:dyDescent="0.2">
      <c r="C154" s="3">
        <v>9</v>
      </c>
      <c r="E154" s="3" t="s">
        <v>7</v>
      </c>
    </row>
    <row r="156" spans="1:5" x14ac:dyDescent="0.2">
      <c r="A156" s="41" t="s">
        <v>17</v>
      </c>
      <c r="B156" s="9" t="s">
        <v>23</v>
      </c>
      <c r="C156" s="9" t="s">
        <v>24</v>
      </c>
    </row>
    <row r="157" spans="1:5" x14ac:dyDescent="0.2">
      <c r="A157" s="41"/>
      <c r="B157" s="9" t="s">
        <v>22</v>
      </c>
      <c r="C157" s="9" t="s">
        <v>22</v>
      </c>
    </row>
    <row r="158" spans="1:5" x14ac:dyDescent="0.2">
      <c r="A158" s="9">
        <v>1</v>
      </c>
      <c r="B158" s="9" t="str">
        <f>IF($D$11&lt;A158,"",IF($D$11=A158,"Triangle","Circle"))</f>
        <v>Circle</v>
      </c>
      <c r="C158" s="9" t="str">
        <f t="shared" ref="C158:C166" si="0">IF($D$11&lt;A158,"","Triangle")</f>
        <v>Triangle</v>
      </c>
      <c r="D158" s="9"/>
      <c r="E158" s="9"/>
    </row>
    <row r="159" spans="1:5" x14ac:dyDescent="0.2">
      <c r="A159" s="9">
        <v>2</v>
      </c>
      <c r="B159" s="9" t="str">
        <f t="shared" ref="B159:B166" si="1">IF($D$11&lt;A159,"",IF($D$11=A159,"Triangle","Circle"))</f>
        <v>Circle</v>
      </c>
      <c r="C159" s="9" t="str">
        <f t="shared" si="0"/>
        <v>Triangle</v>
      </c>
      <c r="D159" s="9"/>
      <c r="E159" s="9"/>
    </row>
    <row r="160" spans="1:5" x14ac:dyDescent="0.2">
      <c r="A160" s="9">
        <v>3</v>
      </c>
      <c r="B160" s="9" t="str">
        <f t="shared" si="1"/>
        <v>Circle</v>
      </c>
      <c r="C160" s="9" t="str">
        <f t="shared" si="0"/>
        <v>Triangle</v>
      </c>
      <c r="D160" s="9"/>
      <c r="E160" s="9"/>
    </row>
    <row r="161" spans="1:5" x14ac:dyDescent="0.2">
      <c r="A161" s="9">
        <v>4</v>
      </c>
      <c r="B161" s="9" t="str">
        <f t="shared" si="1"/>
        <v>Circle</v>
      </c>
      <c r="C161" s="9" t="str">
        <f t="shared" si="0"/>
        <v>Triangle</v>
      </c>
      <c r="D161" s="9"/>
      <c r="E161" s="9"/>
    </row>
    <row r="162" spans="1:5" x14ac:dyDescent="0.2">
      <c r="A162" s="9">
        <v>5</v>
      </c>
      <c r="B162" s="9" t="str">
        <f t="shared" si="1"/>
        <v>Circle</v>
      </c>
      <c r="C162" s="9" t="str">
        <f t="shared" si="0"/>
        <v>Triangle</v>
      </c>
      <c r="D162" s="9"/>
      <c r="E162" s="9"/>
    </row>
    <row r="163" spans="1:5" x14ac:dyDescent="0.2">
      <c r="A163" s="9">
        <v>6</v>
      </c>
      <c r="B163" s="9" t="str">
        <f t="shared" si="1"/>
        <v>Circle</v>
      </c>
      <c r="C163" s="9" t="str">
        <f t="shared" si="0"/>
        <v>Triangle</v>
      </c>
      <c r="D163" s="9"/>
      <c r="E163" s="9"/>
    </row>
    <row r="164" spans="1:5" x14ac:dyDescent="0.2">
      <c r="A164" s="9">
        <v>7</v>
      </c>
      <c r="B164" s="9" t="str">
        <f t="shared" si="1"/>
        <v>Triangle</v>
      </c>
      <c r="C164" s="9" t="str">
        <f t="shared" si="0"/>
        <v>Triangle</v>
      </c>
      <c r="D164" s="9"/>
      <c r="E164" s="9"/>
    </row>
    <row r="165" spans="1:5" x14ac:dyDescent="0.2">
      <c r="A165" s="9">
        <v>8</v>
      </c>
      <c r="B165" s="9" t="str">
        <f t="shared" si="1"/>
        <v/>
      </c>
      <c r="C165" s="9" t="str">
        <f t="shared" si="0"/>
        <v/>
      </c>
      <c r="D165" s="9"/>
      <c r="E165" s="9"/>
    </row>
    <row r="166" spans="1:5" x14ac:dyDescent="0.2">
      <c r="A166" s="9">
        <v>9</v>
      </c>
      <c r="B166" s="9" t="str">
        <f t="shared" si="1"/>
        <v/>
      </c>
      <c r="C166" s="9" t="str">
        <f t="shared" si="0"/>
        <v/>
      </c>
      <c r="D166" s="9"/>
      <c r="E166" s="9"/>
    </row>
    <row r="168" spans="1:5" x14ac:dyDescent="0.2">
      <c r="A168" s="9"/>
      <c r="B168" s="9" t="s">
        <v>48</v>
      </c>
      <c r="C168" s="9" t="s">
        <v>36</v>
      </c>
    </row>
    <row r="169" spans="1:5" x14ac:dyDescent="0.2">
      <c r="A169" s="9" t="s">
        <v>49</v>
      </c>
      <c r="B169" s="9">
        <v>75</v>
      </c>
      <c r="C169" s="9">
        <v>375</v>
      </c>
    </row>
  </sheetData>
  <mergeCells count="33">
    <mergeCell ref="A52:H52"/>
    <mergeCell ref="B1:D1"/>
    <mergeCell ref="B2:D2"/>
    <mergeCell ref="C3:H3"/>
    <mergeCell ref="A41:H44"/>
    <mergeCell ref="D9:E9"/>
    <mergeCell ref="A27:H30"/>
    <mergeCell ref="A24:H24"/>
    <mergeCell ref="A38:H38"/>
    <mergeCell ref="A21:H21"/>
    <mergeCell ref="A35:H35"/>
    <mergeCell ref="A49:H49"/>
    <mergeCell ref="G9:H9"/>
    <mergeCell ref="A91:H91"/>
    <mergeCell ref="A105:H105"/>
    <mergeCell ref="A156:A157"/>
    <mergeCell ref="A122:H122"/>
    <mergeCell ref="A125:H128"/>
    <mergeCell ref="A136:H136"/>
    <mergeCell ref="A139:H142"/>
    <mergeCell ref="A119:H119"/>
    <mergeCell ref="A133:H133"/>
    <mergeCell ref="A94:H94"/>
    <mergeCell ref="A97:H100"/>
    <mergeCell ref="A108:H108"/>
    <mergeCell ref="A111:H114"/>
    <mergeCell ref="A55:H58"/>
    <mergeCell ref="A66:H66"/>
    <mergeCell ref="A69:H72"/>
    <mergeCell ref="A80:H80"/>
    <mergeCell ref="A83:H86"/>
    <mergeCell ref="A63:H63"/>
    <mergeCell ref="A77:H77"/>
  </mergeCells>
  <conditionalFormatting sqref="F9:H9">
    <cfRule type="expression" dxfId="21" priority="67">
      <formula>$D$9="Seismic Hazard"</formula>
    </cfRule>
    <cfRule type="expression" dxfId="20" priority="68">
      <formula>$D$9="Hydrologic Hazard"</formula>
    </cfRule>
  </conditionalFormatting>
  <conditionalFormatting sqref="A32:H45">
    <cfRule type="expression" dxfId="19" priority="16" stopIfTrue="1">
      <formula>$D$11&lt;2</formula>
    </cfRule>
  </conditionalFormatting>
  <conditionalFormatting sqref="A110:H114 A138:H142 A40:H44 A54:H58 A68:H72 A82:H86 A96:H100 A124:H128 A26:H30">
    <cfRule type="expression" dxfId="18" priority="2" stopIfTrue="1">
      <formula>$D$14="No"</formula>
    </cfRule>
  </conditionalFormatting>
  <conditionalFormatting sqref="A46:H59">
    <cfRule type="expression" dxfId="17" priority="14" stopIfTrue="1">
      <formula>$D$11&lt;3</formula>
    </cfRule>
  </conditionalFormatting>
  <conditionalFormatting sqref="A60:H73">
    <cfRule type="expression" dxfId="16" priority="12" stopIfTrue="1">
      <formula>$D$11&lt;4</formula>
    </cfRule>
  </conditionalFormatting>
  <conditionalFormatting sqref="A74:H87">
    <cfRule type="expression" dxfId="15" priority="9" stopIfTrue="1">
      <formula>$D$11&lt;5</formula>
    </cfRule>
  </conditionalFormatting>
  <conditionalFormatting sqref="A88:H101">
    <cfRule type="expression" dxfId="14" priority="7" stopIfTrue="1">
      <formula>$D$11&lt;6</formula>
    </cfRule>
  </conditionalFormatting>
  <conditionalFormatting sqref="A102:H115">
    <cfRule type="expression" dxfId="13" priority="8" stopIfTrue="1">
      <formula>$D$11&lt;7</formula>
    </cfRule>
  </conditionalFormatting>
  <conditionalFormatting sqref="A116:H129">
    <cfRule type="expression" dxfId="12" priority="3" stopIfTrue="1">
      <formula>$D$11&lt;8</formula>
    </cfRule>
  </conditionalFormatting>
  <conditionalFormatting sqref="A130:H143">
    <cfRule type="expression" dxfId="11" priority="1" stopIfTrue="1">
      <formula>$D$11&lt;9</formula>
    </cfRule>
  </conditionalFormatting>
  <conditionalFormatting sqref="A20:H21 A34:H35 A48:H49 A62:H63 A76:H77 A90:H91 A104:H105 A118:H119 A132:H133">
    <cfRule type="expression" dxfId="10" priority="22">
      <formula>$D$13="No"</formula>
    </cfRule>
  </conditionalFormatting>
  <conditionalFormatting sqref="A27:H30">
    <cfRule type="expression" dxfId="9" priority="18" stopIfTrue="1">
      <formula>$D$11&lt;2</formula>
    </cfRule>
  </conditionalFormatting>
  <dataValidations count="3">
    <dataValidation type="list" allowBlank="1" showInputMessage="1" showErrorMessage="1" sqref="D11" xr:uid="{11CBF4A3-4ADB-48CF-A016-167A8F057629}">
      <formula1>$C$146:$C$154</formula1>
    </dataValidation>
    <dataValidation type="list" allowBlank="1" showInputMessage="1" showErrorMessage="1" sqref="D9:E9" xr:uid="{A1B3158B-AC72-43C1-B417-765C9D431084}">
      <formula1>$A$146:$A$148</formula1>
    </dataValidation>
    <dataValidation type="list" allowBlank="1" showInputMessage="1" showErrorMessage="1" sqref="D13:D14" xr:uid="{D0D72A24-EC89-4478-A7AC-24228165B458}">
      <formula1>$A$150:$A$151</formula1>
    </dataValidation>
  </dataValidations>
  <pageMargins left="0.7" right="0.7" top="0.75" bottom="0.75" header="0.3" footer="0.3"/>
  <pageSetup orientation="portrait" r:id="rId1"/>
  <headerFooter>
    <oddFooter>&amp;LRMC Event Tree Toolbox
&amp;A&amp;RVersion 2.0
Page &amp;P of &amp;N</oddFooter>
  </headerFooter>
  <rowBreaks count="2" manualBreakCount="2">
    <brk id="59" max="7" man="1"/>
    <brk id="115" max="7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F2780D-9654-4FD2-8EB5-D30F10260B4F}">
  <sheetPr codeName="Sheet06">
    <pageSetUpPr fitToPage="1"/>
  </sheetPr>
  <dimension ref="A1:CB137"/>
  <sheetViews>
    <sheetView zoomScaleNormal="100" workbookViewId="0">
      <selection sqref="A1:D1"/>
    </sheetView>
  </sheetViews>
  <sheetFormatPr defaultColWidth="11.28515625" defaultRowHeight="15" customHeight="1" x14ac:dyDescent="0.2"/>
  <cols>
    <col min="1" max="79" width="3" style="3" customWidth="1"/>
    <col min="80" max="16384" width="11.28515625" style="3"/>
  </cols>
  <sheetData>
    <row r="1" spans="1:80" ht="15" customHeight="1" x14ac:dyDescent="0.2">
      <c r="A1" s="45" t="s">
        <v>8</v>
      </c>
      <c r="B1" s="45"/>
      <c r="C1" s="45"/>
      <c r="D1" s="45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/>
      <c r="AA1" s="42"/>
      <c r="AB1" s="42"/>
      <c r="AC1" s="42"/>
      <c r="AD1" s="42"/>
      <c r="AE1" s="42"/>
      <c r="AF1" s="47" t="s">
        <v>9</v>
      </c>
      <c r="AG1" s="47"/>
      <c r="AH1" s="47"/>
      <c r="AI1" s="42"/>
      <c r="AJ1" s="42"/>
      <c r="AK1" s="42"/>
      <c r="AL1" s="42"/>
      <c r="AM1" s="42"/>
      <c r="AN1" s="42"/>
      <c r="AO1" s="42"/>
      <c r="AP1" s="42"/>
      <c r="AQ1" s="42"/>
      <c r="AR1" s="42"/>
      <c r="AS1" s="42"/>
      <c r="AT1" s="42"/>
      <c r="AU1" s="42"/>
      <c r="AV1" s="42"/>
      <c r="AW1" s="42"/>
      <c r="AX1" s="42"/>
      <c r="AY1" s="42"/>
      <c r="AZ1" s="42"/>
      <c r="BA1" s="42"/>
      <c r="BB1" s="42"/>
      <c r="BC1" s="42"/>
      <c r="BD1" s="47" t="s">
        <v>10</v>
      </c>
      <c r="BE1" s="47"/>
      <c r="BF1" s="42"/>
      <c r="BG1" s="42"/>
      <c r="BH1" s="42"/>
      <c r="BI1" s="42"/>
      <c r="BJ1" s="42"/>
      <c r="BK1" s="42"/>
      <c r="BL1" s="42"/>
      <c r="BM1" s="42"/>
      <c r="BN1" s="42"/>
      <c r="BO1" s="42"/>
      <c r="BP1" s="42"/>
      <c r="BQ1" s="42"/>
      <c r="BR1" s="42"/>
      <c r="BS1" s="42"/>
      <c r="BT1" s="42"/>
      <c r="BU1" s="42"/>
      <c r="BV1" s="42"/>
      <c r="BW1" s="42"/>
      <c r="BX1" s="42"/>
      <c r="BY1" s="42"/>
      <c r="BZ1" s="42"/>
      <c r="CA1" s="42"/>
    </row>
    <row r="2" spans="1:80" ht="15" customHeight="1" x14ac:dyDescent="0.2">
      <c r="A2" s="45" t="s">
        <v>11</v>
      </c>
      <c r="B2" s="45"/>
      <c r="C2" s="45"/>
      <c r="D2" s="45"/>
      <c r="E2" s="48"/>
      <c r="F2" s="48"/>
      <c r="G2" s="48"/>
      <c r="H2" s="48"/>
      <c r="I2" s="48"/>
      <c r="J2" s="48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8"/>
      <c r="Z2" s="48"/>
      <c r="AA2" s="48"/>
      <c r="AB2" s="48"/>
      <c r="AC2" s="48"/>
      <c r="AD2" s="48"/>
      <c r="AE2" s="48"/>
      <c r="AF2" s="47" t="s">
        <v>9</v>
      </c>
      <c r="AG2" s="47"/>
      <c r="AH2" s="47"/>
      <c r="AI2" s="48"/>
      <c r="AJ2" s="48"/>
      <c r="AK2" s="48"/>
      <c r="AL2" s="48"/>
      <c r="AM2" s="48"/>
      <c r="AN2" s="48"/>
      <c r="AO2" s="48"/>
      <c r="AP2" s="48"/>
      <c r="AQ2" s="48"/>
      <c r="AR2" s="48"/>
      <c r="AS2" s="48"/>
      <c r="AT2" s="48"/>
      <c r="AU2" s="48"/>
      <c r="AV2" s="48"/>
      <c r="AW2" s="48"/>
      <c r="AX2" s="48"/>
      <c r="AY2" s="48"/>
      <c r="AZ2" s="48"/>
      <c r="BA2" s="48"/>
      <c r="BB2" s="48"/>
      <c r="BC2" s="48"/>
      <c r="BD2" s="47" t="s">
        <v>10</v>
      </c>
      <c r="BE2" s="47"/>
      <c r="BF2" s="48"/>
      <c r="BG2" s="48"/>
      <c r="BH2" s="48"/>
      <c r="BI2" s="48"/>
      <c r="BJ2" s="48"/>
      <c r="BK2" s="48"/>
      <c r="BL2" s="48"/>
      <c r="BM2" s="48"/>
      <c r="BN2" s="48"/>
      <c r="BO2" s="48"/>
      <c r="BP2" s="48"/>
      <c r="BQ2" s="48"/>
      <c r="BR2" s="48"/>
      <c r="BS2" s="48"/>
      <c r="BT2" s="48"/>
      <c r="BU2" s="48"/>
      <c r="BV2" s="48"/>
      <c r="BW2" s="48"/>
      <c r="BX2" s="48"/>
      <c r="BY2" s="48"/>
      <c r="BZ2" s="48"/>
      <c r="CA2" s="48"/>
    </row>
    <row r="3" spans="1:80" ht="15" customHeight="1" x14ac:dyDescent="0.2">
      <c r="A3" s="46" t="s">
        <v>12</v>
      </c>
      <c r="B3" s="46"/>
      <c r="C3" s="46"/>
      <c r="D3" s="46"/>
      <c r="E3" s="46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  <c r="V3" s="43"/>
      <c r="W3" s="43"/>
      <c r="X3" s="43"/>
      <c r="Y3" s="43"/>
      <c r="Z3" s="43"/>
      <c r="AA3" s="43"/>
      <c r="AB3" s="43"/>
      <c r="AC3" s="43"/>
      <c r="AD3" s="43"/>
      <c r="AE3" s="43"/>
      <c r="AF3" s="43"/>
      <c r="AG3" s="43"/>
      <c r="AH3" s="43"/>
      <c r="AI3" s="43"/>
      <c r="AJ3" s="43"/>
      <c r="AK3" s="43"/>
      <c r="AL3" s="43"/>
      <c r="AM3" s="43"/>
      <c r="AN3" s="43"/>
      <c r="AO3" s="43"/>
      <c r="AP3" s="43"/>
      <c r="AQ3" s="43"/>
      <c r="AR3" s="43"/>
      <c r="AS3" s="43"/>
      <c r="AT3" s="43"/>
      <c r="AU3" s="43"/>
      <c r="AV3" s="43"/>
      <c r="AW3" s="43"/>
      <c r="AX3" s="43"/>
      <c r="AY3" s="43"/>
      <c r="AZ3" s="43"/>
      <c r="BA3" s="43"/>
      <c r="BB3" s="43"/>
      <c r="BC3" s="43"/>
      <c r="BD3" s="43"/>
      <c r="BE3" s="43"/>
      <c r="BF3" s="43"/>
      <c r="BG3" s="43"/>
      <c r="BH3" s="43"/>
      <c r="BI3" s="43"/>
      <c r="BJ3" s="43"/>
      <c r="BK3" s="43"/>
      <c r="BL3" s="43"/>
      <c r="BM3" s="43"/>
      <c r="BN3" s="43"/>
      <c r="BO3" s="43"/>
      <c r="BP3" s="43"/>
      <c r="BQ3" s="43"/>
      <c r="BR3" s="43"/>
      <c r="BS3" s="43"/>
      <c r="BT3" s="43"/>
      <c r="BU3" s="43"/>
      <c r="BV3" s="43"/>
      <c r="BW3" s="43"/>
      <c r="BX3" s="43"/>
      <c r="BY3" s="43"/>
      <c r="BZ3" s="43"/>
      <c r="CA3" s="43"/>
    </row>
    <row r="4" spans="1:80" ht="15" customHeight="1" x14ac:dyDescent="0.2">
      <c r="A4" s="4"/>
      <c r="B4" s="4"/>
      <c r="C4" s="4"/>
      <c r="D4" s="4"/>
      <c r="E4" s="4"/>
      <c r="F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</row>
    <row r="5" spans="1:80" ht="15" customHeight="1" x14ac:dyDescent="0.2">
      <c r="A5" s="52" t="s">
        <v>25</v>
      </c>
      <c r="B5" s="52"/>
      <c r="C5" s="52"/>
      <c r="D5" s="52"/>
      <c r="E5" s="52"/>
      <c r="F5" s="52"/>
      <c r="G5" s="52"/>
      <c r="H5" s="52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</row>
    <row r="6" spans="1:80" ht="15" customHeight="1" x14ac:dyDescent="0.2">
      <c r="A6" s="4"/>
      <c r="B6" s="4"/>
      <c r="C6" s="4"/>
      <c r="D6" s="4"/>
      <c r="E6" s="4"/>
      <c r="F6" s="4"/>
      <c r="G6" s="4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  <c r="BT6" s="10"/>
      <c r="BU6" s="10"/>
      <c r="BV6" s="10"/>
      <c r="BW6" s="10"/>
      <c r="BX6" s="10"/>
      <c r="BY6" s="10"/>
      <c r="BZ6" s="10"/>
      <c r="CA6" s="10"/>
    </row>
    <row r="7" spans="1:80" ht="15" customHeight="1" x14ac:dyDescent="0.2">
      <c r="A7" s="4"/>
      <c r="B7" s="4"/>
      <c r="C7" s="4"/>
      <c r="D7" s="4"/>
      <c r="E7" s="4"/>
      <c r="F7" s="4"/>
      <c r="G7" s="4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9"/>
      <c r="AK7" s="19"/>
      <c r="AL7" s="19"/>
      <c r="AM7" s="19"/>
      <c r="AN7" s="19"/>
      <c r="AO7" s="19"/>
      <c r="AP7" s="19"/>
      <c r="AQ7" s="4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R7" s="11"/>
      <c r="BS7" s="11"/>
      <c r="BT7" s="11"/>
      <c r="BU7" s="11"/>
      <c r="BV7" s="11"/>
      <c r="BW7" s="11"/>
      <c r="BX7" s="11"/>
      <c r="BY7" s="11"/>
      <c r="BZ7" s="11"/>
      <c r="CA7" s="10"/>
      <c r="CB7" s="8" t="s">
        <v>47</v>
      </c>
    </row>
    <row r="8" spans="1:80" ht="15" customHeight="1" x14ac:dyDescent="0.2">
      <c r="A8" s="4"/>
      <c r="B8" s="4"/>
      <c r="C8" s="4"/>
      <c r="D8" s="4"/>
      <c r="E8" s="4"/>
      <c r="F8" s="4"/>
      <c r="G8" s="4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9"/>
      <c r="AK8" s="19"/>
      <c r="AL8" s="19"/>
      <c r="AM8" s="19"/>
      <c r="AN8" s="19"/>
      <c r="AO8" s="19"/>
      <c r="AP8" s="19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R8" s="11"/>
      <c r="BS8" s="11"/>
      <c r="BT8" s="11"/>
      <c r="BU8" s="11"/>
      <c r="BV8" s="11"/>
      <c r="BW8" s="11"/>
      <c r="BX8" s="11"/>
      <c r="BY8" s="11"/>
      <c r="BZ8" s="11"/>
      <c r="CA8" s="10"/>
    </row>
    <row r="9" spans="1:80" ht="15" customHeight="1" x14ac:dyDescent="0.2">
      <c r="A9" s="4"/>
      <c r="B9" s="4"/>
      <c r="C9" s="4"/>
      <c r="D9" s="4"/>
      <c r="E9" s="4"/>
      <c r="F9" s="4"/>
      <c r="G9" s="4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9"/>
      <c r="AK9" s="19"/>
      <c r="AL9" s="19"/>
      <c r="AM9" s="19"/>
      <c r="AN9" s="19"/>
      <c r="AO9" s="19"/>
      <c r="AP9" s="19"/>
      <c r="AQ9" s="4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R9" s="11"/>
      <c r="BS9" s="11"/>
      <c r="BT9" s="23"/>
      <c r="BU9" s="23"/>
      <c r="BV9" s="23"/>
      <c r="BW9" s="23"/>
      <c r="BX9" s="23"/>
      <c r="BY9" s="23"/>
      <c r="BZ9" s="23"/>
      <c r="CA9" s="10"/>
      <c r="CB9" s="8" t="s">
        <v>54</v>
      </c>
    </row>
    <row r="10" spans="1:80" ht="15" customHeight="1" x14ac:dyDescent="0.2">
      <c r="A10" s="4"/>
      <c r="B10" s="4"/>
      <c r="C10" s="4"/>
      <c r="D10" s="4"/>
      <c r="E10" s="4"/>
      <c r="F10" s="4"/>
      <c r="G10" s="4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9"/>
      <c r="AK10" s="19"/>
      <c r="AL10" s="19"/>
      <c r="AM10" s="19"/>
      <c r="AN10" s="19"/>
      <c r="AO10" s="19"/>
      <c r="AP10" s="19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23"/>
      <c r="BU10" s="23"/>
      <c r="BV10" s="23"/>
      <c r="BW10" s="23"/>
      <c r="BX10" s="23"/>
      <c r="BY10" s="23"/>
      <c r="BZ10" s="23"/>
      <c r="CA10" s="10"/>
    </row>
    <row r="11" spans="1:80" ht="15" customHeight="1" x14ac:dyDescent="0.2">
      <c r="A11" s="4"/>
      <c r="B11" s="4"/>
      <c r="C11" s="4"/>
      <c r="D11" s="4"/>
      <c r="E11" s="4"/>
      <c r="F11" s="4"/>
      <c r="G11" s="4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9"/>
      <c r="AK11" s="19"/>
      <c r="AL11" s="19"/>
      <c r="AM11" s="19"/>
      <c r="AN11" s="19"/>
      <c r="AO11" s="19"/>
      <c r="AP11" s="19"/>
      <c r="AQ11" s="4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9"/>
      <c r="BF11" s="19"/>
      <c r="BG11" s="19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R11" s="11"/>
      <c r="BS11" s="11"/>
      <c r="BT11" s="11"/>
      <c r="BU11" s="11"/>
      <c r="BV11" s="11"/>
      <c r="BW11" s="11"/>
      <c r="BX11" s="11"/>
      <c r="BY11" s="11"/>
      <c r="BZ11" s="10"/>
      <c r="CA11" s="10"/>
      <c r="CB11" s="8" t="s">
        <v>53</v>
      </c>
    </row>
    <row r="12" spans="1:80" ht="15" customHeight="1" x14ac:dyDescent="0.2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12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  <c r="Z12" s="12"/>
      <c r="AA12" s="12"/>
      <c r="AB12" s="12"/>
      <c r="AC12" s="12"/>
      <c r="AD12" s="12"/>
      <c r="AE12" s="12"/>
      <c r="AF12" s="12"/>
      <c r="AG12" s="12"/>
      <c r="AH12" s="12"/>
      <c r="AI12" s="12"/>
      <c r="AJ12" s="12"/>
      <c r="AK12" s="12"/>
      <c r="AL12" s="12"/>
      <c r="AM12" s="12"/>
      <c r="AN12" s="12"/>
      <c r="AO12" s="12"/>
      <c r="AP12" s="12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23"/>
      <c r="BN12" s="23"/>
      <c r="BO12" s="23"/>
      <c r="BP12" s="23"/>
      <c r="BQ12" s="23"/>
      <c r="BR12" s="23"/>
      <c r="BS12" s="23"/>
      <c r="BT12" s="4"/>
      <c r="BU12" s="4"/>
      <c r="BV12" s="4"/>
      <c r="BW12" s="4"/>
      <c r="BX12" s="4"/>
      <c r="BY12" s="4"/>
      <c r="BZ12" s="4"/>
      <c r="CA12" s="4"/>
    </row>
    <row r="13" spans="1:80" ht="15" customHeight="1" x14ac:dyDescent="0.2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12"/>
      <c r="M13" s="12"/>
      <c r="N13" s="12"/>
      <c r="O13" s="12"/>
      <c r="P13" s="4"/>
      <c r="Q13" s="4"/>
      <c r="R13" s="12"/>
      <c r="S13" s="12"/>
      <c r="T13" s="12"/>
      <c r="U13" s="12"/>
      <c r="V13" s="12"/>
      <c r="W13" s="12"/>
      <c r="X13" s="12"/>
      <c r="Y13" s="12"/>
      <c r="Z13" s="12"/>
      <c r="AA13" s="12"/>
      <c r="AB13" s="12"/>
      <c r="AC13" s="12"/>
      <c r="AD13" s="12"/>
      <c r="AE13" s="12"/>
      <c r="AF13" s="12"/>
      <c r="AG13" s="12"/>
      <c r="AH13" s="12"/>
      <c r="AI13" s="12"/>
      <c r="AJ13" s="12"/>
      <c r="AK13" s="12"/>
      <c r="AL13" s="12"/>
      <c r="AM13" s="12"/>
      <c r="AN13" s="12"/>
      <c r="AO13" s="12"/>
      <c r="AP13" s="12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23"/>
      <c r="BN13" s="23"/>
      <c r="BO13" s="23"/>
      <c r="BP13" s="23"/>
      <c r="BQ13" s="23"/>
      <c r="BR13" s="23"/>
      <c r="BS13" s="23"/>
      <c r="BT13" s="13"/>
      <c r="BU13" s="26"/>
      <c r="BV13" s="26"/>
      <c r="BW13" s="26"/>
      <c r="BX13" s="26"/>
      <c r="BY13" s="26"/>
      <c r="BZ13" s="26"/>
      <c r="CA13" s="4"/>
    </row>
    <row r="14" spans="1:80" ht="15" customHeight="1" x14ac:dyDescent="0.2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  <c r="Z14" s="12"/>
      <c r="AA14" s="12"/>
      <c r="AB14" s="12"/>
      <c r="AC14" s="12"/>
      <c r="AD14" s="12"/>
      <c r="AE14" s="12"/>
      <c r="AF14" s="12"/>
      <c r="AG14" s="12"/>
      <c r="AH14" s="12"/>
      <c r="AI14" s="12"/>
      <c r="AJ14" s="12"/>
      <c r="AK14" s="12"/>
      <c r="AL14" s="12"/>
      <c r="AM14" s="12"/>
      <c r="AN14" s="12"/>
      <c r="AO14" s="12"/>
      <c r="AP14" s="12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R14" s="11"/>
      <c r="BS14" s="4"/>
      <c r="BT14" s="14"/>
      <c r="BU14" s="22"/>
      <c r="BV14" s="22"/>
      <c r="BW14" s="22"/>
      <c r="BX14" s="22"/>
      <c r="BY14" s="22"/>
      <c r="BZ14" s="22"/>
      <c r="CA14" s="4"/>
    </row>
    <row r="15" spans="1:80" ht="15" customHeight="1" x14ac:dyDescent="0.2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  <c r="Z15" s="12"/>
      <c r="AA15" s="12"/>
      <c r="AB15" s="12"/>
      <c r="AC15" s="12"/>
      <c r="AD15" s="12"/>
      <c r="AE15" s="12"/>
      <c r="AF15" s="12"/>
      <c r="AG15" s="12"/>
      <c r="AH15" s="12"/>
      <c r="AI15" s="12"/>
      <c r="AJ15" s="12"/>
      <c r="AK15" s="12"/>
      <c r="AL15" s="12"/>
      <c r="AM15" s="12"/>
      <c r="AN15" s="12"/>
      <c r="AO15" s="12"/>
      <c r="AP15" s="12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23"/>
      <c r="BG15" s="23"/>
      <c r="BH15" s="23"/>
      <c r="BI15" s="23"/>
      <c r="BJ15" s="23"/>
      <c r="BK15" s="23"/>
      <c r="BL15" s="23"/>
      <c r="BM15" s="4"/>
      <c r="BN15" s="4"/>
      <c r="BO15" s="4"/>
      <c r="BP15" s="4"/>
      <c r="BQ15" s="4"/>
      <c r="BR15" s="4"/>
      <c r="BS15" s="4"/>
      <c r="BT15" s="14"/>
      <c r="BU15" s="22"/>
      <c r="BV15" s="22"/>
      <c r="BW15" s="22"/>
      <c r="BX15" s="22"/>
      <c r="BY15" s="22"/>
      <c r="BZ15" s="22"/>
      <c r="CA15" s="4"/>
    </row>
    <row r="16" spans="1:80" ht="15" customHeight="1" x14ac:dyDescent="0.2">
      <c r="A16" s="4"/>
      <c r="B16" s="4"/>
      <c r="C16" s="4"/>
      <c r="D16" s="4"/>
      <c r="E16" s="4"/>
      <c r="F16" s="4"/>
      <c r="G16" s="4"/>
      <c r="H16" s="4"/>
      <c r="I16" s="4"/>
      <c r="J16" s="15"/>
      <c r="K16" s="15"/>
      <c r="L16" s="15"/>
      <c r="M16" s="15"/>
      <c r="N16" s="15"/>
      <c r="O16" s="15"/>
      <c r="P16" s="12"/>
      <c r="Q16" s="12"/>
      <c r="R16" s="12"/>
      <c r="S16" s="12"/>
      <c r="T16" s="12"/>
      <c r="U16" s="12"/>
      <c r="V16" s="12"/>
      <c r="W16" s="12"/>
      <c r="X16" s="12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1"/>
      <c r="AR16" s="11"/>
      <c r="AS16" s="11"/>
      <c r="AT16" s="11"/>
      <c r="AU16" s="11"/>
      <c r="AV16" s="11"/>
      <c r="AW16" s="11"/>
      <c r="AY16" s="11"/>
      <c r="AZ16" s="11"/>
      <c r="BA16" s="11"/>
      <c r="BB16" s="11"/>
      <c r="BC16" s="11"/>
      <c r="BD16" s="11"/>
      <c r="BE16" s="11"/>
      <c r="BF16" s="23"/>
      <c r="BG16" s="23"/>
      <c r="BH16" s="23"/>
      <c r="BI16" s="23"/>
      <c r="BJ16" s="23"/>
      <c r="BK16" s="23"/>
      <c r="BL16" s="23"/>
      <c r="BM16" s="13"/>
      <c r="BN16" s="26"/>
      <c r="BO16" s="26"/>
      <c r="BP16" s="26"/>
      <c r="BQ16" s="26"/>
      <c r="BR16" s="26"/>
      <c r="BS16" s="26"/>
      <c r="BT16" s="14"/>
      <c r="BU16" s="22"/>
      <c r="BV16" s="22"/>
      <c r="BW16" s="22"/>
      <c r="BX16" s="22"/>
      <c r="BY16" s="22"/>
      <c r="BZ16" s="22"/>
      <c r="CA16" s="4"/>
    </row>
    <row r="17" spans="1:79" ht="15" customHeight="1" x14ac:dyDescent="0.2">
      <c r="A17" s="4"/>
      <c r="B17" s="4"/>
      <c r="C17" s="4"/>
      <c r="D17" s="4"/>
      <c r="E17" s="4"/>
      <c r="F17" s="4"/>
      <c r="G17" s="4"/>
      <c r="H17" s="4"/>
      <c r="I17" s="4"/>
      <c r="J17" s="15"/>
      <c r="K17" s="15"/>
      <c r="L17" s="15"/>
      <c r="M17" s="15"/>
      <c r="N17" s="15"/>
      <c r="O17" s="15"/>
      <c r="P17" s="12"/>
      <c r="Q17" s="12"/>
      <c r="R17" s="12"/>
      <c r="S17" s="12"/>
      <c r="T17" s="12"/>
      <c r="U17" s="12"/>
      <c r="V17" s="12"/>
      <c r="W17" s="12"/>
      <c r="X17" s="12"/>
      <c r="Y17" s="12"/>
      <c r="Z17" s="12"/>
      <c r="AA17" s="12"/>
      <c r="AB17" s="12"/>
      <c r="AC17" s="12"/>
      <c r="AD17" s="12"/>
      <c r="AE17" s="12"/>
      <c r="AF17" s="12"/>
      <c r="AG17" s="12"/>
      <c r="AH17" s="12"/>
      <c r="AI17" s="12"/>
      <c r="AJ17" s="12"/>
      <c r="AK17" s="12"/>
      <c r="AL17" s="12"/>
      <c r="AM17" s="12"/>
      <c r="AN17" s="12"/>
      <c r="AO17" s="12"/>
      <c r="AP17" s="12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4"/>
      <c r="BM17" s="14"/>
      <c r="BN17" s="22"/>
      <c r="BO17" s="22"/>
      <c r="BP17" s="22"/>
      <c r="BQ17" s="22"/>
      <c r="BR17" s="22"/>
      <c r="BS17" s="22"/>
      <c r="BT17" s="14"/>
      <c r="BU17" s="22"/>
      <c r="BV17" s="22"/>
      <c r="BW17" s="22"/>
      <c r="BX17" s="22"/>
      <c r="BY17" s="22"/>
      <c r="BZ17" s="22"/>
      <c r="CA17" s="4"/>
    </row>
    <row r="18" spans="1:79" ht="15" customHeight="1" x14ac:dyDescent="0.2">
      <c r="A18" s="4"/>
      <c r="B18" s="4"/>
      <c r="C18" s="4"/>
      <c r="D18" s="4"/>
      <c r="E18" s="4"/>
      <c r="F18" s="4"/>
      <c r="G18" s="4"/>
      <c r="H18" s="4"/>
      <c r="I18" s="4"/>
      <c r="J18" s="15"/>
      <c r="K18" s="15"/>
      <c r="L18" s="15"/>
      <c r="M18" s="15"/>
      <c r="N18" s="15"/>
      <c r="O18" s="15"/>
      <c r="P18" s="12"/>
      <c r="Q18" s="12"/>
      <c r="R18" s="12"/>
      <c r="S18" s="12"/>
      <c r="T18" s="12"/>
      <c r="U18" s="12"/>
      <c r="V18" s="12"/>
      <c r="W18" s="12"/>
      <c r="X18" s="12"/>
      <c r="Y18" s="12"/>
      <c r="Z18" s="12"/>
      <c r="AA18" s="12"/>
      <c r="AB18" s="12"/>
      <c r="AC18" s="12"/>
      <c r="AD18" s="12"/>
      <c r="AE18" s="12"/>
      <c r="AF18" s="12"/>
      <c r="AG18" s="12"/>
      <c r="AH18" s="12"/>
      <c r="AI18" s="12"/>
      <c r="AJ18" s="12"/>
      <c r="AK18" s="12"/>
      <c r="AL18" s="12"/>
      <c r="AM18" s="12"/>
      <c r="AN18" s="12"/>
      <c r="AO18" s="12"/>
      <c r="AP18" s="12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4"/>
      <c r="BG18" s="4"/>
      <c r="BH18" s="4"/>
      <c r="BI18" s="4"/>
      <c r="BJ18" s="4"/>
      <c r="BK18" s="4"/>
      <c r="BL18" s="4"/>
      <c r="BM18" s="14"/>
      <c r="BN18" s="22"/>
      <c r="BO18" s="22"/>
      <c r="BP18" s="22"/>
      <c r="BQ18" s="22"/>
      <c r="BR18" s="22"/>
      <c r="BS18" s="22"/>
      <c r="BT18" s="16"/>
      <c r="BU18" s="27"/>
      <c r="BV18" s="27"/>
      <c r="BW18" s="27"/>
      <c r="BX18" s="27"/>
      <c r="BY18" s="27"/>
      <c r="BZ18" s="27"/>
      <c r="CA18" s="4"/>
    </row>
    <row r="19" spans="1:79" ht="15" customHeight="1" x14ac:dyDescent="0.2">
      <c r="A19" s="4"/>
      <c r="B19" s="4"/>
      <c r="C19" s="4"/>
      <c r="D19" s="4"/>
      <c r="E19" s="4"/>
      <c r="F19" s="4"/>
      <c r="G19" s="4"/>
      <c r="H19" s="4"/>
      <c r="I19" s="4"/>
      <c r="J19" s="15"/>
      <c r="K19" s="4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  <c r="Z19" s="12"/>
      <c r="AA19" s="12"/>
      <c r="AB19" s="12"/>
      <c r="AC19" s="12"/>
      <c r="AD19" s="12"/>
      <c r="AE19" s="12"/>
      <c r="AF19" s="12"/>
      <c r="AG19" s="12"/>
      <c r="AH19" s="12"/>
      <c r="AI19" s="12"/>
      <c r="AJ19" s="12"/>
      <c r="AK19" s="12"/>
      <c r="AL19" s="12"/>
      <c r="AM19" s="12"/>
      <c r="AN19" s="12"/>
      <c r="AO19" s="12"/>
      <c r="AP19" s="12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3"/>
      <c r="BG19" s="26"/>
      <c r="BH19" s="26"/>
      <c r="BI19" s="26"/>
      <c r="BJ19" s="26"/>
      <c r="BK19" s="26"/>
      <c r="BL19" s="26"/>
      <c r="BM19" s="14"/>
      <c r="BN19" s="22"/>
      <c r="BO19" s="22"/>
      <c r="BP19" s="22"/>
      <c r="BQ19" s="22"/>
      <c r="BR19" s="22"/>
      <c r="BS19" s="22"/>
      <c r="BT19" s="4"/>
      <c r="BU19" s="4"/>
      <c r="BV19" s="4"/>
      <c r="BW19" s="4"/>
      <c r="BX19" s="4"/>
      <c r="BY19" s="4"/>
      <c r="BZ19" s="4"/>
      <c r="CA19" s="4"/>
    </row>
    <row r="20" spans="1:79" ht="15" customHeight="1" x14ac:dyDescent="0.2">
      <c r="A20" s="4"/>
      <c r="B20" s="4"/>
      <c r="C20" s="4"/>
      <c r="D20" s="4"/>
      <c r="E20" s="4"/>
      <c r="F20" s="4"/>
      <c r="G20" s="4"/>
      <c r="H20" s="4"/>
      <c r="I20" s="4"/>
      <c r="J20" s="15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  <c r="Z20" s="12"/>
      <c r="AA20" s="12"/>
      <c r="AB20" s="12"/>
      <c r="AC20" s="12"/>
      <c r="AD20" s="12"/>
      <c r="AE20" s="12"/>
      <c r="AF20" s="12"/>
      <c r="AG20" s="12"/>
      <c r="AH20" s="12"/>
      <c r="AI20" s="12"/>
      <c r="AJ20" s="12"/>
      <c r="AK20" s="12"/>
      <c r="AL20" s="12"/>
      <c r="AM20" s="12"/>
      <c r="AN20" s="12"/>
      <c r="AO20" s="12"/>
      <c r="AP20" s="12"/>
      <c r="AQ20" s="12"/>
      <c r="AR20" s="12"/>
      <c r="AS20" s="12"/>
      <c r="AT20" s="12"/>
      <c r="AU20" s="12"/>
      <c r="AV20" s="12"/>
      <c r="AW20" s="12"/>
      <c r="AX20" s="12"/>
      <c r="AY20" s="12"/>
      <c r="AZ20" s="12"/>
      <c r="BA20" s="12"/>
      <c r="BB20" s="12"/>
      <c r="BC20" s="12"/>
      <c r="BD20" s="4"/>
      <c r="BE20" s="4"/>
      <c r="BF20" s="14"/>
      <c r="BG20" s="22"/>
      <c r="BH20" s="22"/>
      <c r="BI20" s="22"/>
      <c r="BJ20" s="22"/>
      <c r="BK20" s="22"/>
      <c r="BL20" s="22"/>
      <c r="BM20" s="14"/>
      <c r="BN20" s="22"/>
      <c r="BO20" s="22"/>
      <c r="BP20" s="22"/>
      <c r="BQ20" s="22"/>
      <c r="BR20" s="22"/>
      <c r="BS20" s="22"/>
      <c r="BT20" s="4"/>
      <c r="BU20" s="4"/>
      <c r="BV20" s="4"/>
      <c r="BW20" s="4"/>
      <c r="BX20" s="4"/>
      <c r="BY20" s="4"/>
      <c r="BZ20" s="4"/>
      <c r="CA20" s="4"/>
    </row>
    <row r="21" spans="1:79" ht="15" customHeight="1" x14ac:dyDescent="0.2">
      <c r="A21" s="4"/>
      <c r="B21" s="4"/>
      <c r="C21" s="4"/>
      <c r="D21" s="4"/>
      <c r="E21" s="4"/>
      <c r="F21" s="4"/>
      <c r="G21" s="4"/>
      <c r="H21" s="4"/>
      <c r="I21" s="4"/>
      <c r="J21" s="15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  <c r="Z21" s="12"/>
      <c r="AA21" s="12"/>
      <c r="AB21" s="12"/>
      <c r="AC21" s="12"/>
      <c r="AD21" s="12"/>
      <c r="AE21" s="12"/>
      <c r="AF21" s="12"/>
      <c r="AG21" s="12"/>
      <c r="AH21" s="12"/>
      <c r="AI21" s="12"/>
      <c r="AJ21" s="12"/>
      <c r="AK21" s="12"/>
      <c r="AL21" s="12"/>
      <c r="AM21" s="12"/>
      <c r="AN21" s="12"/>
      <c r="AO21" s="12"/>
      <c r="AP21" s="12"/>
      <c r="AQ21" s="12"/>
      <c r="AR21" s="22"/>
      <c r="AS21" s="22"/>
      <c r="AT21" s="22"/>
      <c r="AU21" s="22"/>
      <c r="AV21" s="22"/>
      <c r="AW21" s="22"/>
      <c r="AX21" s="22"/>
      <c r="AY21" s="4"/>
      <c r="AZ21" s="4"/>
      <c r="BA21" s="4"/>
      <c r="BB21" s="4"/>
      <c r="BC21" s="4"/>
      <c r="BD21" s="4"/>
      <c r="BE21" s="4"/>
      <c r="BF21" s="14"/>
      <c r="BG21" s="22"/>
      <c r="BH21" s="22"/>
      <c r="BI21" s="22"/>
      <c r="BJ21" s="22"/>
      <c r="BK21" s="22"/>
      <c r="BL21" s="22"/>
      <c r="BM21" s="16"/>
      <c r="BN21" s="27"/>
      <c r="BO21" s="27"/>
      <c r="BP21" s="27"/>
      <c r="BQ21" s="27"/>
      <c r="BR21" s="27"/>
      <c r="BS21" s="27"/>
      <c r="BT21" s="4"/>
      <c r="BU21" s="4"/>
      <c r="BV21" s="4"/>
      <c r="BW21" s="4"/>
      <c r="BX21" s="4"/>
      <c r="BY21" s="4"/>
      <c r="BZ21" s="4"/>
      <c r="CA21" s="4"/>
    </row>
    <row r="22" spans="1:79" ht="15" customHeight="1" x14ac:dyDescent="0.2">
      <c r="A22" s="4"/>
      <c r="B22" s="4"/>
      <c r="C22" s="4"/>
      <c r="D22" s="4"/>
      <c r="E22" s="4"/>
      <c r="F22" s="4"/>
      <c r="G22" s="4"/>
      <c r="H22" s="4"/>
      <c r="I22" s="4"/>
      <c r="J22" s="4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  <c r="Z22" s="12"/>
      <c r="AA22" s="12"/>
      <c r="AB22" s="12"/>
      <c r="AC22" s="12"/>
      <c r="AD22" s="12"/>
      <c r="AE22" s="12"/>
      <c r="AF22" s="12"/>
      <c r="AG22" s="12"/>
      <c r="AH22" s="12"/>
      <c r="AI22" s="12"/>
      <c r="AJ22" s="12"/>
      <c r="AK22" s="12"/>
      <c r="AL22" s="12"/>
      <c r="AM22" s="12"/>
      <c r="AN22" s="12"/>
      <c r="AO22" s="12"/>
      <c r="AP22" s="12"/>
      <c r="AQ22" s="12"/>
      <c r="AR22" s="22"/>
      <c r="AS22" s="22"/>
      <c r="AT22" s="22"/>
      <c r="AU22" s="22"/>
      <c r="AV22" s="22"/>
      <c r="AW22" s="22"/>
      <c r="AX22" s="22"/>
      <c r="AY22" s="13"/>
      <c r="AZ22" s="26"/>
      <c r="BA22" s="26"/>
      <c r="BB22" s="26"/>
      <c r="BC22" s="26"/>
      <c r="BD22" s="26"/>
      <c r="BE22" s="26"/>
      <c r="BF22" s="14"/>
      <c r="BG22" s="22"/>
      <c r="BH22" s="22"/>
      <c r="BI22" s="22"/>
      <c r="BJ22" s="22"/>
      <c r="BK22" s="22"/>
      <c r="BL22" s="22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</row>
    <row r="23" spans="1:79" ht="15" customHeight="1" x14ac:dyDescent="0.2">
      <c r="A23" s="4"/>
      <c r="B23" s="4"/>
      <c r="C23" s="4"/>
      <c r="D23" s="4"/>
      <c r="E23" s="4"/>
      <c r="F23" s="4"/>
      <c r="G23" s="4"/>
      <c r="H23" s="4"/>
      <c r="I23" s="4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  <c r="Z23" s="12"/>
      <c r="AA23" s="12"/>
      <c r="AB23" s="12"/>
      <c r="AC23" s="12"/>
      <c r="AD23" s="12"/>
      <c r="AE23" s="12"/>
      <c r="AF23" s="12"/>
      <c r="AG23" s="12"/>
      <c r="AH23" s="12"/>
      <c r="AI23" s="12"/>
      <c r="AJ23" s="12"/>
      <c r="AK23" s="12"/>
      <c r="AL23" s="12"/>
      <c r="AM23" s="12"/>
      <c r="AN23" s="12"/>
      <c r="AO23" s="12"/>
      <c r="AP23" s="12"/>
      <c r="AQ23" s="12"/>
      <c r="AR23" s="12"/>
      <c r="AS23" s="12"/>
      <c r="AT23" s="12"/>
      <c r="AU23" s="12"/>
      <c r="AV23" s="4"/>
      <c r="AW23" s="4"/>
      <c r="AX23" s="4"/>
      <c r="AY23" s="14"/>
      <c r="AZ23" s="22"/>
      <c r="BA23" s="22"/>
      <c r="BB23" s="22"/>
      <c r="BC23" s="22"/>
      <c r="BD23" s="22"/>
      <c r="BE23" s="22"/>
      <c r="BF23" s="14"/>
      <c r="BG23" s="22"/>
      <c r="BH23" s="22"/>
      <c r="BI23" s="22"/>
      <c r="BJ23" s="22"/>
      <c r="BK23" s="22"/>
      <c r="BL23" s="22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</row>
    <row r="24" spans="1:79" ht="15" customHeight="1" x14ac:dyDescent="0.2">
      <c r="A24" s="4"/>
      <c r="B24" s="4"/>
      <c r="C24" s="4"/>
      <c r="D24" s="4"/>
      <c r="E24" s="4"/>
      <c r="F24" s="4"/>
      <c r="G24" s="4"/>
      <c r="H24" s="4"/>
      <c r="I24" s="4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  <c r="Z24" s="12"/>
      <c r="AA24" s="12"/>
      <c r="AB24" s="12"/>
      <c r="AC24" s="12"/>
      <c r="AD24" s="12"/>
      <c r="AE24" s="12"/>
      <c r="AF24" s="12"/>
      <c r="AG24" s="12"/>
      <c r="AH24" s="12"/>
      <c r="AI24" s="12"/>
      <c r="AJ24" s="12"/>
      <c r="AK24" s="22"/>
      <c r="AL24" s="22"/>
      <c r="AM24" s="22"/>
      <c r="AN24" s="22"/>
      <c r="AO24" s="22"/>
      <c r="AP24" s="22"/>
      <c r="AQ24" s="22"/>
      <c r="AR24" s="4"/>
      <c r="AS24" s="4"/>
      <c r="AT24" s="4"/>
      <c r="AU24" s="4"/>
      <c r="AV24" s="4"/>
      <c r="AW24" s="4"/>
      <c r="AX24" s="4"/>
      <c r="AY24" s="14"/>
      <c r="AZ24" s="22"/>
      <c r="BA24" s="22"/>
      <c r="BB24" s="22"/>
      <c r="BC24" s="22"/>
      <c r="BD24" s="22"/>
      <c r="BE24" s="22"/>
      <c r="BF24" s="16"/>
      <c r="BG24" s="27"/>
      <c r="BH24" s="27"/>
      <c r="BI24" s="27"/>
      <c r="BJ24" s="27"/>
      <c r="BK24" s="27"/>
      <c r="BL24" s="27"/>
      <c r="BM24" s="4"/>
      <c r="BN24" s="4"/>
      <c r="BO24" s="4"/>
      <c r="BP24" s="4"/>
      <c r="BQ24" s="4"/>
      <c r="BR24" s="15"/>
      <c r="BS24" s="15"/>
      <c r="BT24" s="15"/>
      <c r="BU24" s="15"/>
      <c r="BV24" s="15"/>
      <c r="BW24" s="15"/>
      <c r="BX24" s="15"/>
      <c r="BY24" s="15"/>
      <c r="BZ24" s="15"/>
      <c r="CA24" s="4"/>
    </row>
    <row r="25" spans="1:79" ht="15" customHeight="1" x14ac:dyDescent="0.2">
      <c r="A25" s="4"/>
      <c r="B25" s="4"/>
      <c r="C25" s="4"/>
      <c r="D25" s="4"/>
      <c r="E25" s="4"/>
      <c r="F25" s="4"/>
      <c r="G25" s="4"/>
      <c r="H25" s="4"/>
      <c r="I25" s="4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4"/>
      <c r="AJ25" s="4"/>
      <c r="AK25" s="22"/>
      <c r="AL25" s="22"/>
      <c r="AM25" s="22"/>
      <c r="AN25" s="22"/>
      <c r="AO25" s="22"/>
      <c r="AP25" s="22"/>
      <c r="AQ25" s="22"/>
      <c r="AR25" s="13"/>
      <c r="AS25" s="26"/>
      <c r="AT25" s="26"/>
      <c r="AU25" s="26"/>
      <c r="AV25" s="26"/>
      <c r="AW25" s="26"/>
      <c r="AX25" s="26"/>
      <c r="AY25" s="14"/>
      <c r="AZ25" s="22"/>
      <c r="BA25" s="22"/>
      <c r="BB25" s="22"/>
      <c r="BC25" s="22"/>
      <c r="BD25" s="22"/>
      <c r="BE25" s="22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15"/>
      <c r="BR25" s="15"/>
      <c r="BS25" s="15"/>
      <c r="BT25" s="15"/>
      <c r="BU25" s="15"/>
      <c r="BV25" s="15"/>
      <c r="BW25" s="15"/>
      <c r="BX25" s="15"/>
      <c r="BY25" s="15"/>
      <c r="BZ25" s="15"/>
      <c r="CA25" s="4"/>
    </row>
    <row r="26" spans="1:79" ht="15" customHeight="1" x14ac:dyDescent="0.2">
      <c r="A26" s="4"/>
      <c r="B26" s="4"/>
      <c r="C26" s="4"/>
      <c r="D26" s="4"/>
      <c r="E26" s="4"/>
      <c r="F26" s="4"/>
      <c r="G26" s="4"/>
      <c r="H26" s="4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  <c r="Z26" s="12"/>
      <c r="AA26" s="12"/>
      <c r="AB26" s="12"/>
      <c r="AC26" s="12"/>
      <c r="AD26" s="12"/>
      <c r="AE26" s="12"/>
      <c r="AF26" s="12"/>
      <c r="AG26" s="12"/>
      <c r="AH26" s="12"/>
      <c r="AI26" s="4"/>
      <c r="AJ26" s="4"/>
      <c r="AK26" s="4"/>
      <c r="AL26" s="4"/>
      <c r="AM26" s="4"/>
      <c r="AN26" s="4"/>
      <c r="AO26" s="4"/>
      <c r="AP26" s="4"/>
      <c r="AQ26" s="4"/>
      <c r="AR26" s="14"/>
      <c r="AS26" s="22"/>
      <c r="AT26" s="22"/>
      <c r="AU26" s="22"/>
      <c r="AV26" s="22"/>
      <c r="AW26" s="22"/>
      <c r="AX26" s="22"/>
      <c r="AY26" s="14"/>
      <c r="AZ26" s="22"/>
      <c r="BA26" s="22"/>
      <c r="BB26" s="22"/>
      <c r="BC26" s="22"/>
      <c r="BD26" s="22"/>
      <c r="BE26" s="22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15"/>
      <c r="BR26" s="15"/>
      <c r="BS26" s="15"/>
      <c r="BT26" s="15"/>
      <c r="BU26" s="15"/>
      <c r="BV26" s="15"/>
      <c r="BW26" s="15"/>
      <c r="BX26" s="15"/>
      <c r="BY26" s="15"/>
      <c r="BZ26" s="15"/>
      <c r="CA26" s="4"/>
    </row>
    <row r="27" spans="1:79" ht="15" customHeight="1" x14ac:dyDescent="0.2">
      <c r="A27" s="4"/>
      <c r="B27" s="4"/>
      <c r="C27" s="4"/>
      <c r="D27" s="4"/>
      <c r="E27" s="4"/>
      <c r="F27" s="4"/>
      <c r="G27" s="4"/>
      <c r="H27" s="4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  <c r="Z27" s="12"/>
      <c r="AA27" s="12"/>
      <c r="AB27" s="12"/>
      <c r="AC27" s="12"/>
      <c r="AD27" s="22"/>
      <c r="AE27" s="22"/>
      <c r="AF27" s="22"/>
      <c r="AG27" s="22"/>
      <c r="AH27" s="22"/>
      <c r="AI27" s="22"/>
      <c r="AJ27" s="22"/>
      <c r="AK27" s="17"/>
      <c r="AL27" s="17"/>
      <c r="AM27" s="17"/>
      <c r="AN27" s="17"/>
      <c r="AO27" s="17"/>
      <c r="AP27" s="17"/>
      <c r="AQ27" s="17"/>
      <c r="AR27" s="14"/>
      <c r="AS27" s="22"/>
      <c r="AT27" s="22"/>
      <c r="AU27" s="22"/>
      <c r="AV27" s="22"/>
      <c r="AW27" s="22"/>
      <c r="AX27" s="22"/>
      <c r="AY27" s="16"/>
      <c r="AZ27" s="27"/>
      <c r="BA27" s="27"/>
      <c r="BB27" s="27"/>
      <c r="BC27" s="27"/>
      <c r="BD27" s="27"/>
      <c r="BE27" s="27"/>
      <c r="BF27" s="4"/>
      <c r="BG27" s="15"/>
      <c r="BH27" s="15"/>
      <c r="BI27" s="15"/>
      <c r="BJ27" s="15"/>
      <c r="BK27" s="15"/>
      <c r="BL27" s="15"/>
      <c r="BM27" s="15"/>
      <c r="BN27" s="15"/>
      <c r="BO27" s="15"/>
      <c r="BP27" s="15"/>
      <c r="BQ27" s="15"/>
      <c r="BR27" s="15"/>
      <c r="BS27" s="15"/>
      <c r="BT27" s="15"/>
      <c r="BU27" s="15"/>
      <c r="BV27" s="15"/>
      <c r="BW27" s="15"/>
      <c r="BX27" s="15"/>
      <c r="BY27" s="15"/>
      <c r="BZ27" s="15"/>
      <c r="CA27" s="15"/>
    </row>
    <row r="28" spans="1:79" ht="15" customHeight="1" x14ac:dyDescent="0.2">
      <c r="A28" s="4"/>
      <c r="B28" s="4"/>
      <c r="C28" s="4"/>
      <c r="D28" s="4"/>
      <c r="E28" s="4"/>
      <c r="F28" s="4"/>
      <c r="G28" s="4"/>
      <c r="H28" s="4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  <c r="Z28" s="12"/>
      <c r="AA28" s="12"/>
      <c r="AB28" s="12"/>
      <c r="AC28" s="12"/>
      <c r="AD28" s="22"/>
      <c r="AE28" s="22"/>
      <c r="AF28" s="22"/>
      <c r="AG28" s="22"/>
      <c r="AH28" s="22"/>
      <c r="AI28" s="22"/>
      <c r="AJ28" s="22"/>
      <c r="AK28" s="13"/>
      <c r="AL28" s="26"/>
      <c r="AM28" s="26"/>
      <c r="AN28" s="26"/>
      <c r="AO28" s="26"/>
      <c r="AP28" s="26"/>
      <c r="AQ28" s="26"/>
      <c r="AR28" s="14"/>
      <c r="AS28" s="22"/>
      <c r="AT28" s="22"/>
      <c r="AU28" s="22"/>
      <c r="AV28" s="22"/>
      <c r="AW28" s="22"/>
      <c r="AX28" s="22"/>
      <c r="AY28" s="4"/>
      <c r="AZ28" s="4"/>
      <c r="BA28" s="4"/>
      <c r="BB28" s="4"/>
      <c r="BC28" s="4"/>
      <c r="BD28" s="4"/>
      <c r="BE28" s="4"/>
      <c r="BF28" s="4"/>
      <c r="BG28" s="15"/>
      <c r="BH28" s="15"/>
      <c r="BI28" s="15"/>
      <c r="BJ28" s="15"/>
      <c r="BK28" s="15"/>
      <c r="BL28" s="15"/>
      <c r="BM28" s="15"/>
      <c r="BN28" s="15"/>
      <c r="BO28" s="15"/>
      <c r="BP28" s="15"/>
      <c r="BQ28" s="15"/>
      <c r="BR28" s="15"/>
      <c r="BS28" s="15"/>
      <c r="BT28" s="15"/>
      <c r="BU28" s="15"/>
      <c r="BV28" s="15"/>
      <c r="BW28" s="15"/>
      <c r="BX28" s="15"/>
      <c r="BY28" s="15"/>
      <c r="BZ28" s="15"/>
      <c r="CA28" s="15"/>
    </row>
    <row r="29" spans="1:79" ht="15" customHeight="1" x14ac:dyDescent="0.2">
      <c r="A29" s="4"/>
      <c r="B29" s="4"/>
      <c r="C29" s="4"/>
      <c r="D29" s="4"/>
      <c r="E29" s="4"/>
      <c r="F29" s="4"/>
      <c r="G29" s="4"/>
      <c r="H29" s="4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  <c r="Z29" s="12"/>
      <c r="AA29" s="12"/>
      <c r="AB29" s="12"/>
      <c r="AC29" s="12"/>
      <c r="AD29" s="12"/>
      <c r="AE29" s="12"/>
      <c r="AF29" s="12"/>
      <c r="AG29" s="12"/>
      <c r="AH29" s="12"/>
      <c r="AI29" s="4"/>
      <c r="AJ29" s="4"/>
      <c r="AK29" s="14"/>
      <c r="AL29" s="22"/>
      <c r="AM29" s="22"/>
      <c r="AN29" s="22"/>
      <c r="AO29" s="22"/>
      <c r="AP29" s="22"/>
      <c r="AQ29" s="22"/>
      <c r="AR29" s="14"/>
      <c r="AS29" s="22"/>
      <c r="AT29" s="22"/>
      <c r="AU29" s="22"/>
      <c r="AV29" s="22"/>
      <c r="AW29" s="22"/>
      <c r="AX29" s="22"/>
      <c r="AY29" s="4"/>
      <c r="AZ29" s="4"/>
      <c r="BA29" s="4"/>
      <c r="BB29" s="4"/>
      <c r="BC29" s="4"/>
      <c r="BD29" s="4"/>
      <c r="BE29" s="4"/>
      <c r="BF29" s="4"/>
      <c r="BG29" s="15"/>
      <c r="BH29" s="15"/>
      <c r="BI29" s="15"/>
      <c r="BJ29" s="15"/>
      <c r="BK29" s="15"/>
      <c r="BL29" s="15"/>
      <c r="BM29" s="15"/>
      <c r="BN29" s="15"/>
      <c r="BO29" s="15"/>
      <c r="BP29" s="15"/>
      <c r="BQ29" s="15"/>
      <c r="BR29" s="15"/>
      <c r="BS29" s="15"/>
      <c r="BT29" s="15"/>
      <c r="BU29" s="15"/>
      <c r="BV29" s="15"/>
      <c r="BW29" s="15"/>
      <c r="BX29" s="15"/>
      <c r="BY29" s="15"/>
      <c r="BZ29" s="15"/>
      <c r="CA29" s="15"/>
    </row>
    <row r="30" spans="1:79" ht="15" customHeight="1" x14ac:dyDescent="0.2">
      <c r="A30" s="4"/>
      <c r="B30" s="4"/>
      <c r="C30" s="4"/>
      <c r="D30" s="4"/>
      <c r="E30" s="4"/>
      <c r="F30" s="4"/>
      <c r="G30" s="4"/>
      <c r="H30" s="4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22"/>
      <c r="X30" s="22"/>
      <c r="Y30" s="22"/>
      <c r="Z30" s="22"/>
      <c r="AA30" s="22"/>
      <c r="AB30" s="22"/>
      <c r="AC30" s="22"/>
      <c r="AD30" s="4"/>
      <c r="AE30" s="4"/>
      <c r="AF30" s="4"/>
      <c r="AG30" s="4"/>
      <c r="AH30" s="4"/>
      <c r="AI30" s="4"/>
      <c r="AJ30" s="4"/>
      <c r="AK30" s="14"/>
      <c r="AL30" s="22"/>
      <c r="AM30" s="22"/>
      <c r="AN30" s="22"/>
      <c r="AO30" s="22"/>
      <c r="AP30" s="22"/>
      <c r="AQ30" s="22"/>
      <c r="AR30" s="16"/>
      <c r="AS30" s="27"/>
      <c r="AT30" s="27"/>
      <c r="AU30" s="27"/>
      <c r="AV30" s="27"/>
      <c r="AW30" s="27"/>
      <c r="AX30" s="27"/>
      <c r="AY30" s="4"/>
      <c r="AZ30" s="4"/>
      <c r="BA30" s="4"/>
      <c r="BB30" s="4"/>
      <c r="BC30" s="4"/>
      <c r="BD30" s="15"/>
      <c r="BE30" s="15"/>
      <c r="BF30" s="15"/>
      <c r="BG30" s="15"/>
      <c r="BH30" s="15"/>
      <c r="BI30" s="15"/>
      <c r="BJ30" s="15"/>
      <c r="BK30" s="15"/>
      <c r="BL30" s="15"/>
      <c r="BM30" s="15"/>
      <c r="BN30" s="15"/>
      <c r="BO30" s="15"/>
      <c r="BP30" s="15"/>
      <c r="BQ30" s="15"/>
      <c r="BR30" s="15"/>
      <c r="BS30" s="15"/>
      <c r="BT30" s="15"/>
      <c r="BU30" s="15"/>
      <c r="BV30" s="15"/>
      <c r="BW30" s="15"/>
      <c r="BX30" s="15"/>
      <c r="BY30" s="15"/>
      <c r="BZ30" s="15"/>
      <c r="CA30" s="15"/>
    </row>
    <row r="31" spans="1:79" ht="15" customHeight="1" x14ac:dyDescent="0.2">
      <c r="A31" s="4"/>
      <c r="B31" s="4"/>
      <c r="C31" s="4"/>
      <c r="D31" s="4"/>
      <c r="E31" s="4"/>
      <c r="F31" s="4"/>
      <c r="G31" s="4"/>
      <c r="H31" s="4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22"/>
      <c r="X31" s="22"/>
      <c r="Y31" s="22"/>
      <c r="Z31" s="22"/>
      <c r="AA31" s="22"/>
      <c r="AB31" s="22"/>
      <c r="AC31" s="22"/>
      <c r="AD31" s="13"/>
      <c r="AE31" s="26"/>
      <c r="AF31" s="26"/>
      <c r="AG31" s="26"/>
      <c r="AH31" s="26"/>
      <c r="AI31" s="26"/>
      <c r="AJ31" s="26"/>
      <c r="AK31" s="14"/>
      <c r="AL31" s="22"/>
      <c r="AM31" s="22"/>
      <c r="AN31" s="22"/>
      <c r="AO31" s="22"/>
      <c r="AP31" s="22"/>
      <c r="AQ31" s="22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15"/>
      <c r="BD31" s="15"/>
      <c r="BE31" s="15"/>
      <c r="BF31" s="15"/>
      <c r="BG31" s="15"/>
      <c r="BH31" s="15"/>
      <c r="BI31" s="15"/>
      <c r="BJ31" s="15"/>
      <c r="BK31" s="15"/>
      <c r="BL31" s="15"/>
      <c r="BM31" s="15"/>
      <c r="BN31" s="15"/>
      <c r="BO31" s="15"/>
      <c r="BP31" s="15"/>
      <c r="BQ31" s="15"/>
      <c r="BR31" s="15"/>
      <c r="BS31" s="15"/>
      <c r="BT31" s="15"/>
      <c r="BU31" s="15"/>
      <c r="BV31" s="15"/>
      <c r="BW31" s="15"/>
      <c r="BX31" s="15"/>
      <c r="BY31" s="15"/>
      <c r="BZ31" s="15"/>
      <c r="CA31" s="15"/>
    </row>
    <row r="32" spans="1:79" ht="15" customHeight="1" x14ac:dyDescent="0.2">
      <c r="A32" s="4"/>
      <c r="B32" s="4"/>
      <c r="C32" s="4"/>
      <c r="D32" s="4"/>
      <c r="E32" s="4"/>
      <c r="F32" s="4"/>
      <c r="G32" s="4"/>
      <c r="H32" s="4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  <c r="Z32" s="12"/>
      <c r="AA32" s="12"/>
      <c r="AB32" s="12"/>
      <c r="AC32" s="4"/>
      <c r="AD32" s="14"/>
      <c r="AE32" s="22"/>
      <c r="AF32" s="22"/>
      <c r="AG32" s="22"/>
      <c r="AH32" s="22"/>
      <c r="AI32" s="22"/>
      <c r="AJ32" s="22"/>
      <c r="AK32" s="14"/>
      <c r="AL32" s="22"/>
      <c r="AM32" s="22"/>
      <c r="AN32" s="22"/>
      <c r="AO32" s="22"/>
      <c r="AP32" s="22"/>
      <c r="AQ32" s="22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5"/>
      <c r="BD32" s="15"/>
      <c r="BE32" s="15"/>
      <c r="BF32" s="15"/>
      <c r="BG32" s="15"/>
      <c r="BH32" s="15"/>
      <c r="BI32" s="15"/>
      <c r="BJ32" s="15"/>
      <c r="BK32" s="15"/>
      <c r="BL32" s="15"/>
      <c r="BM32" s="15"/>
      <c r="BN32" s="15"/>
      <c r="BO32" s="15"/>
      <c r="BP32" s="15"/>
      <c r="BQ32" s="15"/>
      <c r="BR32" s="15"/>
      <c r="BS32" s="15"/>
      <c r="BT32" s="15"/>
      <c r="BU32" s="15"/>
      <c r="BV32" s="15"/>
      <c r="BW32" s="15"/>
      <c r="BX32" s="15"/>
      <c r="BY32" s="15"/>
      <c r="BZ32" s="15"/>
      <c r="CA32" s="15"/>
    </row>
    <row r="33" spans="1:79" ht="15" customHeight="1" x14ac:dyDescent="0.2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22"/>
      <c r="Q33" s="22"/>
      <c r="R33" s="22"/>
      <c r="S33" s="22"/>
      <c r="T33" s="22"/>
      <c r="U33" s="22"/>
      <c r="V33" s="22"/>
      <c r="W33" s="4"/>
      <c r="X33" s="4"/>
      <c r="Y33" s="4"/>
      <c r="Z33" s="4"/>
      <c r="AA33" s="4"/>
      <c r="AB33" s="4"/>
      <c r="AC33" s="4"/>
      <c r="AD33" s="14"/>
      <c r="AE33" s="22"/>
      <c r="AF33" s="22"/>
      <c r="AG33" s="22"/>
      <c r="AH33" s="22"/>
      <c r="AI33" s="22"/>
      <c r="AJ33" s="22"/>
      <c r="AK33" s="16"/>
      <c r="AL33" s="27"/>
      <c r="AM33" s="27"/>
      <c r="AN33" s="27"/>
      <c r="AO33" s="27"/>
      <c r="AP33" s="27"/>
      <c r="AQ33" s="27"/>
      <c r="AR33" s="4"/>
      <c r="AS33" s="4"/>
      <c r="AT33" s="4"/>
      <c r="AU33" s="15"/>
      <c r="AV33" s="15"/>
      <c r="AW33" s="15"/>
      <c r="AX33" s="15"/>
      <c r="AY33" s="15"/>
      <c r="AZ33" s="15"/>
      <c r="BA33" s="15"/>
      <c r="BB33" s="15"/>
      <c r="BC33" s="15"/>
      <c r="BD33" s="15"/>
      <c r="BE33" s="15"/>
      <c r="BF33" s="15"/>
      <c r="BG33" s="15"/>
      <c r="BH33" s="15"/>
      <c r="BI33" s="15"/>
      <c r="BJ33" s="15"/>
      <c r="BK33" s="15"/>
      <c r="BL33" s="15"/>
      <c r="BM33" s="15"/>
      <c r="BN33" s="15"/>
      <c r="BO33" s="4"/>
      <c r="BP33" s="4"/>
      <c r="BQ33" s="15"/>
      <c r="BR33" s="15"/>
      <c r="BS33" s="15"/>
      <c r="BT33" s="15"/>
      <c r="BU33" s="15"/>
      <c r="BV33" s="15"/>
      <c r="BW33" s="15"/>
      <c r="BX33" s="15"/>
      <c r="BY33" s="15"/>
      <c r="BZ33" s="15"/>
      <c r="CA33" s="4"/>
    </row>
    <row r="34" spans="1:79" ht="15" customHeight="1" x14ac:dyDescent="0.2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22"/>
      <c r="Q34" s="22"/>
      <c r="R34" s="22"/>
      <c r="S34" s="22"/>
      <c r="T34" s="22"/>
      <c r="U34" s="22"/>
      <c r="V34" s="22"/>
      <c r="W34" s="13"/>
      <c r="X34" s="26"/>
      <c r="Y34" s="26"/>
      <c r="Z34" s="26"/>
      <c r="AA34" s="26"/>
      <c r="AB34" s="26"/>
      <c r="AC34" s="26"/>
      <c r="AD34" s="14"/>
      <c r="AE34" s="22"/>
      <c r="AF34" s="22"/>
      <c r="AG34" s="22"/>
      <c r="AH34" s="22"/>
      <c r="AI34" s="22"/>
      <c r="AJ34" s="22"/>
      <c r="AK34" s="4"/>
      <c r="AL34" s="4"/>
      <c r="AM34" s="4"/>
      <c r="AN34" s="4"/>
      <c r="AO34" s="4"/>
      <c r="AP34" s="4"/>
      <c r="AQ34" s="4"/>
      <c r="AR34" s="4"/>
      <c r="AS34" s="4"/>
      <c r="AT34" s="15"/>
      <c r="AU34" s="15"/>
      <c r="AV34" s="15"/>
      <c r="AW34" s="15"/>
      <c r="AX34" s="15"/>
      <c r="AY34" s="15"/>
      <c r="AZ34" s="15"/>
      <c r="BA34" s="15"/>
      <c r="BB34" s="15"/>
      <c r="BC34" s="15"/>
      <c r="BD34" s="15"/>
      <c r="BE34" s="15"/>
      <c r="BF34" s="15"/>
      <c r="BG34" s="15"/>
      <c r="BH34" s="15"/>
      <c r="BI34" s="15"/>
      <c r="BJ34" s="15"/>
      <c r="BK34" s="15"/>
      <c r="BL34" s="15"/>
      <c r="BM34" s="15"/>
      <c r="BN34" s="15"/>
      <c r="BO34" s="15"/>
      <c r="BP34" s="15"/>
      <c r="BQ34" s="15"/>
      <c r="BR34" s="15"/>
      <c r="BS34" s="15"/>
      <c r="BT34" s="15"/>
      <c r="BU34" s="15"/>
      <c r="BV34" s="15"/>
      <c r="BW34" s="15"/>
      <c r="BX34" s="15"/>
      <c r="BY34" s="15"/>
      <c r="BZ34" s="15"/>
      <c r="CA34" s="4"/>
    </row>
    <row r="35" spans="1:79" ht="15" customHeight="1" x14ac:dyDescent="0.2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14"/>
      <c r="X35" s="22"/>
      <c r="Y35" s="22"/>
      <c r="Z35" s="22"/>
      <c r="AA35" s="22"/>
      <c r="AB35" s="22"/>
      <c r="AC35" s="22"/>
      <c r="AD35" s="14"/>
      <c r="AE35" s="22"/>
      <c r="AF35" s="22"/>
      <c r="AG35" s="22"/>
      <c r="AH35" s="22"/>
      <c r="AI35" s="22"/>
      <c r="AJ35" s="22"/>
      <c r="AK35" s="4"/>
      <c r="AL35" s="4"/>
      <c r="AM35" s="4"/>
      <c r="AN35" s="15"/>
      <c r="AO35" s="15"/>
      <c r="AP35" s="15"/>
      <c r="AQ35" s="15"/>
      <c r="AR35" s="15"/>
      <c r="AS35" s="15"/>
      <c r="AT35" s="15"/>
      <c r="AU35" s="15"/>
      <c r="AV35" s="15"/>
      <c r="AW35" s="15"/>
      <c r="AX35" s="15"/>
      <c r="AY35" s="15"/>
      <c r="AZ35" s="15"/>
      <c r="BA35" s="15"/>
      <c r="BB35" s="15"/>
      <c r="BC35" s="15"/>
      <c r="BD35" s="15"/>
      <c r="BE35" s="15"/>
      <c r="BF35" s="15"/>
      <c r="BG35" s="15"/>
      <c r="BH35" s="15"/>
      <c r="BI35" s="15"/>
      <c r="BJ35" s="15"/>
      <c r="BK35" s="15"/>
      <c r="BL35" s="15"/>
      <c r="BM35" s="15"/>
      <c r="BN35" s="15"/>
      <c r="BO35" s="15"/>
      <c r="BP35" s="15"/>
      <c r="BQ35" s="15"/>
      <c r="BR35" s="15"/>
      <c r="BS35" s="15"/>
      <c r="BT35" s="15"/>
      <c r="BU35" s="15"/>
      <c r="BV35" s="15"/>
      <c r="BW35" s="15"/>
      <c r="BX35" s="15"/>
      <c r="BY35" s="15"/>
      <c r="BZ35" s="15"/>
      <c r="CA35" s="4"/>
    </row>
    <row r="36" spans="1:79" ht="15" customHeight="1" x14ac:dyDescent="0.2">
      <c r="A36" s="4"/>
      <c r="B36" s="39" t="str">
        <f>IF('Event Tree Input'!D9="Seismic Hazard","Seismic Hazard","")</f>
        <v/>
      </c>
      <c r="C36" s="39"/>
      <c r="D36" s="39"/>
      <c r="E36" s="39"/>
      <c r="F36" s="39"/>
      <c r="G36" s="39"/>
      <c r="H36" s="39"/>
      <c r="I36" s="51" t="str">
        <f>IF('Event Tree Input'!D9="Hydrologic Hazard","Hydrologic Hazard",IF('Event Tree Input'!D9="Seismic Hazard","Coincident Stage",IF('Event Tree Input'!D9="Other",IF(ISBLANK('Event Tree Input'!G9),"",'Event Tree Input'!G9))))</f>
        <v>Hydrologic Hazard</v>
      </c>
      <c r="J36" s="51"/>
      <c r="K36" s="51"/>
      <c r="L36" s="51"/>
      <c r="M36" s="51"/>
      <c r="N36" s="51"/>
      <c r="O36" s="51"/>
      <c r="P36" s="4"/>
      <c r="Q36" s="4"/>
      <c r="R36" s="4"/>
      <c r="S36" s="4"/>
      <c r="T36" s="4"/>
      <c r="U36" s="4"/>
      <c r="V36" s="4"/>
      <c r="W36" s="14"/>
      <c r="X36" s="22"/>
      <c r="Y36" s="22"/>
      <c r="Z36" s="22"/>
      <c r="AA36" s="22"/>
      <c r="AB36" s="22"/>
      <c r="AC36" s="22"/>
      <c r="AD36" s="16"/>
      <c r="AE36" s="27"/>
      <c r="AF36" s="27"/>
      <c r="AG36" s="27"/>
      <c r="AH36" s="27"/>
      <c r="AI36" s="27"/>
      <c r="AJ36" s="27"/>
      <c r="AK36" s="4"/>
      <c r="AL36" s="4"/>
      <c r="AM36" s="15"/>
      <c r="AN36" s="15"/>
      <c r="AO36" s="4"/>
      <c r="AP36" s="15"/>
      <c r="AQ36" s="15"/>
      <c r="AR36" s="15"/>
      <c r="AS36" s="15"/>
      <c r="AT36" s="15"/>
      <c r="AU36" s="15"/>
      <c r="AV36" s="15"/>
      <c r="AW36" s="15"/>
      <c r="AX36" s="15"/>
      <c r="AY36" s="15"/>
      <c r="AZ36" s="15"/>
      <c r="BA36" s="15"/>
      <c r="BB36" s="15"/>
      <c r="BC36" s="15"/>
      <c r="BD36" s="15"/>
      <c r="BE36" s="15"/>
      <c r="BF36" s="15"/>
      <c r="BG36" s="15"/>
      <c r="BH36" s="15"/>
      <c r="BI36" s="15"/>
      <c r="BJ36" s="15"/>
      <c r="BK36" s="15"/>
      <c r="BL36" s="15"/>
      <c r="BM36" s="15"/>
      <c r="BN36" s="15"/>
      <c r="BO36" s="15"/>
      <c r="BP36" s="15"/>
      <c r="BQ36" s="15"/>
      <c r="BR36" s="15"/>
      <c r="BS36" s="15"/>
      <c r="BT36" s="15"/>
      <c r="BU36" s="15"/>
      <c r="BV36" s="15"/>
      <c r="BW36" s="15"/>
      <c r="BX36" s="15"/>
      <c r="BY36" s="15"/>
      <c r="BZ36" s="15"/>
      <c r="CA36" s="4"/>
    </row>
    <row r="37" spans="1:79" ht="15" customHeight="1" x14ac:dyDescent="0.2">
      <c r="A37" s="4"/>
      <c r="B37" s="39"/>
      <c r="C37" s="39"/>
      <c r="D37" s="39"/>
      <c r="E37" s="39"/>
      <c r="F37" s="39"/>
      <c r="G37" s="39"/>
      <c r="H37" s="39"/>
      <c r="I37" s="51"/>
      <c r="J37" s="51"/>
      <c r="K37" s="51"/>
      <c r="L37" s="51"/>
      <c r="M37" s="51"/>
      <c r="N37" s="51"/>
      <c r="O37" s="51"/>
      <c r="P37" s="13"/>
      <c r="Q37" s="26"/>
      <c r="R37" s="26"/>
      <c r="S37" s="26"/>
      <c r="T37" s="26"/>
      <c r="U37" s="26"/>
      <c r="V37" s="26"/>
      <c r="W37" s="14"/>
      <c r="X37" s="22"/>
      <c r="Y37" s="22"/>
      <c r="Z37" s="22"/>
      <c r="AA37" s="22"/>
      <c r="AB37" s="22"/>
      <c r="AC37" s="22"/>
      <c r="AD37" s="4"/>
      <c r="AE37" s="4"/>
      <c r="AF37" s="4"/>
      <c r="AG37" s="4"/>
      <c r="AH37" s="4"/>
      <c r="AI37" s="4"/>
      <c r="AJ37" s="4"/>
      <c r="AK37" s="4"/>
      <c r="AL37" s="4"/>
      <c r="AM37" s="15"/>
      <c r="AN37" s="15"/>
      <c r="AO37" s="15"/>
      <c r="AP37" s="15"/>
      <c r="AQ37" s="15"/>
      <c r="AR37" s="15"/>
      <c r="AS37" s="15"/>
      <c r="AT37" s="15"/>
      <c r="AU37" s="15"/>
      <c r="AV37" s="15"/>
      <c r="AW37" s="15"/>
      <c r="AX37" s="15"/>
      <c r="AY37" s="15"/>
      <c r="AZ37" s="15"/>
      <c r="BA37" s="15"/>
      <c r="BB37" s="15"/>
      <c r="BC37" s="15"/>
      <c r="BD37" s="15"/>
      <c r="BE37" s="15"/>
      <c r="BF37" s="15"/>
      <c r="BG37" s="15"/>
      <c r="BH37" s="15"/>
      <c r="BI37" s="15"/>
      <c r="BJ37" s="15"/>
      <c r="BK37" s="15"/>
      <c r="BL37" s="15"/>
      <c r="BM37" s="15"/>
      <c r="BN37" s="15"/>
      <c r="BO37" s="15"/>
      <c r="BP37" s="15"/>
      <c r="BQ37" s="15"/>
      <c r="BR37" s="15"/>
      <c r="BS37" s="15"/>
      <c r="BT37" s="4"/>
      <c r="BU37" s="4"/>
      <c r="BV37" s="4"/>
      <c r="BW37" s="4"/>
      <c r="BX37" s="4"/>
      <c r="BY37" s="4"/>
      <c r="BZ37" s="4"/>
      <c r="CA37" s="4"/>
    </row>
    <row r="38" spans="1:79" ht="15" customHeight="1" x14ac:dyDescent="0.2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14"/>
      <c r="Q38" s="22"/>
      <c r="R38" s="22"/>
      <c r="S38" s="22"/>
      <c r="T38" s="22"/>
      <c r="U38" s="22"/>
      <c r="V38" s="22"/>
      <c r="W38" s="14"/>
      <c r="X38" s="22"/>
      <c r="Y38" s="22"/>
      <c r="Z38" s="22"/>
      <c r="AA38" s="22"/>
      <c r="AB38" s="22"/>
      <c r="AC38" s="22"/>
      <c r="AD38" s="4"/>
      <c r="AE38" s="4"/>
      <c r="AF38" s="4"/>
      <c r="AG38" s="4"/>
      <c r="AH38" s="4"/>
      <c r="AI38" s="4"/>
      <c r="AJ38" s="4"/>
      <c r="AK38" s="4"/>
      <c r="AL38" s="4"/>
      <c r="AM38" s="15"/>
      <c r="AN38" s="15"/>
      <c r="AO38" s="15"/>
      <c r="AP38" s="15"/>
      <c r="AQ38" s="15"/>
      <c r="AR38" s="15"/>
      <c r="AS38" s="15"/>
      <c r="AT38" s="15"/>
      <c r="AU38" s="15"/>
      <c r="AV38" s="15"/>
      <c r="AW38" s="15"/>
      <c r="AX38" s="15"/>
      <c r="AY38" s="15"/>
      <c r="AZ38" s="15"/>
      <c r="BA38" s="15"/>
      <c r="BB38" s="15"/>
      <c r="BC38" s="15"/>
      <c r="BD38" s="15"/>
      <c r="BE38" s="15"/>
      <c r="BF38" s="15"/>
      <c r="BG38" s="15"/>
      <c r="BH38" s="15"/>
      <c r="BI38" s="15"/>
      <c r="BJ38" s="15"/>
      <c r="BK38" s="15"/>
      <c r="BL38" s="15"/>
      <c r="BM38" s="15"/>
      <c r="BN38" s="15"/>
      <c r="BO38" s="15"/>
      <c r="BP38" s="15"/>
      <c r="BQ38" s="15"/>
      <c r="BR38" s="15"/>
      <c r="BS38" s="15"/>
      <c r="BT38" s="4"/>
      <c r="BU38" s="4"/>
      <c r="BV38" s="4"/>
      <c r="BW38" s="4"/>
      <c r="BX38" s="4"/>
      <c r="BY38" s="4"/>
      <c r="BZ38" s="4"/>
      <c r="CA38" s="4"/>
    </row>
    <row r="39" spans="1:79" ht="15" customHeight="1" x14ac:dyDescent="0.2">
      <c r="A39" s="4"/>
      <c r="B39" s="4"/>
      <c r="C39" s="4"/>
      <c r="D39" s="4"/>
      <c r="E39" s="4"/>
      <c r="F39" s="4"/>
      <c r="G39" s="4"/>
      <c r="I39" s="17"/>
      <c r="J39" s="17"/>
      <c r="K39" s="17"/>
      <c r="L39" s="17"/>
      <c r="M39" s="17"/>
      <c r="N39" s="17"/>
      <c r="O39" s="17"/>
      <c r="P39" s="14"/>
      <c r="Q39" s="22"/>
      <c r="R39" s="22"/>
      <c r="S39" s="22"/>
      <c r="T39" s="22"/>
      <c r="U39" s="22"/>
      <c r="V39" s="22"/>
      <c r="W39" s="16"/>
      <c r="X39" s="27"/>
      <c r="Y39" s="27"/>
      <c r="Z39" s="27"/>
      <c r="AA39" s="27"/>
      <c r="AB39" s="27"/>
      <c r="AC39" s="27"/>
      <c r="AD39" s="4"/>
      <c r="AE39" s="4"/>
      <c r="AF39" s="4"/>
      <c r="AG39" s="4"/>
      <c r="AH39" s="4"/>
      <c r="AI39" s="4"/>
      <c r="AJ39" s="4"/>
      <c r="AK39" s="4"/>
      <c r="AL39" s="4"/>
      <c r="AM39" s="15"/>
      <c r="AN39" s="15"/>
      <c r="AO39" s="15"/>
      <c r="AP39" s="15"/>
      <c r="AQ39" s="15"/>
      <c r="AR39" s="15"/>
      <c r="AS39" s="15"/>
      <c r="AT39" s="15"/>
      <c r="AU39" s="15"/>
      <c r="AV39" s="15"/>
      <c r="AW39" s="15"/>
      <c r="AX39" s="15"/>
      <c r="AY39" s="15"/>
      <c r="AZ39" s="15"/>
      <c r="BA39" s="15"/>
      <c r="BB39" s="15"/>
      <c r="BC39" s="15"/>
      <c r="BD39" s="15"/>
      <c r="BE39" s="15"/>
      <c r="BF39" s="15"/>
      <c r="BG39" s="15"/>
      <c r="BH39" s="15"/>
      <c r="BI39" s="15"/>
      <c r="BJ39" s="15"/>
      <c r="BK39" s="15"/>
      <c r="BL39" s="15"/>
      <c r="BM39" s="15"/>
      <c r="BN39" s="15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</row>
    <row r="40" spans="1:79" ht="15" customHeight="1" x14ac:dyDescent="0.2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14"/>
      <c r="Q40" s="22"/>
      <c r="R40" s="22"/>
      <c r="S40" s="22"/>
      <c r="T40" s="22"/>
      <c r="U40" s="22"/>
      <c r="V40" s="22"/>
      <c r="W40" s="4"/>
      <c r="X40" s="4"/>
      <c r="Y40" s="4"/>
      <c r="Z40" s="4"/>
      <c r="AA40" s="4"/>
      <c r="AB40" s="4"/>
      <c r="AC40" s="4"/>
      <c r="AD40" s="4"/>
      <c r="AE40" s="4"/>
      <c r="AF40" s="15"/>
      <c r="AG40" s="15"/>
      <c r="AH40" s="15"/>
      <c r="AI40" s="15"/>
      <c r="AJ40" s="15"/>
      <c r="AK40" s="15"/>
      <c r="AL40" s="15"/>
      <c r="AM40" s="15"/>
      <c r="AN40" s="15"/>
      <c r="AO40" s="15"/>
      <c r="AP40" s="15"/>
      <c r="AQ40" s="15"/>
      <c r="AR40" s="15"/>
      <c r="AS40" s="15"/>
      <c r="AT40" s="15"/>
      <c r="AU40" s="15"/>
      <c r="AV40" s="15"/>
      <c r="AW40" s="15"/>
      <c r="AX40" s="15"/>
      <c r="AY40" s="15"/>
      <c r="AZ40" s="15"/>
      <c r="BA40" s="15"/>
      <c r="BB40" s="15"/>
      <c r="BC40" s="15"/>
      <c r="BD40" s="15"/>
      <c r="BE40" s="15"/>
      <c r="BF40" s="15"/>
      <c r="BG40" s="15"/>
      <c r="BH40" s="15"/>
      <c r="BI40" s="15"/>
      <c r="BJ40" s="15"/>
      <c r="BK40" s="15"/>
      <c r="BL40" s="15"/>
      <c r="BM40" s="15"/>
      <c r="BN40" s="15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</row>
    <row r="41" spans="1:79" ht="15" customHeight="1" x14ac:dyDescent="0.2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14"/>
      <c r="Q41" s="22"/>
      <c r="R41" s="22"/>
      <c r="S41" s="22"/>
      <c r="T41" s="22"/>
      <c r="U41" s="22"/>
      <c r="V41" s="22"/>
      <c r="W41" s="4"/>
      <c r="X41" s="4"/>
      <c r="Y41" s="4"/>
      <c r="Z41" s="4"/>
      <c r="AA41" s="4"/>
      <c r="AB41" s="4"/>
      <c r="AC41" s="4"/>
      <c r="AD41" s="4"/>
      <c r="AE41" s="4"/>
      <c r="AF41" s="15"/>
      <c r="AG41" s="15"/>
      <c r="AH41" s="15"/>
      <c r="AI41" s="15"/>
      <c r="AJ41" s="15"/>
      <c r="AK41" s="15"/>
      <c r="AL41" s="15"/>
      <c r="AM41" s="15"/>
      <c r="AN41" s="15"/>
      <c r="AO41" s="15"/>
      <c r="AP41" s="15"/>
      <c r="AQ41" s="15"/>
      <c r="AR41" s="15"/>
      <c r="AS41" s="15"/>
      <c r="AT41" s="15"/>
      <c r="AU41" s="15"/>
      <c r="AV41" s="15"/>
      <c r="AW41" s="15"/>
      <c r="AX41" s="15"/>
      <c r="AY41" s="15"/>
      <c r="AZ41" s="15"/>
      <c r="BA41" s="15"/>
      <c r="BB41" s="15"/>
      <c r="BC41" s="15"/>
      <c r="BD41" s="15"/>
      <c r="BE41" s="15"/>
      <c r="BF41" s="15"/>
      <c r="BG41" s="15"/>
      <c r="BH41" s="15"/>
      <c r="BI41" s="15"/>
      <c r="BJ41" s="15"/>
      <c r="BK41" s="15"/>
      <c r="BL41" s="15"/>
      <c r="BM41" s="15"/>
      <c r="BN41" s="15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</row>
    <row r="42" spans="1:79" ht="15" customHeight="1" x14ac:dyDescent="0.2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16"/>
      <c r="Q42" s="27"/>
      <c r="R42" s="27"/>
      <c r="S42" s="27"/>
      <c r="T42" s="27"/>
      <c r="U42" s="27"/>
      <c r="V42" s="27"/>
      <c r="W42" s="4"/>
      <c r="X42" s="4"/>
      <c r="Y42" s="4"/>
      <c r="Z42" s="4"/>
      <c r="AA42" s="15"/>
      <c r="AB42" s="15"/>
      <c r="AC42" s="15"/>
      <c r="AD42" s="15"/>
      <c r="AE42" s="15"/>
      <c r="AF42" s="15"/>
      <c r="AG42" s="15"/>
      <c r="AH42" s="15"/>
      <c r="AI42" s="15"/>
      <c r="AJ42" s="15"/>
      <c r="AK42" s="15"/>
      <c r="AL42" s="15"/>
      <c r="AM42" s="15"/>
      <c r="AN42" s="15"/>
      <c r="AO42" s="15"/>
      <c r="AP42" s="15"/>
      <c r="AQ42" s="15"/>
      <c r="AR42" s="15"/>
      <c r="AS42" s="15"/>
      <c r="AT42" s="15"/>
      <c r="AU42" s="15"/>
      <c r="AV42" s="15"/>
      <c r="AW42" s="15"/>
      <c r="AX42" s="15"/>
      <c r="AY42" s="15"/>
      <c r="AZ42" s="15"/>
      <c r="BA42" s="15"/>
      <c r="BB42" s="15"/>
      <c r="BC42" s="15"/>
      <c r="BD42" s="15"/>
      <c r="BE42" s="15"/>
      <c r="BF42" s="15"/>
      <c r="BG42" s="15"/>
      <c r="BH42" s="15"/>
      <c r="BI42" s="15"/>
      <c r="BJ42" s="15"/>
      <c r="BK42" s="15"/>
      <c r="BL42" s="15"/>
      <c r="BM42" s="15"/>
      <c r="BN42" s="15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</row>
    <row r="43" spans="1:79" ht="15" customHeight="1" x14ac:dyDescent="0.2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18"/>
      <c r="W43" s="4"/>
      <c r="X43" s="4"/>
      <c r="Y43" s="15"/>
      <c r="Z43" s="15"/>
      <c r="AA43" s="15"/>
      <c r="AB43" s="15"/>
      <c r="AC43" s="15"/>
      <c r="AD43" s="15"/>
      <c r="AE43" s="15"/>
      <c r="AF43" s="15"/>
      <c r="AG43" s="15"/>
      <c r="AH43" s="15"/>
      <c r="AI43" s="15"/>
      <c r="AJ43" s="15"/>
      <c r="AK43" s="15"/>
      <c r="AL43" s="15"/>
      <c r="AM43" s="15"/>
      <c r="AN43" s="15"/>
      <c r="AO43" s="15"/>
      <c r="AP43" s="15"/>
      <c r="AQ43" s="15"/>
      <c r="AR43" s="15"/>
      <c r="AS43" s="15"/>
      <c r="AT43" s="15"/>
      <c r="AU43" s="15"/>
      <c r="AV43" s="15"/>
      <c r="AW43" s="15"/>
      <c r="AX43" s="15"/>
      <c r="AY43" s="15"/>
      <c r="AZ43" s="15"/>
      <c r="BA43" s="15"/>
      <c r="BB43" s="15"/>
      <c r="BC43" s="15"/>
      <c r="BD43" s="15"/>
      <c r="BE43" s="15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</row>
    <row r="44" spans="1:79" ht="15" customHeight="1" x14ac:dyDescent="0.2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  <c r="AG44" s="15"/>
      <c r="AH44" s="15"/>
      <c r="AI44" s="15"/>
      <c r="AJ44" s="15"/>
      <c r="AK44" s="15"/>
      <c r="AL44" s="15"/>
      <c r="AM44" s="15"/>
      <c r="AN44" s="15"/>
      <c r="AO44" s="15"/>
      <c r="AP44" s="15"/>
      <c r="AQ44" s="15"/>
      <c r="AR44" s="15"/>
      <c r="AS44" s="15"/>
      <c r="AT44" s="15"/>
      <c r="AU44" s="15"/>
      <c r="AV44" s="15"/>
      <c r="AW44" s="15"/>
      <c r="AX44" s="15"/>
      <c r="AY44" s="15"/>
      <c r="AZ44" s="15"/>
      <c r="BA44" s="15"/>
      <c r="BB44" s="15"/>
      <c r="BC44" s="15"/>
      <c r="BD44" s="15"/>
      <c r="BE44" s="15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</row>
    <row r="45" spans="1:79" ht="15" customHeight="1" x14ac:dyDescent="0.2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  <c r="AG45" s="15"/>
      <c r="AH45" s="15"/>
      <c r="AI45" s="15"/>
      <c r="AJ45" s="15"/>
      <c r="AK45" s="15"/>
      <c r="AL45" s="15"/>
      <c r="AM45" s="15"/>
      <c r="AN45" s="15"/>
      <c r="AO45" s="15"/>
      <c r="AP45" s="15"/>
      <c r="AQ45" s="15"/>
      <c r="AR45" s="15"/>
      <c r="AS45" s="15"/>
      <c r="AT45" s="15"/>
      <c r="AU45" s="15"/>
      <c r="AV45" s="15"/>
      <c r="AW45" s="15"/>
      <c r="AX45" s="15"/>
      <c r="AY45" s="15"/>
      <c r="AZ45" s="15"/>
      <c r="BA45" s="15"/>
      <c r="BB45" s="15"/>
      <c r="BC45" s="15"/>
      <c r="BD45" s="15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</row>
    <row r="46" spans="1:79" ht="15" customHeight="1" x14ac:dyDescent="0.2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  <c r="AG46" s="15"/>
      <c r="AH46" s="15"/>
      <c r="AI46" s="15"/>
      <c r="AJ46" s="15"/>
      <c r="AK46" s="15"/>
      <c r="AL46" s="15"/>
      <c r="AM46" s="15"/>
      <c r="AN46" s="15"/>
      <c r="AO46" s="15"/>
      <c r="AP46" s="15"/>
      <c r="AQ46" s="15"/>
      <c r="AR46" s="15"/>
      <c r="AS46" s="15"/>
      <c r="AT46" s="15"/>
      <c r="AU46" s="15"/>
      <c r="AV46" s="15"/>
      <c r="AW46" s="15"/>
      <c r="AX46" s="15"/>
      <c r="AY46" s="15"/>
      <c r="AZ46" s="15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</row>
    <row r="47" spans="1:79" ht="15" customHeight="1" x14ac:dyDescent="0.2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15"/>
      <c r="S47" s="15"/>
      <c r="T47" s="15"/>
      <c r="U47" s="15"/>
      <c r="V47" s="15"/>
      <c r="W47" s="15"/>
      <c r="X47" s="15"/>
      <c r="Y47" s="15"/>
      <c r="Z47" s="15"/>
      <c r="AA47" s="15"/>
      <c r="AB47" s="15"/>
      <c r="AC47" s="15"/>
      <c r="AD47" s="15"/>
      <c r="AE47" s="15"/>
      <c r="AF47" s="15"/>
      <c r="AG47" s="15"/>
      <c r="AH47" s="15"/>
      <c r="AI47" s="15"/>
      <c r="AJ47" s="15"/>
      <c r="AK47" s="15"/>
      <c r="AL47" s="15"/>
      <c r="AM47" s="15"/>
      <c r="AN47" s="15"/>
      <c r="AO47" s="15"/>
      <c r="AP47" s="15"/>
      <c r="AQ47" s="15"/>
      <c r="AR47" s="15"/>
      <c r="AS47" s="15"/>
      <c r="AT47" s="15"/>
      <c r="AU47" s="15"/>
      <c r="AV47" s="15"/>
      <c r="AW47" s="15"/>
      <c r="AX47" s="15"/>
      <c r="AY47" s="15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</row>
    <row r="48" spans="1:79" ht="15" customHeight="1" x14ac:dyDescent="0.2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15"/>
      <c r="S48" s="15"/>
      <c r="T48" s="15"/>
      <c r="U48" s="15"/>
      <c r="V48" s="15"/>
      <c r="W48" s="15"/>
      <c r="X48" s="15"/>
      <c r="Y48" s="15"/>
      <c r="Z48" s="15"/>
      <c r="AA48" s="15"/>
      <c r="AB48" s="15"/>
      <c r="AC48" s="15"/>
      <c r="AD48" s="15"/>
      <c r="AE48" s="15"/>
      <c r="AF48" s="15"/>
      <c r="AG48" s="15"/>
      <c r="AH48" s="15"/>
      <c r="AI48" s="15"/>
      <c r="AJ48" s="15"/>
      <c r="AK48" s="15"/>
      <c r="AL48" s="15"/>
      <c r="AM48" s="15"/>
      <c r="AN48" s="15"/>
      <c r="AO48" s="15"/>
      <c r="AP48" s="15"/>
      <c r="AQ48" s="15"/>
      <c r="AR48" s="15"/>
      <c r="AS48" s="15"/>
      <c r="AT48" s="15"/>
      <c r="AU48" s="15"/>
      <c r="AV48" s="15"/>
      <c r="AW48" s="15"/>
      <c r="AX48" s="15"/>
      <c r="AY48" s="15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</row>
    <row r="49" spans="1:79" ht="15" customHeight="1" x14ac:dyDescent="0.2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15"/>
      <c r="S49" s="15"/>
      <c r="T49" s="15"/>
      <c r="U49" s="15"/>
      <c r="V49" s="15"/>
      <c r="W49" s="15"/>
      <c r="X49" s="15"/>
      <c r="Y49" s="15"/>
      <c r="Z49" s="15"/>
      <c r="AA49" s="15"/>
      <c r="AB49" s="15"/>
      <c r="AC49" s="15"/>
      <c r="AD49" s="15"/>
      <c r="AE49" s="15"/>
      <c r="AF49" s="15"/>
      <c r="AG49" s="15"/>
      <c r="AH49" s="15"/>
      <c r="AI49" s="15"/>
      <c r="AJ49" s="15"/>
      <c r="AK49" s="15"/>
      <c r="AL49" s="15"/>
      <c r="AM49" s="15"/>
      <c r="AN49" s="15"/>
      <c r="AO49" s="15"/>
      <c r="AP49" s="15"/>
      <c r="AQ49" s="15"/>
      <c r="AR49" s="15"/>
      <c r="AS49" s="15"/>
      <c r="AT49" s="15"/>
      <c r="AU49" s="15"/>
      <c r="AV49" s="15"/>
      <c r="AW49" s="15"/>
      <c r="AX49" s="15"/>
      <c r="AY49" s="15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</row>
    <row r="50" spans="1:79" ht="15" customHeight="1" x14ac:dyDescent="0.2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15"/>
      <c r="S50" s="15"/>
      <c r="T50" s="15"/>
      <c r="U50" s="15"/>
      <c r="V50" s="15"/>
      <c r="W50" s="15"/>
      <c r="X50" s="15"/>
      <c r="Y50" s="15"/>
      <c r="Z50" s="15"/>
      <c r="AA50" s="15"/>
      <c r="AB50" s="15"/>
      <c r="AC50" s="15"/>
      <c r="AD50" s="15"/>
      <c r="AE50" s="15"/>
      <c r="AF50" s="15"/>
      <c r="AG50" s="15"/>
      <c r="AH50" s="15"/>
      <c r="AI50" s="15"/>
      <c r="AJ50" s="15"/>
      <c r="AK50" s="15"/>
      <c r="AL50" s="15"/>
      <c r="AM50" s="15"/>
      <c r="AN50" s="15"/>
      <c r="AO50" s="15"/>
      <c r="AP50" s="15"/>
      <c r="AQ50" s="15"/>
      <c r="AR50" s="15"/>
      <c r="AS50" s="15"/>
      <c r="AT50" s="15"/>
      <c r="AU50" s="15"/>
      <c r="AV50" s="20"/>
      <c r="AW50" s="15"/>
      <c r="AX50" s="15"/>
      <c r="AY50" s="15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</row>
    <row r="51" spans="1:79" ht="15" customHeight="1" x14ac:dyDescent="0.2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15"/>
      <c r="AA51" s="15"/>
      <c r="AB51" s="15"/>
      <c r="AC51" s="15"/>
      <c r="AD51" s="15"/>
      <c r="AE51" s="15"/>
      <c r="AF51" s="15"/>
      <c r="AG51" s="15"/>
      <c r="AH51" s="15"/>
      <c r="AI51" s="15"/>
      <c r="AJ51" s="15"/>
      <c r="AK51" s="15"/>
      <c r="AL51" s="15"/>
      <c r="AM51" s="15"/>
      <c r="AN51" s="15"/>
      <c r="AO51" s="15"/>
      <c r="AP51" s="15"/>
      <c r="AQ51" s="15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</row>
    <row r="52" spans="1:79" ht="15" customHeight="1" x14ac:dyDescent="0.2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15"/>
      <c r="AA52" s="15"/>
      <c r="AB52" s="15"/>
      <c r="AC52" s="15"/>
      <c r="AD52" s="15"/>
      <c r="AE52" s="15"/>
      <c r="AF52" s="15"/>
      <c r="AG52" s="15"/>
      <c r="AH52" s="15"/>
      <c r="AI52" s="15"/>
      <c r="AJ52" s="15"/>
      <c r="AK52" s="15"/>
      <c r="AL52" s="15"/>
      <c r="AM52" s="15"/>
      <c r="AN52" s="15"/>
      <c r="AO52" s="15"/>
      <c r="AP52" s="15"/>
      <c r="AQ52" s="15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</row>
    <row r="53" spans="1:79" s="8" customFormat="1" ht="15" customHeight="1" x14ac:dyDescent="0.2">
      <c r="A53" s="53" t="s">
        <v>19</v>
      </c>
      <c r="B53" s="53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3"/>
      <c r="T53" s="53"/>
      <c r="U53" s="53"/>
      <c r="V53" s="53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</row>
    <row r="55" spans="1:79" ht="15" customHeight="1" x14ac:dyDescent="0.2">
      <c r="A55" s="50" t="s">
        <v>55</v>
      </c>
      <c r="B55" s="50"/>
      <c r="C55" s="50"/>
      <c r="D55" s="50"/>
      <c r="E55" s="50"/>
      <c r="F55" s="50" t="str">
        <f>IF('Event Tree Input'!D9="Seismic Hazard","Yes","No")</f>
        <v>No</v>
      </c>
      <c r="G55" s="50"/>
      <c r="I55" s="41" t="s">
        <v>17</v>
      </c>
      <c r="J55" s="41"/>
      <c r="K55" s="50" t="s">
        <v>23</v>
      </c>
      <c r="L55" s="50"/>
      <c r="M55" s="50"/>
      <c r="N55" s="50" t="s">
        <v>24</v>
      </c>
      <c r="O55" s="50"/>
      <c r="P55" s="50"/>
    </row>
    <row r="56" spans="1:79" ht="15" customHeight="1" x14ac:dyDescent="0.2">
      <c r="I56" s="41"/>
      <c r="J56" s="41"/>
      <c r="K56" s="50" t="s">
        <v>22</v>
      </c>
      <c r="L56" s="50"/>
      <c r="M56" s="50"/>
      <c r="N56" s="50" t="s">
        <v>22</v>
      </c>
      <c r="O56" s="50"/>
      <c r="P56" s="50"/>
      <c r="S56" s="50" t="s">
        <v>17</v>
      </c>
      <c r="T56" s="50"/>
      <c r="U56" s="50" t="s">
        <v>27</v>
      </c>
      <c r="V56" s="50"/>
      <c r="W56" s="50"/>
      <c r="X56" s="50" t="s">
        <v>29</v>
      </c>
      <c r="Y56" s="50"/>
      <c r="Z56" s="50"/>
    </row>
    <row r="57" spans="1:79" ht="15" customHeight="1" x14ac:dyDescent="0.2">
      <c r="I57" s="50">
        <v>1</v>
      </c>
      <c r="J57" s="50"/>
      <c r="K57" s="50" t="str">
        <f>'Event Tree Input'!B158</f>
        <v>Circle</v>
      </c>
      <c r="L57" s="50"/>
      <c r="M57" s="50"/>
      <c r="N57" s="50" t="str">
        <f>'Event Tree Input'!C158</f>
        <v>Triangle</v>
      </c>
      <c r="O57" s="50"/>
      <c r="P57" s="50"/>
      <c r="S57" s="50">
        <v>1</v>
      </c>
      <c r="T57" s="50"/>
      <c r="U57" s="50" t="str">
        <f>IF('Event Tree Input'!$D$14="No","No",IF(AND('Event Tree Input'!$D$14="Yes",'Event Tree Input'!$D$11&gt;=S57),"Yes","No"))</f>
        <v>No</v>
      </c>
      <c r="V57" s="50"/>
      <c r="W57" s="50"/>
      <c r="X57" s="50" t="str">
        <f>'Event Tree Input'!$D$13</f>
        <v>No</v>
      </c>
      <c r="Y57" s="50"/>
      <c r="Z57" s="50"/>
    </row>
    <row r="58" spans="1:79" ht="15" customHeight="1" x14ac:dyDescent="0.2">
      <c r="I58" s="50">
        <v>2</v>
      </c>
      <c r="J58" s="50"/>
      <c r="K58" s="50" t="str">
        <f>'Event Tree Input'!B159</f>
        <v>Circle</v>
      </c>
      <c r="L58" s="50"/>
      <c r="M58" s="50"/>
      <c r="N58" s="50" t="str">
        <f>'Event Tree Input'!C159</f>
        <v>Triangle</v>
      </c>
      <c r="O58" s="50"/>
      <c r="P58" s="50"/>
      <c r="S58" s="50">
        <v>2</v>
      </c>
      <c r="T58" s="50"/>
      <c r="U58" s="50" t="str">
        <f>IF('Event Tree Input'!$D$14="No","No",IF(AND('Event Tree Input'!$D$14="Yes",'Event Tree Input'!$D$11&gt;=S58),"Yes","No"))</f>
        <v>No</v>
      </c>
      <c r="V58" s="50"/>
      <c r="W58" s="50"/>
      <c r="X58" s="50" t="str">
        <f>'Event Tree Input'!$D$13</f>
        <v>No</v>
      </c>
      <c r="Y58" s="50"/>
      <c r="Z58" s="50"/>
    </row>
    <row r="59" spans="1:79" ht="15" customHeight="1" x14ac:dyDescent="0.2">
      <c r="I59" s="50">
        <v>3</v>
      </c>
      <c r="J59" s="50"/>
      <c r="K59" s="50" t="str">
        <f>'Event Tree Input'!B160</f>
        <v>Circle</v>
      </c>
      <c r="L59" s="50"/>
      <c r="M59" s="50"/>
      <c r="N59" s="50" t="str">
        <f>'Event Tree Input'!C160</f>
        <v>Triangle</v>
      </c>
      <c r="O59" s="50"/>
      <c r="P59" s="50"/>
      <c r="S59" s="50">
        <v>3</v>
      </c>
      <c r="T59" s="50"/>
      <c r="U59" s="50" t="str">
        <f>IF('Event Tree Input'!$D$14="No","No",IF(AND('Event Tree Input'!$D$14="Yes",'Event Tree Input'!$D$11&gt;=S59),"Yes","No"))</f>
        <v>No</v>
      </c>
      <c r="V59" s="50"/>
      <c r="W59" s="50"/>
      <c r="X59" s="50" t="str">
        <f>'Event Tree Input'!$D$13</f>
        <v>No</v>
      </c>
      <c r="Y59" s="50"/>
      <c r="Z59" s="50"/>
    </row>
    <row r="60" spans="1:79" ht="15" customHeight="1" x14ac:dyDescent="0.2">
      <c r="I60" s="50">
        <v>4</v>
      </c>
      <c r="J60" s="50"/>
      <c r="K60" s="50" t="str">
        <f>'Event Tree Input'!B161</f>
        <v>Circle</v>
      </c>
      <c r="L60" s="50"/>
      <c r="M60" s="50"/>
      <c r="N60" s="50" t="str">
        <f>'Event Tree Input'!C161</f>
        <v>Triangle</v>
      </c>
      <c r="O60" s="50"/>
      <c r="P60" s="50"/>
      <c r="S60" s="50">
        <v>4</v>
      </c>
      <c r="T60" s="50"/>
      <c r="U60" s="50" t="str">
        <f>IF('Event Tree Input'!$D$14="No","No",IF(AND('Event Tree Input'!$D$14="Yes",'Event Tree Input'!$D$11&gt;=S60),"Yes","No"))</f>
        <v>No</v>
      </c>
      <c r="V60" s="50"/>
      <c r="W60" s="50"/>
      <c r="X60" s="50" t="str">
        <f>'Event Tree Input'!$D$13</f>
        <v>No</v>
      </c>
      <c r="Y60" s="50"/>
      <c r="Z60" s="50"/>
    </row>
    <row r="61" spans="1:79" ht="15" customHeight="1" x14ac:dyDescent="0.2">
      <c r="I61" s="50">
        <v>5</v>
      </c>
      <c r="J61" s="50"/>
      <c r="K61" s="50" t="str">
        <f>'Event Tree Input'!B162</f>
        <v>Circle</v>
      </c>
      <c r="L61" s="50"/>
      <c r="M61" s="50"/>
      <c r="N61" s="50" t="str">
        <f>'Event Tree Input'!C162</f>
        <v>Triangle</v>
      </c>
      <c r="O61" s="50"/>
      <c r="P61" s="50"/>
      <c r="S61" s="50">
        <v>5</v>
      </c>
      <c r="T61" s="50"/>
      <c r="U61" s="50" t="str">
        <f>IF('Event Tree Input'!$D$14="No","No",IF(AND('Event Tree Input'!$D$14="Yes",'Event Tree Input'!$D$11&gt;=S61),"Yes","No"))</f>
        <v>No</v>
      </c>
      <c r="V61" s="50"/>
      <c r="W61" s="50"/>
      <c r="X61" s="50" t="str">
        <f>'Event Tree Input'!$D$13</f>
        <v>No</v>
      </c>
      <c r="Y61" s="50"/>
      <c r="Z61" s="50"/>
    </row>
    <row r="62" spans="1:79" ht="15" customHeight="1" x14ac:dyDescent="0.2">
      <c r="I62" s="50">
        <v>6</v>
      </c>
      <c r="J62" s="50"/>
      <c r="K62" s="50" t="str">
        <f>'Event Tree Input'!B163</f>
        <v>Circle</v>
      </c>
      <c r="L62" s="50"/>
      <c r="M62" s="50"/>
      <c r="N62" s="50" t="str">
        <f>'Event Tree Input'!C163</f>
        <v>Triangle</v>
      </c>
      <c r="O62" s="50"/>
      <c r="P62" s="50"/>
      <c r="S62" s="50">
        <v>6</v>
      </c>
      <c r="T62" s="50"/>
      <c r="U62" s="50" t="str">
        <f>IF('Event Tree Input'!$D$14="No","No",IF(AND('Event Tree Input'!$D$14="Yes",'Event Tree Input'!$D$11&gt;=S62),"Yes","No"))</f>
        <v>No</v>
      </c>
      <c r="V62" s="50"/>
      <c r="W62" s="50"/>
      <c r="X62" s="50" t="str">
        <f>'Event Tree Input'!$D$13</f>
        <v>No</v>
      </c>
      <c r="Y62" s="50"/>
      <c r="Z62" s="50"/>
    </row>
    <row r="63" spans="1:79" ht="15" customHeight="1" x14ac:dyDescent="0.2">
      <c r="I63" s="50">
        <v>7</v>
      </c>
      <c r="J63" s="50"/>
      <c r="K63" s="50" t="str">
        <f>'Event Tree Input'!B164</f>
        <v>Triangle</v>
      </c>
      <c r="L63" s="50"/>
      <c r="M63" s="50"/>
      <c r="N63" s="50" t="str">
        <f>'Event Tree Input'!C164</f>
        <v>Triangle</v>
      </c>
      <c r="O63" s="50"/>
      <c r="P63" s="50"/>
      <c r="S63" s="50">
        <v>7</v>
      </c>
      <c r="T63" s="50"/>
      <c r="U63" s="50" t="str">
        <f>IF('Event Tree Input'!$D$14="No","No",IF(AND('Event Tree Input'!$D$14="Yes",'Event Tree Input'!$D$11&gt;=S63),"Yes","No"))</f>
        <v>No</v>
      </c>
      <c r="V63" s="50"/>
      <c r="W63" s="50"/>
      <c r="X63" s="50" t="str">
        <f>'Event Tree Input'!$D$13</f>
        <v>No</v>
      </c>
      <c r="Y63" s="50"/>
      <c r="Z63" s="50"/>
    </row>
    <row r="64" spans="1:79" ht="15" customHeight="1" x14ac:dyDescent="0.2">
      <c r="I64" s="50">
        <v>8</v>
      </c>
      <c r="J64" s="50"/>
      <c r="K64" s="50" t="str">
        <f>'Event Tree Input'!B165</f>
        <v/>
      </c>
      <c r="L64" s="50"/>
      <c r="M64" s="50"/>
      <c r="N64" s="50" t="str">
        <f>'Event Tree Input'!C165</f>
        <v/>
      </c>
      <c r="O64" s="50"/>
      <c r="P64" s="50"/>
      <c r="S64" s="50">
        <v>8</v>
      </c>
      <c r="T64" s="50"/>
      <c r="U64" s="50" t="str">
        <f>IF('Event Tree Input'!$D$14="No","No",IF(AND('Event Tree Input'!$D$14="Yes",'Event Tree Input'!$D$11&gt;=S64),"Yes","No"))</f>
        <v>No</v>
      </c>
      <c r="V64" s="50"/>
      <c r="W64" s="50"/>
      <c r="X64" s="50" t="str">
        <f>'Event Tree Input'!$D$13</f>
        <v>No</v>
      </c>
      <c r="Y64" s="50"/>
      <c r="Z64" s="50"/>
    </row>
    <row r="65" spans="2:26" ht="15" customHeight="1" x14ac:dyDescent="0.2">
      <c r="I65" s="50">
        <v>9</v>
      </c>
      <c r="J65" s="50"/>
      <c r="K65" s="50" t="str">
        <f>'Event Tree Input'!B166</f>
        <v/>
      </c>
      <c r="L65" s="50"/>
      <c r="M65" s="50"/>
      <c r="N65" s="50" t="str">
        <f>'Event Tree Input'!C166</f>
        <v/>
      </c>
      <c r="O65" s="50"/>
      <c r="P65" s="50"/>
      <c r="S65" s="50">
        <v>9</v>
      </c>
      <c r="T65" s="50"/>
      <c r="U65" s="50" t="str">
        <f>IF('Event Tree Input'!$D$14="No","No",IF(AND('Event Tree Input'!$D$14="Yes",'Event Tree Input'!$D$11&gt;=S65),"Yes","No"))</f>
        <v>No</v>
      </c>
      <c r="V65" s="50"/>
      <c r="W65" s="50"/>
      <c r="X65" s="50" t="str">
        <f>'Event Tree Input'!$D$13</f>
        <v>No</v>
      </c>
      <c r="Y65" s="50"/>
      <c r="Z65" s="50"/>
    </row>
    <row r="67" spans="2:26" ht="15" customHeight="1" x14ac:dyDescent="0.2">
      <c r="B67" s="3" t="s">
        <v>38</v>
      </c>
      <c r="M67" s="25"/>
      <c r="N67" s="25"/>
      <c r="O67" s="25"/>
    </row>
    <row r="68" spans="2:26" ht="15" customHeight="1" x14ac:dyDescent="0.2">
      <c r="B68" s="49" t="str">
        <f>'Event Tree Input'!A27</f>
        <v>Node 1 Callout</v>
      </c>
      <c r="C68" s="49"/>
      <c r="D68" s="49"/>
      <c r="E68" s="49"/>
      <c r="F68" s="49"/>
      <c r="G68" s="49"/>
      <c r="H68" s="49"/>
      <c r="I68" s="49"/>
      <c r="J68" s="49"/>
      <c r="K68" s="49"/>
      <c r="L68" s="49"/>
      <c r="M68" s="49"/>
      <c r="N68" s="49"/>
      <c r="O68" s="49"/>
      <c r="P68" s="49"/>
      <c r="Q68" s="49"/>
      <c r="R68" s="49"/>
      <c r="S68" s="49"/>
      <c r="T68" s="49"/>
      <c r="U68" s="49"/>
      <c r="V68" s="49"/>
      <c r="W68" s="29"/>
    </row>
    <row r="69" spans="2:26" ht="15" customHeight="1" x14ac:dyDescent="0.2">
      <c r="B69" s="49"/>
      <c r="C69" s="49"/>
      <c r="D69" s="49"/>
      <c r="E69" s="49"/>
      <c r="F69" s="49"/>
      <c r="G69" s="49"/>
      <c r="H69" s="49"/>
      <c r="I69" s="49"/>
      <c r="J69" s="49"/>
      <c r="K69" s="49"/>
      <c r="L69" s="49"/>
      <c r="M69" s="49"/>
      <c r="N69" s="49"/>
      <c r="O69" s="49"/>
      <c r="P69" s="49"/>
      <c r="Q69" s="49"/>
      <c r="R69" s="49"/>
      <c r="S69" s="49"/>
      <c r="T69" s="49"/>
      <c r="U69" s="49"/>
      <c r="V69" s="49"/>
      <c r="W69" s="29"/>
    </row>
    <row r="70" spans="2:26" ht="15" customHeight="1" x14ac:dyDescent="0.2">
      <c r="B70" s="49"/>
      <c r="C70" s="49"/>
      <c r="D70" s="49"/>
      <c r="E70" s="49"/>
      <c r="F70" s="49"/>
      <c r="G70" s="49"/>
      <c r="H70" s="49"/>
      <c r="I70" s="49"/>
      <c r="J70" s="49"/>
      <c r="K70" s="49"/>
      <c r="L70" s="49"/>
      <c r="M70" s="49"/>
      <c r="N70" s="49"/>
      <c r="O70" s="49"/>
      <c r="P70" s="49"/>
      <c r="Q70" s="49"/>
      <c r="R70" s="49"/>
      <c r="S70" s="49"/>
      <c r="T70" s="49"/>
      <c r="U70" s="49"/>
      <c r="V70" s="49"/>
      <c r="W70" s="29"/>
      <c r="X70" s="30"/>
      <c r="Y70" s="29"/>
    </row>
    <row r="71" spans="2:26" ht="15" customHeight="1" x14ac:dyDescent="0.2">
      <c r="B71" s="49"/>
      <c r="C71" s="49"/>
      <c r="D71" s="49"/>
      <c r="E71" s="49"/>
      <c r="F71" s="49"/>
      <c r="G71" s="49"/>
      <c r="H71" s="49"/>
      <c r="I71" s="49"/>
      <c r="J71" s="49"/>
      <c r="K71" s="49"/>
      <c r="L71" s="49"/>
      <c r="M71" s="49"/>
      <c r="N71" s="49"/>
      <c r="O71" s="49"/>
      <c r="P71" s="49"/>
      <c r="Q71" s="49"/>
      <c r="R71" s="49"/>
      <c r="S71" s="49"/>
      <c r="T71" s="49"/>
      <c r="U71" s="49"/>
      <c r="V71" s="49"/>
      <c r="W71" s="29"/>
      <c r="X71" s="30"/>
      <c r="Y71" s="29"/>
    </row>
    <row r="72" spans="2:26" ht="15" customHeight="1" x14ac:dyDescent="0.2">
      <c r="B72" s="49"/>
      <c r="C72" s="49"/>
      <c r="D72" s="49"/>
      <c r="E72" s="49"/>
      <c r="F72" s="49"/>
      <c r="G72" s="49"/>
      <c r="H72" s="49"/>
      <c r="I72" s="49"/>
      <c r="J72" s="49"/>
      <c r="K72" s="49"/>
      <c r="L72" s="49"/>
      <c r="M72" s="49"/>
      <c r="N72" s="49"/>
      <c r="O72" s="49"/>
      <c r="P72" s="49"/>
      <c r="Q72" s="49"/>
      <c r="R72" s="49"/>
      <c r="S72" s="49"/>
      <c r="T72" s="49"/>
      <c r="U72" s="49"/>
      <c r="V72" s="49"/>
      <c r="W72" s="29"/>
      <c r="X72" s="30"/>
      <c r="Y72" s="29"/>
    </row>
    <row r="73" spans="2:26" ht="15" customHeight="1" x14ac:dyDescent="0.2">
      <c r="B73" s="49"/>
      <c r="C73" s="49"/>
      <c r="D73" s="49"/>
      <c r="E73" s="49"/>
      <c r="F73" s="49"/>
      <c r="G73" s="49"/>
      <c r="H73" s="49"/>
      <c r="I73" s="49"/>
      <c r="J73" s="49"/>
      <c r="K73" s="49"/>
      <c r="L73" s="49"/>
      <c r="M73" s="49"/>
      <c r="N73" s="49"/>
      <c r="O73" s="49"/>
      <c r="P73" s="49"/>
      <c r="Q73" s="49"/>
      <c r="R73" s="49"/>
      <c r="S73" s="49"/>
      <c r="T73" s="49"/>
      <c r="U73" s="49"/>
      <c r="V73" s="49"/>
      <c r="W73" s="29"/>
      <c r="X73" s="30"/>
      <c r="Y73" s="29"/>
    </row>
    <row r="74" spans="2:26" ht="15" customHeight="1" x14ac:dyDescent="0.2"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30"/>
      <c r="Y74" s="29"/>
    </row>
    <row r="75" spans="2:26" ht="15" customHeight="1" x14ac:dyDescent="0.2">
      <c r="B75" s="3" t="s">
        <v>39</v>
      </c>
      <c r="M75" s="25"/>
      <c r="N75" s="25"/>
      <c r="O75" s="25"/>
      <c r="W75" s="29"/>
      <c r="X75" s="29"/>
      <c r="Y75" s="29"/>
    </row>
    <row r="76" spans="2:26" ht="15" customHeight="1" x14ac:dyDescent="0.2">
      <c r="B76" s="49" t="str">
        <f>'Event Tree Input'!A41</f>
        <v>Node 2 Callout</v>
      </c>
      <c r="C76" s="49"/>
      <c r="D76" s="49"/>
      <c r="E76" s="49"/>
      <c r="F76" s="49"/>
      <c r="G76" s="49"/>
      <c r="H76" s="49"/>
      <c r="I76" s="49"/>
      <c r="J76" s="49"/>
      <c r="K76" s="49"/>
      <c r="L76" s="49"/>
      <c r="M76" s="49"/>
      <c r="N76" s="49"/>
      <c r="O76" s="49"/>
      <c r="P76" s="49"/>
      <c r="Q76" s="49"/>
      <c r="R76" s="49"/>
      <c r="S76" s="49"/>
      <c r="T76" s="49"/>
      <c r="U76" s="49"/>
      <c r="V76" s="49"/>
    </row>
    <row r="77" spans="2:26" ht="15" customHeight="1" x14ac:dyDescent="0.2">
      <c r="B77" s="49"/>
      <c r="C77" s="49"/>
      <c r="D77" s="49"/>
      <c r="E77" s="49"/>
      <c r="F77" s="49"/>
      <c r="G77" s="49"/>
      <c r="H77" s="49"/>
      <c r="I77" s="49"/>
      <c r="J77" s="49"/>
      <c r="K77" s="49"/>
      <c r="L77" s="49"/>
      <c r="M77" s="49"/>
      <c r="N77" s="49"/>
      <c r="O77" s="49"/>
      <c r="P77" s="49"/>
      <c r="Q77" s="49"/>
      <c r="R77" s="49"/>
      <c r="S77" s="49"/>
      <c r="T77" s="49"/>
      <c r="U77" s="49"/>
      <c r="V77" s="49"/>
      <c r="W77" s="30"/>
      <c r="X77" s="30"/>
    </row>
    <row r="78" spans="2:26" ht="15" customHeight="1" x14ac:dyDescent="0.2">
      <c r="B78" s="49"/>
      <c r="C78" s="49"/>
      <c r="D78" s="49"/>
      <c r="E78" s="49"/>
      <c r="F78" s="49"/>
      <c r="G78" s="49"/>
      <c r="H78" s="49"/>
      <c r="I78" s="49"/>
      <c r="J78" s="49"/>
      <c r="K78" s="49"/>
      <c r="L78" s="49"/>
      <c r="M78" s="49"/>
      <c r="N78" s="49"/>
      <c r="O78" s="49"/>
      <c r="P78" s="49"/>
      <c r="Q78" s="49"/>
      <c r="R78" s="49"/>
      <c r="S78" s="49"/>
      <c r="T78" s="49"/>
      <c r="U78" s="49"/>
      <c r="V78" s="49"/>
      <c r="W78" s="30"/>
      <c r="X78" s="30"/>
    </row>
    <row r="79" spans="2:26" ht="15" customHeight="1" x14ac:dyDescent="0.2">
      <c r="B79" s="49"/>
      <c r="C79" s="49"/>
      <c r="D79" s="49"/>
      <c r="E79" s="49"/>
      <c r="F79" s="49"/>
      <c r="G79" s="49"/>
      <c r="H79" s="49"/>
      <c r="I79" s="49"/>
      <c r="J79" s="49"/>
      <c r="K79" s="49"/>
      <c r="L79" s="49"/>
      <c r="M79" s="49"/>
      <c r="N79" s="49"/>
      <c r="O79" s="49"/>
      <c r="P79" s="49"/>
      <c r="Q79" s="49"/>
      <c r="R79" s="49"/>
      <c r="S79" s="49"/>
      <c r="T79" s="49"/>
      <c r="U79" s="49"/>
      <c r="V79" s="49"/>
      <c r="W79" s="30"/>
      <c r="X79" s="30"/>
    </row>
    <row r="80" spans="2:26" ht="15" customHeight="1" x14ac:dyDescent="0.2">
      <c r="B80" s="49"/>
      <c r="C80" s="49"/>
      <c r="D80" s="49"/>
      <c r="E80" s="49"/>
      <c r="F80" s="49"/>
      <c r="G80" s="49"/>
      <c r="H80" s="49"/>
      <c r="I80" s="49"/>
      <c r="J80" s="49"/>
      <c r="K80" s="49"/>
      <c r="L80" s="49"/>
      <c r="M80" s="49"/>
      <c r="N80" s="49"/>
      <c r="O80" s="49"/>
      <c r="P80" s="49"/>
      <c r="Q80" s="49"/>
      <c r="R80" s="49"/>
      <c r="S80" s="49"/>
      <c r="T80" s="49"/>
      <c r="U80" s="49"/>
      <c r="V80" s="49"/>
      <c r="W80" s="30"/>
      <c r="X80" s="30"/>
    </row>
    <row r="81" spans="2:24" ht="15" customHeight="1" x14ac:dyDescent="0.2">
      <c r="B81" s="49"/>
      <c r="C81" s="49"/>
      <c r="D81" s="49"/>
      <c r="E81" s="49"/>
      <c r="F81" s="49"/>
      <c r="G81" s="49"/>
      <c r="H81" s="49"/>
      <c r="I81" s="49"/>
      <c r="J81" s="49"/>
      <c r="K81" s="49"/>
      <c r="L81" s="49"/>
      <c r="M81" s="49"/>
      <c r="N81" s="49"/>
      <c r="O81" s="49"/>
      <c r="P81" s="49"/>
      <c r="Q81" s="49"/>
      <c r="R81" s="49"/>
      <c r="S81" s="49"/>
      <c r="T81" s="49"/>
      <c r="U81" s="49"/>
      <c r="V81" s="49"/>
      <c r="W81" s="30"/>
      <c r="X81" s="30"/>
    </row>
    <row r="83" spans="2:24" ht="15" customHeight="1" x14ac:dyDescent="0.2">
      <c r="B83" s="3" t="s">
        <v>40</v>
      </c>
      <c r="M83" s="25"/>
      <c r="N83" s="25"/>
      <c r="O83" s="25"/>
    </row>
    <row r="84" spans="2:24" ht="15" customHeight="1" x14ac:dyDescent="0.2">
      <c r="B84" s="49" t="str">
        <f>'Event Tree Input'!A55</f>
        <v>Node 3 Callout</v>
      </c>
      <c r="C84" s="49"/>
      <c r="D84" s="49"/>
      <c r="E84" s="49"/>
      <c r="F84" s="49"/>
      <c r="G84" s="49"/>
      <c r="H84" s="49"/>
      <c r="I84" s="49"/>
      <c r="J84" s="49"/>
      <c r="K84" s="49"/>
      <c r="L84" s="49"/>
      <c r="M84" s="49"/>
      <c r="N84" s="49"/>
      <c r="O84" s="49"/>
      <c r="P84" s="49"/>
      <c r="Q84" s="49"/>
      <c r="R84" s="49"/>
      <c r="S84" s="49"/>
      <c r="T84" s="49"/>
      <c r="U84" s="49"/>
      <c r="V84" s="49"/>
    </row>
    <row r="85" spans="2:24" ht="15" customHeight="1" x14ac:dyDescent="0.2">
      <c r="B85" s="49"/>
      <c r="C85" s="49"/>
      <c r="D85" s="49"/>
      <c r="E85" s="49"/>
      <c r="F85" s="49"/>
      <c r="G85" s="49"/>
      <c r="H85" s="49"/>
      <c r="I85" s="49"/>
      <c r="J85" s="49"/>
      <c r="K85" s="49"/>
      <c r="L85" s="49"/>
      <c r="M85" s="49"/>
      <c r="N85" s="49"/>
      <c r="O85" s="49"/>
      <c r="P85" s="49"/>
      <c r="Q85" s="49"/>
      <c r="R85" s="49"/>
      <c r="S85" s="49"/>
      <c r="T85" s="49"/>
      <c r="U85" s="49"/>
      <c r="V85" s="49"/>
    </row>
    <row r="86" spans="2:24" ht="15" customHeight="1" x14ac:dyDescent="0.2">
      <c r="B86" s="49"/>
      <c r="C86" s="49"/>
      <c r="D86" s="49"/>
      <c r="E86" s="49"/>
      <c r="F86" s="49"/>
      <c r="G86" s="49"/>
      <c r="H86" s="49"/>
      <c r="I86" s="49"/>
      <c r="J86" s="49"/>
      <c r="K86" s="49"/>
      <c r="L86" s="49"/>
      <c r="M86" s="49"/>
      <c r="N86" s="49"/>
      <c r="O86" s="49"/>
      <c r="P86" s="49"/>
      <c r="Q86" s="49"/>
      <c r="R86" s="49"/>
      <c r="S86" s="49"/>
      <c r="T86" s="49"/>
      <c r="U86" s="49"/>
      <c r="V86" s="49"/>
    </row>
    <row r="87" spans="2:24" ht="15" customHeight="1" x14ac:dyDescent="0.2">
      <c r="B87" s="49"/>
      <c r="C87" s="49"/>
      <c r="D87" s="49"/>
      <c r="E87" s="49"/>
      <c r="F87" s="49"/>
      <c r="G87" s="49"/>
      <c r="H87" s="49"/>
      <c r="I87" s="49"/>
      <c r="J87" s="49"/>
      <c r="K87" s="49"/>
      <c r="L87" s="49"/>
      <c r="M87" s="49"/>
      <c r="N87" s="49"/>
      <c r="O87" s="49"/>
      <c r="P87" s="49"/>
      <c r="Q87" s="49"/>
      <c r="R87" s="49"/>
      <c r="S87" s="49"/>
      <c r="T87" s="49"/>
      <c r="U87" s="49"/>
      <c r="V87" s="49"/>
    </row>
    <row r="88" spans="2:24" ht="15" customHeight="1" x14ac:dyDescent="0.2">
      <c r="B88" s="49"/>
      <c r="C88" s="49"/>
      <c r="D88" s="49"/>
      <c r="E88" s="49"/>
      <c r="F88" s="49"/>
      <c r="G88" s="49"/>
      <c r="H88" s="49"/>
      <c r="I88" s="49"/>
      <c r="J88" s="49"/>
      <c r="K88" s="49"/>
      <c r="L88" s="49"/>
      <c r="M88" s="49"/>
      <c r="N88" s="49"/>
      <c r="O88" s="49"/>
      <c r="P88" s="49"/>
      <c r="Q88" s="49"/>
      <c r="R88" s="49"/>
      <c r="S88" s="49"/>
      <c r="T88" s="49"/>
      <c r="U88" s="49"/>
      <c r="V88" s="49"/>
    </row>
    <row r="89" spans="2:24" ht="15" customHeight="1" x14ac:dyDescent="0.2">
      <c r="B89" s="49"/>
      <c r="C89" s="49"/>
      <c r="D89" s="49"/>
      <c r="E89" s="49"/>
      <c r="F89" s="49"/>
      <c r="G89" s="49"/>
      <c r="H89" s="49"/>
      <c r="I89" s="49"/>
      <c r="J89" s="49"/>
      <c r="K89" s="49"/>
      <c r="L89" s="49"/>
      <c r="M89" s="49"/>
      <c r="N89" s="49"/>
      <c r="O89" s="49"/>
      <c r="P89" s="49"/>
      <c r="Q89" s="49"/>
      <c r="R89" s="49"/>
      <c r="S89" s="49"/>
      <c r="T89" s="49"/>
      <c r="U89" s="49"/>
      <c r="V89" s="49"/>
    </row>
    <row r="91" spans="2:24" ht="15" customHeight="1" x14ac:dyDescent="0.2">
      <c r="B91" s="3" t="s">
        <v>41</v>
      </c>
      <c r="M91" s="25"/>
      <c r="N91" s="25"/>
      <c r="O91" s="25"/>
    </row>
    <row r="92" spans="2:24" ht="15" customHeight="1" x14ac:dyDescent="0.2">
      <c r="B92" s="49" t="str">
        <f>'Event Tree Input'!A69</f>
        <v>Node 4 Callout</v>
      </c>
      <c r="C92" s="49"/>
      <c r="D92" s="49"/>
      <c r="E92" s="49"/>
      <c r="F92" s="49"/>
      <c r="G92" s="49"/>
      <c r="H92" s="49"/>
      <c r="I92" s="49"/>
      <c r="J92" s="49"/>
      <c r="K92" s="49"/>
      <c r="L92" s="49"/>
      <c r="M92" s="49"/>
      <c r="N92" s="49"/>
      <c r="O92" s="49"/>
      <c r="P92" s="49"/>
      <c r="Q92" s="49"/>
      <c r="R92" s="49"/>
      <c r="S92" s="49"/>
      <c r="T92" s="49"/>
      <c r="U92" s="49"/>
      <c r="V92" s="49"/>
    </row>
    <row r="93" spans="2:24" ht="15" customHeight="1" x14ac:dyDescent="0.2">
      <c r="B93" s="49"/>
      <c r="C93" s="49"/>
      <c r="D93" s="49"/>
      <c r="E93" s="49"/>
      <c r="F93" s="49"/>
      <c r="G93" s="49"/>
      <c r="H93" s="49"/>
      <c r="I93" s="49"/>
      <c r="J93" s="49"/>
      <c r="K93" s="49"/>
      <c r="L93" s="49"/>
      <c r="M93" s="49"/>
      <c r="N93" s="49"/>
      <c r="O93" s="49"/>
      <c r="P93" s="49"/>
      <c r="Q93" s="49"/>
      <c r="R93" s="49"/>
      <c r="S93" s="49"/>
      <c r="T93" s="49"/>
      <c r="U93" s="49"/>
      <c r="V93" s="49"/>
    </row>
    <row r="94" spans="2:24" ht="15" customHeight="1" x14ac:dyDescent="0.2">
      <c r="B94" s="49"/>
      <c r="C94" s="49"/>
      <c r="D94" s="49"/>
      <c r="E94" s="49"/>
      <c r="F94" s="49"/>
      <c r="G94" s="49"/>
      <c r="H94" s="49"/>
      <c r="I94" s="49"/>
      <c r="J94" s="49"/>
      <c r="K94" s="49"/>
      <c r="L94" s="49"/>
      <c r="M94" s="49"/>
      <c r="N94" s="49"/>
      <c r="O94" s="49"/>
      <c r="P94" s="49"/>
      <c r="Q94" s="49"/>
      <c r="R94" s="49"/>
      <c r="S94" s="49"/>
      <c r="T94" s="49"/>
      <c r="U94" s="49"/>
      <c r="V94" s="49"/>
    </row>
    <row r="95" spans="2:24" ht="15" customHeight="1" x14ac:dyDescent="0.2">
      <c r="B95" s="49"/>
      <c r="C95" s="49"/>
      <c r="D95" s="49"/>
      <c r="E95" s="49"/>
      <c r="F95" s="49"/>
      <c r="G95" s="49"/>
      <c r="H95" s="49"/>
      <c r="I95" s="49"/>
      <c r="J95" s="49"/>
      <c r="K95" s="49"/>
      <c r="L95" s="49"/>
      <c r="M95" s="49"/>
      <c r="N95" s="49"/>
      <c r="O95" s="49"/>
      <c r="P95" s="49"/>
      <c r="Q95" s="49"/>
      <c r="R95" s="49"/>
      <c r="S95" s="49"/>
      <c r="T95" s="49"/>
      <c r="U95" s="49"/>
      <c r="V95" s="49"/>
    </row>
    <row r="96" spans="2:24" ht="15" customHeight="1" x14ac:dyDescent="0.2">
      <c r="B96" s="49"/>
      <c r="C96" s="49"/>
      <c r="D96" s="49"/>
      <c r="E96" s="49"/>
      <c r="F96" s="49"/>
      <c r="G96" s="49"/>
      <c r="H96" s="49"/>
      <c r="I96" s="49"/>
      <c r="J96" s="49"/>
      <c r="K96" s="49"/>
      <c r="L96" s="49"/>
      <c r="M96" s="49"/>
      <c r="N96" s="49"/>
      <c r="O96" s="49"/>
      <c r="P96" s="49"/>
      <c r="Q96" s="49"/>
      <c r="R96" s="49"/>
      <c r="S96" s="49"/>
      <c r="T96" s="49"/>
      <c r="U96" s="49"/>
      <c r="V96" s="49"/>
    </row>
    <row r="97" spans="2:22" ht="15" customHeight="1" x14ac:dyDescent="0.2">
      <c r="B97" s="49"/>
      <c r="C97" s="49"/>
      <c r="D97" s="49"/>
      <c r="E97" s="49"/>
      <c r="F97" s="49"/>
      <c r="G97" s="49"/>
      <c r="H97" s="49"/>
      <c r="I97" s="49"/>
      <c r="J97" s="49"/>
      <c r="K97" s="49"/>
      <c r="L97" s="49"/>
      <c r="M97" s="49"/>
      <c r="N97" s="49"/>
      <c r="O97" s="49"/>
      <c r="P97" s="49"/>
      <c r="Q97" s="49"/>
      <c r="R97" s="49"/>
      <c r="S97" s="49"/>
      <c r="T97" s="49"/>
      <c r="U97" s="49"/>
      <c r="V97" s="49"/>
    </row>
    <row r="99" spans="2:22" ht="15" customHeight="1" x14ac:dyDescent="0.2">
      <c r="B99" s="3" t="s">
        <v>42</v>
      </c>
      <c r="M99" s="25"/>
      <c r="N99" s="25"/>
      <c r="O99" s="25"/>
    </row>
    <row r="100" spans="2:22" ht="15" customHeight="1" x14ac:dyDescent="0.2">
      <c r="B100" s="49" t="str">
        <f>'Event Tree Input'!A83</f>
        <v>Node 5 Callout</v>
      </c>
      <c r="C100" s="49"/>
      <c r="D100" s="49"/>
      <c r="E100" s="49"/>
      <c r="F100" s="49"/>
      <c r="G100" s="49"/>
      <c r="H100" s="49"/>
      <c r="I100" s="49"/>
      <c r="J100" s="49"/>
      <c r="K100" s="49"/>
      <c r="L100" s="49"/>
      <c r="M100" s="49"/>
      <c r="N100" s="49"/>
      <c r="O100" s="49"/>
      <c r="P100" s="49"/>
      <c r="Q100" s="49"/>
      <c r="R100" s="49"/>
      <c r="S100" s="49"/>
      <c r="T100" s="49"/>
      <c r="U100" s="49"/>
      <c r="V100" s="49"/>
    </row>
    <row r="101" spans="2:22" ht="15" customHeight="1" x14ac:dyDescent="0.2">
      <c r="B101" s="49"/>
      <c r="C101" s="49"/>
      <c r="D101" s="49"/>
      <c r="E101" s="49"/>
      <c r="F101" s="49"/>
      <c r="G101" s="49"/>
      <c r="H101" s="49"/>
      <c r="I101" s="49"/>
      <c r="J101" s="49"/>
      <c r="K101" s="49"/>
      <c r="L101" s="49"/>
      <c r="M101" s="49"/>
      <c r="N101" s="49"/>
      <c r="O101" s="49"/>
      <c r="P101" s="49"/>
      <c r="Q101" s="49"/>
      <c r="R101" s="49"/>
      <c r="S101" s="49"/>
      <c r="T101" s="49"/>
      <c r="U101" s="49"/>
      <c r="V101" s="49"/>
    </row>
    <row r="102" spans="2:22" ht="15" customHeight="1" x14ac:dyDescent="0.2">
      <c r="B102" s="49"/>
      <c r="C102" s="49"/>
      <c r="D102" s="49"/>
      <c r="E102" s="49"/>
      <c r="F102" s="49"/>
      <c r="G102" s="49"/>
      <c r="H102" s="49"/>
      <c r="I102" s="49"/>
      <c r="J102" s="49"/>
      <c r="K102" s="49"/>
      <c r="L102" s="49"/>
      <c r="M102" s="49"/>
      <c r="N102" s="49"/>
      <c r="O102" s="49"/>
      <c r="P102" s="49"/>
      <c r="Q102" s="49"/>
      <c r="R102" s="49"/>
      <c r="S102" s="49"/>
      <c r="T102" s="49"/>
      <c r="U102" s="49"/>
      <c r="V102" s="49"/>
    </row>
    <row r="103" spans="2:22" ht="15" customHeight="1" x14ac:dyDescent="0.2">
      <c r="B103" s="49"/>
      <c r="C103" s="49"/>
      <c r="D103" s="49"/>
      <c r="E103" s="49"/>
      <c r="F103" s="49"/>
      <c r="G103" s="49"/>
      <c r="H103" s="49"/>
      <c r="I103" s="49"/>
      <c r="J103" s="49"/>
      <c r="K103" s="49"/>
      <c r="L103" s="49"/>
      <c r="M103" s="49"/>
      <c r="N103" s="49"/>
      <c r="O103" s="49"/>
      <c r="P103" s="49"/>
      <c r="Q103" s="49"/>
      <c r="R103" s="49"/>
      <c r="S103" s="49"/>
      <c r="T103" s="49"/>
      <c r="U103" s="49"/>
      <c r="V103" s="49"/>
    </row>
    <row r="104" spans="2:22" ht="15" customHeight="1" x14ac:dyDescent="0.2">
      <c r="B104" s="49"/>
      <c r="C104" s="49"/>
      <c r="D104" s="49"/>
      <c r="E104" s="49"/>
      <c r="F104" s="49"/>
      <c r="G104" s="49"/>
      <c r="H104" s="49"/>
      <c r="I104" s="49"/>
      <c r="J104" s="49"/>
      <c r="K104" s="49"/>
      <c r="L104" s="49"/>
      <c r="M104" s="49"/>
      <c r="N104" s="49"/>
      <c r="O104" s="49"/>
      <c r="P104" s="49"/>
      <c r="Q104" s="49"/>
      <c r="R104" s="49"/>
      <c r="S104" s="49"/>
      <c r="T104" s="49"/>
      <c r="U104" s="49"/>
      <c r="V104" s="49"/>
    </row>
    <row r="105" spans="2:22" ht="15" customHeight="1" x14ac:dyDescent="0.2">
      <c r="B105" s="49"/>
      <c r="C105" s="49"/>
      <c r="D105" s="49"/>
      <c r="E105" s="49"/>
      <c r="F105" s="49"/>
      <c r="G105" s="49"/>
      <c r="H105" s="49"/>
      <c r="I105" s="49"/>
      <c r="J105" s="49"/>
      <c r="K105" s="49"/>
      <c r="L105" s="49"/>
      <c r="M105" s="49"/>
      <c r="N105" s="49"/>
      <c r="O105" s="49"/>
      <c r="P105" s="49"/>
      <c r="Q105" s="49"/>
      <c r="R105" s="49"/>
      <c r="S105" s="49"/>
      <c r="T105" s="49"/>
      <c r="U105" s="49"/>
      <c r="V105" s="49"/>
    </row>
    <row r="107" spans="2:22" ht="15" customHeight="1" x14ac:dyDescent="0.2">
      <c r="B107" s="3" t="s">
        <v>43</v>
      </c>
      <c r="M107" s="25"/>
      <c r="N107" s="25"/>
      <c r="O107" s="25"/>
    </row>
    <row r="108" spans="2:22" ht="15" customHeight="1" x14ac:dyDescent="0.2">
      <c r="B108" s="49" t="str">
        <f>'Event Tree Input'!A97</f>
        <v>Node 6 Callout</v>
      </c>
      <c r="C108" s="49"/>
      <c r="D108" s="49"/>
      <c r="E108" s="49"/>
      <c r="F108" s="49"/>
      <c r="G108" s="49"/>
      <c r="H108" s="49"/>
      <c r="I108" s="49"/>
      <c r="J108" s="49"/>
      <c r="K108" s="49"/>
      <c r="L108" s="49"/>
      <c r="M108" s="49"/>
      <c r="N108" s="49"/>
      <c r="O108" s="49"/>
      <c r="P108" s="49"/>
      <c r="Q108" s="49"/>
      <c r="R108" s="49"/>
      <c r="S108" s="49"/>
      <c r="T108" s="49"/>
      <c r="U108" s="49"/>
      <c r="V108" s="49"/>
    </row>
    <row r="109" spans="2:22" ht="15" customHeight="1" x14ac:dyDescent="0.2">
      <c r="B109" s="49"/>
      <c r="C109" s="49"/>
      <c r="D109" s="49"/>
      <c r="E109" s="49"/>
      <c r="F109" s="49"/>
      <c r="G109" s="49"/>
      <c r="H109" s="49"/>
      <c r="I109" s="49"/>
      <c r="J109" s="49"/>
      <c r="K109" s="49"/>
      <c r="L109" s="49"/>
      <c r="M109" s="49"/>
      <c r="N109" s="49"/>
      <c r="O109" s="49"/>
      <c r="P109" s="49"/>
      <c r="Q109" s="49"/>
      <c r="R109" s="49"/>
      <c r="S109" s="49"/>
      <c r="T109" s="49"/>
      <c r="U109" s="49"/>
      <c r="V109" s="49"/>
    </row>
    <row r="110" spans="2:22" ht="15" customHeight="1" x14ac:dyDescent="0.2">
      <c r="B110" s="49"/>
      <c r="C110" s="49"/>
      <c r="D110" s="49"/>
      <c r="E110" s="49"/>
      <c r="F110" s="49"/>
      <c r="G110" s="49"/>
      <c r="H110" s="49"/>
      <c r="I110" s="49"/>
      <c r="J110" s="49"/>
      <c r="K110" s="49"/>
      <c r="L110" s="49"/>
      <c r="M110" s="49"/>
      <c r="N110" s="49"/>
      <c r="O110" s="49"/>
      <c r="P110" s="49"/>
      <c r="Q110" s="49"/>
      <c r="R110" s="49"/>
      <c r="S110" s="49"/>
      <c r="T110" s="49"/>
      <c r="U110" s="49"/>
      <c r="V110" s="49"/>
    </row>
    <row r="111" spans="2:22" ht="15" customHeight="1" x14ac:dyDescent="0.2">
      <c r="B111" s="49"/>
      <c r="C111" s="49"/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</row>
    <row r="112" spans="2:22" ht="15" customHeight="1" x14ac:dyDescent="0.2">
      <c r="B112" s="49"/>
      <c r="C112" s="49"/>
      <c r="D112" s="49"/>
      <c r="E112" s="49"/>
      <c r="F112" s="49"/>
      <c r="G112" s="49"/>
      <c r="H112" s="49"/>
      <c r="I112" s="49"/>
      <c r="J112" s="49"/>
      <c r="K112" s="49"/>
      <c r="L112" s="49"/>
      <c r="M112" s="49"/>
      <c r="N112" s="49"/>
      <c r="O112" s="49"/>
      <c r="P112" s="49"/>
      <c r="Q112" s="49"/>
      <c r="R112" s="49"/>
      <c r="S112" s="49"/>
      <c r="T112" s="49"/>
      <c r="U112" s="49"/>
      <c r="V112" s="49"/>
    </row>
    <row r="113" spans="2:22" ht="15" customHeight="1" x14ac:dyDescent="0.2">
      <c r="B113" s="49"/>
      <c r="C113" s="49"/>
      <c r="D113" s="49"/>
      <c r="E113" s="49"/>
      <c r="F113" s="49"/>
      <c r="G113" s="49"/>
      <c r="H113" s="49"/>
      <c r="I113" s="49"/>
      <c r="J113" s="49"/>
      <c r="K113" s="49"/>
      <c r="L113" s="49"/>
      <c r="M113" s="49"/>
      <c r="N113" s="49"/>
      <c r="O113" s="49"/>
      <c r="P113" s="49"/>
      <c r="Q113" s="49"/>
      <c r="R113" s="49"/>
      <c r="S113" s="49"/>
      <c r="T113" s="49"/>
      <c r="U113" s="49"/>
      <c r="V113" s="49"/>
    </row>
    <row r="115" spans="2:22" ht="15" customHeight="1" x14ac:dyDescent="0.2">
      <c r="B115" s="3" t="s">
        <v>44</v>
      </c>
      <c r="M115" s="25"/>
      <c r="N115" s="25"/>
      <c r="O115" s="25"/>
    </row>
    <row r="116" spans="2:22" ht="15" customHeight="1" x14ac:dyDescent="0.2">
      <c r="B116" s="49" t="str">
        <f>'Event Tree Input'!A111</f>
        <v>Node 7 Callout</v>
      </c>
      <c r="C116" s="49"/>
      <c r="D116" s="49"/>
      <c r="E116" s="49"/>
      <c r="F116" s="49"/>
      <c r="G116" s="49"/>
      <c r="H116" s="49"/>
      <c r="I116" s="49"/>
      <c r="J116" s="49"/>
      <c r="K116" s="49"/>
      <c r="L116" s="49"/>
      <c r="M116" s="49"/>
      <c r="N116" s="49"/>
      <c r="O116" s="49"/>
      <c r="P116" s="49"/>
      <c r="Q116" s="49"/>
      <c r="R116" s="49"/>
      <c r="S116" s="49"/>
      <c r="T116" s="49"/>
      <c r="U116" s="49"/>
      <c r="V116" s="49"/>
    </row>
    <row r="117" spans="2:22" ht="15" customHeight="1" x14ac:dyDescent="0.2">
      <c r="B117" s="49"/>
      <c r="C117" s="49"/>
      <c r="D117" s="49"/>
      <c r="E117" s="49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9"/>
      <c r="R117" s="49"/>
      <c r="S117" s="49"/>
      <c r="T117" s="49"/>
      <c r="U117" s="49"/>
      <c r="V117" s="49"/>
    </row>
    <row r="118" spans="2:22" ht="15" customHeight="1" x14ac:dyDescent="0.2">
      <c r="B118" s="49"/>
      <c r="C118" s="49"/>
      <c r="D118" s="49"/>
      <c r="E118" s="49"/>
      <c r="F118" s="49"/>
      <c r="G118" s="49"/>
      <c r="H118" s="49"/>
      <c r="I118" s="49"/>
      <c r="J118" s="49"/>
      <c r="K118" s="49"/>
      <c r="L118" s="49"/>
      <c r="M118" s="49"/>
      <c r="N118" s="49"/>
      <c r="O118" s="49"/>
      <c r="P118" s="49"/>
      <c r="Q118" s="49"/>
      <c r="R118" s="49"/>
      <c r="S118" s="49"/>
      <c r="T118" s="49"/>
      <c r="U118" s="49"/>
      <c r="V118" s="49"/>
    </row>
    <row r="119" spans="2:22" ht="15" customHeight="1" x14ac:dyDescent="0.2">
      <c r="B119" s="49"/>
      <c r="C119" s="49"/>
      <c r="D119" s="49"/>
      <c r="E119" s="49"/>
      <c r="F119" s="49"/>
      <c r="G119" s="49"/>
      <c r="H119" s="49"/>
      <c r="I119" s="49"/>
      <c r="J119" s="49"/>
      <c r="K119" s="49"/>
      <c r="L119" s="49"/>
      <c r="M119" s="49"/>
      <c r="N119" s="49"/>
      <c r="O119" s="49"/>
      <c r="P119" s="49"/>
      <c r="Q119" s="49"/>
      <c r="R119" s="49"/>
      <c r="S119" s="49"/>
      <c r="T119" s="49"/>
      <c r="U119" s="49"/>
      <c r="V119" s="49"/>
    </row>
    <row r="120" spans="2:22" ht="15" customHeight="1" x14ac:dyDescent="0.2">
      <c r="B120" s="49"/>
      <c r="C120" s="49"/>
      <c r="D120" s="49"/>
      <c r="E120" s="49"/>
      <c r="F120" s="49"/>
      <c r="G120" s="49"/>
      <c r="H120" s="49"/>
      <c r="I120" s="49"/>
      <c r="J120" s="49"/>
      <c r="K120" s="49"/>
      <c r="L120" s="49"/>
      <c r="M120" s="49"/>
      <c r="N120" s="49"/>
      <c r="O120" s="49"/>
      <c r="P120" s="49"/>
      <c r="Q120" s="49"/>
      <c r="R120" s="49"/>
      <c r="S120" s="49"/>
      <c r="T120" s="49"/>
      <c r="U120" s="49"/>
      <c r="V120" s="49"/>
    </row>
    <row r="121" spans="2:22" ht="15" customHeight="1" x14ac:dyDescent="0.2">
      <c r="B121" s="49"/>
      <c r="C121" s="49"/>
      <c r="D121" s="49"/>
      <c r="E121" s="49"/>
      <c r="F121" s="49"/>
      <c r="G121" s="49"/>
      <c r="H121" s="49"/>
      <c r="I121" s="49"/>
      <c r="J121" s="49"/>
      <c r="K121" s="49"/>
      <c r="L121" s="49"/>
      <c r="M121" s="49"/>
      <c r="N121" s="49"/>
      <c r="O121" s="49"/>
      <c r="P121" s="49"/>
      <c r="Q121" s="49"/>
      <c r="R121" s="49"/>
      <c r="S121" s="49"/>
      <c r="T121" s="49"/>
      <c r="U121" s="49"/>
      <c r="V121" s="49"/>
    </row>
    <row r="123" spans="2:22" ht="15" customHeight="1" x14ac:dyDescent="0.2">
      <c r="B123" s="3" t="s">
        <v>45</v>
      </c>
      <c r="M123" s="25"/>
      <c r="N123" s="25"/>
      <c r="O123" s="25"/>
    </row>
    <row r="124" spans="2:22" ht="15" customHeight="1" x14ac:dyDescent="0.2">
      <c r="B124" s="49" t="str">
        <f>'Event Tree Input'!A125</f>
        <v>Node 8 Callout</v>
      </c>
      <c r="C124" s="49"/>
      <c r="D124" s="49"/>
      <c r="E124" s="49"/>
      <c r="F124" s="49"/>
      <c r="G124" s="49"/>
      <c r="H124" s="49"/>
      <c r="I124" s="49"/>
      <c r="J124" s="49"/>
      <c r="K124" s="49"/>
      <c r="L124" s="49"/>
      <c r="M124" s="49"/>
      <c r="N124" s="49"/>
      <c r="O124" s="49"/>
      <c r="P124" s="49"/>
      <c r="Q124" s="49"/>
      <c r="R124" s="49"/>
      <c r="S124" s="49"/>
      <c r="T124" s="49"/>
      <c r="U124" s="49"/>
      <c r="V124" s="49"/>
    </row>
    <row r="125" spans="2:22" ht="15" customHeight="1" x14ac:dyDescent="0.2">
      <c r="B125" s="49"/>
      <c r="C125" s="49"/>
      <c r="D125" s="49"/>
      <c r="E125" s="49"/>
      <c r="F125" s="49"/>
      <c r="G125" s="49"/>
      <c r="H125" s="49"/>
      <c r="I125" s="49"/>
      <c r="J125" s="49"/>
      <c r="K125" s="49"/>
      <c r="L125" s="49"/>
      <c r="M125" s="49"/>
      <c r="N125" s="49"/>
      <c r="O125" s="49"/>
      <c r="P125" s="49"/>
      <c r="Q125" s="49"/>
      <c r="R125" s="49"/>
      <c r="S125" s="49"/>
      <c r="T125" s="49"/>
      <c r="U125" s="49"/>
      <c r="V125" s="49"/>
    </row>
    <row r="126" spans="2:22" ht="15" customHeight="1" x14ac:dyDescent="0.2">
      <c r="B126" s="49"/>
      <c r="C126" s="49"/>
      <c r="D126" s="49"/>
      <c r="E126" s="49"/>
      <c r="F126" s="49"/>
      <c r="G126" s="49"/>
      <c r="H126" s="49"/>
      <c r="I126" s="49"/>
      <c r="J126" s="49"/>
      <c r="K126" s="49"/>
      <c r="L126" s="49"/>
      <c r="M126" s="49"/>
      <c r="N126" s="49"/>
      <c r="O126" s="49"/>
      <c r="P126" s="49"/>
      <c r="Q126" s="49"/>
      <c r="R126" s="49"/>
      <c r="S126" s="49"/>
      <c r="T126" s="49"/>
      <c r="U126" s="49"/>
      <c r="V126" s="49"/>
    </row>
    <row r="127" spans="2:22" ht="15" customHeight="1" x14ac:dyDescent="0.2">
      <c r="B127" s="49"/>
      <c r="C127" s="49"/>
      <c r="D127" s="49"/>
      <c r="E127" s="49"/>
      <c r="F127" s="49"/>
      <c r="G127" s="49"/>
      <c r="H127" s="49"/>
      <c r="I127" s="49"/>
      <c r="J127" s="49"/>
      <c r="K127" s="49"/>
      <c r="L127" s="49"/>
      <c r="M127" s="49"/>
      <c r="N127" s="49"/>
      <c r="O127" s="49"/>
      <c r="P127" s="49"/>
      <c r="Q127" s="49"/>
      <c r="R127" s="49"/>
      <c r="S127" s="49"/>
      <c r="T127" s="49"/>
      <c r="U127" s="49"/>
      <c r="V127" s="49"/>
    </row>
    <row r="128" spans="2:22" ht="15" customHeight="1" x14ac:dyDescent="0.2">
      <c r="B128" s="49"/>
      <c r="C128" s="49"/>
      <c r="D128" s="49"/>
      <c r="E128" s="49"/>
      <c r="F128" s="49"/>
      <c r="G128" s="49"/>
      <c r="H128" s="49"/>
      <c r="I128" s="49"/>
      <c r="J128" s="49"/>
      <c r="K128" s="49"/>
      <c r="L128" s="49"/>
      <c r="M128" s="49"/>
      <c r="N128" s="49"/>
      <c r="O128" s="49"/>
      <c r="P128" s="49"/>
      <c r="Q128" s="49"/>
      <c r="R128" s="49"/>
      <c r="S128" s="49"/>
      <c r="T128" s="49"/>
      <c r="U128" s="49"/>
      <c r="V128" s="49"/>
    </row>
    <row r="129" spans="2:22" ht="15" customHeight="1" x14ac:dyDescent="0.2">
      <c r="B129" s="49"/>
      <c r="C129" s="49"/>
      <c r="D129" s="49"/>
      <c r="E129" s="49"/>
      <c r="F129" s="49"/>
      <c r="G129" s="49"/>
      <c r="H129" s="49"/>
      <c r="I129" s="49"/>
      <c r="J129" s="49"/>
      <c r="K129" s="49"/>
      <c r="L129" s="49"/>
      <c r="M129" s="49"/>
      <c r="N129" s="49"/>
      <c r="O129" s="49"/>
      <c r="P129" s="49"/>
      <c r="Q129" s="49"/>
      <c r="R129" s="49"/>
      <c r="S129" s="49"/>
      <c r="T129" s="49"/>
      <c r="U129" s="49"/>
      <c r="V129" s="49"/>
    </row>
    <row r="131" spans="2:22" ht="15" customHeight="1" x14ac:dyDescent="0.2">
      <c r="B131" s="3" t="s">
        <v>46</v>
      </c>
      <c r="M131" s="25"/>
      <c r="N131" s="25"/>
      <c r="O131" s="25"/>
    </row>
    <row r="132" spans="2:22" ht="15" customHeight="1" x14ac:dyDescent="0.2">
      <c r="B132" s="49" t="str">
        <f>'Event Tree Input'!A139</f>
        <v>Node 9 Callout</v>
      </c>
      <c r="C132" s="49"/>
      <c r="D132" s="49"/>
      <c r="E132" s="49"/>
      <c r="F132" s="49"/>
      <c r="G132" s="49"/>
      <c r="H132" s="49"/>
      <c r="I132" s="49"/>
      <c r="J132" s="49"/>
      <c r="K132" s="49"/>
      <c r="L132" s="49"/>
      <c r="M132" s="49"/>
      <c r="N132" s="49"/>
      <c r="O132" s="49"/>
      <c r="P132" s="49"/>
      <c r="Q132" s="49"/>
      <c r="R132" s="49"/>
      <c r="S132" s="49"/>
      <c r="T132" s="49"/>
      <c r="U132" s="49"/>
      <c r="V132" s="49"/>
    </row>
    <row r="133" spans="2:22" ht="15" customHeight="1" x14ac:dyDescent="0.2">
      <c r="B133" s="49"/>
      <c r="C133" s="49"/>
      <c r="D133" s="49"/>
      <c r="E133" s="49"/>
      <c r="F133" s="49"/>
      <c r="G133" s="49"/>
      <c r="H133" s="49"/>
      <c r="I133" s="49"/>
      <c r="J133" s="49"/>
      <c r="K133" s="49"/>
      <c r="L133" s="49"/>
      <c r="M133" s="49"/>
      <c r="N133" s="49"/>
      <c r="O133" s="49"/>
      <c r="P133" s="49"/>
      <c r="Q133" s="49"/>
      <c r="R133" s="49"/>
      <c r="S133" s="49"/>
      <c r="T133" s="49"/>
      <c r="U133" s="49"/>
      <c r="V133" s="49"/>
    </row>
    <row r="134" spans="2:22" ht="15" customHeight="1" x14ac:dyDescent="0.2">
      <c r="B134" s="49"/>
      <c r="C134" s="49"/>
      <c r="D134" s="49"/>
      <c r="E134" s="49"/>
      <c r="F134" s="49"/>
      <c r="G134" s="49"/>
      <c r="H134" s="49"/>
      <c r="I134" s="49"/>
      <c r="J134" s="49"/>
      <c r="K134" s="49"/>
      <c r="L134" s="49"/>
      <c r="M134" s="49"/>
      <c r="N134" s="49"/>
      <c r="O134" s="49"/>
      <c r="P134" s="49"/>
      <c r="Q134" s="49"/>
      <c r="R134" s="49"/>
      <c r="S134" s="49"/>
      <c r="T134" s="49"/>
      <c r="U134" s="49"/>
      <c r="V134" s="49"/>
    </row>
    <row r="135" spans="2:22" ht="15" customHeight="1" x14ac:dyDescent="0.2">
      <c r="B135" s="49"/>
      <c r="C135" s="49"/>
      <c r="D135" s="49"/>
      <c r="E135" s="49"/>
      <c r="F135" s="49"/>
      <c r="G135" s="49"/>
      <c r="H135" s="49"/>
      <c r="I135" s="49"/>
      <c r="J135" s="49"/>
      <c r="K135" s="49"/>
      <c r="L135" s="49"/>
      <c r="M135" s="49"/>
      <c r="N135" s="49"/>
      <c r="O135" s="49"/>
      <c r="P135" s="49"/>
      <c r="Q135" s="49"/>
      <c r="R135" s="49"/>
      <c r="S135" s="49"/>
      <c r="T135" s="49"/>
      <c r="U135" s="49"/>
      <c r="V135" s="49"/>
    </row>
    <row r="136" spans="2:22" ht="15" customHeight="1" x14ac:dyDescent="0.2">
      <c r="B136" s="49"/>
      <c r="C136" s="49"/>
      <c r="D136" s="49"/>
      <c r="E136" s="49"/>
      <c r="F136" s="49"/>
      <c r="G136" s="49"/>
      <c r="H136" s="49"/>
      <c r="I136" s="49"/>
      <c r="J136" s="49"/>
      <c r="K136" s="49"/>
      <c r="L136" s="49"/>
      <c r="M136" s="49"/>
      <c r="N136" s="49"/>
      <c r="O136" s="49"/>
      <c r="P136" s="49"/>
      <c r="Q136" s="49"/>
      <c r="R136" s="49"/>
      <c r="S136" s="49"/>
      <c r="T136" s="49"/>
      <c r="U136" s="49"/>
      <c r="V136" s="49"/>
    </row>
    <row r="137" spans="2:22" ht="15" customHeight="1" x14ac:dyDescent="0.2">
      <c r="B137" s="49"/>
      <c r="C137" s="49"/>
      <c r="D137" s="49"/>
      <c r="E137" s="49"/>
      <c r="F137" s="49"/>
      <c r="G137" s="49"/>
      <c r="H137" s="49"/>
      <c r="I137" s="49"/>
      <c r="J137" s="49"/>
      <c r="K137" s="49"/>
      <c r="L137" s="49"/>
      <c r="M137" s="49"/>
      <c r="N137" s="49"/>
      <c r="O137" s="49"/>
      <c r="P137" s="49"/>
      <c r="Q137" s="49"/>
      <c r="R137" s="49"/>
      <c r="S137" s="49"/>
      <c r="T137" s="49"/>
      <c r="U137" s="49"/>
      <c r="V137" s="49"/>
    </row>
  </sheetData>
  <mergeCells count="90">
    <mergeCell ref="B68:V73"/>
    <mergeCell ref="A5:CA5"/>
    <mergeCell ref="A53:CA53"/>
    <mergeCell ref="F55:G55"/>
    <mergeCell ref="A55:E55"/>
    <mergeCell ref="I60:J60"/>
    <mergeCell ref="X58:Z58"/>
    <mergeCell ref="X59:Z59"/>
    <mergeCell ref="X60:Z60"/>
    <mergeCell ref="N55:P55"/>
    <mergeCell ref="K56:M56"/>
    <mergeCell ref="N56:P56"/>
    <mergeCell ref="N57:P57"/>
    <mergeCell ref="X61:Z61"/>
    <mergeCell ref="X56:Z56"/>
    <mergeCell ref="X57:Z57"/>
    <mergeCell ref="U56:W56"/>
    <mergeCell ref="U57:W57"/>
    <mergeCell ref="I63:J63"/>
    <mergeCell ref="I64:J64"/>
    <mergeCell ref="S59:T59"/>
    <mergeCell ref="S60:T60"/>
    <mergeCell ref="S61:T61"/>
    <mergeCell ref="S62:T62"/>
    <mergeCell ref="U64:W64"/>
    <mergeCell ref="U59:W59"/>
    <mergeCell ref="U60:W60"/>
    <mergeCell ref="U61:W61"/>
    <mergeCell ref="S63:T63"/>
    <mergeCell ref="S64:T64"/>
    <mergeCell ref="U58:W58"/>
    <mergeCell ref="S58:T58"/>
    <mergeCell ref="I65:J65"/>
    <mergeCell ref="K65:M65"/>
    <mergeCell ref="K62:M62"/>
    <mergeCell ref="K63:M63"/>
    <mergeCell ref="K64:M64"/>
    <mergeCell ref="I62:J62"/>
    <mergeCell ref="S57:T57"/>
    <mergeCell ref="I36:O37"/>
    <mergeCell ref="K58:M58"/>
    <mergeCell ref="I55:J56"/>
    <mergeCell ref="N58:P58"/>
    <mergeCell ref="S56:T56"/>
    <mergeCell ref="N59:P59"/>
    <mergeCell ref="N60:P60"/>
    <mergeCell ref="N61:P61"/>
    <mergeCell ref="I61:J61"/>
    <mergeCell ref="K55:M55"/>
    <mergeCell ref="K59:M59"/>
    <mergeCell ref="K60:M60"/>
    <mergeCell ref="K61:M61"/>
    <mergeCell ref="I57:J57"/>
    <mergeCell ref="I58:J58"/>
    <mergeCell ref="I59:J59"/>
    <mergeCell ref="K57:M57"/>
    <mergeCell ref="X62:Z62"/>
    <mergeCell ref="U62:W62"/>
    <mergeCell ref="X63:Z63"/>
    <mergeCell ref="X64:Z64"/>
    <mergeCell ref="X65:Z65"/>
    <mergeCell ref="U63:W63"/>
    <mergeCell ref="S65:T65"/>
    <mergeCell ref="U65:W65"/>
    <mergeCell ref="N65:P65"/>
    <mergeCell ref="N62:P62"/>
    <mergeCell ref="N63:P63"/>
    <mergeCell ref="N64:P64"/>
    <mergeCell ref="B116:V121"/>
    <mergeCell ref="B124:V129"/>
    <mergeCell ref="B132:V137"/>
    <mergeCell ref="B76:V81"/>
    <mergeCell ref="B84:V89"/>
    <mergeCell ref="B92:V97"/>
    <mergeCell ref="B100:V105"/>
    <mergeCell ref="B108:V113"/>
    <mergeCell ref="A1:D1"/>
    <mergeCell ref="A2:D2"/>
    <mergeCell ref="A3:E3"/>
    <mergeCell ref="AF1:AH1"/>
    <mergeCell ref="AF2:AH2"/>
    <mergeCell ref="E1:AE1"/>
    <mergeCell ref="E2:AE2"/>
    <mergeCell ref="F3:CA3"/>
    <mergeCell ref="AI1:BC1"/>
    <mergeCell ref="AI2:BC2"/>
    <mergeCell ref="BF1:CA1"/>
    <mergeCell ref="BF2:CA2"/>
    <mergeCell ref="BD1:BE1"/>
    <mergeCell ref="BD2:BE2"/>
  </mergeCells>
  <pageMargins left="0.7" right="0.7" top="0.75" bottom="0.75" header="0.3" footer="0.3"/>
  <pageSetup scale="51" orientation="landscape" r:id="rId1"/>
  <headerFooter>
    <oddFooter>&amp;LRMC Event Tree Toolbox
&amp;A&amp;RVersion 2.0
Page &amp;P of &amp;N</oddFooter>
  </headerFooter>
  <colBreaks count="1" manualBreakCount="1">
    <brk id="79" max="1048575" man="1"/>
  </colBreak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" id="{2D9AB60F-178B-442E-95B0-3E8070E32E69}">
            <xm:f>'Event Tree Input'!$D$11&lt;9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BT12:BZ12 BT19:BZ19 BT13:BU13 BT14:BT18</xm:sqref>
        </x14:conditionalFormatting>
        <x14:conditionalFormatting xmlns:xm="http://schemas.microsoft.com/office/excel/2006/main">
          <x14:cfRule type="expression" priority="8" id="{95993CE9-E0BC-4C66-ADF2-5585FC697679}">
            <xm:f>'Event Tree Input'!$D$11&lt;8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BM15:BS15 BM22:BS22 BM16:BN16 BM17:BM21</xm:sqref>
        </x14:conditionalFormatting>
        <x14:conditionalFormatting xmlns:xm="http://schemas.microsoft.com/office/excel/2006/main">
          <x14:cfRule type="expression" priority="7" id="{471E27D4-AA9E-4E48-A209-383647B92C70}">
            <xm:f>'Event Tree Input'!$D$11&lt;7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BF18:BL18 BF25:BL25 BF19:BG19 BF20:BF24</xm:sqref>
        </x14:conditionalFormatting>
        <x14:conditionalFormatting xmlns:xm="http://schemas.microsoft.com/office/excel/2006/main">
          <x14:cfRule type="expression" priority="6" id="{86118574-C779-4D54-A418-76053363427F}">
            <xm:f>'Event Tree Input'!$D$11&lt;6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AY21:BE21 AY28:BE28 AY22:AZ22 AY23:AY27</xm:sqref>
        </x14:conditionalFormatting>
        <x14:conditionalFormatting xmlns:xm="http://schemas.microsoft.com/office/excel/2006/main">
          <x14:cfRule type="expression" priority="5" id="{DDE9C9C1-D1BA-40B4-B77B-5CBED1EB305D}">
            <xm:f>'Event Tree Input'!$D$11&lt;5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AR24:AX24 AR31:AX31 AR25:AS25 AR26:AR30</xm:sqref>
        </x14:conditionalFormatting>
        <x14:conditionalFormatting xmlns:xm="http://schemas.microsoft.com/office/excel/2006/main">
          <x14:cfRule type="expression" priority="4" id="{7747D35C-F5F4-4212-A851-AB1C2710FACD}">
            <xm:f>'Event Tree Input'!$D$11&lt;4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AK27:AQ27 AK34:AQ34 AK28:AL28 AK29:AK33</xm:sqref>
        </x14:conditionalFormatting>
        <x14:conditionalFormatting xmlns:xm="http://schemas.microsoft.com/office/excel/2006/main">
          <x14:cfRule type="expression" priority="3" id="{C28095E2-94F4-4F41-81FD-EA8881CF7778}">
            <xm:f>'Event Tree Input'!$D$11&lt;3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AD30:AJ30 AD37:AJ37 AD31:AE31 AD32:AD36</xm:sqref>
        </x14:conditionalFormatting>
        <x14:conditionalFormatting xmlns:xm="http://schemas.microsoft.com/office/excel/2006/main">
          <x14:cfRule type="expression" priority="2" id="{B6CAEA3F-0270-48EB-9D71-422032B374F1}">
            <xm:f>'Event Tree Input'!$D$11&lt;2</xm:f>
            <x14:dxf>
              <border>
                <left/>
                <right/>
                <top/>
                <bottom/>
                <vertical/>
                <horizontal/>
              </border>
            </x14:dxf>
          </x14:cfRule>
          <xm:sqref>W33:AC33 W40:AC40 W34:X34 W35:W39</xm:sqref>
        </x14:conditionalFormatting>
        <x14:conditionalFormatting xmlns:xm="http://schemas.microsoft.com/office/excel/2006/main">
          <x14:cfRule type="expression" priority="1" id="{191CA392-050A-4C26-B51D-6604DA129D01}">
            <xm:f>'Event Tree Input'!$D$9="Seismic Hazard"</xm:f>
            <x14:dxf>
              <border>
                <bottom style="thin">
                  <color auto="1"/>
                </bottom>
                <vertical/>
                <horizontal/>
              </border>
            </x14:dxf>
          </x14:cfRule>
          <xm:sqref>B39:H39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B515CE58CCC084B9B0D7D44A2856994" ma:contentTypeVersion="12" ma:contentTypeDescription="Create a new document." ma:contentTypeScope="" ma:versionID="d2543f712e0ed1af8746cdf893a8a22f">
  <xsd:schema xmlns:xsd="http://www.w3.org/2001/XMLSchema" xmlns:xs="http://www.w3.org/2001/XMLSchema" xmlns:p="http://schemas.microsoft.com/office/2006/metadata/properties" xmlns:ns2="a8f80ecd-cddb-46c8-b263-c25672b580c6" xmlns:ns3="f254aa9d-3c64-433e-b325-d6b94ca3f691" targetNamespace="http://schemas.microsoft.com/office/2006/metadata/properties" ma:root="true" ma:fieldsID="c481794d4b9cd37425e238fb465338ec" ns2:_="" ns3:_="">
    <xsd:import namespace="a8f80ecd-cddb-46c8-b263-c25672b580c6"/>
    <xsd:import namespace="f254aa9d-3c64-433e-b325-d6b94ca3f69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8f80ecd-cddb-46c8-b263-c25672b580c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2e6c1609-49e0-4fdc-8f5b-8b798a96913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9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54aa9d-3c64-433e-b325-d6b94ca3f691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99d0da03-2ec3-470f-a982-0c6ddb9b30b7}" ma:internalName="TaxCatchAll" ma:showField="CatchAllData" ma:web="f254aa9d-3c64-433e-b325-d6b94ca3f69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254aa9d-3c64-433e-b325-d6b94ca3f691" xsi:nil="true"/>
    <lcf76f155ced4ddcb4097134ff3c332f xmlns="a8f80ecd-cddb-46c8-b263-c25672b580c6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7832F541-EDE6-4216-BC69-C5795C30E11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8f80ecd-cddb-46c8-b263-c25672b580c6"/>
    <ds:schemaRef ds:uri="f254aa9d-3c64-433e-b325-d6b94ca3f69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0338E20-2201-4AA2-B474-CD4DDB1078CE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86E6EF2-DECA-4E4B-A839-3A6BB79AFC04}">
  <ds:schemaRefs>
    <ds:schemaRef ds:uri="http://purl.org/dc/elements/1.1/"/>
    <ds:schemaRef ds:uri="http://purl.org/dc/dcmitype/"/>
    <ds:schemaRef ds:uri="http://schemas.microsoft.com/office/2006/metadata/properties"/>
    <ds:schemaRef ds:uri="http://schemas.microsoft.com/office/2006/documentManagement/types"/>
    <ds:schemaRef ds:uri="f254aa9d-3c64-433e-b325-d6b94ca3f691"/>
    <ds:schemaRef ds:uri="http://schemas.openxmlformats.org/package/2006/metadata/core-properties"/>
    <ds:schemaRef ds:uri="a8f80ecd-cddb-46c8-b263-c25672b580c6"/>
    <ds:schemaRef ds:uri="http://purl.org/dc/terms/"/>
    <ds:schemaRef ds:uri="http://schemas.microsoft.com/office/infopath/2007/PartnerControl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49</vt:i4>
      </vt:variant>
    </vt:vector>
  </HeadingPairs>
  <TitlesOfParts>
    <vt:vector size="51" baseType="lpstr">
      <vt:lpstr>Event Tree Input</vt:lpstr>
      <vt:lpstr>Event Tree</vt:lpstr>
      <vt:lpstr>Callouts</vt:lpstr>
      <vt:lpstr>N1B1Shape</vt:lpstr>
      <vt:lpstr>N1B2Shape</vt:lpstr>
      <vt:lpstr>N1Call</vt:lpstr>
      <vt:lpstr>N1CallText</vt:lpstr>
      <vt:lpstr>N1Name</vt:lpstr>
      <vt:lpstr>N2B1Shape</vt:lpstr>
      <vt:lpstr>N2B2Shape</vt:lpstr>
      <vt:lpstr>N2Call</vt:lpstr>
      <vt:lpstr>N2CallText</vt:lpstr>
      <vt:lpstr>N2Name</vt:lpstr>
      <vt:lpstr>N3B1Shape</vt:lpstr>
      <vt:lpstr>N3B2Shape</vt:lpstr>
      <vt:lpstr>N3Call</vt:lpstr>
      <vt:lpstr>N3CallText</vt:lpstr>
      <vt:lpstr>N3Name</vt:lpstr>
      <vt:lpstr>N4B1Shape</vt:lpstr>
      <vt:lpstr>N4B2Shape</vt:lpstr>
      <vt:lpstr>N4Call</vt:lpstr>
      <vt:lpstr>N4CallText</vt:lpstr>
      <vt:lpstr>N4Name</vt:lpstr>
      <vt:lpstr>N5B1Shape</vt:lpstr>
      <vt:lpstr>N5B2Shape</vt:lpstr>
      <vt:lpstr>N5Call</vt:lpstr>
      <vt:lpstr>N5CallText</vt:lpstr>
      <vt:lpstr>N5Name</vt:lpstr>
      <vt:lpstr>N6B1Shape</vt:lpstr>
      <vt:lpstr>N6B2Shape</vt:lpstr>
      <vt:lpstr>N6Call</vt:lpstr>
      <vt:lpstr>N6CallText</vt:lpstr>
      <vt:lpstr>N6Name</vt:lpstr>
      <vt:lpstr>N7B1Shape</vt:lpstr>
      <vt:lpstr>N7B2Shape</vt:lpstr>
      <vt:lpstr>N7Call</vt:lpstr>
      <vt:lpstr>N7CallText</vt:lpstr>
      <vt:lpstr>N7Name</vt:lpstr>
      <vt:lpstr>N8B1Shape</vt:lpstr>
      <vt:lpstr>N8B2Shape</vt:lpstr>
      <vt:lpstr>N8Call</vt:lpstr>
      <vt:lpstr>N8CallText</vt:lpstr>
      <vt:lpstr>N8Name</vt:lpstr>
      <vt:lpstr>N9B1Shape</vt:lpstr>
      <vt:lpstr>N9B2Shape</vt:lpstr>
      <vt:lpstr>N9Call</vt:lpstr>
      <vt:lpstr>N9CallText</vt:lpstr>
      <vt:lpstr>N9Name</vt:lpstr>
      <vt:lpstr>'Event Tree'!Print_Area</vt:lpstr>
      <vt:lpstr>'Event Tree Input'!Print_Area</vt:lpstr>
      <vt:lpstr>SeismicLoad</vt:lpstr>
    </vt:vector>
  </TitlesOfParts>
  <Company>USACE Risk Management Center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RMC Event Tree Toolbox</dc:title>
  <dc:subject>RMC Risk Calculations Suite</dc:subject>
  <dc:creator>Adam C. Gohs, P.E.</dc:creator>
  <cp:lastModifiedBy>USACE Risk Management Center</cp:lastModifiedBy>
  <cp:lastPrinted>2023-12-07T21:31:15Z</cp:lastPrinted>
  <dcterms:created xsi:type="dcterms:W3CDTF">2016-11-03T19:42:04Z</dcterms:created>
  <dcterms:modified xsi:type="dcterms:W3CDTF">2025-09-03T01:54:32Z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0x0101003B515CE58CCC084B9B0D7D44A2856994</vt:lpwstr>
  </property>
  <property fmtid="{D5CDD505-2E9C-101B-9397-08002B2CF9AE}" pid="3" name="MediaServiceImageTags">
    <vt:lpwstr/>
  </property>
</Properties>
</file>