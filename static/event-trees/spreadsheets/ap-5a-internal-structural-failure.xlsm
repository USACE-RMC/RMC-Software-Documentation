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50F9AAE3-E8D1-4C34-B5CA-56E8299A785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<sst xmlns="http://schemas.openxmlformats.org/spreadsheetml/2006/main" count="118" uniqueCount="60">
  <si>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</si>
  <si>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</si>
  <si>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</si>
  <si>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</si>
  <si>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</si>
  <si>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</si>
  <si>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</si>
  <si>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</si>
  <si>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</si>
  <si>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</si>
  <si>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</si>
  <si>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</si>
  <si>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</si>
  <si>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</si>
  <si>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</si>
  <si>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</si>
  <si>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</si>
  <si>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</si>
  <si>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</si>
  <si>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</si>
  <si>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</si>
  <si>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</si>
  <si>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</si>
  <si>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</si>
  <si>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</si>
  <si>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</si>
  <si>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</si>
  <si>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</si>
  <si>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</si>
  <si>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</si>
  <si>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</si>
  <si>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</si>
  <si>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</si>
  <si>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</si>
  <si>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</si>
  <si>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</si>
  <si>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</si>
  <si>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</si>
  <si>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</si>
  <si>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</si>
  <si>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</si>
  <si>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</si>
  <si>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</si>
  <si>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</si>
  <si>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</si>
  <si>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</si>
  <si>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</si>
  <si>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</si>
  <si>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</si>
  <si>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</si>
  <si>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</si>
  <si>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</si>
  <si>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</si>
  <si>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</si>
  <si>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</si>
  <si>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Changes in driving or resisting forces cause increased internal moment and shear in the sheet pile?</t>
  </si>
  <si>
    <t>Pile section has inadequate section properties and a plastic hinge forms in the steel pile?</t>
  </si>
  <si>
    <t>Excessive deflection of the pile occurs?</t>
  </si>
  <si>
    <t>The pile fractures or the anchor connection fails?</t>
  </si>
  <si>
    <t>Without the support of the pile or anchor, the wall collapses?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</si>
</sst>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600075</xdr:colOff>
      <xdr:row>17</xdr:row>
      <xdr:rowOff>78639</xdr:rowOff>
    </xdr:from>
    <xdr:to>
      <xdr:col>19</xdr:col>
      <xdr:colOff>144256</xdr:colOff>
      <xdr:row>52</xdr:row>
      <xdr:rowOff>48526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5E86AD-24F0-F36B-A325-755D31179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9875" y="2831364"/>
          <a:ext cx="7821406" cy="51038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increased internal moment and shear in the sheet pile?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Pile section has inadequate section properties and a plastic hinge forms in the steel pile?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Excessive deflection of the pile occurs?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pile fractures or the anchor connection fails?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Without the support of the pile or anchor, the wall collapses?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54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55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/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56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/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57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/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58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/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/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59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/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/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/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/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/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/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3" priority="69">
      <formula>$D$9="Seismic Hazard"</formula>
    </cfRule>
    <cfRule type="expression" dxfId="22" priority="70">
      <formula>$D$9="Hydrologic Hazard"</formula>
    </cfRule>
  </conditionalFormatting>
  <conditionalFormatting sqref="A32:H45">
    <cfRule type="expression" dxfId="21" priority="18" stopIfTrue="1">
      <formula>$D$11&lt;2</formula>
    </cfRule>
  </conditionalFormatting>
  <conditionalFormatting sqref="A110:H114 A138:H142 A40:H44 A54:H58 A68:H72 A82:H86 A96:H100 A124:H128 A26:H30">
    <cfRule type="expression" dxfId="20" priority="4" stopIfTrue="1">
      <formula>$D$14="No"</formula>
    </cfRule>
  </conditionalFormatting>
  <conditionalFormatting sqref="A46:H51 A53:H59">
    <cfRule type="expression" dxfId="19" priority="16" stopIfTrue="1">
      <formula>$D$11&lt;3</formula>
    </cfRule>
  </conditionalFormatting>
  <conditionalFormatting sqref="A60:H65 A67:H73">
    <cfRule type="expression" dxfId="18" priority="14" stopIfTrue="1">
      <formula>$D$11&lt;4</formula>
    </cfRule>
  </conditionalFormatting>
  <conditionalFormatting sqref="A74:H87">
    <cfRule type="expression" dxfId="17" priority="11" stopIfTrue="1">
      <formula>$D$11&lt;5</formula>
    </cfRule>
  </conditionalFormatting>
  <conditionalFormatting sqref="A88:H101">
    <cfRule type="expression" dxfId="16" priority="9" stopIfTrue="1">
      <formula>$D$11&lt;6</formula>
    </cfRule>
  </conditionalFormatting>
  <conditionalFormatting sqref="A102:H115">
    <cfRule type="expression" dxfId="15" priority="10" stopIfTrue="1">
      <formula>$D$11&lt;7</formula>
    </cfRule>
  </conditionalFormatting>
  <conditionalFormatting sqref="A116:H129">
    <cfRule type="expression" dxfId="14" priority="5" stopIfTrue="1">
      <formula>$D$11&lt;8</formula>
    </cfRule>
  </conditionalFormatting>
  <conditionalFormatting sqref="A130:H143">
    <cfRule type="expression" dxfId="13" priority="3" stopIfTrue="1">
      <formula>$D$11&lt;9</formula>
    </cfRule>
  </conditionalFormatting>
  <conditionalFormatting sqref="A20:H21 A34:H35 A48:H49 A62:H63 A76:H77 A90:H91 A104:H105 A118:H119 A132:H133">
    <cfRule type="expression" dxfId="12" priority="24">
      <formula>$D$13="No"</formula>
    </cfRule>
  </conditionalFormatting>
  <conditionalFormatting sqref="A27:H30">
    <cfRule type="expression" dxfId="11" priority="20" stopIfTrue="1">
      <formula>$D$11&lt;2</formula>
    </cfRule>
  </conditionalFormatting>
  <conditionalFormatting sqref="A52:H52">
    <cfRule type="expression" dxfId="10" priority="2" stopIfTrue="1">
      <formula>$D$11&lt;2</formula>
    </cfRule>
  </conditionalFormatting>
  <conditionalFormatting sqref="A66:H66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51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Triangle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/>
      </c>
      <c r="L63" s="50"/>
      <c r="M63" s="50"/>
      <c r="N63" s="50" t="str">
        <f>'Event Tree Input'!C164</f>
        <v/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37</v>
      </c>
      <c r="M67" s="25"/>
      <c r="N67" s="25"/>
      <c r="O67" s="25"/>
    </row>
    <row r="68" spans="2:26" ht="15" customHeight="1" x14ac:dyDescent="0.2">
      <c r="B68" s="49">
        <f>'Event Tree Input'!A27</f>
        <v>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38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>
        <f>'Event Tree Input'!A41</f>
        <v>0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39</v>
      </c>
      <c r="M83" s="25"/>
      <c r="N83" s="25"/>
      <c r="O83" s="25"/>
    </row>
    <row r="84" spans="2:24" ht="15" customHeight="1" x14ac:dyDescent="0.2">
      <c r="B84" s="49">
        <f>'Event Tree Input'!A55</f>
        <v>0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40</v>
      </c>
      <c r="M91" s="25"/>
      <c r="N91" s="25"/>
      <c r="O91" s="25"/>
    </row>
    <row r="92" spans="2:24" ht="15" customHeight="1" x14ac:dyDescent="0.2">
      <c r="B92" s="49">
        <f>'Event Tree Input'!A69</f>
        <v>0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41</v>
      </c>
      <c r="M99" s="25"/>
      <c r="N99" s="25"/>
      <c r="O99" s="25"/>
    </row>
    <row r="100" spans="2:22" ht="15" customHeight="1" x14ac:dyDescent="0.2">
      <c r="B100" s="49">
        <f>'Event Tree Input'!A83</f>
        <v>0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42</v>
      </c>
      <c r="M107" s="25"/>
      <c r="N107" s="25"/>
      <c r="O107" s="25"/>
    </row>
    <row r="108" spans="2:22" ht="15" customHeight="1" x14ac:dyDescent="0.2">
      <c r="B108" s="49">
        <f>'Event Tree Input'!A97</f>
        <v>0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43</v>
      </c>
      <c r="M115" s="25"/>
      <c r="N115" s="25"/>
      <c r="O115" s="25"/>
    </row>
    <row r="116" spans="2:22" ht="15" customHeight="1" x14ac:dyDescent="0.2">
      <c r="B116" s="49">
        <f>'Event Tree Input'!A111</f>
        <v>0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44</v>
      </c>
      <c r="M123" s="25"/>
      <c r="N123" s="25"/>
      <c r="O123" s="25"/>
    </row>
    <row r="124" spans="2:22" ht="15" customHeight="1" x14ac:dyDescent="0.2">
      <c r="B124" s="49">
        <f>'Event Tree Input'!A125</f>
        <v>0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45</v>
      </c>
      <c r="M131" s="25"/>
      <c r="N131" s="25"/>
      <c r="O131" s="25"/>
    </row>
    <row r="132" spans="2:22" ht="15" customHeight="1" x14ac:dyDescent="0.2">
      <c r="B132" s="49">
        <f>'Event Tree Input'!A139</f>
        <v>0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9AA487-ADA0-418D-968C-8FA7FF44B8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932028-5215-47DF-BF14-1DFBBD92A2E2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a8f80ecd-cddb-46c8-b263-c25672b580c6"/>
    <ds:schemaRef ds:uri="http://www.w3.org/XML/1998/namespace"/>
    <ds:schemaRef ds:uri="http://purl.org/dc/dcmitype/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C7E4DE98-C06E-4FEF-87C4-7639B2F2DA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