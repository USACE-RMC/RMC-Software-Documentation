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549EE552-F803-49E3-9A67-AF257E597A12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<sst xmlns="http://schemas.openxmlformats.org/spreadsheetml/2006/main" count="139" uniqueCount="72">
  <si>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</si>
  <si>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</si>
  <si>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</si>
  <si>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</si>
  <si>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</si>
  <si>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</si>
  <si>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</si>
  <si>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</si>
  <si>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</si>
  <si>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</si>
  <si>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</si>
  <si>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</si>
  <si>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</si>
  <si>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</si>
  <si>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</si>
  <si>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</si>
  <si>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</si>
  <si>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</si>
  <si>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</si>
  <si>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</si>
  <si>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</si>
  <si>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</si>
  <si>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</si>
  <si>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</si>
  <si>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</si>
  <si>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</si>
  <si>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</si>
  <si>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</si>
  <si>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</si>
  <si>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</si>
  <si>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</si>
  <si>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</si>
  <si>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</si>
  <si>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</si>
  <si>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</si>
  <si>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</si>
  <si>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</si>
  <si>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</si>
  <si>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</si>
  <si>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</si>
  <si>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</si>
  <si>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</si>
  <si>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</si>
  <si>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</si>
  <si>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</si>
  <si>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</si>
  <si>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</si>
  <si>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</si>
  <si>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</si>
  <si>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</si>
  <si>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</si>
  <si>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</si>
  <si>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</si>
  <si>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</si>
  <si>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</si>
  <si>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</si>
  <si>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</si>
  <si>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</si>
  <si>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</si>
  <si>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</si>
  <si>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</si>
  <si>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</si>
  <si>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</si>
  <si>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Initiation</t>
  </si>
  <si>
    <t>Sufficient hydraulic shear stress exists to initiate erosion in the crack?</t>
  </si>
  <si>
    <t>Progression: Crack Stability</t>
  </si>
  <si>
    <t>Continuous stable roof forms over the crack or stable sidewalls are maintained along the crack?</t>
  </si>
  <si>
    <t>Progression: Flow Limitation</t>
  </si>
  <si>
    <t>Upstream zones fail to limit flows into the crack?</t>
  </si>
  <si>
    <t>Progression: Crack Filling</t>
  </si>
  <si>
    <t>Upstream zones fail to self-heal the crack?</t>
  </si>
  <si>
    <t>A transverse crack exists in the embankment adjacent to an embedded structure due to differential movement?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</si>
</sst>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1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42</xdr:col>
      <xdr:colOff>123825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144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Filling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190500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21302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transverse crack exists in the embankment adjacent to an embedded structure due to differential movement?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limit flows into the crack?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self-heal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53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 t="s">
        <v>62</v>
      </c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71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 t="s">
        <v>38</v>
      </c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 t="s">
        <v>63</v>
      </c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64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 t="s">
        <v>39</v>
      </c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 t="s">
        <v>54</v>
      </c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55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 t="s">
        <v>40</v>
      </c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 t="s">
        <v>65</v>
      </c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 t="s">
        <v>66</v>
      </c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 t="s">
        <v>41</v>
      </c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 t="s">
        <v>67</v>
      </c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 t="s">
        <v>68</v>
      </c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 t="s">
        <v>42</v>
      </c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 t="s">
        <v>69</v>
      </c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 t="s">
        <v>70</v>
      </c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 t="s">
        <v>43</v>
      </c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 t="s">
        <v>56</v>
      </c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 t="s">
        <v>57</v>
      </c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 t="s">
        <v>44</v>
      </c>
      <c r="B111" s="38"/>
      <c r="C111" s="38"/>
      <c r="D111" s="38"/>
      <c r="E111" s="38"/>
      <c r="F111" s="38"/>
      <c r="G111" s="38"/>
      <c r="H111" s="38"/>
      <c r="I111" s="8"/>
      <c r="O111" s="13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 t="s">
        <v>58</v>
      </c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 t="s">
        <v>59</v>
      </c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 t="s">
        <v>45</v>
      </c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 t="s">
        <v>35</v>
      </c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 t="s">
        <v>50</v>
      </c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 t="s">
        <v>46</v>
      </c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39" t="s">
        <v>17</v>
      </c>
      <c r="B156" s="9" t="s">
        <v>23</v>
      </c>
      <c r="C156" s="9" t="s">
        <v>24</v>
      </c>
    </row>
    <row r="157" spans="1:5" x14ac:dyDescent="0.2">
      <c r="A157" s="39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3" t="s">
        <v>8</v>
      </c>
      <c r="B1" s="43"/>
      <c r="C1" s="43"/>
      <c r="D1" s="43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5" t="s">
        <v>9</v>
      </c>
      <c r="AG1" s="45"/>
      <c r="AH1" s="45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5" t="s">
        <v>10</v>
      </c>
      <c r="BE1" s="45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3" t="s">
        <v>11</v>
      </c>
      <c r="B2" s="43"/>
      <c r="C2" s="43"/>
      <c r="D2" s="43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5" t="s">
        <v>9</v>
      </c>
      <c r="AG2" s="45"/>
      <c r="AH2" s="45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5" t="s">
        <v>10</v>
      </c>
      <c r="BE2" s="45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</row>
    <row r="3" spans="1:80" ht="15" customHeight="1" x14ac:dyDescent="0.2">
      <c r="A3" s="44" t="s">
        <v>12</v>
      </c>
      <c r="B3" s="44"/>
      <c r="C3" s="44"/>
      <c r="D3" s="44"/>
      <c r="E3" s="44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9" t="s">
        <v>25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</row>
    <row r="6" spans="1:80" ht="15" customHeight="1" x14ac:dyDescent="0.2"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</row>
    <row r="7" spans="1:80" ht="15" customHeight="1" x14ac:dyDescent="0.2"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8"/>
      <c r="AK7" s="8"/>
      <c r="AL7" s="8"/>
      <c r="AM7" s="8"/>
      <c r="AN7" s="8"/>
      <c r="AO7" s="8"/>
      <c r="AP7" s="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7"/>
      <c r="CB7" s="8" t="s">
        <v>47</v>
      </c>
    </row>
    <row r="8" spans="1:80" ht="15" customHeight="1" x14ac:dyDescent="0.2"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8"/>
      <c r="AK8" s="8"/>
      <c r="AL8" s="8"/>
      <c r="AM8" s="8"/>
      <c r="AN8" s="8"/>
      <c r="AO8" s="8"/>
      <c r="AP8" s="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7"/>
    </row>
    <row r="9" spans="1:80" ht="15" customHeight="1" x14ac:dyDescent="0.2"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8"/>
      <c r="AK9" s="8"/>
      <c r="AL9" s="8"/>
      <c r="AM9" s="8"/>
      <c r="AN9" s="8"/>
      <c r="AO9" s="8"/>
      <c r="AP9" s="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9"/>
      <c r="BU9" s="29"/>
      <c r="BV9" s="29"/>
      <c r="BW9" s="29"/>
      <c r="BX9" s="29"/>
      <c r="BY9" s="29"/>
      <c r="BZ9" s="29"/>
      <c r="CA9" s="27"/>
      <c r="CB9" s="8" t="s">
        <v>52</v>
      </c>
    </row>
    <row r="10" spans="1:80" ht="15" customHeight="1" x14ac:dyDescent="0.2"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8"/>
      <c r="AK10" s="8"/>
      <c r="AL10" s="8"/>
      <c r="AM10" s="8"/>
      <c r="AN10" s="8"/>
      <c r="AO10" s="8"/>
      <c r="AP10" s="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9"/>
      <c r="BU10" s="29"/>
      <c r="BV10" s="29"/>
      <c r="BW10" s="29"/>
      <c r="BX10" s="29"/>
      <c r="BY10" s="29"/>
      <c r="BZ10" s="29"/>
      <c r="CA10" s="27"/>
    </row>
    <row r="11" spans="1:80" ht="15" customHeight="1" x14ac:dyDescent="0.2"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8"/>
      <c r="AK11" s="8"/>
      <c r="AL11" s="8"/>
      <c r="AM11" s="8"/>
      <c r="AN11" s="8"/>
      <c r="AO11" s="8"/>
      <c r="AP11" s="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8"/>
      <c r="BF11" s="8"/>
      <c r="BG11" s="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7"/>
      <c r="CA11" s="27"/>
      <c r="CB11" s="8" t="s">
        <v>51</v>
      </c>
    </row>
    <row r="12" spans="1:80" ht="15" customHeight="1" x14ac:dyDescent="0.2"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9"/>
      <c r="BN12" s="29"/>
      <c r="BO12" s="29"/>
      <c r="BP12" s="29"/>
      <c r="BQ12" s="29"/>
      <c r="BR12" s="29"/>
      <c r="BS12" s="29"/>
    </row>
    <row r="13" spans="1:80" ht="15" customHeight="1" x14ac:dyDescent="0.2">
      <c r="L13" s="30"/>
      <c r="M13" s="30"/>
      <c r="N13" s="30"/>
      <c r="O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9"/>
      <c r="BN13" s="29"/>
      <c r="BO13" s="29"/>
      <c r="BP13" s="29"/>
      <c r="BQ13" s="29"/>
      <c r="BR13" s="29"/>
      <c r="BS13" s="29"/>
      <c r="BT13" s="31"/>
      <c r="BU13" s="32"/>
      <c r="BV13" s="32"/>
      <c r="BW13" s="32"/>
      <c r="BX13" s="32"/>
      <c r="BY13" s="32"/>
      <c r="BZ13" s="32"/>
    </row>
    <row r="14" spans="1:80" ht="15" customHeight="1" x14ac:dyDescent="0.2"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T14" s="33"/>
      <c r="BU14" s="25"/>
      <c r="BV14" s="25"/>
      <c r="BW14" s="25"/>
      <c r="BX14" s="25"/>
      <c r="BY14" s="25"/>
      <c r="BZ14" s="25"/>
    </row>
    <row r="15" spans="1:80" ht="15" customHeight="1" x14ac:dyDescent="0.2"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9"/>
      <c r="BG15" s="29"/>
      <c r="BH15" s="29"/>
      <c r="BI15" s="29"/>
      <c r="BJ15" s="29"/>
      <c r="BK15" s="29"/>
      <c r="BL15" s="29"/>
      <c r="BT15" s="33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28"/>
      <c r="AR16" s="28"/>
      <c r="AS16" s="28"/>
      <c r="AT16" s="28"/>
      <c r="AU16" s="28"/>
      <c r="AV16" s="28"/>
      <c r="AW16" s="28"/>
      <c r="AY16" s="28"/>
      <c r="AZ16" s="28"/>
      <c r="BA16" s="28"/>
      <c r="BB16" s="28"/>
      <c r="BC16" s="28"/>
      <c r="BD16" s="28"/>
      <c r="BE16" s="28"/>
      <c r="BF16" s="29"/>
      <c r="BG16" s="29"/>
      <c r="BH16" s="29"/>
      <c r="BI16" s="29"/>
      <c r="BJ16" s="29"/>
      <c r="BK16" s="29"/>
      <c r="BL16" s="29"/>
      <c r="BM16" s="31"/>
      <c r="BN16" s="32"/>
      <c r="BO16" s="32"/>
      <c r="BP16" s="32"/>
      <c r="BQ16" s="32"/>
      <c r="BR16" s="32"/>
      <c r="BS16" s="32"/>
      <c r="BT16" s="33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M17" s="33"/>
      <c r="BN17" s="25"/>
      <c r="BO17" s="25"/>
      <c r="BP17" s="25"/>
      <c r="BQ17" s="25"/>
      <c r="BR17" s="25"/>
      <c r="BS17" s="25"/>
      <c r="BT17" s="33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M18" s="33"/>
      <c r="BN18" s="25"/>
      <c r="BO18" s="25"/>
      <c r="BP18" s="25"/>
      <c r="BQ18" s="25"/>
      <c r="BR18" s="25"/>
      <c r="BS18" s="25"/>
      <c r="BT18" s="34"/>
      <c r="BU18" s="35"/>
      <c r="BV18" s="35"/>
      <c r="BW18" s="35"/>
      <c r="BX18" s="35"/>
      <c r="BY18" s="35"/>
      <c r="BZ18" s="35"/>
    </row>
    <row r="19" spans="9:79" ht="15" customHeight="1" x14ac:dyDescent="0.2">
      <c r="J19" s="14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31"/>
      <c r="BG19" s="32"/>
      <c r="BH19" s="32"/>
      <c r="BI19" s="32"/>
      <c r="BJ19" s="32"/>
      <c r="BK19" s="32"/>
      <c r="BL19" s="32"/>
      <c r="BM19" s="33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F20" s="33"/>
      <c r="BG20" s="25"/>
      <c r="BH20" s="25"/>
      <c r="BI20" s="25"/>
      <c r="BJ20" s="25"/>
      <c r="BK20" s="25"/>
      <c r="BL20" s="25"/>
      <c r="BM20" s="33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25"/>
      <c r="AS21" s="25"/>
      <c r="AT21" s="25"/>
      <c r="AU21" s="25"/>
      <c r="AV21" s="25"/>
      <c r="AW21" s="25"/>
      <c r="AX21" s="25"/>
      <c r="BF21" s="33"/>
      <c r="BG21" s="25"/>
      <c r="BH21" s="25"/>
      <c r="BI21" s="25"/>
      <c r="BJ21" s="25"/>
      <c r="BK21" s="25"/>
      <c r="BL21" s="25"/>
      <c r="BM21" s="34"/>
      <c r="BN21" s="35"/>
      <c r="BO21" s="35"/>
      <c r="BP21" s="35"/>
      <c r="BQ21" s="35"/>
      <c r="BR21" s="35"/>
      <c r="BS21" s="35"/>
    </row>
    <row r="22" spans="9:79" ht="15" customHeight="1" x14ac:dyDescent="0.2"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25"/>
      <c r="AS22" s="25"/>
      <c r="AT22" s="25"/>
      <c r="AU22" s="25"/>
      <c r="AV22" s="25"/>
      <c r="AW22" s="25"/>
      <c r="AX22" s="25"/>
      <c r="AY22" s="31"/>
      <c r="AZ22" s="32"/>
      <c r="BA22" s="32"/>
      <c r="BB22" s="32"/>
      <c r="BC22" s="32"/>
      <c r="BD22" s="32"/>
      <c r="BE22" s="32"/>
      <c r="BF22" s="33"/>
      <c r="BG22" s="25"/>
      <c r="BH22" s="25"/>
      <c r="BI22" s="25"/>
      <c r="BJ22" s="25"/>
      <c r="BK22" s="25"/>
      <c r="BL22" s="25"/>
    </row>
    <row r="23" spans="9:79" ht="15" customHeight="1" x14ac:dyDescent="0.2"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Y23" s="33"/>
      <c r="AZ23" s="25"/>
      <c r="BA23" s="25"/>
      <c r="BB23" s="25"/>
      <c r="BC23" s="25"/>
      <c r="BD23" s="25"/>
      <c r="BE23" s="25"/>
      <c r="BF23" s="33"/>
      <c r="BG23" s="25"/>
      <c r="BH23" s="25"/>
      <c r="BI23" s="25"/>
      <c r="BJ23" s="25"/>
      <c r="BK23" s="25"/>
      <c r="BL23" s="25"/>
    </row>
    <row r="24" spans="9:79" ht="15" customHeight="1" x14ac:dyDescent="0.2"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25"/>
      <c r="AL24" s="25"/>
      <c r="AM24" s="25"/>
      <c r="AN24" s="25"/>
      <c r="AO24" s="25"/>
      <c r="AP24" s="25"/>
      <c r="AQ24" s="25"/>
      <c r="AY24" s="33"/>
      <c r="AZ24" s="25"/>
      <c r="BA24" s="25"/>
      <c r="BB24" s="25"/>
      <c r="BC24" s="25"/>
      <c r="BD24" s="25"/>
      <c r="BE24" s="25"/>
      <c r="BF24" s="34"/>
      <c r="BG24" s="35"/>
      <c r="BH24" s="35"/>
      <c r="BI24" s="35"/>
      <c r="BJ24" s="35"/>
      <c r="BK24" s="35"/>
      <c r="BL24" s="35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K25" s="25"/>
      <c r="AL25" s="25"/>
      <c r="AM25" s="25"/>
      <c r="AN25" s="25"/>
      <c r="AO25" s="25"/>
      <c r="AP25" s="25"/>
      <c r="AQ25" s="25"/>
      <c r="AR25" s="31"/>
      <c r="AS25" s="32"/>
      <c r="AT25" s="32"/>
      <c r="AU25" s="32"/>
      <c r="AV25" s="32"/>
      <c r="AW25" s="32"/>
      <c r="AX25" s="32"/>
      <c r="AY25" s="33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R26" s="33"/>
      <c r="AS26" s="25"/>
      <c r="AT26" s="25"/>
      <c r="AU26" s="25"/>
      <c r="AV26" s="25"/>
      <c r="AW26" s="25"/>
      <c r="AX26" s="25"/>
      <c r="AY26" s="33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25"/>
      <c r="AE27" s="25"/>
      <c r="AF27" s="25"/>
      <c r="AG27" s="25"/>
      <c r="AH27" s="25"/>
      <c r="AI27" s="25"/>
      <c r="AJ27" s="25"/>
      <c r="AK27" s="36"/>
      <c r="AL27" s="36"/>
      <c r="AM27" s="36"/>
      <c r="AN27" s="36"/>
      <c r="AO27" s="36"/>
      <c r="AP27" s="36"/>
      <c r="AQ27" s="36"/>
      <c r="AR27" s="33"/>
      <c r="AS27" s="25"/>
      <c r="AT27" s="25"/>
      <c r="AU27" s="25"/>
      <c r="AV27" s="25"/>
      <c r="AW27" s="25"/>
      <c r="AX27" s="25"/>
      <c r="AY27" s="34"/>
      <c r="AZ27" s="35"/>
      <c r="BA27" s="35"/>
      <c r="BB27" s="35"/>
      <c r="BC27" s="35"/>
      <c r="BD27" s="35"/>
      <c r="BE27" s="35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25"/>
      <c r="AE28" s="25"/>
      <c r="AF28" s="25"/>
      <c r="AG28" s="25"/>
      <c r="AH28" s="25"/>
      <c r="AI28" s="25"/>
      <c r="AJ28" s="25"/>
      <c r="AK28" s="31"/>
      <c r="AL28" s="32"/>
      <c r="AM28" s="32"/>
      <c r="AN28" s="32"/>
      <c r="AO28" s="32"/>
      <c r="AP28" s="32"/>
      <c r="AQ28" s="32"/>
      <c r="AR28" s="33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K29" s="33"/>
      <c r="AL29" s="25"/>
      <c r="AM29" s="25"/>
      <c r="AN29" s="25"/>
      <c r="AO29" s="25"/>
      <c r="AP29" s="25"/>
      <c r="AQ29" s="25"/>
      <c r="AR29" s="33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25"/>
      <c r="X30" s="25"/>
      <c r="Y30" s="25"/>
      <c r="Z30" s="25"/>
      <c r="AA30" s="25"/>
      <c r="AB30" s="25"/>
      <c r="AC30" s="25"/>
      <c r="AK30" s="33"/>
      <c r="AL30" s="25"/>
      <c r="AM30" s="25"/>
      <c r="AN30" s="25"/>
      <c r="AO30" s="25"/>
      <c r="AP30" s="25"/>
      <c r="AQ30" s="25"/>
      <c r="AR30" s="34"/>
      <c r="AS30" s="35"/>
      <c r="AT30" s="35"/>
      <c r="AU30" s="35"/>
      <c r="AV30" s="35"/>
      <c r="AW30" s="35"/>
      <c r="AX30" s="35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25"/>
      <c r="X31" s="25"/>
      <c r="Y31" s="25"/>
      <c r="Z31" s="25"/>
      <c r="AA31" s="25"/>
      <c r="AB31" s="25"/>
      <c r="AC31" s="25"/>
      <c r="AD31" s="31"/>
      <c r="AE31" s="32"/>
      <c r="AF31" s="32"/>
      <c r="AG31" s="32"/>
      <c r="AH31" s="32"/>
      <c r="AI31" s="32"/>
      <c r="AJ31" s="32"/>
      <c r="AK31" s="33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D32" s="33"/>
      <c r="AE32" s="25"/>
      <c r="AF32" s="25"/>
      <c r="AG32" s="25"/>
      <c r="AH32" s="25"/>
      <c r="AI32" s="25"/>
      <c r="AJ32" s="25"/>
      <c r="AK32" s="33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3"/>
      <c r="AE33" s="25"/>
      <c r="AF33" s="25"/>
      <c r="AG33" s="25"/>
      <c r="AH33" s="25"/>
      <c r="AI33" s="25"/>
      <c r="AJ33" s="25"/>
      <c r="AK33" s="34"/>
      <c r="AL33" s="35"/>
      <c r="AM33" s="35"/>
      <c r="AN33" s="35"/>
      <c r="AO33" s="35"/>
      <c r="AP33" s="35"/>
      <c r="AQ33" s="35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1"/>
      <c r="X34" s="32"/>
      <c r="Y34" s="32"/>
      <c r="Z34" s="32"/>
      <c r="AA34" s="32"/>
      <c r="AB34" s="32"/>
      <c r="AC34" s="32"/>
      <c r="AD34" s="33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3"/>
      <c r="X35" s="25"/>
      <c r="Y35" s="25"/>
      <c r="Z35" s="25"/>
      <c r="AA35" s="25"/>
      <c r="AB35" s="25"/>
      <c r="AC35" s="25"/>
      <c r="AD35" s="33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39" t="str">
        <f>IF('Event Tree Input'!D9="Seismic Hazard","Seismic Hazard","")</f>
        <v>Seismic Hazard</v>
      </c>
      <c r="C36" s="39"/>
      <c r="D36" s="39"/>
      <c r="E36" s="39"/>
      <c r="F36" s="39"/>
      <c r="G36" s="39"/>
      <c r="H36" s="39"/>
      <c r="I36" s="39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J36" s="39"/>
      <c r="K36" s="39"/>
      <c r="L36" s="39"/>
      <c r="M36" s="39"/>
      <c r="N36" s="39"/>
      <c r="O36" s="39"/>
      <c r="W36" s="33"/>
      <c r="X36" s="25"/>
      <c r="Y36" s="25"/>
      <c r="Z36" s="25"/>
      <c r="AA36" s="25"/>
      <c r="AB36" s="25"/>
      <c r="AC36" s="25"/>
      <c r="AD36" s="34"/>
      <c r="AE36" s="35"/>
      <c r="AF36" s="35"/>
      <c r="AG36" s="35"/>
      <c r="AH36" s="35"/>
      <c r="AI36" s="35"/>
      <c r="AJ36" s="35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1"/>
      <c r="Q37" s="32"/>
      <c r="R37" s="32"/>
      <c r="S37" s="32"/>
      <c r="T37" s="32"/>
      <c r="U37" s="32"/>
      <c r="V37" s="32"/>
      <c r="W37" s="33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3"/>
      <c r="Q38" s="25"/>
      <c r="R38" s="25"/>
      <c r="S38" s="25"/>
      <c r="T38" s="25"/>
      <c r="U38" s="25"/>
      <c r="V38" s="25"/>
      <c r="W38" s="33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6"/>
      <c r="J39" s="36"/>
      <c r="K39" s="36"/>
      <c r="L39" s="36"/>
      <c r="M39" s="36"/>
      <c r="N39" s="36"/>
      <c r="O39" s="36"/>
      <c r="P39" s="33"/>
      <c r="Q39" s="25"/>
      <c r="R39" s="25"/>
      <c r="S39" s="25"/>
      <c r="T39" s="25"/>
      <c r="U39" s="25"/>
      <c r="V39" s="25"/>
      <c r="W39" s="34"/>
      <c r="X39" s="35"/>
      <c r="Y39" s="35"/>
      <c r="Z39" s="35"/>
      <c r="AA39" s="35"/>
      <c r="AB39" s="35"/>
      <c r="AC39" s="35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3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3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4"/>
      <c r="Q42" s="35"/>
      <c r="R42" s="35"/>
      <c r="S42" s="35"/>
      <c r="T42" s="35"/>
      <c r="U42" s="35"/>
      <c r="V42" s="35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7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6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0" t="s">
        <v>19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</row>
    <row r="55" spans="1:79" ht="15" customHeight="1" x14ac:dyDescent="0.2">
      <c r="A55" s="48" t="s">
        <v>53</v>
      </c>
      <c r="B55" s="48"/>
      <c r="C55" s="48"/>
      <c r="D55" s="48"/>
      <c r="E55" s="48"/>
      <c r="F55" s="48" t="str">
        <f>IF('Event Tree Input'!D9="Seismic Hazard","Yes","No")</f>
        <v>Yes</v>
      </c>
      <c r="G55" s="48"/>
      <c r="I55" s="39" t="s">
        <v>17</v>
      </c>
      <c r="J55" s="39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39"/>
      <c r="J56" s="39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Yes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Yes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Yes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Yes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Yes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Yes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Circle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Yes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>Triangle</v>
      </c>
      <c r="L64" s="48"/>
      <c r="M64" s="48"/>
      <c r="N64" s="48" t="str">
        <f>'Event Tree Input'!C165</f>
        <v>Triangle</v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Yes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Yes</v>
      </c>
      <c r="Y65" s="48"/>
      <c r="Z65" s="48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7" t="str">
        <f>'Event Tree Input'!A27</f>
        <v>Node 1 Callout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14"/>
    </row>
    <row r="69" spans="2:26" ht="15" customHeight="1" x14ac:dyDescent="0.2"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14"/>
    </row>
    <row r="70" spans="2:26" ht="15" customHeight="1" x14ac:dyDescent="0.2"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14"/>
      <c r="X70" s="15"/>
      <c r="Y70" s="14"/>
    </row>
    <row r="71" spans="2:26" ht="15" customHeight="1" x14ac:dyDescent="0.2"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14"/>
      <c r="X71" s="15"/>
      <c r="Y71" s="14"/>
    </row>
    <row r="72" spans="2:26" ht="15" customHeight="1" x14ac:dyDescent="0.2"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14"/>
      <c r="X72" s="15"/>
      <c r="Y72" s="14"/>
    </row>
    <row r="73" spans="2:26" ht="15" customHeight="1" x14ac:dyDescent="0.2"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7" t="str">
        <f>'Event Tree Input'!A41</f>
        <v>Node 2 Callout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2:26" ht="15" customHeight="1" x14ac:dyDescent="0.2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15"/>
      <c r="X77" s="15"/>
    </row>
    <row r="78" spans="2:26" ht="15" customHeight="1" x14ac:dyDescent="0.2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15"/>
      <c r="X78" s="15"/>
    </row>
    <row r="79" spans="2:26" ht="15" customHeight="1" x14ac:dyDescent="0.2"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15"/>
      <c r="X79" s="15"/>
    </row>
    <row r="80" spans="2:26" ht="15" customHeight="1" x14ac:dyDescent="0.2"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15"/>
      <c r="X80" s="15"/>
    </row>
    <row r="81" spans="2:24" ht="15" customHeight="1" x14ac:dyDescent="0.2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7" t="str">
        <f>'Event Tree Input'!A55</f>
        <v>Node 3 Callout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2:24" ht="15" customHeight="1" x14ac:dyDescent="0.2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2:24" ht="15" customHeight="1" x14ac:dyDescent="0.2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2:24" ht="15" customHeight="1" x14ac:dyDescent="0.2"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2:24" ht="15" customHeight="1" x14ac:dyDescent="0.2"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2:24" ht="15" customHeight="1" x14ac:dyDescent="0.2"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7" t="str">
        <f>'Event Tree Input'!A69</f>
        <v>Node 4 Callout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2:24" ht="15" customHeight="1" x14ac:dyDescent="0.2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2:24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2:24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2:24" ht="15" customHeight="1" x14ac:dyDescent="0.2"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2:22" ht="15" customHeight="1" x14ac:dyDescent="0.2"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7" t="str">
        <f>'Event Tree Input'!A83</f>
        <v>Node 5 Callout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2:22" ht="15" customHeight="1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2:22" ht="15" customHeight="1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2:22" ht="15" customHeight="1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2:22" ht="15" customHeight="1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15" customHeight="1" x14ac:dyDescent="0.2"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7" t="str">
        <f>'Event Tree Input'!A97</f>
        <v>Node 6 Callout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2:22" ht="15" customHeight="1" x14ac:dyDescent="0.2"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2:22" ht="15" customHeight="1" x14ac:dyDescent="0.2"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2:22" ht="15" customHeight="1" x14ac:dyDescent="0.2"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2:22" ht="15" customHeight="1" x14ac:dyDescent="0.2"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2:22" ht="15" customHeight="1" x14ac:dyDescent="0.2"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7" t="str">
        <f>'Event Tree Input'!A111</f>
        <v>Node 7 Callout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2:22" ht="15" customHeight="1" x14ac:dyDescent="0.2"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2:22" ht="15" customHeight="1" x14ac:dyDescent="0.2"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2:22" ht="15" customHeight="1" x14ac:dyDescent="0.2"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2:22" ht="15" customHeight="1" x14ac:dyDescent="0.2"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2:22" ht="15" customHeight="1" x14ac:dyDescent="0.2"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7" t="str">
        <f>'Event Tree Input'!A125</f>
        <v>Node 8 Callout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2:22" ht="15" customHeight="1" x14ac:dyDescent="0.2"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2:22" ht="15" customHeight="1" x14ac:dyDescent="0.2"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2:22" ht="15" customHeight="1" x14ac:dyDescent="0.2"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2:22" ht="15" customHeight="1" x14ac:dyDescent="0.2"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2:22" ht="15" customHeight="1" x14ac:dyDescent="0.2"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7" t="str">
        <f>'Event Tree Input'!A139</f>
        <v>Node 9 Callout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2:22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2:22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2:22" ht="1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2:22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2:22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E464715-BACE-4B91-89CC-8F9E8A75B6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DEC9-AF0B-46CF-AE13-7B230EC61C0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7A5A9D-3757-4ACB-89D6-7BBF7EF6C61E}">
  <ds:schemaRefs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8f80ecd-cddb-46c8-b263-c25672b580c6"/>
    <ds:schemaRef ds:uri="http://schemas.microsoft.com/office/2006/documentManagement/types"/>
    <ds:schemaRef ds:uri="f254aa9d-3c64-433e-b325-d6b94ca3f691"/>
    <ds:schemaRef ds:uri="http://purl.org/dc/terms/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