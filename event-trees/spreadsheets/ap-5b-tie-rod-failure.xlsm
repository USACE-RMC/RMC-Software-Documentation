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D10ADF4A-3EFA-4D32-95CD-200A0C913E59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<sst xmlns="http://schemas.openxmlformats.org/spreadsheetml/2006/main" count="117" uniqueCount="59">
  <si>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</si>
  <si>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</si>
  <si>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</si>
  <si>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</si>
  <si>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</si>
  <si>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</si>
  <si>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</si>
  <si>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</si>
  <si>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</si>
  <si>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</si>
  <si>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</si>
  <si>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</si>
  <si>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</si>
  <si>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</si>
  <si>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</si>
  <si>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</si>
  <si>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</si>
  <si>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</si>
  <si>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</si>
  <si>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</si>
  <si>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</si>
  <si>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</si>
  <si>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</si>
  <si>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</si>
  <si>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</si>
  <si>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</si>
  <si>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</si>
  <si>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</si>
  <si>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</si>
  <si>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</si>
  <si>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</si>
  <si>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</si>
  <si>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</si>
  <si>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</si>
  <si>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</si>
  <si>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</si>
  <si>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</si>
  <si>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</si>
  <si>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</si>
  <si>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</si>
  <si>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</si>
  <si>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</si>
  <si>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</si>
  <si>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</si>
  <si>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</si>
  <si>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</si>
  <si>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</si>
  <si>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</si>
  <si>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</si>
  <si>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</si>
  <si>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</si>
  <si>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</si>
  <si>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</si>
  <si>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</si>
  <si>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</si>
  <si>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Changes in driving or resisting forces cause increased internal moment and shear in the sheet pile?</t>
  </si>
  <si>
    <t>As the load increases the tie-rod begins to yield and the rod elongates?</t>
  </si>
  <si>
    <t>Tension capacity of the rod is exceeded and the rod fractures leading to a rotational failure of the wall (PFM CP-2)?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</si>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</sst>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65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Fill="1"/>
    <xf numFmtId="0" fontId="4" fillId="0" borderId="0" xfId="0" applyFont="1" applyFill="1" applyAlignment="1">
      <alignment wrapText="1"/>
    </xf>
    <xf numFmtId="0" fontId="4" fillId="0" borderId="1" xfId="0" applyFont="1" applyFill="1" applyBorder="1"/>
    <xf numFmtId="0" fontId="4" fillId="0" borderId="0" xfId="0" applyFont="1" applyFill="1" applyAlignment="1">
      <alignment vertical="center" wrapText="1"/>
    </xf>
    <xf numFmtId="0" fontId="4" fillId="0" borderId="3" xfId="0" applyFont="1" applyFill="1" applyBorder="1"/>
    <xf numFmtId="0" fontId="4" fillId="0" borderId="4" xfId="0" applyFont="1" applyFill="1" applyBorder="1" applyAlignment="1">
      <alignment vertical="center" wrapText="1"/>
    </xf>
    <xf numFmtId="0" fontId="4" fillId="0" borderId="2" xfId="0" applyFont="1" applyFill="1" applyBorder="1"/>
    <xf numFmtId="0" fontId="8" fillId="0" borderId="0" xfId="0" applyFont="1" applyFill="1" applyAlignment="1">
      <alignment horizontal="center" vertical="top"/>
    </xf>
    <xf numFmtId="0" fontId="4" fillId="0" borderId="5" xfId="0" applyFont="1" applyFill="1" applyBorder="1"/>
    <xf numFmtId="0" fontId="4" fillId="0" borderId="2" xfId="0" applyFont="1" applyFill="1" applyBorder="1" applyAlignment="1">
      <alignment vertical="center" wrapText="1"/>
    </xf>
    <xf numFmtId="0" fontId="4" fillId="0" borderId="0" xfId="0" applyFont="1" applyFill="1" applyAlignment="1">
      <alignment vertical="top" wrapText="1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4" xfId="0" applyFont="1" applyFill="1" applyBorder="1"/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Changes in driving or resisting forces cause increased internal moment and shear in the sheet pile?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 the tie-rod begins to yield and the rod elongates?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43</xdr:col>
      <xdr:colOff>38100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262064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Tension capacity of the rod is exceeded and the rod fractures leading to a rotational failure of the wall (PFM CP-2)?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1" t="s">
        <v>8</v>
      </c>
      <c r="B1" s="40"/>
      <c r="C1" s="40"/>
      <c r="D1" s="40"/>
      <c r="E1" s="32" t="s">
        <v>9</v>
      </c>
      <c r="F1" s="33"/>
      <c r="G1" s="34" t="s">
        <v>10</v>
      </c>
      <c r="H1" s="35"/>
    </row>
    <row r="2" spans="1:9" x14ac:dyDescent="0.2">
      <c r="A2" s="31" t="s">
        <v>11</v>
      </c>
      <c r="B2" s="40"/>
      <c r="C2" s="40"/>
      <c r="D2" s="40"/>
      <c r="E2" s="32" t="s">
        <v>9</v>
      </c>
      <c r="F2" s="33"/>
      <c r="G2" s="34" t="s">
        <v>10</v>
      </c>
      <c r="H2" s="35"/>
    </row>
    <row r="3" spans="1:9" x14ac:dyDescent="0.2">
      <c r="A3" s="36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29"/>
      <c r="C6" s="29"/>
      <c r="D6" s="29"/>
      <c r="E6" s="29"/>
      <c r="F6" s="29"/>
      <c r="G6" s="29"/>
      <c r="H6" s="29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54</v>
      </c>
      <c r="E9" s="42"/>
      <c r="F9" s="22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36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0" t="s">
        <v>53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8"/>
      <c r="B21" s="38"/>
      <c r="C21" s="38"/>
      <c r="D21" s="38"/>
      <c r="E21" s="38"/>
      <c r="F21" s="38"/>
      <c r="G21" s="38"/>
      <c r="H21" s="38"/>
    </row>
    <row r="22" spans="1:9" ht="8.1" customHeight="1" x14ac:dyDescent="0.2">
      <c r="A22" s="19"/>
      <c r="B22" s="19"/>
      <c r="C22" s="19"/>
      <c r="D22" s="19"/>
      <c r="E22" s="19"/>
      <c r="F22" s="19"/>
      <c r="G22" s="19"/>
      <c r="H22" s="19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8" t="s">
        <v>55</v>
      </c>
      <c r="B24" s="38"/>
      <c r="C24" s="38"/>
      <c r="D24" s="38"/>
      <c r="E24" s="38"/>
      <c r="F24" s="38"/>
      <c r="G24" s="38"/>
      <c r="H24" s="38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35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8"/>
      <c r="B27" s="38"/>
      <c r="C27" s="38"/>
      <c r="D27" s="38"/>
      <c r="E27" s="38"/>
      <c r="F27" s="38"/>
      <c r="G27" s="38"/>
      <c r="H27" s="38"/>
      <c r="I27" s="8"/>
    </row>
    <row r="28" spans="1:9" ht="12.75" customHeight="1" x14ac:dyDescent="0.2">
      <c r="A28" s="38"/>
      <c r="B28" s="38"/>
      <c r="C28" s="38"/>
      <c r="D28" s="38"/>
      <c r="E28" s="38"/>
      <c r="F28" s="38"/>
      <c r="G28" s="38"/>
      <c r="H28" s="38"/>
    </row>
    <row r="29" spans="1:9" ht="12.75" customHeight="1" x14ac:dyDescent="0.2">
      <c r="A29" s="38"/>
      <c r="B29" s="38"/>
      <c r="C29" s="38"/>
      <c r="D29" s="38"/>
      <c r="E29" s="38"/>
      <c r="F29" s="38"/>
      <c r="G29" s="38"/>
      <c r="H29" s="38"/>
    </row>
    <row r="30" spans="1:9" ht="12.75" customHeight="1" x14ac:dyDescent="0.2">
      <c r="A30" s="38"/>
      <c r="B30" s="38"/>
      <c r="C30" s="38"/>
      <c r="D30" s="38"/>
      <c r="E30" s="38"/>
      <c r="F30" s="38"/>
      <c r="G30" s="38"/>
      <c r="H30" s="38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8"/>
      <c r="B35" s="38"/>
      <c r="C35" s="38"/>
      <c r="D35" s="38"/>
      <c r="E35" s="38"/>
      <c r="F35" s="38"/>
      <c r="G35" s="38"/>
      <c r="H35" s="38"/>
    </row>
    <row r="36" spans="1:9" ht="8.1" customHeight="1" x14ac:dyDescent="0.2">
      <c r="A36" s="19"/>
      <c r="B36" s="19"/>
      <c r="C36" s="19"/>
      <c r="D36" s="19"/>
      <c r="E36" s="19"/>
      <c r="F36" s="19"/>
      <c r="G36" s="19"/>
      <c r="H36" s="19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8" t="s">
        <v>56</v>
      </c>
      <c r="B38" s="38"/>
      <c r="C38" s="38"/>
      <c r="D38" s="38"/>
      <c r="E38" s="38"/>
      <c r="F38" s="38"/>
      <c r="G38" s="38"/>
      <c r="H38" s="38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35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8"/>
      <c r="B41" s="38"/>
      <c r="C41" s="38"/>
      <c r="D41" s="38"/>
      <c r="E41" s="38"/>
      <c r="F41" s="38"/>
      <c r="G41" s="38"/>
      <c r="H41" s="38"/>
      <c r="I41" s="8"/>
    </row>
    <row r="42" spans="1:9" ht="12.75" customHeight="1" x14ac:dyDescent="0.2">
      <c r="A42" s="38"/>
      <c r="B42" s="38"/>
      <c r="C42" s="38"/>
      <c r="D42" s="38"/>
      <c r="E42" s="38"/>
      <c r="F42" s="38"/>
      <c r="G42" s="38"/>
      <c r="H42" s="38"/>
    </row>
    <row r="43" spans="1:9" ht="12.75" customHeight="1" x14ac:dyDescent="0.2">
      <c r="A43" s="38"/>
      <c r="B43" s="38"/>
      <c r="C43" s="38"/>
      <c r="D43" s="38"/>
      <c r="E43" s="38"/>
      <c r="F43" s="38"/>
      <c r="G43" s="38"/>
      <c r="H43" s="38"/>
    </row>
    <row r="44" spans="1:9" ht="12.75" customHeight="1" x14ac:dyDescent="0.2">
      <c r="A44" s="38"/>
      <c r="B44" s="38"/>
      <c r="C44" s="38"/>
      <c r="D44" s="38"/>
      <c r="E44" s="38"/>
      <c r="F44" s="38"/>
      <c r="G44" s="38"/>
      <c r="H44" s="38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8"/>
      <c r="B49" s="38"/>
      <c r="C49" s="38"/>
      <c r="D49" s="38"/>
      <c r="E49" s="38"/>
      <c r="F49" s="38"/>
      <c r="G49" s="38"/>
      <c r="H49" s="38"/>
    </row>
    <row r="50" spans="1:9" ht="8.1" customHeight="1" x14ac:dyDescent="0.2">
      <c r="A50" s="19"/>
      <c r="B50" s="19"/>
      <c r="C50" s="19"/>
      <c r="D50" s="19"/>
      <c r="E50" s="19"/>
      <c r="F50" s="19"/>
      <c r="G50" s="19"/>
      <c r="H50" s="19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8" t="s">
        <v>52</v>
      </c>
      <c r="B52" s="38"/>
      <c r="C52" s="38"/>
      <c r="D52" s="38"/>
      <c r="E52" s="38"/>
      <c r="F52" s="38"/>
      <c r="G52" s="38"/>
      <c r="H52" s="38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35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8"/>
      <c r="B55" s="38"/>
      <c r="C55" s="38"/>
      <c r="D55" s="38"/>
      <c r="E55" s="38"/>
      <c r="F55" s="38"/>
      <c r="G55" s="38"/>
      <c r="H55" s="38"/>
      <c r="I55" s="8"/>
    </row>
    <row r="56" spans="1:9" ht="12.75" customHeight="1" x14ac:dyDescent="0.2">
      <c r="A56" s="38"/>
      <c r="B56" s="38"/>
      <c r="C56" s="38"/>
      <c r="D56" s="38"/>
      <c r="E56" s="38"/>
      <c r="F56" s="38"/>
      <c r="G56" s="38"/>
      <c r="H56" s="38"/>
    </row>
    <row r="57" spans="1:9" ht="12.75" customHeight="1" x14ac:dyDescent="0.2">
      <c r="A57" s="38"/>
      <c r="B57" s="38"/>
      <c r="C57" s="38"/>
      <c r="D57" s="38"/>
      <c r="E57" s="38"/>
      <c r="F57" s="38"/>
      <c r="G57" s="38"/>
      <c r="H57" s="38"/>
    </row>
    <row r="58" spans="1:9" ht="12.75" customHeight="1" x14ac:dyDescent="0.2">
      <c r="A58" s="38"/>
      <c r="B58" s="38"/>
      <c r="C58" s="38"/>
      <c r="D58" s="38"/>
      <c r="E58" s="38"/>
      <c r="F58" s="38"/>
      <c r="G58" s="38"/>
      <c r="H58" s="38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8"/>
      <c r="B63" s="38"/>
      <c r="C63" s="38"/>
      <c r="D63" s="38"/>
      <c r="E63" s="38"/>
      <c r="F63" s="38"/>
      <c r="G63" s="38"/>
      <c r="H63" s="38"/>
    </row>
    <row r="64" spans="1:9" ht="8.1" customHeight="1" x14ac:dyDescent="0.2">
      <c r="A64" s="19"/>
      <c r="B64" s="19"/>
      <c r="C64" s="19"/>
      <c r="D64" s="19"/>
      <c r="E64" s="19"/>
      <c r="F64" s="19"/>
      <c r="G64" s="19"/>
      <c r="H64" s="19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8" t="s">
        <v>57</v>
      </c>
      <c r="B66" s="38"/>
      <c r="C66" s="38"/>
      <c r="D66" s="38"/>
      <c r="E66" s="38"/>
      <c r="F66" s="38"/>
      <c r="G66" s="38"/>
      <c r="H66" s="38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35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8"/>
      <c r="B69" s="38"/>
      <c r="C69" s="38"/>
      <c r="D69" s="38"/>
      <c r="E69" s="38"/>
      <c r="F69" s="38"/>
      <c r="G69" s="38"/>
      <c r="H69" s="38"/>
      <c r="I69" s="8"/>
    </row>
    <row r="70" spans="1:9" ht="12.75" customHeight="1" x14ac:dyDescent="0.2">
      <c r="A70" s="38"/>
      <c r="B70" s="38"/>
      <c r="C70" s="38"/>
      <c r="D70" s="38"/>
      <c r="E70" s="38"/>
      <c r="F70" s="38"/>
      <c r="G70" s="38"/>
      <c r="H70" s="38"/>
    </row>
    <row r="71" spans="1:9" ht="12.75" customHeight="1" x14ac:dyDescent="0.2">
      <c r="A71" s="38"/>
      <c r="B71" s="38"/>
      <c r="C71" s="38"/>
      <c r="D71" s="38"/>
      <c r="E71" s="38"/>
      <c r="F71" s="38"/>
      <c r="G71" s="38"/>
      <c r="H71" s="38"/>
    </row>
    <row r="72" spans="1:9" ht="12.75" customHeight="1" x14ac:dyDescent="0.2">
      <c r="A72" s="38"/>
      <c r="B72" s="38"/>
      <c r="C72" s="38"/>
      <c r="D72" s="38"/>
      <c r="E72" s="38"/>
      <c r="F72" s="38"/>
      <c r="G72" s="38"/>
      <c r="H72" s="38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8"/>
      <c r="B77" s="38"/>
      <c r="C77" s="38"/>
      <c r="D77" s="38"/>
      <c r="E77" s="38"/>
      <c r="F77" s="38"/>
      <c r="G77" s="38"/>
      <c r="H77" s="38"/>
    </row>
    <row r="78" spans="1:9" ht="8.1" customHeight="1" x14ac:dyDescent="0.2">
      <c r="A78" s="19"/>
      <c r="B78" s="19"/>
      <c r="C78" s="19"/>
      <c r="D78" s="19"/>
      <c r="E78" s="19"/>
      <c r="F78" s="19"/>
      <c r="G78" s="19"/>
      <c r="H78" s="19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8"/>
      <c r="B80" s="38"/>
      <c r="C80" s="38"/>
      <c r="D80" s="38"/>
      <c r="E80" s="38"/>
      <c r="F80" s="38"/>
      <c r="G80" s="38"/>
      <c r="H80" s="38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35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8"/>
      <c r="B83" s="38"/>
      <c r="C83" s="38"/>
      <c r="D83" s="38"/>
      <c r="E83" s="38"/>
      <c r="F83" s="38"/>
      <c r="G83" s="38"/>
      <c r="H83" s="38"/>
      <c r="I83" s="8"/>
    </row>
    <row r="84" spans="1:9" ht="12.75" customHeight="1" x14ac:dyDescent="0.2">
      <c r="A84" s="38"/>
      <c r="B84" s="38"/>
      <c r="C84" s="38"/>
      <c r="D84" s="38"/>
      <c r="E84" s="38"/>
      <c r="F84" s="38"/>
      <c r="G84" s="38"/>
      <c r="H84" s="38"/>
    </row>
    <row r="85" spans="1:9" ht="12.75" customHeight="1" x14ac:dyDescent="0.2">
      <c r="A85" s="38"/>
      <c r="B85" s="38"/>
      <c r="C85" s="38"/>
      <c r="D85" s="38"/>
      <c r="E85" s="38"/>
      <c r="F85" s="38"/>
      <c r="G85" s="38"/>
      <c r="H85" s="38"/>
    </row>
    <row r="86" spans="1:9" ht="12.75" customHeight="1" x14ac:dyDescent="0.2">
      <c r="A86" s="38"/>
      <c r="B86" s="38"/>
      <c r="C86" s="38"/>
      <c r="D86" s="38"/>
      <c r="E86" s="38"/>
      <c r="F86" s="38"/>
      <c r="G86" s="38"/>
      <c r="H86" s="38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8"/>
      <c r="B91" s="38"/>
      <c r="C91" s="38"/>
      <c r="D91" s="38"/>
      <c r="E91" s="38"/>
      <c r="F91" s="38"/>
      <c r="G91" s="38"/>
      <c r="H91" s="38"/>
    </row>
    <row r="92" spans="1:9" ht="8.1" customHeight="1" x14ac:dyDescent="0.2">
      <c r="A92" s="19"/>
      <c r="B92" s="19"/>
      <c r="C92" s="19"/>
      <c r="D92" s="19"/>
      <c r="E92" s="19"/>
      <c r="F92" s="19"/>
      <c r="G92" s="19"/>
      <c r="H92" s="19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8"/>
      <c r="B94" s="38"/>
      <c r="C94" s="38"/>
      <c r="D94" s="38"/>
      <c r="E94" s="38"/>
      <c r="F94" s="38"/>
      <c r="G94" s="38"/>
      <c r="H94" s="38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35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8"/>
      <c r="B97" s="38"/>
      <c r="C97" s="38"/>
      <c r="D97" s="38"/>
      <c r="E97" s="38"/>
      <c r="F97" s="38"/>
      <c r="G97" s="38"/>
      <c r="H97" s="38"/>
      <c r="I97" s="8"/>
    </row>
    <row r="98" spans="1:15" ht="12.75" customHeight="1" x14ac:dyDescent="0.2">
      <c r="A98" s="38"/>
      <c r="B98" s="38"/>
      <c r="C98" s="38"/>
      <c r="D98" s="38"/>
      <c r="E98" s="38"/>
      <c r="F98" s="38"/>
      <c r="G98" s="38"/>
      <c r="H98" s="38"/>
    </row>
    <row r="99" spans="1:15" ht="12.75" customHeight="1" x14ac:dyDescent="0.2">
      <c r="A99" s="38"/>
      <c r="B99" s="38"/>
      <c r="C99" s="38"/>
      <c r="D99" s="38"/>
      <c r="E99" s="38"/>
      <c r="F99" s="38"/>
      <c r="G99" s="38"/>
      <c r="H99" s="38"/>
    </row>
    <row r="100" spans="1:15" ht="12.75" customHeight="1" x14ac:dyDescent="0.2">
      <c r="A100" s="38"/>
      <c r="B100" s="38"/>
      <c r="C100" s="38"/>
      <c r="D100" s="38"/>
      <c r="E100" s="38"/>
      <c r="F100" s="38"/>
      <c r="G100" s="38"/>
      <c r="H100" s="38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8"/>
      <c r="B105" s="38"/>
      <c r="C105" s="38"/>
      <c r="D105" s="38"/>
      <c r="E105" s="38"/>
      <c r="F105" s="38"/>
      <c r="G105" s="38"/>
      <c r="H105" s="38"/>
    </row>
    <row r="106" spans="1:15" ht="8.1" customHeight="1" x14ac:dyDescent="0.2">
      <c r="A106" s="19"/>
      <c r="B106" s="19"/>
      <c r="C106" s="19"/>
      <c r="D106" s="19"/>
      <c r="E106" s="19"/>
      <c r="F106" s="19"/>
      <c r="G106" s="19"/>
      <c r="H106" s="19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8"/>
      <c r="B108" s="38"/>
      <c r="C108" s="38"/>
      <c r="D108" s="38"/>
      <c r="E108" s="38"/>
      <c r="F108" s="38"/>
      <c r="G108" s="38"/>
      <c r="H108" s="38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35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8"/>
      <c r="O111" s="26"/>
    </row>
    <row r="112" spans="1:15" ht="12.75" customHeight="1" x14ac:dyDescent="0.2">
      <c r="A112" s="38"/>
      <c r="B112" s="38"/>
      <c r="C112" s="38"/>
      <c r="D112" s="38"/>
      <c r="E112" s="38"/>
      <c r="F112" s="38"/>
      <c r="G112" s="38"/>
      <c r="H112" s="38"/>
    </row>
    <row r="113" spans="1:9" ht="12.75" customHeight="1" x14ac:dyDescent="0.2">
      <c r="A113" s="38"/>
      <c r="B113" s="38"/>
      <c r="C113" s="38"/>
      <c r="D113" s="38"/>
      <c r="E113" s="38"/>
      <c r="F113" s="38"/>
      <c r="G113" s="38"/>
      <c r="H113" s="38"/>
    </row>
    <row r="114" spans="1:9" ht="12.75" customHeight="1" x14ac:dyDescent="0.2">
      <c r="A114" s="38"/>
      <c r="B114" s="38"/>
      <c r="C114" s="38"/>
      <c r="D114" s="38"/>
      <c r="E114" s="38"/>
      <c r="F114" s="38"/>
      <c r="G114" s="38"/>
      <c r="H114" s="38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8"/>
      <c r="B119" s="38"/>
      <c r="C119" s="38"/>
      <c r="D119" s="38"/>
      <c r="E119" s="38"/>
      <c r="F119" s="38"/>
      <c r="G119" s="38"/>
      <c r="H119" s="38"/>
    </row>
    <row r="120" spans="1:9" ht="8.1" customHeight="1" x14ac:dyDescent="0.2">
      <c r="A120" s="19"/>
      <c r="B120" s="19"/>
      <c r="C120" s="19"/>
      <c r="D120" s="19"/>
      <c r="E120" s="19"/>
      <c r="F120" s="19"/>
      <c r="G120" s="19"/>
      <c r="H120" s="19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8"/>
      <c r="B122" s="38"/>
      <c r="C122" s="38"/>
      <c r="D122" s="38"/>
      <c r="E122" s="38"/>
      <c r="F122" s="38"/>
      <c r="G122" s="38"/>
      <c r="H122" s="38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35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8"/>
      <c r="B125" s="38"/>
      <c r="C125" s="38"/>
      <c r="D125" s="38"/>
      <c r="E125" s="38"/>
      <c r="F125" s="38"/>
      <c r="G125" s="38"/>
      <c r="H125" s="38"/>
      <c r="I125" s="8"/>
    </row>
    <row r="126" spans="1:9" ht="12.75" customHeight="1" x14ac:dyDescent="0.2">
      <c r="A126" s="38"/>
      <c r="B126" s="38"/>
      <c r="C126" s="38"/>
      <c r="D126" s="38"/>
      <c r="E126" s="38"/>
      <c r="F126" s="38"/>
      <c r="G126" s="38"/>
      <c r="H126" s="38"/>
    </row>
    <row r="127" spans="1:9" ht="12.75" customHeight="1" x14ac:dyDescent="0.2">
      <c r="A127" s="38"/>
      <c r="B127" s="38"/>
      <c r="C127" s="38"/>
      <c r="D127" s="38"/>
      <c r="E127" s="38"/>
      <c r="F127" s="38"/>
      <c r="G127" s="38"/>
      <c r="H127" s="38"/>
    </row>
    <row r="128" spans="1:9" ht="12.75" customHeight="1" x14ac:dyDescent="0.2">
      <c r="A128" s="38"/>
      <c r="B128" s="38"/>
      <c r="C128" s="38"/>
      <c r="D128" s="38"/>
      <c r="E128" s="38"/>
      <c r="F128" s="38"/>
      <c r="G128" s="38"/>
      <c r="H128" s="38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8"/>
      <c r="B133" s="38"/>
      <c r="C133" s="38"/>
      <c r="D133" s="38"/>
      <c r="E133" s="38"/>
      <c r="F133" s="38"/>
      <c r="G133" s="38"/>
      <c r="H133" s="38"/>
    </row>
    <row r="134" spans="1:9" ht="8.1" customHeight="1" x14ac:dyDescent="0.2">
      <c r="A134" s="19"/>
      <c r="B134" s="19"/>
      <c r="C134" s="19"/>
      <c r="D134" s="19"/>
      <c r="E134" s="19"/>
      <c r="F134" s="19"/>
      <c r="G134" s="19"/>
      <c r="H134" s="19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8"/>
      <c r="B136" s="38"/>
      <c r="C136" s="38"/>
      <c r="D136" s="38"/>
      <c r="E136" s="38"/>
      <c r="F136" s="38"/>
      <c r="G136" s="38"/>
      <c r="H136" s="38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35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8"/>
      <c r="B139" s="38"/>
      <c r="C139" s="38"/>
      <c r="D139" s="38"/>
      <c r="E139" s="38"/>
      <c r="F139" s="38"/>
      <c r="G139" s="38"/>
      <c r="H139" s="38"/>
      <c r="I139" s="8"/>
    </row>
    <row r="140" spans="1:9" ht="12.75" customHeight="1" x14ac:dyDescent="0.2">
      <c r="A140" s="38"/>
      <c r="B140" s="38"/>
      <c r="C140" s="38"/>
      <c r="D140" s="38"/>
      <c r="E140" s="38"/>
      <c r="F140" s="38"/>
      <c r="G140" s="38"/>
      <c r="H140" s="38"/>
    </row>
    <row r="141" spans="1:9" ht="12.75" customHeight="1" x14ac:dyDescent="0.2">
      <c r="A141" s="38"/>
      <c r="B141" s="38"/>
      <c r="C141" s="38"/>
      <c r="D141" s="38"/>
      <c r="E141" s="38"/>
      <c r="F141" s="38"/>
      <c r="G141" s="38"/>
      <c r="H141" s="38"/>
    </row>
    <row r="142" spans="1:9" ht="12.75" customHeight="1" x14ac:dyDescent="0.2">
      <c r="A142" s="38"/>
      <c r="B142" s="38"/>
      <c r="C142" s="38"/>
      <c r="D142" s="38"/>
      <c r="E142" s="38"/>
      <c r="F142" s="38"/>
      <c r="G142" s="38"/>
      <c r="H142" s="38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54</v>
      </c>
      <c r="C146" s="3">
        <v>1</v>
      </c>
      <c r="E146" s="3" t="s">
        <v>0</v>
      </c>
    </row>
    <row r="147" spans="1:5" x14ac:dyDescent="0.2">
      <c r="A147" s="3" t="s">
        <v>51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39" t="s">
        <v>17</v>
      </c>
      <c r="B156" s="9" t="s">
        <v>23</v>
      </c>
      <c r="C156" s="9" t="s">
        <v>24</v>
      </c>
    </row>
    <row r="157" spans="1:5" x14ac:dyDescent="0.2">
      <c r="A157" s="39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47</v>
      </c>
      <c r="C168" s="9" t="s">
        <v>35</v>
      </c>
    </row>
    <row r="169" spans="1:5" x14ac:dyDescent="0.2">
      <c r="A169" s="9" t="s">
        <v>48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3" priority="69">
      <formula>$D$9="Seismic Hazard"</formula>
    </cfRule>
    <cfRule type="expression" dxfId="22" priority="70">
      <formula>$D$9="Hydrologic Hazard"</formula>
    </cfRule>
  </conditionalFormatting>
  <conditionalFormatting sqref="A32:H45">
    <cfRule type="expression" dxfId="21" priority="18" stopIfTrue="1">
      <formula>$D$11&lt;2</formula>
    </cfRule>
  </conditionalFormatting>
  <conditionalFormatting sqref="A110:H114 A138:H142 A40:H44 A54:H58 A68:H72 A82:H86 A96:H100 A124:H128 A26:H30">
    <cfRule type="expression" dxfId="20" priority="4" stopIfTrue="1">
      <formula>$D$14="No"</formula>
    </cfRule>
  </conditionalFormatting>
  <conditionalFormatting sqref="A46:H51 A53:H59">
    <cfRule type="expression" dxfId="19" priority="16" stopIfTrue="1">
      <formula>$D$11&lt;3</formula>
    </cfRule>
  </conditionalFormatting>
  <conditionalFormatting sqref="A60:H65 A67:H73">
    <cfRule type="expression" dxfId="18" priority="14" stopIfTrue="1">
      <formula>$D$11&lt;4</formula>
    </cfRule>
  </conditionalFormatting>
  <conditionalFormatting sqref="A74:H87">
    <cfRule type="expression" dxfId="17" priority="11" stopIfTrue="1">
      <formula>$D$11&lt;5</formula>
    </cfRule>
  </conditionalFormatting>
  <conditionalFormatting sqref="A88:H101">
    <cfRule type="expression" dxfId="16" priority="9" stopIfTrue="1">
      <formula>$D$11&lt;6</formula>
    </cfRule>
  </conditionalFormatting>
  <conditionalFormatting sqref="A102:H115">
    <cfRule type="expression" dxfId="15" priority="10" stopIfTrue="1">
      <formula>$D$11&lt;7</formula>
    </cfRule>
  </conditionalFormatting>
  <conditionalFormatting sqref="A116:H129">
    <cfRule type="expression" dxfId="14" priority="5" stopIfTrue="1">
      <formula>$D$11&lt;8</formula>
    </cfRule>
  </conditionalFormatting>
  <conditionalFormatting sqref="A130:H143">
    <cfRule type="expression" dxfId="13" priority="3" stopIfTrue="1">
      <formula>$D$11&lt;9</formula>
    </cfRule>
  </conditionalFormatting>
  <conditionalFormatting sqref="A20:H21 A34:H35 A48:H49 A62:H63 A76:H77 A90:H91 A104:H105 A118:H119 A132:H133">
    <cfRule type="expression" dxfId="12" priority="24">
      <formula>$D$13="No"</formula>
    </cfRule>
  </conditionalFormatting>
  <conditionalFormatting sqref="A27:H30">
    <cfRule type="expression" dxfId="11" priority="20" stopIfTrue="1">
      <formula>$D$11&lt;2</formula>
    </cfRule>
  </conditionalFormatting>
  <conditionalFormatting sqref="A52:H52">
    <cfRule type="expression" dxfId="10" priority="2" stopIfTrue="1">
      <formula>$D$11&lt;2</formula>
    </cfRule>
  </conditionalFormatting>
  <conditionalFormatting sqref="A66:H66">
    <cfRule type="expression" dxfId="9" priority="1" stopIfTrue="1">
      <formula>$D$11&lt;5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3" t="s">
        <v>8</v>
      </c>
      <c r="B1" s="43"/>
      <c r="C1" s="43"/>
      <c r="D1" s="43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5" t="s">
        <v>9</v>
      </c>
      <c r="AG1" s="45"/>
      <c r="AH1" s="45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5" t="s">
        <v>10</v>
      </c>
      <c r="BE1" s="45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3" t="s">
        <v>11</v>
      </c>
      <c r="B2" s="43"/>
      <c r="C2" s="43"/>
      <c r="D2" s="43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5" t="s">
        <v>9</v>
      </c>
      <c r="AG2" s="45"/>
      <c r="AH2" s="45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5" t="s">
        <v>10</v>
      </c>
      <c r="BE2" s="45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</row>
    <row r="3" spans="1:80" ht="15" customHeight="1" x14ac:dyDescent="0.2">
      <c r="A3" s="44" t="s">
        <v>12</v>
      </c>
      <c r="B3" s="44"/>
      <c r="C3" s="44"/>
      <c r="D3" s="44"/>
      <c r="E3" s="44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9" t="s">
        <v>25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7"/>
      <c r="AK7" s="17"/>
      <c r="AL7" s="17"/>
      <c r="AM7" s="17"/>
      <c r="AN7" s="17"/>
      <c r="AO7" s="17"/>
      <c r="AP7" s="17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46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7"/>
      <c r="AK8" s="17"/>
      <c r="AL8" s="17"/>
      <c r="AM8" s="17"/>
      <c r="AN8" s="17"/>
      <c r="AO8" s="17"/>
      <c r="AP8" s="17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7"/>
      <c r="AK9" s="17"/>
      <c r="AL9" s="17"/>
      <c r="AM9" s="17"/>
      <c r="AN9" s="17"/>
      <c r="AO9" s="17"/>
      <c r="AP9" s="17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1"/>
      <c r="BU9" s="21"/>
      <c r="BV9" s="21"/>
      <c r="BW9" s="21"/>
      <c r="BX9" s="21"/>
      <c r="BY9" s="21"/>
      <c r="BZ9" s="21"/>
      <c r="CA9" s="10"/>
      <c r="CB9" s="8" t="s">
        <v>50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7"/>
      <c r="AK10" s="17"/>
      <c r="AL10" s="17"/>
      <c r="AM10" s="17"/>
      <c r="AN10" s="17"/>
      <c r="AO10" s="17"/>
      <c r="AP10" s="17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1"/>
      <c r="BU10" s="21"/>
      <c r="BV10" s="21"/>
      <c r="BW10" s="21"/>
      <c r="BX10" s="21"/>
      <c r="BY10" s="21"/>
      <c r="BZ10" s="21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7"/>
      <c r="AK11" s="17"/>
      <c r="AL11" s="17"/>
      <c r="AM11" s="17"/>
      <c r="AN11" s="17"/>
      <c r="AO11" s="17"/>
      <c r="AP11" s="17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7"/>
      <c r="BF11" s="17"/>
      <c r="BG11" s="17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49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1"/>
      <c r="BN12" s="21"/>
      <c r="BO12" s="21"/>
      <c r="BP12" s="21"/>
      <c r="BQ12" s="21"/>
      <c r="BR12" s="21"/>
      <c r="BS12" s="21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1"/>
      <c r="BN13" s="21"/>
      <c r="BO13" s="21"/>
      <c r="BP13" s="21"/>
      <c r="BQ13" s="21"/>
      <c r="BR13" s="21"/>
      <c r="BS13" s="21"/>
      <c r="BT13" s="13"/>
      <c r="BU13" s="24"/>
      <c r="BV13" s="24"/>
      <c r="BW13" s="24"/>
      <c r="BX13" s="24"/>
      <c r="BY13" s="24"/>
      <c r="BZ13" s="24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0"/>
      <c r="BV14" s="20"/>
      <c r="BW14" s="20"/>
      <c r="BX14" s="20"/>
      <c r="BY14" s="20"/>
      <c r="BZ14" s="20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1"/>
      <c r="BG15" s="21"/>
      <c r="BH15" s="21"/>
      <c r="BI15" s="21"/>
      <c r="BJ15" s="21"/>
      <c r="BK15" s="21"/>
      <c r="BL15" s="21"/>
      <c r="BM15" s="4"/>
      <c r="BN15" s="4"/>
      <c r="BO15" s="4"/>
      <c r="BP15" s="4"/>
      <c r="BQ15" s="4"/>
      <c r="BR15" s="4"/>
      <c r="BS15" s="4"/>
      <c r="BT15" s="14"/>
      <c r="BU15" s="20"/>
      <c r="BV15" s="20"/>
      <c r="BW15" s="20"/>
      <c r="BX15" s="20"/>
      <c r="BY15" s="20"/>
      <c r="BZ15" s="20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1"/>
      <c r="BG16" s="21"/>
      <c r="BH16" s="21"/>
      <c r="BI16" s="21"/>
      <c r="BJ16" s="21"/>
      <c r="BK16" s="21"/>
      <c r="BL16" s="21"/>
      <c r="BM16" s="13"/>
      <c r="BN16" s="24"/>
      <c r="BO16" s="24"/>
      <c r="BP16" s="24"/>
      <c r="BQ16" s="24"/>
      <c r="BR16" s="24"/>
      <c r="BS16" s="24"/>
      <c r="BT16" s="14"/>
      <c r="BU16" s="20"/>
      <c r="BV16" s="20"/>
      <c r="BW16" s="20"/>
      <c r="BX16" s="20"/>
      <c r="BY16" s="20"/>
      <c r="BZ16" s="20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0"/>
      <c r="BO17" s="20"/>
      <c r="BP17" s="20"/>
      <c r="BQ17" s="20"/>
      <c r="BR17" s="20"/>
      <c r="BS17" s="20"/>
      <c r="BT17" s="14"/>
      <c r="BU17" s="20"/>
      <c r="BV17" s="20"/>
      <c r="BW17" s="20"/>
      <c r="BX17" s="20"/>
      <c r="BY17" s="20"/>
      <c r="BZ17" s="20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0"/>
      <c r="BO18" s="20"/>
      <c r="BP18" s="20"/>
      <c r="BQ18" s="20"/>
      <c r="BR18" s="20"/>
      <c r="BS18" s="20"/>
      <c r="BT18" s="16"/>
      <c r="BU18" s="25"/>
      <c r="BV18" s="25"/>
      <c r="BW18" s="25"/>
      <c r="BX18" s="25"/>
      <c r="BY18" s="25"/>
      <c r="BZ18" s="25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4"/>
      <c r="BH19" s="24"/>
      <c r="BI19" s="24"/>
      <c r="BJ19" s="24"/>
      <c r="BK19" s="24"/>
      <c r="BL19" s="24"/>
      <c r="BM19" s="14"/>
      <c r="BN19" s="20"/>
      <c r="BO19" s="20"/>
      <c r="BP19" s="20"/>
      <c r="BQ19" s="20"/>
      <c r="BR19" s="20"/>
      <c r="BS19" s="20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0"/>
      <c r="BH20" s="20"/>
      <c r="BI20" s="20"/>
      <c r="BJ20" s="20"/>
      <c r="BK20" s="20"/>
      <c r="BL20" s="20"/>
      <c r="BM20" s="14"/>
      <c r="BN20" s="20"/>
      <c r="BO20" s="20"/>
      <c r="BP20" s="20"/>
      <c r="BQ20" s="20"/>
      <c r="BR20" s="20"/>
      <c r="BS20" s="20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0"/>
      <c r="AS21" s="20"/>
      <c r="AT21" s="20"/>
      <c r="AU21" s="20"/>
      <c r="AV21" s="20"/>
      <c r="AW21" s="20"/>
      <c r="AX21" s="20"/>
      <c r="AY21" s="4"/>
      <c r="AZ21" s="4"/>
      <c r="BA21" s="4"/>
      <c r="BB21" s="4"/>
      <c r="BC21" s="4"/>
      <c r="BD21" s="4"/>
      <c r="BE21" s="4"/>
      <c r="BF21" s="14"/>
      <c r="BG21" s="20"/>
      <c r="BH21" s="20"/>
      <c r="BI21" s="20"/>
      <c r="BJ21" s="20"/>
      <c r="BK21" s="20"/>
      <c r="BL21" s="20"/>
      <c r="BM21" s="16"/>
      <c r="BN21" s="25"/>
      <c r="BO21" s="25"/>
      <c r="BP21" s="25"/>
      <c r="BQ21" s="25"/>
      <c r="BR21" s="25"/>
      <c r="BS21" s="25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0"/>
      <c r="AS22" s="20"/>
      <c r="AT22" s="20"/>
      <c r="AU22" s="20"/>
      <c r="AV22" s="20"/>
      <c r="AW22" s="20"/>
      <c r="AX22" s="20"/>
      <c r="AY22" s="13"/>
      <c r="AZ22" s="24"/>
      <c r="BA22" s="24"/>
      <c r="BB22" s="24"/>
      <c r="BC22" s="24"/>
      <c r="BD22" s="24"/>
      <c r="BE22" s="24"/>
      <c r="BF22" s="14"/>
      <c r="BG22" s="20"/>
      <c r="BH22" s="20"/>
      <c r="BI22" s="20"/>
      <c r="BJ22" s="20"/>
      <c r="BK22" s="20"/>
      <c r="BL22" s="20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51"/>
      <c r="D23" s="51"/>
      <c r="E23" s="51"/>
      <c r="F23" s="51"/>
      <c r="G23" s="51"/>
      <c r="H23" s="51"/>
      <c r="I23" s="51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1"/>
      <c r="AW23" s="51"/>
      <c r="AX23" s="51"/>
      <c r="AY23" s="53"/>
      <c r="AZ23" s="54"/>
      <c r="BA23" s="54"/>
      <c r="BB23" s="20"/>
      <c r="BC23" s="20"/>
      <c r="BD23" s="20"/>
      <c r="BE23" s="20"/>
      <c r="BF23" s="14"/>
      <c r="BG23" s="20"/>
      <c r="BH23" s="20"/>
      <c r="BI23" s="20"/>
      <c r="BJ23" s="20"/>
      <c r="BK23" s="20"/>
      <c r="BL23" s="20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51"/>
      <c r="D24" s="51"/>
      <c r="E24" s="51"/>
      <c r="F24" s="51"/>
      <c r="G24" s="51"/>
      <c r="H24" s="51"/>
      <c r="I24" s="51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4"/>
      <c r="AL24" s="54"/>
      <c r="AM24" s="54"/>
      <c r="AN24" s="54"/>
      <c r="AO24" s="54"/>
      <c r="AP24" s="54"/>
      <c r="AQ24" s="54"/>
      <c r="AR24" s="51"/>
      <c r="AS24" s="51"/>
      <c r="AT24" s="51"/>
      <c r="AU24" s="51"/>
      <c r="AV24" s="51"/>
      <c r="AW24" s="51"/>
      <c r="AX24" s="51"/>
      <c r="AY24" s="53"/>
      <c r="AZ24" s="54"/>
      <c r="BA24" s="54"/>
      <c r="BB24" s="20"/>
      <c r="BC24" s="20"/>
      <c r="BD24" s="20"/>
      <c r="BE24" s="20"/>
      <c r="BF24" s="16"/>
      <c r="BG24" s="25"/>
      <c r="BH24" s="25"/>
      <c r="BI24" s="25"/>
      <c r="BJ24" s="25"/>
      <c r="BK24" s="25"/>
      <c r="BL24" s="25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51"/>
      <c r="D25" s="51"/>
      <c r="E25" s="51"/>
      <c r="F25" s="51"/>
      <c r="G25" s="51"/>
      <c r="H25" s="51"/>
      <c r="I25" s="51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1"/>
      <c r="AJ25" s="51"/>
      <c r="AK25" s="54"/>
      <c r="AL25" s="54"/>
      <c r="AM25" s="54"/>
      <c r="AN25" s="54"/>
      <c r="AO25" s="54"/>
      <c r="AP25" s="54"/>
      <c r="AQ25" s="54"/>
      <c r="AR25" s="55"/>
      <c r="AS25" s="56"/>
      <c r="AT25" s="56"/>
      <c r="AU25" s="56"/>
      <c r="AV25" s="56"/>
      <c r="AW25" s="56"/>
      <c r="AX25" s="56"/>
      <c r="AY25" s="53"/>
      <c r="AZ25" s="54"/>
      <c r="BA25" s="54"/>
      <c r="BB25" s="20"/>
      <c r="BC25" s="20"/>
      <c r="BD25" s="20"/>
      <c r="BE25" s="2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51"/>
      <c r="D26" s="51"/>
      <c r="E26" s="51"/>
      <c r="F26" s="51"/>
      <c r="G26" s="51"/>
      <c r="H26" s="51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1"/>
      <c r="AJ26" s="51"/>
      <c r="AK26" s="51"/>
      <c r="AL26" s="51"/>
      <c r="AM26" s="51"/>
      <c r="AN26" s="51"/>
      <c r="AO26" s="51"/>
      <c r="AP26" s="51"/>
      <c r="AQ26" s="51"/>
      <c r="AR26" s="53"/>
      <c r="AS26" s="54"/>
      <c r="AT26" s="54"/>
      <c r="AU26" s="54"/>
      <c r="AV26" s="54"/>
      <c r="AW26" s="54"/>
      <c r="AX26" s="54"/>
      <c r="AY26" s="53"/>
      <c r="AZ26" s="54"/>
      <c r="BA26" s="54"/>
      <c r="BB26" s="20"/>
      <c r="BC26" s="20"/>
      <c r="BD26" s="20"/>
      <c r="BE26" s="2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51"/>
      <c r="D27" s="51"/>
      <c r="E27" s="51"/>
      <c r="F27" s="51"/>
      <c r="G27" s="51"/>
      <c r="H27" s="51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4"/>
      <c r="AE27" s="54"/>
      <c r="AF27" s="54"/>
      <c r="AG27" s="54"/>
      <c r="AH27" s="54"/>
      <c r="AI27" s="54"/>
      <c r="AJ27" s="54"/>
      <c r="AK27" s="57"/>
      <c r="AL27" s="57"/>
      <c r="AM27" s="57"/>
      <c r="AN27" s="57"/>
      <c r="AO27" s="57"/>
      <c r="AP27" s="57"/>
      <c r="AQ27" s="57"/>
      <c r="AR27" s="58" t="s">
        <v>58</v>
      </c>
      <c r="AS27" s="58"/>
      <c r="AT27" s="54"/>
      <c r="AU27" s="54"/>
      <c r="AV27" s="54"/>
      <c r="AW27" s="54"/>
      <c r="AX27" s="54"/>
      <c r="AY27" s="59"/>
      <c r="AZ27" s="60"/>
      <c r="BA27" s="60"/>
      <c r="BB27" s="25"/>
      <c r="BC27" s="25"/>
      <c r="BD27" s="25"/>
      <c r="BE27" s="25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51"/>
      <c r="D28" s="51"/>
      <c r="E28" s="51"/>
      <c r="F28" s="51"/>
      <c r="G28" s="51"/>
      <c r="H28" s="51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4"/>
      <c r="AE28" s="54"/>
      <c r="AF28" s="54"/>
      <c r="AG28" s="54"/>
      <c r="AH28" s="54"/>
      <c r="AI28" s="54"/>
      <c r="AJ28" s="54"/>
      <c r="AK28" s="55"/>
      <c r="AL28" s="56"/>
      <c r="AM28" s="56"/>
      <c r="AN28" s="56"/>
      <c r="AO28" s="56"/>
      <c r="AP28" s="56"/>
      <c r="AQ28" s="56"/>
      <c r="AR28" s="58"/>
      <c r="AS28" s="58"/>
      <c r="AT28" s="54"/>
      <c r="AU28" s="54"/>
      <c r="AV28" s="54"/>
      <c r="AW28" s="54"/>
      <c r="AX28" s="54"/>
      <c r="AY28" s="51"/>
      <c r="AZ28" s="51"/>
      <c r="BA28" s="51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51"/>
      <c r="D29" s="51"/>
      <c r="E29" s="51"/>
      <c r="F29" s="51"/>
      <c r="G29" s="51"/>
      <c r="H29" s="51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1"/>
      <c r="AJ29" s="51"/>
      <c r="AK29" s="53"/>
      <c r="AL29" s="54"/>
      <c r="AM29" s="54"/>
      <c r="AN29" s="54"/>
      <c r="AO29" s="54"/>
      <c r="AP29" s="54"/>
      <c r="AQ29" s="54"/>
      <c r="AR29" s="53"/>
      <c r="AS29" s="54"/>
      <c r="AT29" s="54"/>
      <c r="AU29" s="54"/>
      <c r="AV29" s="54"/>
      <c r="AW29" s="54"/>
      <c r="AX29" s="54"/>
      <c r="AY29" s="51"/>
      <c r="AZ29" s="51"/>
      <c r="BA29" s="51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51"/>
      <c r="D30" s="51"/>
      <c r="E30" s="51"/>
      <c r="F30" s="51"/>
      <c r="G30" s="51"/>
      <c r="H30" s="51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4"/>
      <c r="X30" s="54"/>
      <c r="Y30" s="54"/>
      <c r="Z30" s="54"/>
      <c r="AA30" s="54"/>
      <c r="AB30" s="54"/>
      <c r="AC30" s="54"/>
      <c r="AD30" s="51"/>
      <c r="AE30" s="51"/>
      <c r="AF30" s="51"/>
      <c r="AG30" s="51"/>
      <c r="AH30" s="51"/>
      <c r="AI30" s="51"/>
      <c r="AJ30" s="51"/>
      <c r="AK30" s="53"/>
      <c r="AL30" s="54"/>
      <c r="AM30" s="54"/>
      <c r="AN30" s="54"/>
      <c r="AO30" s="54"/>
      <c r="AP30" s="54"/>
      <c r="AQ30" s="54"/>
      <c r="AR30" s="59"/>
      <c r="AS30" s="60"/>
      <c r="AT30" s="60"/>
      <c r="AU30" s="60"/>
      <c r="AV30" s="60"/>
      <c r="AW30" s="60"/>
      <c r="AX30" s="60"/>
      <c r="AY30" s="51"/>
      <c r="AZ30" s="51"/>
      <c r="BA30" s="51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51"/>
      <c r="D31" s="51"/>
      <c r="E31" s="51"/>
      <c r="F31" s="51"/>
      <c r="G31" s="51"/>
      <c r="H31" s="51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4"/>
      <c r="X31" s="54"/>
      <c r="Y31" s="54"/>
      <c r="Z31" s="54"/>
      <c r="AA31" s="54"/>
      <c r="AB31" s="54"/>
      <c r="AC31" s="54"/>
      <c r="AD31" s="55"/>
      <c r="AE31" s="56"/>
      <c r="AF31" s="56"/>
      <c r="AG31" s="56"/>
      <c r="AH31" s="56"/>
      <c r="AI31" s="56"/>
      <c r="AJ31" s="56"/>
      <c r="AK31" s="53"/>
      <c r="AL31" s="54"/>
      <c r="AM31" s="54"/>
      <c r="AN31" s="54"/>
      <c r="AO31" s="54"/>
      <c r="AP31" s="54"/>
      <c r="AQ31" s="54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51"/>
      <c r="D32" s="51"/>
      <c r="E32" s="51"/>
      <c r="F32" s="51"/>
      <c r="G32" s="51"/>
      <c r="H32" s="51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1"/>
      <c r="AD32" s="53"/>
      <c r="AE32" s="54"/>
      <c r="AF32" s="54"/>
      <c r="AG32" s="54"/>
      <c r="AH32" s="54"/>
      <c r="AI32" s="54"/>
      <c r="AJ32" s="54"/>
      <c r="AK32" s="53"/>
      <c r="AL32" s="54"/>
      <c r="AM32" s="54"/>
      <c r="AN32" s="54"/>
      <c r="AO32" s="54"/>
      <c r="AP32" s="54"/>
      <c r="AQ32" s="54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4"/>
      <c r="Q33" s="54"/>
      <c r="R33" s="54"/>
      <c r="S33" s="54"/>
      <c r="T33" s="54"/>
      <c r="U33" s="54"/>
      <c r="V33" s="54"/>
      <c r="W33" s="51"/>
      <c r="X33" s="51"/>
      <c r="Y33" s="51"/>
      <c r="Z33" s="51"/>
      <c r="AA33" s="51"/>
      <c r="AB33" s="51"/>
      <c r="AC33" s="51"/>
      <c r="AD33" s="53"/>
      <c r="AE33" s="54"/>
      <c r="AF33" s="54"/>
      <c r="AG33" s="54"/>
      <c r="AH33" s="54"/>
      <c r="AI33" s="54"/>
      <c r="AJ33" s="54"/>
      <c r="AK33" s="59"/>
      <c r="AL33" s="60"/>
      <c r="AM33" s="60"/>
      <c r="AN33" s="60"/>
      <c r="AO33" s="60"/>
      <c r="AP33" s="60"/>
      <c r="AQ33" s="60"/>
      <c r="AR33" s="51"/>
      <c r="AS33" s="51"/>
      <c r="AT33" s="51"/>
      <c r="AU33" s="61"/>
      <c r="AV33" s="61"/>
      <c r="AW33" s="61"/>
      <c r="AX33" s="61"/>
      <c r="AY33" s="61"/>
      <c r="AZ33" s="61"/>
      <c r="BA33" s="61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4"/>
      <c r="Q34" s="54"/>
      <c r="R34" s="54"/>
      <c r="S34" s="54"/>
      <c r="T34" s="54"/>
      <c r="U34" s="54"/>
      <c r="V34" s="54"/>
      <c r="W34" s="55"/>
      <c r="X34" s="56"/>
      <c r="Y34" s="56"/>
      <c r="Z34" s="56"/>
      <c r="AA34" s="56"/>
      <c r="AB34" s="56"/>
      <c r="AC34" s="56"/>
      <c r="AD34" s="53"/>
      <c r="AE34" s="54"/>
      <c r="AF34" s="54"/>
      <c r="AG34" s="54"/>
      <c r="AH34" s="54"/>
      <c r="AI34" s="54"/>
      <c r="AJ34" s="54"/>
      <c r="AK34" s="51"/>
      <c r="AL34" s="51"/>
      <c r="AM34" s="51"/>
      <c r="AN34" s="51"/>
      <c r="AO34" s="51"/>
      <c r="AP34" s="51"/>
      <c r="AQ34" s="51"/>
      <c r="AR34" s="51"/>
      <c r="AS34" s="51"/>
      <c r="AT34" s="61"/>
      <c r="AU34" s="61"/>
      <c r="AV34" s="61"/>
      <c r="AW34" s="61"/>
      <c r="AX34" s="61"/>
      <c r="AY34" s="61"/>
      <c r="AZ34" s="61"/>
      <c r="BA34" s="61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3"/>
      <c r="X35" s="54"/>
      <c r="Y35" s="54"/>
      <c r="Z35" s="54"/>
      <c r="AA35" s="54"/>
      <c r="AB35" s="54"/>
      <c r="AC35" s="54"/>
      <c r="AD35" s="53"/>
      <c r="AE35" s="54"/>
      <c r="AF35" s="54"/>
      <c r="AG35" s="54"/>
      <c r="AH35" s="54"/>
      <c r="AI35" s="54"/>
      <c r="AJ35" s="54"/>
      <c r="AK35" s="51"/>
      <c r="AL35" s="51"/>
      <c r="AM35" s="5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7" t="str">
        <f>IF('Event Tree Input'!D9="Seismic Hazard","Seismic Hazard","")</f>
        <v/>
      </c>
      <c r="C36" s="62"/>
      <c r="D36" s="62"/>
      <c r="E36" s="62"/>
      <c r="F36" s="62"/>
      <c r="G36" s="62"/>
      <c r="H36" s="62"/>
      <c r="I36" s="6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63"/>
      <c r="K36" s="63"/>
      <c r="L36" s="63"/>
      <c r="M36" s="63"/>
      <c r="N36" s="63"/>
      <c r="O36" s="63"/>
      <c r="P36" s="51"/>
      <c r="Q36" s="51"/>
      <c r="R36" s="51"/>
      <c r="S36" s="51"/>
      <c r="T36" s="51"/>
      <c r="U36" s="51"/>
      <c r="V36" s="51"/>
      <c r="W36" s="53"/>
      <c r="X36" s="54"/>
      <c r="Y36" s="54"/>
      <c r="Z36" s="54"/>
      <c r="AA36" s="54"/>
      <c r="AB36" s="54"/>
      <c r="AC36" s="54"/>
      <c r="AD36" s="59"/>
      <c r="AE36" s="60"/>
      <c r="AF36" s="60"/>
      <c r="AG36" s="60"/>
      <c r="AH36" s="60"/>
      <c r="AI36" s="60"/>
      <c r="AJ36" s="60"/>
      <c r="AK36" s="51"/>
      <c r="AL36" s="51"/>
      <c r="AM36" s="61"/>
      <c r="AN36" s="61"/>
      <c r="AO36" s="5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7"/>
      <c r="C37" s="62"/>
      <c r="D37" s="62"/>
      <c r="E37" s="62"/>
      <c r="F37" s="62"/>
      <c r="G37" s="62"/>
      <c r="H37" s="62"/>
      <c r="I37" s="63"/>
      <c r="J37" s="63"/>
      <c r="K37" s="63"/>
      <c r="L37" s="63"/>
      <c r="M37" s="63"/>
      <c r="N37" s="63"/>
      <c r="O37" s="63"/>
      <c r="P37" s="55"/>
      <c r="Q37" s="56"/>
      <c r="R37" s="56"/>
      <c r="S37" s="56"/>
      <c r="T37" s="56"/>
      <c r="U37" s="56"/>
      <c r="V37" s="56"/>
      <c r="W37" s="53"/>
      <c r="X37" s="54"/>
      <c r="Y37" s="54"/>
      <c r="Z37" s="54"/>
      <c r="AA37" s="54"/>
      <c r="AB37" s="54"/>
      <c r="AC37" s="54"/>
      <c r="AD37" s="51"/>
      <c r="AE37" s="51"/>
      <c r="AF37" s="51"/>
      <c r="AG37" s="51"/>
      <c r="AH37" s="51"/>
      <c r="AI37" s="51"/>
      <c r="AJ37" s="51"/>
      <c r="AK37" s="51"/>
      <c r="AL37" s="5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3"/>
      <c r="Q38" s="54"/>
      <c r="R38" s="54"/>
      <c r="S38" s="54"/>
      <c r="T38" s="54"/>
      <c r="U38" s="54"/>
      <c r="V38" s="54"/>
      <c r="W38" s="53"/>
      <c r="X38" s="54"/>
      <c r="Y38" s="54"/>
      <c r="Z38" s="54"/>
      <c r="AA38" s="54"/>
      <c r="AB38" s="54"/>
      <c r="AC38" s="54"/>
      <c r="AD38" s="51"/>
      <c r="AE38" s="51"/>
      <c r="AF38" s="51"/>
      <c r="AG38" s="51"/>
      <c r="AH38" s="51"/>
      <c r="AI38" s="51"/>
      <c r="AJ38" s="51"/>
      <c r="AK38" s="51"/>
      <c r="AL38" s="5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51"/>
      <c r="D39" s="51"/>
      <c r="E39" s="51"/>
      <c r="F39" s="51"/>
      <c r="G39" s="51"/>
      <c r="H39" s="51"/>
      <c r="I39" s="57"/>
      <c r="J39" s="57"/>
      <c r="K39" s="57"/>
      <c r="L39" s="57"/>
      <c r="M39" s="57"/>
      <c r="N39" s="57"/>
      <c r="O39" s="57"/>
      <c r="P39" s="53"/>
      <c r="Q39" s="54"/>
      <c r="R39" s="54"/>
      <c r="S39" s="54"/>
      <c r="T39" s="54"/>
      <c r="U39" s="54"/>
      <c r="V39" s="54"/>
      <c r="W39" s="59"/>
      <c r="X39" s="60"/>
      <c r="Y39" s="60"/>
      <c r="Z39" s="60"/>
      <c r="AA39" s="60"/>
      <c r="AB39" s="60"/>
      <c r="AC39" s="60"/>
      <c r="AD39" s="51"/>
      <c r="AE39" s="51"/>
      <c r="AF39" s="51"/>
      <c r="AG39" s="51"/>
      <c r="AH39" s="51"/>
      <c r="AI39" s="51"/>
      <c r="AJ39" s="51"/>
      <c r="AK39" s="51"/>
      <c r="AL39" s="5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3"/>
      <c r="Q40" s="54"/>
      <c r="R40" s="54"/>
      <c r="S40" s="54"/>
      <c r="T40" s="54"/>
      <c r="U40" s="54"/>
      <c r="V40" s="54"/>
      <c r="W40" s="51"/>
      <c r="X40" s="51"/>
      <c r="Y40" s="51"/>
      <c r="Z40" s="51"/>
      <c r="AA40" s="51"/>
      <c r="AB40" s="51"/>
      <c r="AC40" s="51"/>
      <c r="AD40" s="51"/>
      <c r="AE40" s="5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3"/>
      <c r="Q41" s="54"/>
      <c r="R41" s="54"/>
      <c r="S41" s="54"/>
      <c r="T41" s="54"/>
      <c r="U41" s="54"/>
      <c r="V41" s="54"/>
      <c r="W41" s="51"/>
      <c r="X41" s="51"/>
      <c r="Y41" s="51"/>
      <c r="Z41" s="51"/>
      <c r="AA41" s="51"/>
      <c r="AB41" s="51"/>
      <c r="AC41" s="51"/>
      <c r="AD41" s="51"/>
      <c r="AE41" s="5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9"/>
      <c r="Q42" s="60"/>
      <c r="R42" s="60"/>
      <c r="S42" s="60"/>
      <c r="T42" s="60"/>
      <c r="U42" s="60"/>
      <c r="V42" s="60"/>
      <c r="W42" s="51"/>
      <c r="X42" s="51"/>
      <c r="Y42" s="51"/>
      <c r="Z42" s="5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64"/>
      <c r="W43" s="51"/>
      <c r="X43" s="5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51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51"/>
      <c r="BA47" s="51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51"/>
      <c r="BA48" s="51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51"/>
      <c r="BA49" s="51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8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0" t="s">
        <v>19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</row>
    <row r="55" spans="1:79" ht="15" customHeight="1" x14ac:dyDescent="0.2">
      <c r="A55" s="48" t="s">
        <v>51</v>
      </c>
      <c r="B55" s="48"/>
      <c r="C55" s="48"/>
      <c r="D55" s="48"/>
      <c r="E55" s="48"/>
      <c r="F55" s="48" t="str">
        <f>IF('Event Tree Input'!D9="Seismic Hazard","Yes","No")</f>
        <v>No</v>
      </c>
      <c r="G55" s="48"/>
      <c r="I55" s="39" t="s">
        <v>17</v>
      </c>
      <c r="J55" s="39"/>
      <c r="K55" s="48" t="s">
        <v>23</v>
      </c>
      <c r="L55" s="48"/>
      <c r="M55" s="48"/>
      <c r="N55" s="48" t="s">
        <v>24</v>
      </c>
      <c r="O55" s="48"/>
      <c r="P55" s="48"/>
    </row>
    <row r="56" spans="1:79" ht="15" customHeight="1" x14ac:dyDescent="0.2">
      <c r="I56" s="39"/>
      <c r="J56" s="39"/>
      <c r="K56" s="48" t="s">
        <v>22</v>
      </c>
      <c r="L56" s="48"/>
      <c r="M56" s="48"/>
      <c r="N56" s="48" t="s">
        <v>22</v>
      </c>
      <c r="O56" s="48"/>
      <c r="P56" s="48"/>
      <c r="S56" s="48" t="s">
        <v>17</v>
      </c>
      <c r="T56" s="48"/>
      <c r="U56" s="48" t="s">
        <v>27</v>
      </c>
      <c r="V56" s="48"/>
      <c r="W56" s="48"/>
      <c r="X56" s="48" t="s">
        <v>29</v>
      </c>
      <c r="Y56" s="48"/>
      <c r="Z56" s="48"/>
    </row>
    <row r="57" spans="1:79" ht="15" customHeight="1" x14ac:dyDescent="0.2">
      <c r="I57" s="48">
        <v>1</v>
      </c>
      <c r="J57" s="48"/>
      <c r="K57" s="48" t="str">
        <f>'Event Tree Input'!B158</f>
        <v>Circle</v>
      </c>
      <c r="L57" s="48"/>
      <c r="M57" s="48"/>
      <c r="N57" s="48" t="str">
        <f>'Event Tree Input'!C158</f>
        <v>Triangle</v>
      </c>
      <c r="O57" s="48"/>
      <c r="P57" s="48"/>
      <c r="S57" s="48">
        <v>1</v>
      </c>
      <c r="T57" s="48"/>
      <c r="U57" s="48" t="str">
        <f>IF('Event Tree Input'!$D$14="No","No",IF(AND('Event Tree Input'!$D$14="Yes",'Event Tree Input'!$D$11&gt;=S57),"Yes","No"))</f>
        <v>No</v>
      </c>
      <c r="V57" s="48"/>
      <c r="W57" s="48"/>
      <c r="X57" s="48" t="str">
        <f>'Event Tree Input'!$D$13</f>
        <v>No</v>
      </c>
      <c r="Y57" s="48"/>
      <c r="Z57" s="48"/>
    </row>
    <row r="58" spans="1:79" ht="15" customHeight="1" x14ac:dyDescent="0.2">
      <c r="I58" s="48">
        <v>2</v>
      </c>
      <c r="J58" s="48"/>
      <c r="K58" s="48" t="str">
        <f>'Event Tree Input'!B159</f>
        <v>Circle</v>
      </c>
      <c r="L58" s="48"/>
      <c r="M58" s="48"/>
      <c r="N58" s="48" t="str">
        <f>'Event Tree Input'!C159</f>
        <v>Triangle</v>
      </c>
      <c r="O58" s="48"/>
      <c r="P58" s="48"/>
      <c r="S58" s="48">
        <v>2</v>
      </c>
      <c r="T58" s="48"/>
      <c r="U58" s="48" t="str">
        <f>IF('Event Tree Input'!$D$14="No","No",IF(AND('Event Tree Input'!$D$14="Yes",'Event Tree Input'!$D$11&gt;=S58),"Yes","No"))</f>
        <v>No</v>
      </c>
      <c r="V58" s="48"/>
      <c r="W58" s="48"/>
      <c r="X58" s="48" t="str">
        <f>'Event Tree Input'!$D$13</f>
        <v>No</v>
      </c>
      <c r="Y58" s="48"/>
      <c r="Z58" s="48"/>
    </row>
    <row r="59" spans="1:79" ht="15" customHeight="1" x14ac:dyDescent="0.2">
      <c r="I59" s="48">
        <v>3</v>
      </c>
      <c r="J59" s="48"/>
      <c r="K59" s="48" t="str">
        <f>'Event Tree Input'!B160</f>
        <v>Circle</v>
      </c>
      <c r="L59" s="48"/>
      <c r="M59" s="48"/>
      <c r="N59" s="48" t="str">
        <f>'Event Tree Input'!C160</f>
        <v>Triangle</v>
      </c>
      <c r="O59" s="48"/>
      <c r="P59" s="48"/>
      <c r="S59" s="48">
        <v>3</v>
      </c>
      <c r="T59" s="48"/>
      <c r="U59" s="48" t="str">
        <f>IF('Event Tree Input'!$D$14="No","No",IF(AND('Event Tree Input'!$D$14="Yes",'Event Tree Input'!$D$11&gt;=S59),"Yes","No"))</f>
        <v>No</v>
      </c>
      <c r="V59" s="48"/>
      <c r="W59" s="48"/>
      <c r="X59" s="48" t="str">
        <f>'Event Tree Input'!$D$13</f>
        <v>No</v>
      </c>
      <c r="Y59" s="48"/>
      <c r="Z59" s="48"/>
    </row>
    <row r="60" spans="1:79" ht="15" customHeight="1" x14ac:dyDescent="0.2">
      <c r="I60" s="48">
        <v>4</v>
      </c>
      <c r="J60" s="48"/>
      <c r="K60" s="48" t="str">
        <f>'Event Tree Input'!B161</f>
        <v>Triangle</v>
      </c>
      <c r="L60" s="48"/>
      <c r="M60" s="48"/>
      <c r="N60" s="48" t="str">
        <f>'Event Tree Input'!C161</f>
        <v>Triangle</v>
      </c>
      <c r="O60" s="48"/>
      <c r="P60" s="48"/>
      <c r="S60" s="48">
        <v>4</v>
      </c>
      <c r="T60" s="48"/>
      <c r="U60" s="48" t="str">
        <f>IF('Event Tree Input'!$D$14="No","No",IF(AND('Event Tree Input'!$D$14="Yes",'Event Tree Input'!$D$11&gt;=S60),"Yes","No"))</f>
        <v>No</v>
      </c>
      <c r="V60" s="48"/>
      <c r="W60" s="48"/>
      <c r="X60" s="48" t="str">
        <f>'Event Tree Input'!$D$13</f>
        <v>No</v>
      </c>
      <c r="Y60" s="48"/>
      <c r="Z60" s="48"/>
    </row>
    <row r="61" spans="1:79" ht="15" customHeight="1" x14ac:dyDescent="0.2">
      <c r="I61" s="48">
        <v>5</v>
      </c>
      <c r="J61" s="48"/>
      <c r="K61" s="48" t="str">
        <f>'Event Tree Input'!B162</f>
        <v/>
      </c>
      <c r="L61" s="48"/>
      <c r="M61" s="48"/>
      <c r="N61" s="48" t="str">
        <f>'Event Tree Input'!C162</f>
        <v/>
      </c>
      <c r="O61" s="48"/>
      <c r="P61" s="48"/>
      <c r="S61" s="48">
        <v>5</v>
      </c>
      <c r="T61" s="48"/>
      <c r="U61" s="48" t="str">
        <f>IF('Event Tree Input'!$D$14="No","No",IF(AND('Event Tree Input'!$D$14="Yes",'Event Tree Input'!$D$11&gt;=S61),"Yes","No"))</f>
        <v>No</v>
      </c>
      <c r="V61" s="48"/>
      <c r="W61" s="48"/>
      <c r="X61" s="48" t="str">
        <f>'Event Tree Input'!$D$13</f>
        <v>No</v>
      </c>
      <c r="Y61" s="48"/>
      <c r="Z61" s="48"/>
    </row>
    <row r="62" spans="1:79" ht="15" customHeight="1" x14ac:dyDescent="0.2">
      <c r="I62" s="48">
        <v>6</v>
      </c>
      <c r="J62" s="48"/>
      <c r="K62" s="48" t="str">
        <f>'Event Tree Input'!B163</f>
        <v/>
      </c>
      <c r="L62" s="48"/>
      <c r="M62" s="48"/>
      <c r="N62" s="48" t="str">
        <f>'Event Tree Input'!C163</f>
        <v/>
      </c>
      <c r="O62" s="48"/>
      <c r="P62" s="48"/>
      <c r="S62" s="48">
        <v>6</v>
      </c>
      <c r="T62" s="48"/>
      <c r="U62" s="48" t="str">
        <f>IF('Event Tree Input'!$D$14="No","No",IF(AND('Event Tree Input'!$D$14="Yes",'Event Tree Input'!$D$11&gt;=S62),"Yes","No"))</f>
        <v>No</v>
      </c>
      <c r="V62" s="48"/>
      <c r="W62" s="48"/>
      <c r="X62" s="48" t="str">
        <f>'Event Tree Input'!$D$13</f>
        <v>No</v>
      </c>
      <c r="Y62" s="48"/>
      <c r="Z62" s="48"/>
    </row>
    <row r="63" spans="1:79" ht="15" customHeight="1" x14ac:dyDescent="0.2">
      <c r="I63" s="48">
        <v>7</v>
      </c>
      <c r="J63" s="48"/>
      <c r="K63" s="48" t="str">
        <f>'Event Tree Input'!B164</f>
        <v/>
      </c>
      <c r="L63" s="48"/>
      <c r="M63" s="48"/>
      <c r="N63" s="48" t="str">
        <f>'Event Tree Input'!C164</f>
        <v/>
      </c>
      <c r="O63" s="48"/>
      <c r="P63" s="48"/>
      <c r="S63" s="48">
        <v>7</v>
      </c>
      <c r="T63" s="48"/>
      <c r="U63" s="48" t="str">
        <f>IF('Event Tree Input'!$D$14="No","No",IF(AND('Event Tree Input'!$D$14="Yes",'Event Tree Input'!$D$11&gt;=S63),"Yes","No"))</f>
        <v>No</v>
      </c>
      <c r="V63" s="48"/>
      <c r="W63" s="48"/>
      <c r="X63" s="48" t="str">
        <f>'Event Tree Input'!$D$13</f>
        <v>No</v>
      </c>
      <c r="Y63" s="48"/>
      <c r="Z63" s="48"/>
    </row>
    <row r="64" spans="1:79" ht="15" customHeight="1" x14ac:dyDescent="0.2">
      <c r="I64" s="48">
        <v>8</v>
      </c>
      <c r="J64" s="48"/>
      <c r="K64" s="48" t="str">
        <f>'Event Tree Input'!B165</f>
        <v/>
      </c>
      <c r="L64" s="48"/>
      <c r="M64" s="48"/>
      <c r="N64" s="48" t="str">
        <f>'Event Tree Input'!C165</f>
        <v/>
      </c>
      <c r="O64" s="48"/>
      <c r="P64" s="48"/>
      <c r="S64" s="48">
        <v>8</v>
      </c>
      <c r="T64" s="48"/>
      <c r="U64" s="48" t="str">
        <f>IF('Event Tree Input'!$D$14="No","No",IF(AND('Event Tree Input'!$D$14="Yes",'Event Tree Input'!$D$11&gt;=S64),"Yes","No"))</f>
        <v>No</v>
      </c>
      <c r="V64" s="48"/>
      <c r="W64" s="48"/>
      <c r="X64" s="48" t="str">
        <f>'Event Tree Input'!$D$13</f>
        <v>No</v>
      </c>
      <c r="Y64" s="48"/>
      <c r="Z64" s="48"/>
    </row>
    <row r="65" spans="2:26" ht="15" customHeight="1" x14ac:dyDescent="0.2">
      <c r="I65" s="48">
        <v>9</v>
      </c>
      <c r="J65" s="48"/>
      <c r="K65" s="48" t="str">
        <f>'Event Tree Input'!B166</f>
        <v/>
      </c>
      <c r="L65" s="48"/>
      <c r="M65" s="48"/>
      <c r="N65" s="48" t="str">
        <f>'Event Tree Input'!C166</f>
        <v/>
      </c>
      <c r="O65" s="48"/>
      <c r="P65" s="48"/>
      <c r="S65" s="48">
        <v>9</v>
      </c>
      <c r="T65" s="48"/>
      <c r="U65" s="48" t="str">
        <f>IF('Event Tree Input'!$D$14="No","No",IF(AND('Event Tree Input'!$D$14="Yes",'Event Tree Input'!$D$11&gt;=S65),"Yes","No"))</f>
        <v>No</v>
      </c>
      <c r="V65" s="48"/>
      <c r="W65" s="48"/>
      <c r="X65" s="48" t="str">
        <f>'Event Tree Input'!$D$13</f>
        <v>No</v>
      </c>
      <c r="Y65" s="48"/>
      <c r="Z65" s="48"/>
    </row>
    <row r="67" spans="2:26" ht="15" customHeight="1" x14ac:dyDescent="0.2">
      <c r="B67" s="3" t="s">
        <v>37</v>
      </c>
      <c r="M67" s="23"/>
      <c r="N67" s="23"/>
      <c r="O67" s="23"/>
    </row>
    <row r="68" spans="2:26" ht="15" customHeight="1" x14ac:dyDescent="0.2">
      <c r="B68" s="47">
        <f>'Event Tree Input'!A27</f>
        <v>0</v>
      </c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27"/>
    </row>
    <row r="69" spans="2:26" ht="15" customHeight="1" x14ac:dyDescent="0.2"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27"/>
    </row>
    <row r="70" spans="2:26" ht="15" customHeight="1" x14ac:dyDescent="0.2"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27"/>
      <c r="X70" s="28"/>
      <c r="Y70" s="27"/>
    </row>
    <row r="71" spans="2:26" ht="15" customHeight="1" x14ac:dyDescent="0.2"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27"/>
      <c r="X71" s="28"/>
      <c r="Y71" s="27"/>
    </row>
    <row r="72" spans="2:26" ht="15" customHeight="1" x14ac:dyDescent="0.2"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27"/>
      <c r="X72" s="28"/>
      <c r="Y72" s="27"/>
    </row>
    <row r="73" spans="2:26" ht="15" customHeight="1" x14ac:dyDescent="0.2"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27"/>
      <c r="X73" s="28"/>
      <c r="Y73" s="27"/>
    </row>
    <row r="74" spans="2:26" ht="15" customHeight="1" x14ac:dyDescent="0.2"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8"/>
      <c r="Y74" s="27"/>
    </row>
    <row r="75" spans="2:26" ht="15" customHeight="1" x14ac:dyDescent="0.2">
      <c r="B75" s="3" t="s">
        <v>38</v>
      </c>
      <c r="M75" s="23"/>
      <c r="N75" s="23"/>
      <c r="O75" s="23"/>
      <c r="W75" s="27"/>
      <c r="X75" s="27"/>
      <c r="Y75" s="27"/>
    </row>
    <row r="76" spans="2:26" ht="15" customHeight="1" x14ac:dyDescent="0.2">
      <c r="B76" s="47">
        <f>'Event Tree Input'!A41</f>
        <v>0</v>
      </c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2:26" ht="15" customHeight="1" x14ac:dyDescent="0.2"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28"/>
      <c r="X77" s="28"/>
    </row>
    <row r="78" spans="2:26" ht="15" customHeight="1" x14ac:dyDescent="0.2"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28"/>
      <c r="X78" s="28"/>
    </row>
    <row r="79" spans="2:26" ht="15" customHeight="1" x14ac:dyDescent="0.2"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28"/>
      <c r="X79" s="28"/>
    </row>
    <row r="80" spans="2:26" ht="15" customHeight="1" x14ac:dyDescent="0.2"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28"/>
      <c r="X80" s="28"/>
    </row>
    <row r="81" spans="2:24" ht="15" customHeight="1" x14ac:dyDescent="0.2"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28"/>
      <c r="X81" s="28"/>
    </row>
    <row r="83" spans="2:24" ht="15" customHeight="1" x14ac:dyDescent="0.2">
      <c r="B83" s="3" t="s">
        <v>39</v>
      </c>
      <c r="M83" s="23"/>
      <c r="N83" s="23"/>
      <c r="O83" s="23"/>
    </row>
    <row r="84" spans="2:24" ht="15" customHeight="1" x14ac:dyDescent="0.2">
      <c r="B84" s="47">
        <f>'Event Tree Input'!A55</f>
        <v>0</v>
      </c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2:24" ht="15" customHeight="1" x14ac:dyDescent="0.2"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2:24" ht="15" customHeight="1" x14ac:dyDescent="0.2"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2:24" ht="15" customHeight="1" x14ac:dyDescent="0.2"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2:24" ht="15" customHeight="1" x14ac:dyDescent="0.2"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2:24" ht="15" customHeight="1" x14ac:dyDescent="0.2"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1" spans="2:24" ht="15" customHeight="1" x14ac:dyDescent="0.2">
      <c r="B91" s="3" t="s">
        <v>40</v>
      </c>
      <c r="M91" s="23"/>
      <c r="N91" s="23"/>
      <c r="O91" s="23"/>
    </row>
    <row r="92" spans="2:24" ht="15" customHeight="1" x14ac:dyDescent="0.2">
      <c r="B92" s="47">
        <f>'Event Tree Input'!A69</f>
        <v>0</v>
      </c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2:24" ht="15" customHeight="1" x14ac:dyDescent="0.2"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2:24" ht="15" customHeight="1" x14ac:dyDescent="0.2"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2:24" ht="15" customHeight="1" x14ac:dyDescent="0.2"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2:24" ht="15" customHeight="1" x14ac:dyDescent="0.2"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2:22" ht="15" customHeight="1" x14ac:dyDescent="0.2"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9" spans="2:22" ht="15" customHeight="1" x14ac:dyDescent="0.2">
      <c r="B99" s="3" t="s">
        <v>41</v>
      </c>
      <c r="M99" s="23"/>
      <c r="N99" s="23"/>
      <c r="O99" s="23"/>
    </row>
    <row r="100" spans="2:22" ht="15" customHeight="1" x14ac:dyDescent="0.2">
      <c r="B100" s="47">
        <f>'Event Tree Input'!A83</f>
        <v>0</v>
      </c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2:22" ht="15" customHeight="1" x14ac:dyDescent="0.2"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2:22" ht="15" customHeight="1" x14ac:dyDescent="0.2"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2:22" ht="15" customHeight="1" x14ac:dyDescent="0.2"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2:22" ht="15" customHeight="1" x14ac:dyDescent="0.2"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2:22" ht="15" customHeight="1" x14ac:dyDescent="0.2"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7" spans="2:22" ht="15" customHeight="1" x14ac:dyDescent="0.2">
      <c r="B107" s="3" t="s">
        <v>42</v>
      </c>
      <c r="M107" s="23"/>
      <c r="N107" s="23"/>
      <c r="O107" s="23"/>
    </row>
    <row r="108" spans="2:22" ht="15" customHeight="1" x14ac:dyDescent="0.2">
      <c r="B108" s="47">
        <f>'Event Tree Input'!A97</f>
        <v>0</v>
      </c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2:22" ht="15" customHeight="1" x14ac:dyDescent="0.2"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2:22" ht="15" customHeight="1" x14ac:dyDescent="0.2"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2:22" ht="15" customHeight="1" x14ac:dyDescent="0.2"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2:22" ht="15" customHeight="1" x14ac:dyDescent="0.2"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2:22" ht="15" customHeight="1" x14ac:dyDescent="0.2"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5" spans="2:22" ht="15" customHeight="1" x14ac:dyDescent="0.2">
      <c r="B115" s="3" t="s">
        <v>43</v>
      </c>
      <c r="M115" s="23"/>
      <c r="N115" s="23"/>
      <c r="O115" s="23"/>
    </row>
    <row r="116" spans="2:22" ht="15" customHeight="1" x14ac:dyDescent="0.2">
      <c r="B116" s="47">
        <f>'Event Tree Input'!A111</f>
        <v>0</v>
      </c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2:22" ht="15" customHeight="1" x14ac:dyDescent="0.2"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2:22" ht="15" customHeight="1" x14ac:dyDescent="0.2"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2:22" ht="15" customHeight="1" x14ac:dyDescent="0.2"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2:22" ht="15" customHeight="1" x14ac:dyDescent="0.2"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2:22" ht="15" customHeight="1" x14ac:dyDescent="0.2"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3" spans="2:22" ht="15" customHeight="1" x14ac:dyDescent="0.2">
      <c r="B123" s="3" t="s">
        <v>44</v>
      </c>
      <c r="M123" s="23"/>
      <c r="N123" s="23"/>
      <c r="O123" s="23"/>
    </row>
    <row r="124" spans="2:22" ht="15" customHeight="1" x14ac:dyDescent="0.2">
      <c r="B124" s="47">
        <f>'Event Tree Input'!A125</f>
        <v>0</v>
      </c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2:22" ht="15" customHeight="1" x14ac:dyDescent="0.2"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2:22" ht="15" customHeight="1" x14ac:dyDescent="0.2"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2:22" ht="15" customHeight="1" x14ac:dyDescent="0.2"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2:22" ht="15" customHeight="1" x14ac:dyDescent="0.2"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2:22" ht="15" customHeight="1" x14ac:dyDescent="0.2"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1" spans="2:22" ht="15" customHeight="1" x14ac:dyDescent="0.2">
      <c r="B131" s="3" t="s">
        <v>45</v>
      </c>
      <c r="M131" s="23"/>
      <c r="N131" s="23"/>
      <c r="O131" s="23"/>
    </row>
    <row r="132" spans="2:22" ht="15" customHeight="1" x14ac:dyDescent="0.2">
      <c r="B132" s="47">
        <f>'Event Tree Input'!A139</f>
        <v>0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2:22" ht="15" customHeight="1" x14ac:dyDescent="0.2"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2:22" ht="15" customHeight="1" x14ac:dyDescent="0.2"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2:22" ht="15" customHeight="1" x14ac:dyDescent="0.2"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2:22" ht="15" customHeight="1" x14ac:dyDescent="0.2"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2:22" ht="15" customHeight="1" x14ac:dyDescent="0.2"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</sheetData>
  <mergeCells count="91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R27:AS28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AR26:AR27 AR29:AR30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4E6E552-B186-488F-BCBB-3FE56DD5A287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a8f80ecd-cddb-46c8-b263-c25672b580c6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f254aa9d-3c64-433e-b325-d6b94ca3f691"/>
  </ds:schemaRefs>
</ds:datastoreItem>
</file>

<file path=customXml/itemProps2.xml><?xml version="1.0" encoding="utf-8"?>
<ds:datastoreItem xmlns:ds="http://schemas.openxmlformats.org/officeDocument/2006/customXml" ds:itemID="{377834EC-749C-4A90-A5E7-C46910D4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6B08B3-A152-4781-B0BA-07B0C3EB89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2025-09-04T01:11:13Z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