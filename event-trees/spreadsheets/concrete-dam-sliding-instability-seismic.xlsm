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7A710082-2E0D-48F8-8F20-55632A8CAC4B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Tree'!$V$56</definedName>
    <definedName name="Cont_Reference">#REF!</definedName>
    <definedName name="N1B1Shape">'Event Tree'!$K$58</definedName>
    <definedName name="N1B2Shape">'Event Tree'!$N$58</definedName>
    <definedName name="N1Call">'Event Tree'!$U$58</definedName>
    <definedName name="N1CallText">'Event Tree'!$B$69</definedName>
    <definedName name="N1Name">'Event Tree'!$X$58</definedName>
    <definedName name="N2B1Shape">'Event Tree'!$K$59</definedName>
    <definedName name="N2B2Shape">'Event Tree'!$N$59</definedName>
    <definedName name="N2Call">'Event Tree'!$U$59</definedName>
    <definedName name="N2CallText">'Event Tree'!$B$77</definedName>
    <definedName name="N2Name">'Event Tree'!$X$59</definedName>
    <definedName name="N3B1Shape">'Event Tree'!$K$60</definedName>
    <definedName name="N3B2Shape">'Event Tree'!$N$60</definedName>
    <definedName name="N3Call">'Event Tree'!$U$60</definedName>
    <definedName name="N3CallText">'Event Tree'!$B$85</definedName>
    <definedName name="N3Name">'Event Tree'!$X$60</definedName>
    <definedName name="N4B1Shape">'Event Tree'!$K$61</definedName>
    <definedName name="N4B2Shape">'Event Tree'!$N$61</definedName>
    <definedName name="N4Call">'Event Tree'!$U$61</definedName>
    <definedName name="N4CallText">'Event Tree'!$B$93</definedName>
    <definedName name="N4Name">'Event Tree'!$X$61</definedName>
    <definedName name="N5B1Shape">'Event Tree'!$K$62</definedName>
    <definedName name="N5B2Shape">'Event Tree'!$N$62</definedName>
    <definedName name="N5Call">'Event Tree'!$U$62</definedName>
    <definedName name="N5CallText">'Event Tree'!$B$101</definedName>
    <definedName name="N5Name">'Event Tree'!$X$62</definedName>
    <definedName name="N6B1Shape">'Event Tree'!$K$63</definedName>
    <definedName name="N6B2Shape">'Event Tree'!$N$63</definedName>
    <definedName name="N6Call">'Event Tree'!$U$63</definedName>
    <definedName name="N6CallText">'Event Tree'!$B$109</definedName>
    <definedName name="N6Name">'Event Tree'!$X$63</definedName>
    <definedName name="N7B1Shape">'Event Tree'!$K$64</definedName>
    <definedName name="N7B2Shape">'Event Tree'!$N$64</definedName>
    <definedName name="N7Call">'Event Tree'!$U$64</definedName>
    <definedName name="N7CallText">'Event Tree'!$B$117</definedName>
    <definedName name="N7Name">'Event Tree'!$X$64</definedName>
    <definedName name="N8B1Shape">'Event Tree'!$K$65</definedName>
    <definedName name="N8B2Shape">'Event Tree'!$N$65</definedName>
    <definedName name="N8Call">'Event Tree'!$U$65</definedName>
    <definedName name="N8CallText">'Event Tree'!$B$125</definedName>
    <definedName name="N8Name">'Event Tree'!$X$65</definedName>
    <definedName name="N9B1Shape">'Event Tree'!$K$66</definedName>
    <definedName name="N9B2Shape">'Event Tree'!$N$66</definedName>
    <definedName name="N9Call">'Event Tree'!$U$66</definedName>
    <definedName name="N9CallText">'Event Tree'!$B$133</definedName>
    <definedName name="N9Name">'Event Tree'!$X$66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Tree'!$F$56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" i="14" l="1"/>
  <c r="F56" i="14"/>
  <c r="B133" i="14" l="1"/>
  <c r="B125" i="14"/>
  <c r="B117" i="14"/>
  <c r="B109" i="14"/>
  <c r="B101" i="14"/>
  <c r="B93" i="14"/>
  <c r="B85" i="14"/>
  <c r="B77" i="14"/>
  <c r="B69" i="14" l="1"/>
  <c r="X59" i="14" l="1"/>
  <c r="X60" i="14"/>
  <c r="X61" i="14"/>
  <c r="X62" i="14"/>
  <c r="X63" i="14"/>
  <c r="X64" i="14"/>
  <c r="X65" i="14"/>
  <c r="X66" i="14"/>
  <c r="X58" i="14"/>
  <c r="U59" i="14" l="1"/>
  <c r="U60" i="14"/>
  <c r="U61" i="14"/>
  <c r="U62" i="14"/>
  <c r="U63" i="14"/>
  <c r="U64" i="14"/>
  <c r="U65" i="14"/>
  <c r="U66" i="14"/>
  <c r="U58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5" i="14" l="1"/>
  <c r="N66" i="14"/>
  <c r="K64" i="14"/>
  <c r="N65" i="14"/>
  <c r="K63" i="14"/>
  <c r="N64" i="14"/>
  <c r="K62" i="14"/>
  <c r="N63" i="14"/>
  <c r="K61" i="14"/>
  <c r="N62" i="14"/>
  <c r="K60" i="14"/>
  <c r="N61" i="14"/>
  <c r="K58" i="14"/>
  <c r="K59" i="14"/>
  <c r="N60" i="14"/>
  <c r="K66" i="14"/>
  <c r="N58" i="14"/>
  <c r="N59" i="14"/>
</calcChain>
</file>

<file path=xl/sharedStrings.xml><?xml version="1.0" encoding="utf-8"?>
<sst xmlns="http://schemas.openxmlformats.org/spreadsheetml/2006/main" count="155" uniqueCount="88">
  <si>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</si>
  <si>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</si>
  <si>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</si>
  <si>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</si>
  <si>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</si>
  <si>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</si>
  <si>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</si>
  <si>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</si>
  <si>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</si>
  <si>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</si>
  <si>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</si>
  <si>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</si>
  <si>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</si>
  <si>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</si>
  <si>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</si>
  <si>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</si>
  <si>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</si>
  <si>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</si>
  <si>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</si>
  <si>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</si>
  <si>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</si>
  <si>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</si>
  <si>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</si>
  <si>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</si>
  <si>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</si>
  <si>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</si>
  <si>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</si>
  <si>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</si>
  <si>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</si>
  <si>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</si>
  <si>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</si>
  <si>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</si>
  <si>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</si>
  <si>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</si>
  <si>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</si>
  <si>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</si>
  <si>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</si>
  <si>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</si>
  <si>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</si>
  <si>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</si>
  <si>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</si>
  <si>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</si>
  <si>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</si>
  <si>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</si>
  <si>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</si>
  <si>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</si>
  <si>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</si>
  <si>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</si>
  <si>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</si>
  <si>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</si>
  <si>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</si>
  <si>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</si>
  <si>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</si>
  <si>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</si>
  <si>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</si>
  <si>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</si>
  <si>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</si>
  <si>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</si>
  <si>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</si>
  <si>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</si>
  <si>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</si>
  <si>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</si>
  <si>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</si>
  <si>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</si>
  <si>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</si>
  <si>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</si>
  <si>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</si>
  <si>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</si>
  <si>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Initiation: Geometric Condition</t>
  </si>
  <si>
    <t>Continuous susceptibility to internal erosion exists?</t>
  </si>
  <si>
    <t>Initiation: Hydraulic Condition</t>
  </si>
  <si>
    <t>Hydraulic condition for initiation of erosion exists?</t>
  </si>
  <si>
    <t>Continuation</t>
  </si>
  <si>
    <t>An unfiltered seepage exit exists allowing erosion to continue?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</si>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</sst>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77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5" fillId="2" borderId="0" xfId="2" applyFont="1" applyFill="1"/>
    <xf numFmtId="0" fontId="1" fillId="0" borderId="0" xfId="0" applyFont="1"/>
    <xf numFmtId="0" fontId="2" fillId="0" borderId="0" xfId="2" applyFont="1" applyAlignment="1">
      <alignment horizontal="left"/>
    </xf>
    <xf numFmtId="0" fontId="4" fillId="0" borderId="0" xfId="0" applyFont="1" applyAlignment="1">
      <alignment vertical="center"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1" fillId="0" borderId="0" xfId="2" applyAlignment="1">
      <alignment wrapText="1"/>
    </xf>
    <xf numFmtId="0" fontId="4" fillId="0" borderId="1" xfId="0" applyFont="1" applyBorder="1"/>
    <xf numFmtId="0" fontId="2" fillId="0" borderId="2" xfId="2" applyFont="1" applyBorder="1" applyAlignment="1">
      <alignment horizontal="left"/>
    </xf>
    <xf numFmtId="0" fontId="1" fillId="0" borderId="2" xfId="2" applyBorder="1"/>
    <xf numFmtId="0" fontId="4" fillId="0" borderId="2" xfId="0" applyFont="1" applyBorder="1"/>
    <xf numFmtId="0" fontId="2" fillId="0" borderId="3" xfId="2" applyFont="1" applyBorder="1" applyAlignment="1">
      <alignment horizontal="left"/>
    </xf>
    <xf numFmtId="0" fontId="2" fillId="0" borderId="1" xfId="2" applyFont="1" applyBorder="1" applyAlignment="1">
      <alignment horizontal="left"/>
    </xf>
    <xf numFmtId="0" fontId="4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5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4" fillId="0" borderId="0" xfId="0" applyFont="1" applyAlignment="1">
      <alignment horizontal="center" vertical="center"/>
    </xf>
    <xf numFmtId="0" fontId="4" fillId="0" borderId="4" xfId="0" applyFont="1" applyBorder="1"/>
    <xf numFmtId="0" fontId="4" fillId="0" borderId="7" xfId="0" applyFont="1" applyBorder="1" applyAlignment="1">
      <alignment wrapText="1"/>
    </xf>
    <xf numFmtId="0" fontId="4" fillId="0" borderId="7" xfId="0" applyFont="1" applyBorder="1"/>
    <xf numFmtId="0" fontId="4" fillId="0" borderId="2" xfId="0" applyFont="1" applyBorder="1" applyAlignment="1">
      <alignment vertical="top" wrapText="1"/>
    </xf>
    <xf numFmtId="0" fontId="4" fillId="0" borderId="3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top" wrapText="1"/>
    </xf>
    <xf numFmtId="0" fontId="1" fillId="0" borderId="0" xfId="2" applyAlignment="1">
      <alignment vertical="center" wrapText="1"/>
    </xf>
    <xf numFmtId="0" fontId="4" fillId="0" borderId="4" xfId="0" applyFont="1" applyBorder="1" applyAlignment="1">
      <alignment vertical="top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30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28575</xdr:colOff>
      <xdr:row>32</xdr:row>
      <xdr:rowOff>147491</xdr:rowOff>
    </xdr:from>
    <xdr:to>
      <xdr:col>11</xdr:col>
      <xdr:colOff>77110</xdr:colOff>
      <xdr:row>35</xdr:row>
      <xdr:rowOff>37943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850231" y="6243491"/>
          <a:ext cx="453348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33</xdr:row>
      <xdr:rowOff>52239</xdr:rowOff>
    </xdr:from>
    <xdr:to>
      <xdr:col>15</xdr:col>
      <xdr:colOff>138518</xdr:colOff>
      <xdr:row>34</xdr:row>
      <xdr:rowOff>136061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2897908" y="6338739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40408</xdr:colOff>
      <xdr:row>21</xdr:row>
      <xdr:rowOff>85578</xdr:rowOff>
    </xdr:from>
    <xdr:to>
      <xdr:col>22</xdr:col>
      <xdr:colOff>114706</xdr:colOff>
      <xdr:row>22</xdr:row>
      <xdr:rowOff>169400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4290939" y="4086078"/>
          <a:ext cx="276705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57077</xdr:colOff>
      <xdr:row>12</xdr:row>
      <xdr:rowOff>76053</xdr:rowOff>
    </xdr:from>
    <xdr:to>
      <xdr:col>29</xdr:col>
      <xdr:colOff>131375</xdr:colOff>
      <xdr:row>13</xdr:row>
      <xdr:rowOff>159875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5724452" y="2362053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43</xdr:col>
      <xdr:colOff>83270</xdr:colOff>
      <xdr:row>8</xdr:row>
      <xdr:rowOff>61765</xdr:rowOff>
    </xdr:from>
    <xdr:to>
      <xdr:col>44</xdr:col>
      <xdr:colOff>157568</xdr:colOff>
      <xdr:row>9</xdr:row>
      <xdr:rowOff>145587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8684345" y="1585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50</xdr:col>
      <xdr:colOff>64220</xdr:colOff>
      <xdr:row>5</xdr:row>
      <xdr:rowOff>52240</xdr:rowOff>
    </xdr:from>
    <xdr:to>
      <xdr:col>51</xdr:col>
      <xdr:colOff>138518</xdr:colOff>
      <xdr:row>6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77270</xdr:colOff>
      <xdr:row>8</xdr:row>
      <xdr:rowOff>55130</xdr:rowOff>
    </xdr:from>
    <xdr:to>
      <xdr:col>44</xdr:col>
      <xdr:colOff>97959</xdr:colOff>
      <xdr:row>9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34411</xdr:colOff>
      <xdr:row>50</xdr:row>
      <xdr:rowOff>67024</xdr:rowOff>
    </xdr:from>
    <xdr:to>
      <xdr:col>51</xdr:col>
      <xdr:colOff>55100</xdr:colOff>
      <xdr:row>51</xdr:row>
      <xdr:rowOff>142078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10133495" y="9613253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20467</xdr:colOff>
      <xdr:row>31</xdr:row>
      <xdr:rowOff>33337</xdr:rowOff>
    </xdr:from>
    <xdr:to>
      <xdr:col>21</xdr:col>
      <xdr:colOff>11906</xdr:colOff>
      <xdr:row>36</xdr:row>
      <xdr:rowOff>147637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258967" y="5938837"/>
          <a:ext cx="1003470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Base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plane cracks through?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171449</xdr:colOff>
      <xdr:row>5</xdr:row>
      <xdr:rowOff>114300</xdr:rowOff>
    </xdr:from>
    <xdr:to>
      <xdr:col>41</xdr:col>
      <xdr:colOff>83343</xdr:colOff>
      <xdr:row>16</xdr:row>
      <xdr:rowOff>107158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cxnSpLocks/>
          <a:endCxn id="82" idx="3"/>
        </xdr:cNvCxnSpPr>
      </xdr:nvCxnSpPr>
      <xdr:spPr>
        <a:xfrm rot="16200000" flipH="1">
          <a:off x="6384130" y="1254919"/>
          <a:ext cx="2088358" cy="1712119"/>
        </a:xfrm>
        <a:prstGeom prst="bentConnector4">
          <a:avLst>
            <a:gd name="adj1" fmla="val -10946"/>
            <a:gd name="adj2" fmla="val 113352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152399</xdr:colOff>
      <xdr:row>5</xdr:row>
      <xdr:rowOff>76199</xdr:rowOff>
    </xdr:from>
    <xdr:to>
      <xdr:col>28</xdr:col>
      <xdr:colOff>200024</xdr:colOff>
      <xdr:row>22</xdr:row>
      <xdr:rowOff>77390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cxnSpLocks/>
          <a:endCxn id="80" idx="3"/>
        </xdr:cNvCxnSpPr>
      </xdr:nvCxnSpPr>
      <xdr:spPr>
        <a:xfrm rot="16200000" flipH="1">
          <a:off x="2956916" y="1424582"/>
          <a:ext cx="3239691" cy="2447925"/>
        </a:xfrm>
        <a:prstGeom prst="bentConnector4">
          <a:avLst>
            <a:gd name="adj1" fmla="val -7056"/>
            <a:gd name="adj2" fmla="val 109339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95249</xdr:colOff>
      <xdr:row>6</xdr:row>
      <xdr:rowOff>9524</xdr:rowOff>
    </xdr:from>
    <xdr:to>
      <xdr:col>19</xdr:col>
      <xdr:colOff>95250</xdr:colOff>
      <xdr:row>26</xdr:row>
      <xdr:rowOff>142875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cxnSpLocks/>
          <a:endCxn id="78" idx="3"/>
        </xdr:cNvCxnSpPr>
      </xdr:nvCxnSpPr>
      <xdr:spPr>
        <a:xfrm rot="16200000" flipH="1">
          <a:off x="1123949" y="2324099"/>
          <a:ext cx="3943351" cy="1600201"/>
        </a:xfrm>
        <a:prstGeom prst="bentConnector4">
          <a:avLst>
            <a:gd name="adj1" fmla="val -5797"/>
            <a:gd name="adj2" fmla="val 114286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69059</xdr:colOff>
      <xdr:row>10</xdr:row>
      <xdr:rowOff>47552</xdr:rowOff>
    </xdr:from>
    <xdr:to>
      <xdr:col>51</xdr:col>
      <xdr:colOff>89748</xdr:colOff>
      <xdr:row>11</xdr:row>
      <xdr:rowOff>122605</xdr:rowOff>
    </xdr:to>
    <xdr:sp macro="" textlink="">
      <xdr:nvSpPr>
        <xdr:cNvPr id="35" name="N1B2Tri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 rot="16200000">
          <a:off x="10168143" y="1973781"/>
          <a:ext cx="265553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71440</xdr:colOff>
      <xdr:row>12</xdr:row>
      <xdr:rowOff>54697</xdr:rowOff>
    </xdr:from>
    <xdr:to>
      <xdr:col>51</xdr:col>
      <xdr:colOff>92129</xdr:colOff>
      <xdr:row>13</xdr:row>
      <xdr:rowOff>129750</xdr:rowOff>
    </xdr:to>
    <xdr:sp macro="" textlink="">
      <xdr:nvSpPr>
        <xdr:cNvPr id="36" name="N2B2Tri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 rot="16200000">
          <a:off x="10170524" y="2361926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51</xdr:col>
      <xdr:colOff>64220</xdr:colOff>
      <xdr:row>15</xdr:row>
      <xdr:rowOff>52240</xdr:rowOff>
    </xdr:from>
    <xdr:to>
      <xdr:col>52</xdr:col>
      <xdr:colOff>138518</xdr:colOff>
      <xdr:row>16</xdr:row>
      <xdr:rowOff>136062</xdr:rowOff>
    </xdr:to>
    <xdr:sp macro="" textlink="">
      <xdr:nvSpPr>
        <xdr:cNvPr id="49" name="N6Num" hidden="1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19</xdr:row>
      <xdr:rowOff>55130</xdr:rowOff>
    </xdr:from>
    <xdr:to>
      <xdr:col>44</xdr:col>
      <xdr:colOff>97959</xdr:colOff>
      <xdr:row>20</xdr:row>
      <xdr:rowOff>130184</xdr:rowOff>
    </xdr:to>
    <xdr:sp macro="" textlink="">
      <xdr:nvSpPr>
        <xdr:cNvPr id="50" name="N4B1Tri" hidden="1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35721</xdr:colOff>
      <xdr:row>21</xdr:row>
      <xdr:rowOff>42789</xdr:rowOff>
    </xdr:from>
    <xdr:to>
      <xdr:col>51</xdr:col>
      <xdr:colOff>56410</xdr:colOff>
      <xdr:row>22</xdr:row>
      <xdr:rowOff>117842</xdr:rowOff>
    </xdr:to>
    <xdr:sp macro="" textlink="">
      <xdr:nvSpPr>
        <xdr:cNvPr id="51" name="N2B2Tri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rot="16200000">
          <a:off x="10134805" y="4064518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24</xdr:row>
      <xdr:rowOff>52240</xdr:rowOff>
    </xdr:from>
    <xdr:to>
      <xdr:col>51</xdr:col>
      <xdr:colOff>138518</xdr:colOff>
      <xdr:row>25</xdr:row>
      <xdr:rowOff>136062</xdr:rowOff>
    </xdr:to>
    <xdr:sp macro="" textlink="">
      <xdr:nvSpPr>
        <xdr:cNvPr id="52" name="N6Num" hidden="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27</xdr:row>
      <xdr:rowOff>55130</xdr:rowOff>
    </xdr:from>
    <xdr:to>
      <xdr:col>44</xdr:col>
      <xdr:colOff>97959</xdr:colOff>
      <xdr:row>28</xdr:row>
      <xdr:rowOff>130184</xdr:rowOff>
    </xdr:to>
    <xdr:sp macro="" textlink="">
      <xdr:nvSpPr>
        <xdr:cNvPr id="53" name="N4B1Tri" hidden="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35722</xdr:colOff>
      <xdr:row>30</xdr:row>
      <xdr:rowOff>54696</xdr:rowOff>
    </xdr:from>
    <xdr:to>
      <xdr:col>51</xdr:col>
      <xdr:colOff>56411</xdr:colOff>
      <xdr:row>31</xdr:row>
      <xdr:rowOff>129749</xdr:rowOff>
    </xdr:to>
    <xdr:sp macro="" textlink="">
      <xdr:nvSpPr>
        <xdr:cNvPr id="54" name="N2B2Tri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 rot="16200000">
          <a:off x="10134806" y="5790925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32</xdr:row>
      <xdr:rowOff>52240</xdr:rowOff>
    </xdr:from>
    <xdr:to>
      <xdr:col>51</xdr:col>
      <xdr:colOff>138518</xdr:colOff>
      <xdr:row>33</xdr:row>
      <xdr:rowOff>136062</xdr:rowOff>
    </xdr:to>
    <xdr:sp macro="" textlink="">
      <xdr:nvSpPr>
        <xdr:cNvPr id="55" name="N6Num" hidden="1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35</xdr:row>
      <xdr:rowOff>55130</xdr:rowOff>
    </xdr:from>
    <xdr:to>
      <xdr:col>44</xdr:col>
      <xdr:colOff>97959</xdr:colOff>
      <xdr:row>36</xdr:row>
      <xdr:rowOff>130184</xdr:rowOff>
    </xdr:to>
    <xdr:sp macro="" textlink="">
      <xdr:nvSpPr>
        <xdr:cNvPr id="56" name="N4B1Tri" hidden="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35722</xdr:colOff>
      <xdr:row>39</xdr:row>
      <xdr:rowOff>66602</xdr:rowOff>
    </xdr:from>
    <xdr:to>
      <xdr:col>51</xdr:col>
      <xdr:colOff>56411</xdr:colOff>
      <xdr:row>40</xdr:row>
      <xdr:rowOff>141655</xdr:rowOff>
    </xdr:to>
    <xdr:sp macro="" textlink="">
      <xdr:nvSpPr>
        <xdr:cNvPr id="57" name="N2B2Tri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rot="16200000">
          <a:off x="10134806" y="7517331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40</xdr:row>
      <xdr:rowOff>52240</xdr:rowOff>
    </xdr:from>
    <xdr:to>
      <xdr:col>51</xdr:col>
      <xdr:colOff>138518</xdr:colOff>
      <xdr:row>41</xdr:row>
      <xdr:rowOff>136062</xdr:rowOff>
    </xdr:to>
    <xdr:sp macro="" textlink="">
      <xdr:nvSpPr>
        <xdr:cNvPr id="68" name="N6Num" hidden="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43</xdr:row>
      <xdr:rowOff>55130</xdr:rowOff>
    </xdr:from>
    <xdr:to>
      <xdr:col>44</xdr:col>
      <xdr:colOff>97959</xdr:colOff>
      <xdr:row>44</xdr:row>
      <xdr:rowOff>130184</xdr:rowOff>
    </xdr:to>
    <xdr:sp macro="" textlink="">
      <xdr:nvSpPr>
        <xdr:cNvPr id="69" name="N4B1Tri" hidden="1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99939</xdr:colOff>
      <xdr:row>17</xdr:row>
      <xdr:rowOff>71290</xdr:rowOff>
    </xdr:from>
    <xdr:to>
      <xdr:col>44</xdr:col>
      <xdr:colOff>174237</xdr:colOff>
      <xdr:row>18</xdr:row>
      <xdr:rowOff>155112</xdr:rowOff>
    </xdr:to>
    <xdr:sp macro="" textlink="">
      <xdr:nvSpPr>
        <xdr:cNvPr id="74" name="N5Num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8803408" y="3309790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21</xdr:col>
      <xdr:colOff>80889</xdr:colOff>
      <xdr:row>46</xdr:row>
      <xdr:rowOff>66528</xdr:rowOff>
    </xdr:from>
    <xdr:to>
      <xdr:col>22</xdr:col>
      <xdr:colOff>155186</xdr:colOff>
      <xdr:row>47</xdr:row>
      <xdr:rowOff>150350</xdr:rowOff>
    </xdr:to>
    <xdr:sp macro="" textlink="">
      <xdr:nvSpPr>
        <xdr:cNvPr id="75" name="N3Num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/>
        </xdr:cNvSpPr>
      </xdr:nvSpPr>
      <xdr:spPr>
        <a:xfrm>
          <a:off x="4331420" y="8829528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42788</xdr:colOff>
      <xdr:row>31</xdr:row>
      <xdr:rowOff>35571</xdr:rowOff>
    </xdr:from>
    <xdr:to>
      <xdr:col>29</xdr:col>
      <xdr:colOff>117086</xdr:colOff>
      <xdr:row>32</xdr:row>
      <xdr:rowOff>119393</xdr:rowOff>
    </xdr:to>
    <xdr:sp macro="" textlink="">
      <xdr:nvSpPr>
        <xdr:cNvPr id="76" name="N3Num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/>
        </xdr:cNvSpPr>
      </xdr:nvSpPr>
      <xdr:spPr>
        <a:xfrm>
          <a:off x="5710163" y="5941071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43</xdr:col>
      <xdr:colOff>73745</xdr:colOff>
      <xdr:row>35</xdr:row>
      <xdr:rowOff>33190</xdr:rowOff>
    </xdr:from>
    <xdr:to>
      <xdr:col>44</xdr:col>
      <xdr:colOff>148043</xdr:colOff>
      <xdr:row>36</xdr:row>
      <xdr:rowOff>117012</xdr:rowOff>
    </xdr:to>
    <xdr:sp macro="" textlink="">
      <xdr:nvSpPr>
        <xdr:cNvPr id="95" name="N5Num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/>
        </xdr:cNvSpPr>
      </xdr:nvSpPr>
      <xdr:spPr>
        <a:xfrm>
          <a:off x="8674820" y="67006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43</xdr:col>
      <xdr:colOff>73745</xdr:colOff>
      <xdr:row>43</xdr:row>
      <xdr:rowOff>80815</xdr:rowOff>
    </xdr:from>
    <xdr:to>
      <xdr:col>44</xdr:col>
      <xdr:colOff>148043</xdr:colOff>
      <xdr:row>44</xdr:row>
      <xdr:rowOff>164637</xdr:rowOff>
    </xdr:to>
    <xdr:sp macro="" textlink="">
      <xdr:nvSpPr>
        <xdr:cNvPr id="96" name="N5Num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/>
        </xdr:cNvSpPr>
      </xdr:nvSpPr>
      <xdr:spPr>
        <a:xfrm>
          <a:off x="8674820" y="82723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50</xdr:col>
      <xdr:colOff>41554</xdr:colOff>
      <xdr:row>41</xdr:row>
      <xdr:rowOff>52737</xdr:rowOff>
    </xdr:from>
    <xdr:to>
      <xdr:col>51</xdr:col>
      <xdr:colOff>62243</xdr:colOff>
      <xdr:row>42</xdr:row>
      <xdr:rowOff>127791</xdr:rowOff>
    </xdr:to>
    <xdr:sp macro="" textlink="">
      <xdr:nvSpPr>
        <xdr:cNvPr id="97" name="N5B1Tri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 rot="16200000">
          <a:off x="10140638" y="7884466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41553</xdr:colOff>
      <xdr:row>32</xdr:row>
      <xdr:rowOff>55118</xdr:rowOff>
    </xdr:from>
    <xdr:to>
      <xdr:col>51</xdr:col>
      <xdr:colOff>62242</xdr:colOff>
      <xdr:row>33</xdr:row>
      <xdr:rowOff>130172</xdr:rowOff>
    </xdr:to>
    <xdr:sp macro="" textlink="">
      <xdr:nvSpPr>
        <xdr:cNvPr id="98" name="N5B1Tri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 rot="16200000">
          <a:off x="10140637" y="6172347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39173</xdr:colOff>
      <xdr:row>23</xdr:row>
      <xdr:rowOff>52737</xdr:rowOff>
    </xdr:from>
    <xdr:to>
      <xdr:col>51</xdr:col>
      <xdr:colOff>59862</xdr:colOff>
      <xdr:row>24</xdr:row>
      <xdr:rowOff>127791</xdr:rowOff>
    </xdr:to>
    <xdr:sp macro="" textlink="">
      <xdr:nvSpPr>
        <xdr:cNvPr id="99" name="N5B1Tri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rot="16200000">
          <a:off x="10138257" y="4455466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72512</xdr:colOff>
      <xdr:row>14</xdr:row>
      <xdr:rowOff>55118</xdr:rowOff>
    </xdr:from>
    <xdr:to>
      <xdr:col>51</xdr:col>
      <xdr:colOff>93201</xdr:colOff>
      <xdr:row>15</xdr:row>
      <xdr:rowOff>130172</xdr:rowOff>
    </xdr:to>
    <xdr:sp macro="" textlink="">
      <xdr:nvSpPr>
        <xdr:cNvPr id="100" name="N5B1Tri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 rot="16200000">
          <a:off x="10171596" y="2743347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62984</xdr:colOff>
      <xdr:row>5</xdr:row>
      <xdr:rowOff>55118</xdr:rowOff>
    </xdr:from>
    <xdr:to>
      <xdr:col>51</xdr:col>
      <xdr:colOff>83673</xdr:colOff>
      <xdr:row>6</xdr:row>
      <xdr:rowOff>130172</xdr:rowOff>
    </xdr:to>
    <xdr:sp macro="" textlink="">
      <xdr:nvSpPr>
        <xdr:cNvPr id="101" name="N5B1Tri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 rot="16200000">
          <a:off x="10162068" y="1028847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22</xdr:col>
      <xdr:colOff>80962</xdr:colOff>
      <xdr:row>21</xdr:row>
      <xdr:rowOff>123825</xdr:rowOff>
    </xdr:from>
    <xdr:to>
      <xdr:col>32</xdr:col>
      <xdr:colOff>71437</xdr:colOff>
      <xdr:row>26</xdr:row>
      <xdr:rowOff>38101</xdr:rowOff>
    </xdr:to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4533900" y="4124325"/>
          <a:ext cx="2014537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Internal plane cracks through?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154780</xdr:colOff>
      <xdr:row>46</xdr:row>
      <xdr:rowOff>4761</xdr:rowOff>
    </xdr:from>
    <xdr:to>
      <xdr:col>31</xdr:col>
      <xdr:colOff>50006</xdr:colOff>
      <xdr:row>48</xdr:row>
      <xdr:rowOff>119063</xdr:rowOff>
    </xdr:to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4607718" y="8767761"/>
          <a:ext cx="1716882" cy="4953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Internal plane cracks through?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30</xdr:col>
      <xdr:colOff>33337</xdr:colOff>
      <xdr:row>11</xdr:row>
      <xdr:rowOff>176212</xdr:rowOff>
    </xdr:from>
    <xdr:to>
      <xdr:col>39</xdr:col>
      <xdr:colOff>130969</xdr:colOff>
      <xdr:row>15</xdr:row>
      <xdr:rowOff>107156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/>
      </xdr:nvSpPr>
      <xdr:spPr>
        <a:xfrm>
          <a:off x="6105525" y="2271712"/>
          <a:ext cx="1919288" cy="692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Additional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resistance from passive rock wedge and 3D effects?</a:t>
          </a:r>
        </a:p>
      </xdr:txBody>
    </xdr:sp>
    <xdr:clientData/>
  </xdr:twoCellAnchor>
  <xdr:twoCellAnchor>
    <xdr:from>
      <xdr:col>44</xdr:col>
      <xdr:colOff>157163</xdr:colOff>
      <xdr:row>43</xdr:row>
      <xdr:rowOff>4761</xdr:rowOff>
    </xdr:from>
    <xdr:to>
      <xdr:col>52</xdr:col>
      <xdr:colOff>147639</xdr:colOff>
      <xdr:row>46</xdr:row>
      <xdr:rowOff>52388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/>
      </xdr:nvSpPr>
      <xdr:spPr>
        <a:xfrm>
          <a:off x="9063038" y="8196261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61914</xdr:colOff>
      <xdr:row>40</xdr:row>
      <xdr:rowOff>140492</xdr:rowOff>
    </xdr:from>
    <xdr:to>
      <xdr:col>49</xdr:col>
      <xdr:colOff>107157</xdr:colOff>
      <xdr:row>42</xdr:row>
      <xdr:rowOff>95250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9170195" y="7760492"/>
          <a:ext cx="854868" cy="335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23</xdr:col>
      <xdr:colOff>45242</xdr:colOff>
      <xdr:row>42</xdr:row>
      <xdr:rowOff>133349</xdr:rowOff>
    </xdr:from>
    <xdr:to>
      <xdr:col>33</xdr:col>
      <xdr:colOff>178594</xdr:colOff>
      <xdr:row>44</xdr:row>
      <xdr:rowOff>114301</xdr:rowOff>
    </xdr:to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 txBox="1"/>
      </xdr:nvSpPr>
      <xdr:spPr>
        <a:xfrm>
          <a:off x="4700586" y="8134349"/>
          <a:ext cx="2157414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Yes - Sliding at internal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plane only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110955</xdr:colOff>
      <xdr:row>29</xdr:row>
      <xdr:rowOff>130969</xdr:rowOff>
    </xdr:from>
    <xdr:to>
      <xdr:col>13</xdr:col>
      <xdr:colOff>130969</xdr:colOff>
      <xdr:row>35</xdr:row>
      <xdr:rowOff>54769</xdr:rowOff>
    </xdr:to>
    <xdr:sp macro="" textlink="'Event Tree Input'!A42">
      <xdr:nvSpPr>
        <xdr:cNvPr id="139" name="N1Descr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 txBox="1"/>
      </xdr:nvSpPr>
      <xdr:spPr>
        <a:xfrm>
          <a:off x="1730205" y="5655469"/>
          <a:ext cx="1032045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Coincident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Stage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33342</xdr:colOff>
      <xdr:row>48</xdr:row>
      <xdr:rowOff>64221</xdr:rowOff>
    </xdr:from>
    <xdr:to>
      <xdr:col>51</xdr:col>
      <xdr:colOff>54031</xdr:colOff>
      <xdr:row>49</xdr:row>
      <xdr:rowOff>139274</xdr:rowOff>
    </xdr:to>
    <xdr:sp macro="" textlink="">
      <xdr:nvSpPr>
        <xdr:cNvPr id="145" name="N2B2Tri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/>
      </xdr:nvSpPr>
      <xdr:spPr>
        <a:xfrm rot="16200000">
          <a:off x="10132426" y="9229450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192881</xdr:colOff>
      <xdr:row>32</xdr:row>
      <xdr:rowOff>145110</xdr:rowOff>
    </xdr:from>
    <xdr:to>
      <xdr:col>4</xdr:col>
      <xdr:colOff>39010</xdr:colOff>
      <xdr:row>35</xdr:row>
      <xdr:rowOff>35562</xdr:rowOff>
    </xdr:to>
    <xdr:sp macro="" textlink="">
      <xdr:nvSpPr>
        <xdr:cNvPr id="146" name="Load1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/>
      </xdr:nvSpPr>
      <xdr:spPr>
        <a:xfrm>
          <a:off x="395287" y="6241110"/>
          <a:ext cx="453348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84763</xdr:colOff>
      <xdr:row>29</xdr:row>
      <xdr:rowOff>140493</xdr:rowOff>
    </xdr:from>
    <xdr:to>
      <xdr:col>6</xdr:col>
      <xdr:colOff>83344</xdr:colOff>
      <xdr:row>35</xdr:row>
      <xdr:rowOff>64293</xdr:rowOff>
    </xdr:to>
    <xdr:sp macro="" textlink="'Event Tree Input'!A42">
      <xdr:nvSpPr>
        <xdr:cNvPr id="147" name="N1Descr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 txBox="1"/>
      </xdr:nvSpPr>
      <xdr:spPr>
        <a:xfrm>
          <a:off x="287169" y="5664993"/>
          <a:ext cx="10106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Seismic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Hazard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59533</xdr:colOff>
      <xdr:row>47</xdr:row>
      <xdr:rowOff>173829</xdr:rowOff>
    </xdr:from>
    <xdr:to>
      <xdr:col>49</xdr:col>
      <xdr:colOff>142876</xdr:colOff>
      <xdr:row>49</xdr:row>
      <xdr:rowOff>95250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9167814" y="9127329"/>
          <a:ext cx="892968" cy="3024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57150</xdr:colOff>
      <xdr:row>45</xdr:row>
      <xdr:rowOff>147636</xdr:rowOff>
    </xdr:from>
    <xdr:to>
      <xdr:col>50</xdr:col>
      <xdr:colOff>59531</xdr:colOff>
      <xdr:row>48</xdr:row>
      <xdr:rowOff>80962</xdr:rowOff>
    </xdr:to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 txBox="1"/>
      </xdr:nvSpPr>
      <xdr:spPr>
        <a:xfrm>
          <a:off x="9165431" y="8720136"/>
          <a:ext cx="1014413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142875</xdr:colOff>
      <xdr:row>34</xdr:row>
      <xdr:rowOff>2379</xdr:rowOff>
    </xdr:from>
    <xdr:to>
      <xdr:col>52</xdr:col>
      <xdr:colOff>133351</xdr:colOff>
      <xdr:row>37</xdr:row>
      <xdr:rowOff>50006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 txBox="1"/>
      </xdr:nvSpPr>
      <xdr:spPr>
        <a:xfrm>
          <a:off x="9048750" y="6479379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47625</xdr:colOff>
      <xdr:row>31</xdr:row>
      <xdr:rowOff>138110</xdr:rowOff>
    </xdr:from>
    <xdr:to>
      <xdr:col>50</xdr:col>
      <xdr:colOff>23812</xdr:colOff>
      <xdr:row>33</xdr:row>
      <xdr:rowOff>35719</xdr:rowOff>
    </xdr:to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 txBox="1"/>
      </xdr:nvSpPr>
      <xdr:spPr>
        <a:xfrm>
          <a:off x="9155906" y="6043610"/>
          <a:ext cx="988219" cy="278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45244</xdr:colOff>
      <xdr:row>38</xdr:row>
      <xdr:rowOff>171447</xdr:rowOff>
    </xdr:from>
    <xdr:to>
      <xdr:col>51</xdr:col>
      <xdr:colOff>171451</xdr:colOff>
      <xdr:row>41</xdr:row>
      <xdr:rowOff>104773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 txBox="1"/>
      </xdr:nvSpPr>
      <xdr:spPr>
        <a:xfrm>
          <a:off x="9153525" y="7410447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42862</xdr:colOff>
      <xdr:row>36</xdr:row>
      <xdr:rowOff>145254</xdr:rowOff>
    </xdr:from>
    <xdr:to>
      <xdr:col>51</xdr:col>
      <xdr:colOff>169069</xdr:colOff>
      <xdr:row>39</xdr:row>
      <xdr:rowOff>78580</xdr:rowOff>
    </xdr:to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 txBox="1"/>
      </xdr:nvSpPr>
      <xdr:spPr>
        <a:xfrm>
          <a:off x="9151143" y="7003254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152400</xdr:colOff>
      <xdr:row>25</xdr:row>
      <xdr:rowOff>11904</xdr:rowOff>
    </xdr:from>
    <xdr:to>
      <xdr:col>52</xdr:col>
      <xdr:colOff>142876</xdr:colOff>
      <xdr:row>28</xdr:row>
      <xdr:rowOff>59531</xdr:rowOff>
    </xdr:to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9058275" y="4774404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57151</xdr:colOff>
      <xdr:row>22</xdr:row>
      <xdr:rowOff>147635</xdr:rowOff>
    </xdr:from>
    <xdr:to>
      <xdr:col>50</xdr:col>
      <xdr:colOff>23813</xdr:colOff>
      <xdr:row>24</xdr:row>
      <xdr:rowOff>35719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 txBox="1"/>
      </xdr:nvSpPr>
      <xdr:spPr>
        <a:xfrm>
          <a:off x="9165432" y="4338635"/>
          <a:ext cx="978694" cy="269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54770</xdr:colOff>
      <xdr:row>29</xdr:row>
      <xdr:rowOff>180972</xdr:rowOff>
    </xdr:from>
    <xdr:to>
      <xdr:col>50</xdr:col>
      <xdr:colOff>83344</xdr:colOff>
      <xdr:row>31</xdr:row>
      <xdr:rowOff>119062</xdr:rowOff>
    </xdr:to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9163051" y="5705472"/>
          <a:ext cx="1040606" cy="3190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52387</xdr:colOff>
      <xdr:row>27</xdr:row>
      <xdr:rowOff>154779</xdr:rowOff>
    </xdr:from>
    <xdr:to>
      <xdr:col>51</xdr:col>
      <xdr:colOff>178594</xdr:colOff>
      <xdr:row>30</xdr:row>
      <xdr:rowOff>88105</xdr:rowOff>
    </xdr:to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 txBox="1"/>
      </xdr:nvSpPr>
      <xdr:spPr>
        <a:xfrm>
          <a:off x="9160668" y="5298279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="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="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138113</xdr:colOff>
      <xdr:row>16</xdr:row>
      <xdr:rowOff>9523</xdr:rowOff>
    </xdr:from>
    <xdr:to>
      <xdr:col>52</xdr:col>
      <xdr:colOff>128589</xdr:colOff>
      <xdr:row>19</xdr:row>
      <xdr:rowOff>57150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 txBox="1"/>
      </xdr:nvSpPr>
      <xdr:spPr>
        <a:xfrm>
          <a:off x="9043988" y="3057523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42864</xdr:colOff>
      <xdr:row>13</xdr:row>
      <xdr:rowOff>145254</xdr:rowOff>
    </xdr:from>
    <xdr:to>
      <xdr:col>49</xdr:col>
      <xdr:colOff>71439</xdr:colOff>
      <xdr:row>16</xdr:row>
      <xdr:rowOff>78580</xdr:rowOff>
    </xdr:to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 txBox="1"/>
      </xdr:nvSpPr>
      <xdr:spPr>
        <a:xfrm>
          <a:off x="9151145" y="2621754"/>
          <a:ext cx="838200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40483</xdr:colOff>
      <xdr:row>20</xdr:row>
      <xdr:rowOff>178591</xdr:rowOff>
    </xdr:from>
    <xdr:to>
      <xdr:col>50</xdr:col>
      <xdr:colOff>35719</xdr:colOff>
      <xdr:row>22</xdr:row>
      <xdr:rowOff>47625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 txBox="1"/>
      </xdr:nvSpPr>
      <xdr:spPr>
        <a:xfrm>
          <a:off x="9148764" y="3988591"/>
          <a:ext cx="1007268" cy="2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38100</xdr:colOff>
      <xdr:row>18</xdr:row>
      <xdr:rowOff>152398</xdr:rowOff>
    </xdr:from>
    <xdr:to>
      <xdr:col>51</xdr:col>
      <xdr:colOff>164307</xdr:colOff>
      <xdr:row>21</xdr:row>
      <xdr:rowOff>85724</xdr:rowOff>
    </xdr:to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 txBox="1"/>
      </xdr:nvSpPr>
      <xdr:spPr>
        <a:xfrm>
          <a:off x="9146381" y="3581398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123826</xdr:colOff>
      <xdr:row>7</xdr:row>
      <xdr:rowOff>30954</xdr:rowOff>
    </xdr:from>
    <xdr:to>
      <xdr:col>52</xdr:col>
      <xdr:colOff>114302</xdr:colOff>
      <xdr:row>10</xdr:row>
      <xdr:rowOff>78581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 txBox="1"/>
      </xdr:nvSpPr>
      <xdr:spPr>
        <a:xfrm>
          <a:off x="9029701" y="1364454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28576</xdr:colOff>
      <xdr:row>4</xdr:row>
      <xdr:rowOff>166685</xdr:rowOff>
    </xdr:from>
    <xdr:to>
      <xdr:col>49</xdr:col>
      <xdr:colOff>166688</xdr:colOff>
      <xdr:row>7</xdr:row>
      <xdr:rowOff>100011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9136857" y="928685"/>
          <a:ext cx="947737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26195</xdr:colOff>
      <xdr:row>11</xdr:row>
      <xdr:rowOff>176210</xdr:rowOff>
    </xdr:from>
    <xdr:to>
      <xdr:col>51</xdr:col>
      <xdr:colOff>152402</xdr:colOff>
      <xdr:row>14</xdr:row>
      <xdr:rowOff>109536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 txBox="1"/>
      </xdr:nvSpPr>
      <xdr:spPr>
        <a:xfrm>
          <a:off x="9134476" y="2271710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35719</xdr:colOff>
      <xdr:row>9</xdr:row>
      <xdr:rowOff>173829</xdr:rowOff>
    </xdr:from>
    <xdr:to>
      <xdr:col>51</xdr:col>
      <xdr:colOff>161926</xdr:colOff>
      <xdr:row>12</xdr:row>
      <xdr:rowOff>107155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9144000" y="1888329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43</xdr:col>
      <xdr:colOff>85652</xdr:colOff>
      <xdr:row>26</xdr:row>
      <xdr:rowOff>45096</xdr:rowOff>
    </xdr:from>
    <xdr:to>
      <xdr:col>44</xdr:col>
      <xdr:colOff>159950</xdr:colOff>
      <xdr:row>27</xdr:row>
      <xdr:rowOff>128918</xdr:rowOff>
    </xdr:to>
    <xdr:sp macro="" textlink="">
      <xdr:nvSpPr>
        <xdr:cNvPr id="167" name="N5Num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spect="1"/>
        </xdr:cNvSpPr>
      </xdr:nvSpPr>
      <xdr:spPr>
        <a:xfrm>
          <a:off x="8789121" y="4998096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22</xdr:col>
      <xdr:colOff>42862</xdr:colOff>
      <xdr:row>29</xdr:row>
      <xdr:rowOff>121443</xdr:rowOff>
    </xdr:from>
    <xdr:to>
      <xdr:col>27</xdr:col>
      <xdr:colOff>142875</xdr:colOff>
      <xdr:row>34</xdr:row>
      <xdr:rowOff>35719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 txBox="1"/>
      </xdr:nvSpPr>
      <xdr:spPr>
        <a:xfrm>
          <a:off x="4495800" y="5645943"/>
          <a:ext cx="1112044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 - Sliding at base plane only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76199</xdr:colOff>
      <xdr:row>9</xdr:row>
      <xdr:rowOff>154781</xdr:rowOff>
    </xdr:from>
    <xdr:to>
      <xdr:col>27</xdr:col>
      <xdr:colOff>176212</xdr:colOff>
      <xdr:row>14</xdr:row>
      <xdr:rowOff>69057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 txBox="1"/>
      </xdr:nvSpPr>
      <xdr:spPr>
        <a:xfrm>
          <a:off x="4529137" y="1869281"/>
          <a:ext cx="1112044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Yes - Sliding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at base plane &amp; internal plane</a:t>
          </a:r>
        </a:p>
      </xdr:txBody>
    </xdr:sp>
    <xdr:clientData/>
  </xdr:twoCellAnchor>
  <xdr:twoCellAnchor>
    <xdr:from>
      <xdr:col>29</xdr:col>
      <xdr:colOff>138113</xdr:colOff>
      <xdr:row>30</xdr:row>
      <xdr:rowOff>90487</xdr:rowOff>
    </xdr:from>
    <xdr:to>
      <xdr:col>39</xdr:col>
      <xdr:colOff>33338</xdr:colOff>
      <xdr:row>34</xdr:row>
      <xdr:rowOff>21431</xdr:rowOff>
    </xdr:to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 txBox="1"/>
      </xdr:nvSpPr>
      <xdr:spPr>
        <a:xfrm>
          <a:off x="6007894" y="5805487"/>
          <a:ext cx="1919288" cy="692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Additional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resistance from passive rock wedge and 3D effects?</a:t>
          </a:r>
        </a:p>
      </xdr:txBody>
    </xdr:sp>
    <xdr:clientData/>
  </xdr:twoCellAnchor>
  <xdr:twoCellAnchor>
    <xdr:from>
      <xdr:col>50</xdr:col>
      <xdr:colOff>34413</xdr:colOff>
      <xdr:row>19</xdr:row>
      <xdr:rowOff>52736</xdr:rowOff>
    </xdr:from>
    <xdr:to>
      <xdr:col>51</xdr:col>
      <xdr:colOff>55102</xdr:colOff>
      <xdr:row>20</xdr:row>
      <xdr:rowOff>127790</xdr:rowOff>
    </xdr:to>
    <xdr:sp macro="" textlink="">
      <xdr:nvSpPr>
        <xdr:cNvPr id="171" name="N5B1Tri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/>
      </xdr:nvSpPr>
      <xdr:spPr>
        <a:xfrm rot="16200000">
          <a:off x="10133497" y="3693465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43936</xdr:colOff>
      <xdr:row>28</xdr:row>
      <xdr:rowOff>50355</xdr:rowOff>
    </xdr:from>
    <xdr:to>
      <xdr:col>51</xdr:col>
      <xdr:colOff>64625</xdr:colOff>
      <xdr:row>29</xdr:row>
      <xdr:rowOff>125409</xdr:rowOff>
    </xdr:to>
    <xdr:sp macro="" textlink="">
      <xdr:nvSpPr>
        <xdr:cNvPr id="172" name="N5B1Tri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/>
      </xdr:nvSpPr>
      <xdr:spPr>
        <a:xfrm rot="16200000">
          <a:off x="10143020" y="5405584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41556</xdr:colOff>
      <xdr:row>37</xdr:row>
      <xdr:rowOff>59880</xdr:rowOff>
    </xdr:from>
    <xdr:to>
      <xdr:col>51</xdr:col>
      <xdr:colOff>62245</xdr:colOff>
      <xdr:row>38</xdr:row>
      <xdr:rowOff>134934</xdr:rowOff>
    </xdr:to>
    <xdr:sp macro="" textlink="">
      <xdr:nvSpPr>
        <xdr:cNvPr id="173" name="N5B1Tri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/>
      </xdr:nvSpPr>
      <xdr:spPr>
        <a:xfrm rot="16200000">
          <a:off x="10140640" y="7129609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39176</xdr:colOff>
      <xdr:row>46</xdr:row>
      <xdr:rowOff>57499</xdr:rowOff>
    </xdr:from>
    <xdr:to>
      <xdr:col>51</xdr:col>
      <xdr:colOff>59865</xdr:colOff>
      <xdr:row>47</xdr:row>
      <xdr:rowOff>132553</xdr:rowOff>
    </xdr:to>
    <xdr:sp macro="" textlink="">
      <xdr:nvSpPr>
        <xdr:cNvPr id="174" name="N5B1Tri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/>
      </xdr:nvSpPr>
      <xdr:spPr>
        <a:xfrm rot="16200000">
          <a:off x="10138260" y="8841728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65"/>
      <c r="C1" s="65"/>
      <c r="D1" s="65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65"/>
      <c r="C2" s="65"/>
      <c r="D2" s="65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66"/>
      <c r="D3" s="66"/>
      <c r="E3" s="66"/>
      <c r="F3" s="66"/>
      <c r="G3" s="66"/>
      <c r="H3" s="66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33"/>
      <c r="B6" s="32"/>
      <c r="C6" s="32"/>
      <c r="D6" s="32"/>
      <c r="E6" s="32"/>
      <c r="F6" s="32"/>
      <c r="G6" s="32"/>
      <c r="H6" s="32"/>
    </row>
    <row r="7" spans="1:8" x14ac:dyDescent="0.2">
      <c r="A7" s="34" t="s">
        <v>62</v>
      </c>
      <c r="B7" s="32"/>
      <c r="C7" s="32"/>
      <c r="D7" s="32"/>
      <c r="E7" s="32"/>
      <c r="F7" s="32"/>
      <c r="G7" s="32"/>
      <c r="H7" s="32"/>
    </row>
    <row r="8" spans="1:8" x14ac:dyDescent="0.2">
      <c r="A8" s="33" t="s">
        <v>82</v>
      </c>
      <c r="B8" s="32"/>
      <c r="C8" s="32"/>
      <c r="D8" s="32"/>
      <c r="E8" s="32"/>
      <c r="F8" s="32"/>
      <c r="G8" s="32"/>
      <c r="H8" s="32"/>
    </row>
    <row r="9" spans="1:8" x14ac:dyDescent="0.2">
      <c r="A9" s="33" t="s">
        <v>63</v>
      </c>
      <c r="B9" s="32"/>
      <c r="C9" s="32"/>
      <c r="D9" s="32"/>
      <c r="E9" s="32"/>
      <c r="F9" s="32"/>
      <c r="G9" s="32"/>
      <c r="H9" s="32"/>
    </row>
    <row r="10" spans="1:8" x14ac:dyDescent="0.2">
      <c r="A10" s="33" t="s">
        <v>83</v>
      </c>
      <c r="B10" s="32"/>
      <c r="C10" s="32"/>
      <c r="D10" s="32"/>
      <c r="E10" s="32"/>
      <c r="F10" s="32"/>
      <c r="G10" s="32"/>
      <c r="H10" s="32"/>
    </row>
    <row r="11" spans="1:8" x14ac:dyDescent="0.2">
      <c r="A11" s="33" t="s">
        <v>64</v>
      </c>
      <c r="B11" s="32"/>
      <c r="C11" s="32"/>
      <c r="D11" s="32"/>
      <c r="E11" s="32"/>
      <c r="F11" s="32"/>
      <c r="G11" s="32"/>
      <c r="H11" s="32"/>
    </row>
    <row r="12" spans="1:8" x14ac:dyDescent="0.2">
      <c r="A12" s="33"/>
      <c r="B12" s="32"/>
      <c r="C12" s="32"/>
      <c r="D12" s="32"/>
      <c r="E12" s="32"/>
      <c r="F12" s="32"/>
      <c r="G12" s="32"/>
      <c r="H12" s="32"/>
    </row>
    <row r="13" spans="1:8" x14ac:dyDescent="0.2">
      <c r="A13" s="34" t="s">
        <v>54</v>
      </c>
      <c r="B13" s="32"/>
      <c r="C13" s="32"/>
      <c r="D13" s="32"/>
      <c r="E13" s="32"/>
      <c r="F13" s="32"/>
      <c r="G13" s="32"/>
      <c r="H13" s="32"/>
    </row>
    <row r="14" spans="1:8" x14ac:dyDescent="0.2">
      <c r="A14" s="33" t="s">
        <v>55</v>
      </c>
      <c r="B14" s="32"/>
      <c r="C14" s="32"/>
      <c r="D14" s="32"/>
      <c r="E14" s="32"/>
      <c r="F14" s="32"/>
      <c r="G14" s="32"/>
      <c r="H14" s="32"/>
    </row>
    <row r="15" spans="1:8" x14ac:dyDescent="0.2">
      <c r="A15" s="33" t="s">
        <v>56</v>
      </c>
      <c r="B15" s="32"/>
      <c r="C15" s="32"/>
      <c r="D15" s="32"/>
      <c r="E15" s="32"/>
      <c r="F15" s="32"/>
      <c r="G15" s="32"/>
      <c r="H15" s="32"/>
    </row>
    <row r="16" spans="1:8" x14ac:dyDescent="0.2">
      <c r="A16" s="33" t="s">
        <v>57</v>
      </c>
      <c r="B16" s="32"/>
      <c r="C16" s="32"/>
      <c r="D16" s="32"/>
      <c r="E16" s="32"/>
      <c r="F16" s="32"/>
      <c r="G16" s="32"/>
      <c r="H16" s="32"/>
    </row>
    <row r="17" spans="1:9" x14ac:dyDescent="0.2">
      <c r="A17" s="33" t="s">
        <v>87</v>
      </c>
      <c r="B17" s="32"/>
      <c r="C17" s="32"/>
      <c r="D17" s="32"/>
      <c r="E17" s="32"/>
      <c r="F17" s="32"/>
      <c r="G17" s="32"/>
      <c r="H17" s="32"/>
    </row>
    <row r="18" spans="1:9" x14ac:dyDescent="0.2">
      <c r="A18" s="33" t="s">
        <v>58</v>
      </c>
      <c r="B18" s="32"/>
      <c r="C18" s="32"/>
      <c r="D18" s="32"/>
      <c r="E18" s="32"/>
      <c r="F18" s="32"/>
      <c r="G18" s="32"/>
      <c r="H18" s="32"/>
    </row>
    <row r="19" spans="1:9" x14ac:dyDescent="0.2">
      <c r="A19" s="33" t="s">
        <v>59</v>
      </c>
      <c r="B19" s="32"/>
      <c r="C19" s="32"/>
      <c r="D19" s="32"/>
      <c r="E19" s="32"/>
      <c r="F19" s="32"/>
      <c r="G19" s="32"/>
      <c r="H19" s="32"/>
    </row>
    <row r="20" spans="1:9" x14ac:dyDescent="0.2">
      <c r="A20" s="33" t="s">
        <v>85</v>
      </c>
      <c r="B20" s="32"/>
      <c r="C20" s="32"/>
      <c r="D20" s="32"/>
      <c r="E20" s="32"/>
      <c r="F20" s="32"/>
      <c r="G20" s="32"/>
      <c r="H20" s="32"/>
    </row>
    <row r="21" spans="1:9" x14ac:dyDescent="0.2">
      <c r="A21" s="33" t="s">
        <v>86</v>
      </c>
      <c r="B21" s="32"/>
      <c r="C21" s="32"/>
      <c r="D21" s="32"/>
      <c r="E21" s="32"/>
      <c r="F21" s="32"/>
      <c r="G21" s="32"/>
      <c r="H21" s="32"/>
    </row>
    <row r="22" spans="1:9" x14ac:dyDescent="0.2">
      <c r="A22" s="33" t="s">
        <v>60</v>
      </c>
      <c r="B22" s="32"/>
      <c r="C22" s="32"/>
      <c r="D22" s="32"/>
      <c r="E22" s="32"/>
      <c r="F22" s="32"/>
      <c r="G22" s="32"/>
      <c r="H22" s="32"/>
    </row>
    <row r="23" spans="1:9" x14ac:dyDescent="0.2">
      <c r="A23" s="33" t="s">
        <v>61</v>
      </c>
      <c r="B23" s="32"/>
      <c r="C23" s="32"/>
      <c r="D23" s="32"/>
      <c r="E23" s="32"/>
      <c r="F23" s="32"/>
      <c r="G23" s="32"/>
      <c r="H23" s="32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66" t="s">
        <v>29</v>
      </c>
      <c r="E27" s="66"/>
      <c r="F27" s="24" t="s">
        <v>28</v>
      </c>
      <c r="G27" s="66"/>
      <c r="H27" s="66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5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5" t="s">
        <v>84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63" t="s">
        <v>68</v>
      </c>
      <c r="B39" s="63"/>
      <c r="C39" s="63"/>
      <c r="D39" s="63"/>
      <c r="E39" s="63"/>
      <c r="F39" s="63"/>
      <c r="G39" s="63"/>
      <c r="H39" s="63"/>
    </row>
    <row r="40" spans="1:9" ht="8.1" customHeight="1" x14ac:dyDescent="0.2">
      <c r="A40" s="22"/>
      <c r="B40" s="22"/>
      <c r="C40" s="22"/>
      <c r="D40" s="22"/>
      <c r="E40" s="22"/>
      <c r="F40" s="22"/>
      <c r="G40" s="22"/>
      <c r="H40" s="22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63" t="s">
        <v>69</v>
      </c>
      <c r="B42" s="63"/>
      <c r="C42" s="63"/>
      <c r="D42" s="63"/>
      <c r="E42" s="63"/>
      <c r="F42" s="63"/>
      <c r="G42" s="63"/>
      <c r="H42" s="63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63" t="s">
        <v>39</v>
      </c>
      <c r="B45" s="63"/>
      <c r="C45" s="63"/>
      <c r="D45" s="63"/>
      <c r="E45" s="63"/>
      <c r="F45" s="63"/>
      <c r="G45" s="63"/>
      <c r="H45" s="63"/>
      <c r="I45" s="14"/>
    </row>
    <row r="46" spans="1:9" ht="12.75" customHeight="1" x14ac:dyDescent="0.2">
      <c r="A46" s="63"/>
      <c r="B46" s="63"/>
      <c r="C46" s="63"/>
      <c r="D46" s="63"/>
      <c r="E46" s="63"/>
      <c r="F46" s="63"/>
      <c r="G46" s="63"/>
      <c r="H46" s="63"/>
    </row>
    <row r="47" spans="1:9" ht="12.75" customHeight="1" x14ac:dyDescent="0.2">
      <c r="A47" s="63"/>
      <c r="B47" s="63"/>
      <c r="C47" s="63"/>
      <c r="D47" s="63"/>
      <c r="E47" s="63"/>
      <c r="F47" s="63"/>
      <c r="G47" s="63"/>
      <c r="H47" s="63"/>
    </row>
    <row r="48" spans="1:9" ht="12.75" customHeight="1" x14ac:dyDescent="0.2">
      <c r="A48" s="63"/>
      <c r="B48" s="63"/>
      <c r="C48" s="63"/>
      <c r="D48" s="63"/>
      <c r="E48" s="63"/>
      <c r="F48" s="63"/>
      <c r="G48" s="63"/>
      <c r="H48" s="63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63" t="s">
        <v>70</v>
      </c>
      <c r="B53" s="63"/>
      <c r="C53" s="63"/>
      <c r="D53" s="63"/>
      <c r="E53" s="63"/>
      <c r="F53" s="63"/>
      <c r="G53" s="63"/>
      <c r="H53" s="63"/>
    </row>
    <row r="54" spans="1:9" ht="8.1" customHeight="1" x14ac:dyDescent="0.2">
      <c r="A54" s="22"/>
      <c r="B54" s="22"/>
      <c r="C54" s="22"/>
      <c r="D54" s="22"/>
      <c r="E54" s="22"/>
      <c r="F54" s="22"/>
      <c r="G54" s="22"/>
      <c r="H54" s="22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63" t="s">
        <v>71</v>
      </c>
      <c r="B56" s="63"/>
      <c r="C56" s="63"/>
      <c r="D56" s="63"/>
      <c r="E56" s="63"/>
      <c r="F56" s="63"/>
      <c r="G56" s="63"/>
      <c r="H56" s="63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63" t="s">
        <v>40</v>
      </c>
      <c r="B59" s="63"/>
      <c r="C59" s="63"/>
      <c r="D59" s="63"/>
      <c r="E59" s="63"/>
      <c r="F59" s="63"/>
      <c r="G59" s="63"/>
      <c r="H59" s="63"/>
      <c r="I59" s="14"/>
    </row>
    <row r="60" spans="1:9" ht="12.75" customHeight="1" x14ac:dyDescent="0.2">
      <c r="A60" s="63"/>
      <c r="B60" s="63"/>
      <c r="C60" s="63"/>
      <c r="D60" s="63"/>
      <c r="E60" s="63"/>
      <c r="F60" s="63"/>
      <c r="G60" s="63"/>
      <c r="H60" s="63"/>
    </row>
    <row r="61" spans="1:9" ht="12.75" customHeight="1" x14ac:dyDescent="0.2">
      <c r="A61" s="63"/>
      <c r="B61" s="63"/>
      <c r="C61" s="63"/>
      <c r="D61" s="63"/>
      <c r="E61" s="63"/>
      <c r="F61" s="63"/>
      <c r="G61" s="63"/>
      <c r="H61" s="63"/>
    </row>
    <row r="62" spans="1:9" ht="12.75" customHeight="1" x14ac:dyDescent="0.2">
      <c r="A62" s="63"/>
      <c r="B62" s="63"/>
      <c r="C62" s="63"/>
      <c r="D62" s="63"/>
      <c r="E62" s="63"/>
      <c r="F62" s="63"/>
      <c r="G62" s="63"/>
      <c r="H62" s="63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63" t="s">
        <v>72</v>
      </c>
      <c r="B67" s="63"/>
      <c r="C67" s="63"/>
      <c r="D67" s="63"/>
      <c r="E67" s="63"/>
      <c r="F67" s="63"/>
      <c r="G67" s="63"/>
      <c r="H67" s="63"/>
    </row>
    <row r="68" spans="1:9" ht="8.1" customHeight="1" x14ac:dyDescent="0.2">
      <c r="A68" s="22"/>
      <c r="B68" s="22"/>
      <c r="C68" s="22"/>
      <c r="D68" s="22"/>
      <c r="E68" s="22"/>
      <c r="F68" s="22"/>
      <c r="G68" s="22"/>
      <c r="H68" s="22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63" t="s">
        <v>73</v>
      </c>
      <c r="B70" s="63"/>
      <c r="C70" s="63"/>
      <c r="D70" s="63"/>
      <c r="E70" s="63"/>
      <c r="F70" s="63"/>
      <c r="G70" s="63"/>
      <c r="H70" s="63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63" t="s">
        <v>41</v>
      </c>
      <c r="B73" s="63"/>
      <c r="C73" s="63"/>
      <c r="D73" s="63"/>
      <c r="E73" s="63"/>
      <c r="F73" s="63"/>
      <c r="G73" s="63"/>
      <c r="H73" s="63"/>
      <c r="I73" s="14"/>
    </row>
    <row r="74" spans="1:9" ht="12.75" customHeight="1" x14ac:dyDescent="0.2">
      <c r="A74" s="63"/>
      <c r="B74" s="63"/>
      <c r="C74" s="63"/>
      <c r="D74" s="63"/>
      <c r="E74" s="63"/>
      <c r="F74" s="63"/>
      <c r="G74" s="63"/>
      <c r="H74" s="63"/>
    </row>
    <row r="75" spans="1:9" ht="12.75" customHeight="1" x14ac:dyDescent="0.2">
      <c r="A75" s="63"/>
      <c r="B75" s="63"/>
      <c r="C75" s="63"/>
      <c r="D75" s="63"/>
      <c r="E75" s="63"/>
      <c r="F75" s="63"/>
      <c r="G75" s="63"/>
      <c r="H75" s="63"/>
    </row>
    <row r="76" spans="1:9" ht="12.75" customHeight="1" x14ac:dyDescent="0.2">
      <c r="A76" s="63"/>
      <c r="B76" s="63"/>
      <c r="C76" s="63"/>
      <c r="D76" s="63"/>
      <c r="E76" s="63"/>
      <c r="F76" s="63"/>
      <c r="G76" s="63"/>
      <c r="H76" s="63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63" t="s">
        <v>74</v>
      </c>
      <c r="B81" s="63"/>
      <c r="C81" s="63"/>
      <c r="D81" s="63"/>
      <c r="E81" s="63"/>
      <c r="F81" s="63"/>
      <c r="G81" s="63"/>
      <c r="H81" s="63"/>
    </row>
    <row r="82" spans="1:9" ht="8.1" customHeight="1" x14ac:dyDescent="0.2">
      <c r="A82" s="22"/>
      <c r="B82" s="22"/>
      <c r="C82" s="22"/>
      <c r="D82" s="22"/>
      <c r="E82" s="22"/>
      <c r="F82" s="22"/>
      <c r="G82" s="22"/>
      <c r="H82" s="22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63" t="s">
        <v>75</v>
      </c>
      <c r="B84" s="63"/>
      <c r="C84" s="63"/>
      <c r="D84" s="63"/>
      <c r="E84" s="63"/>
      <c r="F84" s="63"/>
      <c r="G84" s="63"/>
      <c r="H84" s="63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63" t="s">
        <v>42</v>
      </c>
      <c r="B87" s="63"/>
      <c r="C87" s="63"/>
      <c r="D87" s="63"/>
      <c r="E87" s="63"/>
      <c r="F87" s="63"/>
      <c r="G87" s="63"/>
      <c r="H87" s="63"/>
      <c r="I87" s="14"/>
    </row>
    <row r="88" spans="1:9" ht="12.75" customHeight="1" x14ac:dyDescent="0.2">
      <c r="A88" s="63"/>
      <c r="B88" s="63"/>
      <c r="C88" s="63"/>
      <c r="D88" s="63"/>
      <c r="E88" s="63"/>
      <c r="F88" s="63"/>
      <c r="G88" s="63"/>
      <c r="H88" s="63"/>
    </row>
    <row r="89" spans="1:9" ht="12.75" customHeight="1" x14ac:dyDescent="0.2">
      <c r="A89" s="63"/>
      <c r="B89" s="63"/>
      <c r="C89" s="63"/>
      <c r="D89" s="63"/>
      <c r="E89" s="63"/>
      <c r="F89" s="63"/>
      <c r="G89" s="63"/>
      <c r="H89" s="63"/>
    </row>
    <row r="90" spans="1:9" ht="12.75" customHeight="1" x14ac:dyDescent="0.2">
      <c r="A90" s="63"/>
      <c r="B90" s="63"/>
      <c r="C90" s="63"/>
      <c r="D90" s="63"/>
      <c r="E90" s="63"/>
      <c r="F90" s="63"/>
      <c r="G90" s="63"/>
      <c r="H90" s="63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63" t="s">
        <v>76</v>
      </c>
      <c r="B95" s="63"/>
      <c r="C95" s="63"/>
      <c r="D95" s="63"/>
      <c r="E95" s="63"/>
      <c r="F95" s="63"/>
      <c r="G95" s="63"/>
      <c r="H95" s="63"/>
    </row>
    <row r="96" spans="1:9" ht="8.1" customHeight="1" x14ac:dyDescent="0.2">
      <c r="A96" s="22"/>
      <c r="B96" s="22"/>
      <c r="C96" s="22"/>
      <c r="D96" s="22"/>
      <c r="E96" s="22"/>
      <c r="F96" s="22"/>
      <c r="G96" s="22"/>
      <c r="H96" s="22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63" t="s">
        <v>77</v>
      </c>
      <c r="B98" s="63"/>
      <c r="C98" s="63"/>
      <c r="D98" s="63"/>
      <c r="E98" s="63"/>
      <c r="F98" s="63"/>
      <c r="G98" s="63"/>
      <c r="H98" s="63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63" t="s">
        <v>43</v>
      </c>
      <c r="B101" s="63"/>
      <c r="C101" s="63"/>
      <c r="D101" s="63"/>
      <c r="E101" s="63"/>
      <c r="F101" s="63"/>
      <c r="G101" s="63"/>
      <c r="H101" s="63"/>
      <c r="I101" s="14"/>
    </row>
    <row r="102" spans="1:9" ht="12.75" customHeight="1" x14ac:dyDescent="0.2">
      <c r="A102" s="63"/>
      <c r="B102" s="63"/>
      <c r="C102" s="63"/>
      <c r="D102" s="63"/>
      <c r="E102" s="63"/>
      <c r="F102" s="63"/>
      <c r="G102" s="63"/>
      <c r="H102" s="63"/>
    </row>
    <row r="103" spans="1:9" ht="12.75" customHeight="1" x14ac:dyDescent="0.2">
      <c r="A103" s="63"/>
      <c r="B103" s="63"/>
      <c r="C103" s="63"/>
      <c r="D103" s="63"/>
      <c r="E103" s="63"/>
      <c r="F103" s="63"/>
      <c r="G103" s="63"/>
      <c r="H103" s="63"/>
    </row>
    <row r="104" spans="1:9" ht="12.75" customHeight="1" x14ac:dyDescent="0.2">
      <c r="A104" s="63"/>
      <c r="B104" s="63"/>
      <c r="C104" s="63"/>
      <c r="D104" s="63"/>
      <c r="E104" s="63"/>
      <c r="F104" s="63"/>
      <c r="G104" s="63"/>
      <c r="H104" s="63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63" t="s">
        <v>78</v>
      </c>
      <c r="B109" s="63"/>
      <c r="C109" s="63"/>
      <c r="D109" s="63"/>
      <c r="E109" s="63"/>
      <c r="F109" s="63"/>
      <c r="G109" s="63"/>
      <c r="H109" s="63"/>
    </row>
    <row r="110" spans="1:9" ht="8.1" customHeight="1" x14ac:dyDescent="0.2">
      <c r="A110" s="22"/>
      <c r="B110" s="22"/>
      <c r="C110" s="22"/>
      <c r="D110" s="22"/>
      <c r="E110" s="22"/>
      <c r="F110" s="22"/>
      <c r="G110" s="22"/>
      <c r="H110" s="22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63" t="s">
        <v>79</v>
      </c>
      <c r="B112" s="63"/>
      <c r="C112" s="63"/>
      <c r="D112" s="63"/>
      <c r="E112" s="63"/>
      <c r="F112" s="63"/>
      <c r="G112" s="63"/>
      <c r="H112" s="63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63" t="s">
        <v>44</v>
      </c>
      <c r="B115" s="63"/>
      <c r="C115" s="63"/>
      <c r="D115" s="63"/>
      <c r="E115" s="63"/>
      <c r="F115" s="63"/>
      <c r="G115" s="63"/>
      <c r="H115" s="63"/>
      <c r="I115" s="14"/>
    </row>
    <row r="116" spans="1:9" ht="12.75" customHeight="1" x14ac:dyDescent="0.2">
      <c r="A116" s="63"/>
      <c r="B116" s="63"/>
      <c r="C116" s="63"/>
      <c r="D116" s="63"/>
      <c r="E116" s="63"/>
      <c r="F116" s="63"/>
      <c r="G116" s="63"/>
      <c r="H116" s="63"/>
    </row>
    <row r="117" spans="1:9" ht="12.75" customHeight="1" x14ac:dyDescent="0.2">
      <c r="A117" s="63"/>
      <c r="B117" s="63"/>
      <c r="C117" s="63"/>
      <c r="D117" s="63"/>
      <c r="E117" s="63"/>
      <c r="F117" s="63"/>
      <c r="G117" s="63"/>
      <c r="H117" s="63"/>
    </row>
    <row r="118" spans="1:9" ht="12.75" customHeight="1" x14ac:dyDescent="0.2">
      <c r="A118" s="63"/>
      <c r="B118" s="63"/>
      <c r="C118" s="63"/>
      <c r="D118" s="63"/>
      <c r="E118" s="63"/>
      <c r="F118" s="63"/>
      <c r="G118" s="63"/>
      <c r="H118" s="63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63" t="s">
        <v>80</v>
      </c>
      <c r="B123" s="63"/>
      <c r="C123" s="63"/>
      <c r="D123" s="63"/>
      <c r="E123" s="63"/>
      <c r="F123" s="63"/>
      <c r="G123" s="63"/>
      <c r="H123" s="63"/>
    </row>
    <row r="124" spans="1:9" ht="8.1" customHeight="1" x14ac:dyDescent="0.2">
      <c r="A124" s="22"/>
      <c r="B124" s="22"/>
      <c r="C124" s="22"/>
      <c r="D124" s="22"/>
      <c r="E124" s="22"/>
      <c r="F124" s="22"/>
      <c r="G124" s="22"/>
      <c r="H124" s="22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63" t="s">
        <v>81</v>
      </c>
      <c r="B126" s="63"/>
      <c r="C126" s="63"/>
      <c r="D126" s="63"/>
      <c r="E126" s="63"/>
      <c r="F126" s="63"/>
      <c r="G126" s="63"/>
      <c r="H126" s="63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63" t="s">
        <v>45</v>
      </c>
      <c r="B129" s="63"/>
      <c r="C129" s="63"/>
      <c r="D129" s="63"/>
      <c r="E129" s="63"/>
      <c r="F129" s="63"/>
      <c r="G129" s="63"/>
      <c r="H129" s="63"/>
      <c r="I129" s="14"/>
      <c r="O129" s="29"/>
    </row>
    <row r="130" spans="1:15" ht="12.75" customHeight="1" x14ac:dyDescent="0.2">
      <c r="A130" s="63"/>
      <c r="B130" s="63"/>
      <c r="C130" s="63"/>
      <c r="D130" s="63"/>
      <c r="E130" s="63"/>
      <c r="F130" s="63"/>
      <c r="G130" s="63"/>
      <c r="H130" s="63"/>
    </row>
    <row r="131" spans="1:15" ht="12.75" customHeight="1" x14ac:dyDescent="0.2">
      <c r="A131" s="63"/>
      <c r="B131" s="63"/>
      <c r="C131" s="63"/>
      <c r="D131" s="63"/>
      <c r="E131" s="63"/>
      <c r="F131" s="63"/>
      <c r="G131" s="63"/>
      <c r="H131" s="63"/>
    </row>
    <row r="132" spans="1:15" ht="12.75" customHeight="1" x14ac:dyDescent="0.2">
      <c r="A132" s="63"/>
      <c r="B132" s="63"/>
      <c r="C132" s="63"/>
      <c r="D132" s="63"/>
      <c r="E132" s="63"/>
      <c r="F132" s="63"/>
      <c r="G132" s="63"/>
      <c r="H132" s="63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63" t="s">
        <v>51</v>
      </c>
      <c r="B137" s="63"/>
      <c r="C137" s="63"/>
      <c r="D137" s="63"/>
      <c r="E137" s="63"/>
      <c r="F137" s="63"/>
      <c r="G137" s="63"/>
      <c r="H137" s="63"/>
    </row>
    <row r="138" spans="1:15" ht="8.1" customHeight="1" x14ac:dyDescent="0.2">
      <c r="A138" s="22"/>
      <c r="B138" s="22"/>
      <c r="C138" s="22"/>
      <c r="D138" s="22"/>
      <c r="E138" s="22"/>
      <c r="F138" s="22"/>
      <c r="G138" s="22"/>
      <c r="H138" s="22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63" t="s">
        <v>52</v>
      </c>
      <c r="B140" s="63"/>
      <c r="C140" s="63"/>
      <c r="D140" s="63"/>
      <c r="E140" s="63"/>
      <c r="F140" s="63"/>
      <c r="G140" s="63"/>
      <c r="H140" s="63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63" t="s">
        <v>46</v>
      </c>
      <c r="B143" s="63"/>
      <c r="C143" s="63"/>
      <c r="D143" s="63"/>
      <c r="E143" s="63"/>
      <c r="F143" s="63"/>
      <c r="G143" s="63"/>
      <c r="H143" s="63"/>
      <c r="I143" s="14"/>
    </row>
    <row r="144" spans="1:15" ht="12.75" customHeight="1" x14ac:dyDescent="0.2">
      <c r="A144" s="63"/>
      <c r="B144" s="63"/>
      <c r="C144" s="63"/>
      <c r="D144" s="63"/>
      <c r="E144" s="63"/>
      <c r="F144" s="63"/>
      <c r="G144" s="63"/>
      <c r="H144" s="63"/>
    </row>
    <row r="145" spans="1:9" ht="12.75" customHeight="1" x14ac:dyDescent="0.2">
      <c r="A145" s="63"/>
      <c r="B145" s="63"/>
      <c r="C145" s="63"/>
      <c r="D145" s="63"/>
      <c r="E145" s="63"/>
      <c r="F145" s="63"/>
      <c r="G145" s="63"/>
      <c r="H145" s="63"/>
    </row>
    <row r="146" spans="1:9" ht="12.75" customHeight="1" x14ac:dyDescent="0.2">
      <c r="A146" s="63"/>
      <c r="B146" s="63"/>
      <c r="C146" s="63"/>
      <c r="D146" s="63"/>
      <c r="E146" s="63"/>
      <c r="F146" s="63"/>
      <c r="G146" s="63"/>
      <c r="H146" s="63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63" t="s">
        <v>36</v>
      </c>
      <c r="B151" s="63"/>
      <c r="C151" s="63"/>
      <c r="D151" s="63"/>
      <c r="E151" s="63"/>
      <c r="F151" s="63"/>
      <c r="G151" s="63"/>
      <c r="H151" s="63"/>
    </row>
    <row r="152" spans="1:9" ht="8.1" customHeight="1" x14ac:dyDescent="0.2">
      <c r="A152" s="22"/>
      <c r="B152" s="22"/>
      <c r="C152" s="22"/>
      <c r="D152" s="22"/>
      <c r="E152" s="22"/>
      <c r="F152" s="22"/>
      <c r="G152" s="22"/>
      <c r="H152" s="22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63" t="s">
        <v>53</v>
      </c>
      <c r="B154" s="63"/>
      <c r="C154" s="63"/>
      <c r="D154" s="63"/>
      <c r="E154" s="63"/>
      <c r="F154" s="63"/>
      <c r="G154" s="63"/>
      <c r="H154" s="63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63" t="s">
        <v>47</v>
      </c>
      <c r="B157" s="63"/>
      <c r="C157" s="63"/>
      <c r="D157" s="63"/>
      <c r="E157" s="63"/>
      <c r="F157" s="63"/>
      <c r="G157" s="63"/>
      <c r="H157" s="63"/>
      <c r="I157" s="14"/>
    </row>
    <row r="158" spans="1:9" ht="12.75" customHeight="1" x14ac:dyDescent="0.2">
      <c r="A158" s="63"/>
      <c r="B158" s="63"/>
      <c r="C158" s="63"/>
      <c r="D158" s="63"/>
      <c r="E158" s="63"/>
      <c r="F158" s="63"/>
      <c r="G158" s="63"/>
      <c r="H158" s="63"/>
    </row>
    <row r="159" spans="1:9" ht="12.75" customHeight="1" x14ac:dyDescent="0.2">
      <c r="A159" s="63"/>
      <c r="B159" s="63"/>
      <c r="C159" s="63"/>
      <c r="D159" s="63"/>
      <c r="E159" s="63"/>
      <c r="F159" s="63"/>
      <c r="G159" s="63"/>
      <c r="H159" s="63"/>
    </row>
    <row r="160" spans="1:9" ht="12.75" customHeight="1" x14ac:dyDescent="0.2">
      <c r="A160" s="63"/>
      <c r="B160" s="63"/>
      <c r="C160" s="63"/>
      <c r="D160" s="63"/>
      <c r="E160" s="63"/>
      <c r="F160" s="63"/>
      <c r="G160" s="63"/>
      <c r="H160" s="63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64" t="s">
        <v>17</v>
      </c>
      <c r="B174" s="15" t="s">
        <v>23</v>
      </c>
      <c r="C174" s="15" t="s">
        <v>24</v>
      </c>
    </row>
    <row r="175" spans="1:8" x14ac:dyDescent="0.2">
      <c r="A175" s="64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Circle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>Circle</v>
      </c>
      <c r="C179" s="15" t="str">
        <f t="shared" si="0"/>
        <v>Triangle</v>
      </c>
      <c r="D179" s="15"/>
      <c r="E179" s="15"/>
    </row>
    <row r="180" spans="1:5" x14ac:dyDescent="0.2">
      <c r="A180" s="15">
        <v>5</v>
      </c>
      <c r="B180" s="15" t="str">
        <f t="shared" si="1"/>
        <v>Triangle</v>
      </c>
      <c r="C180" s="15" t="str">
        <f t="shared" si="0"/>
        <v>Triangle</v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3:H76"/>
    <mergeCell ref="A84:H84"/>
    <mergeCell ref="A87:H90"/>
    <mergeCell ref="A98:H98"/>
    <mergeCell ref="A101:H104"/>
    <mergeCell ref="A81:H81"/>
    <mergeCell ref="A95:H95"/>
  </mergeCells>
  <conditionalFormatting sqref="F27:H27">
    <cfRule type="expression" dxfId="29" priority="67">
      <formula>$D$27="Seismic Hazard"</formula>
    </cfRule>
    <cfRule type="expression" dxfId="28" priority="68">
      <formula>$D$27="Flood Loading"</formula>
    </cfRule>
  </conditionalFormatting>
  <conditionalFormatting sqref="A50:H63">
    <cfRule type="expression" dxfId="27" priority="16" stopIfTrue="1">
      <formula>$D$29&lt;2</formula>
    </cfRule>
  </conditionalFormatting>
  <conditionalFormatting sqref="A128:H132 A156:H160 A58:H62 A72:H76 A86:H90 A100:H104 A114:H118 A142:H146 A44:H48">
    <cfRule type="expression" dxfId="26" priority="2" stopIfTrue="1">
      <formula>$D$32="No"</formula>
    </cfRule>
  </conditionalFormatting>
  <conditionalFormatting sqref="A64:H77">
    <cfRule type="expression" dxfId="25" priority="14" stopIfTrue="1">
      <formula>$D$29&lt;3</formula>
    </cfRule>
  </conditionalFormatting>
  <conditionalFormatting sqref="A78:H91">
    <cfRule type="expression" dxfId="24" priority="12" stopIfTrue="1">
      <formula>$D$29&lt;4</formula>
    </cfRule>
  </conditionalFormatting>
  <conditionalFormatting sqref="A92:H105">
    <cfRule type="expression" dxfId="23" priority="9" stopIfTrue="1">
      <formula>$D$29&lt;5</formula>
    </cfRule>
  </conditionalFormatting>
  <conditionalFormatting sqref="A106:H119">
    <cfRule type="expression" dxfId="22" priority="7" stopIfTrue="1">
      <formula>$D$29&lt;6</formula>
    </cfRule>
  </conditionalFormatting>
  <conditionalFormatting sqref="A120:H133">
    <cfRule type="expression" dxfId="21" priority="8" stopIfTrue="1">
      <formula>$D$29&lt;7</formula>
    </cfRule>
  </conditionalFormatting>
  <conditionalFormatting sqref="A134:H147">
    <cfRule type="expression" dxfId="20" priority="3" stopIfTrue="1">
      <formula>$D$29&lt;8</formula>
    </cfRule>
  </conditionalFormatting>
  <conditionalFormatting sqref="A148:H161">
    <cfRule type="expression" dxfId="19" priority="1" stopIfTrue="1">
      <formula>$D$29&lt;9</formula>
    </cfRule>
  </conditionalFormatting>
  <conditionalFormatting sqref="A38:H39 A52:H53 A66:H67 A80:H81 A94:H95 A108:H109 A122:H123 A136:H137 A150:H151">
    <cfRule type="expression" dxfId="18" priority="22">
      <formula>$D$31="No"</formula>
    </cfRule>
  </conditionalFormatting>
  <conditionalFormatting sqref="A45:H48">
    <cfRule type="expression" dxfId="17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8"/>
  <sheetViews>
    <sheetView showGridLines="0" zoomScale="80" zoomScaleNormal="8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67" t="s">
        <v>8</v>
      </c>
      <c r="B1" s="67"/>
      <c r="C1" s="67"/>
      <c r="D1" s="67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69" t="s">
        <v>9</v>
      </c>
      <c r="AG1" s="69"/>
      <c r="AH1" s="69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69" t="s">
        <v>10</v>
      </c>
      <c r="BE1" s="69"/>
      <c r="BF1" s="73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</row>
    <row r="2" spans="1:80" ht="15" customHeight="1" x14ac:dyDescent="0.2">
      <c r="A2" s="67" t="s">
        <v>11</v>
      </c>
      <c r="B2" s="67"/>
      <c r="C2" s="67"/>
      <c r="D2" s="67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69" t="s">
        <v>9</v>
      </c>
      <c r="AG2" s="69"/>
      <c r="AH2" s="69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69" t="s">
        <v>10</v>
      </c>
      <c r="BE2" s="69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</row>
    <row r="3" spans="1:80" ht="15" customHeight="1" x14ac:dyDescent="0.2">
      <c r="A3" s="68" t="s">
        <v>12</v>
      </c>
      <c r="B3" s="68"/>
      <c r="C3" s="68"/>
      <c r="D3" s="68"/>
      <c r="E3" s="68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76" t="s">
        <v>25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</row>
    <row r="6" spans="1:80" ht="15" customHeight="1" x14ac:dyDescent="0.2"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14"/>
      <c r="AK7" s="14"/>
      <c r="AL7" s="14"/>
      <c r="AM7" s="14"/>
      <c r="AN7" s="14"/>
      <c r="AO7" s="14"/>
      <c r="AP7" s="14"/>
      <c r="AR7" s="37"/>
      <c r="AS7" s="38"/>
      <c r="AT7" s="39"/>
      <c r="AU7" s="39"/>
      <c r="AV7" s="39"/>
      <c r="AW7" s="39"/>
      <c r="AX7" s="39"/>
      <c r="AY7" s="39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48</v>
      </c>
    </row>
    <row r="8" spans="1:80" ht="15" customHeight="1" x14ac:dyDescent="0.2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14"/>
      <c r="AK8" s="14"/>
      <c r="AL8" s="14"/>
      <c r="AM8" s="14"/>
      <c r="AN8" s="14"/>
      <c r="AO8" s="14"/>
      <c r="AP8" s="14"/>
      <c r="AQ8" s="40"/>
      <c r="AS8" s="41"/>
      <c r="AT8" s="37"/>
      <c r="AU8" s="37"/>
      <c r="AV8" s="37"/>
      <c r="AW8" s="37"/>
      <c r="AX8" s="37"/>
      <c r="AY8" s="37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4"/>
      <c r="AR9" s="44"/>
      <c r="AS9" s="41"/>
      <c r="AT9" s="37"/>
      <c r="AU9" s="37"/>
      <c r="AV9" s="37"/>
      <c r="AW9" s="37"/>
      <c r="AX9" s="37"/>
      <c r="AY9" s="37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23"/>
      <c r="BU9" s="23"/>
      <c r="BV9" s="23"/>
      <c r="BW9" s="23"/>
      <c r="BX9" s="23"/>
      <c r="BY9" s="23"/>
      <c r="BZ9" s="23"/>
      <c r="CA9" s="16"/>
      <c r="CB9" s="14" t="s">
        <v>66</v>
      </c>
    </row>
    <row r="10" spans="1:80" ht="15" customHeight="1" x14ac:dyDescent="0.2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45"/>
      <c r="AE10" s="36"/>
      <c r="AF10" s="36"/>
      <c r="AG10" s="36"/>
      <c r="AH10" s="36"/>
      <c r="AI10" s="36"/>
      <c r="AJ10" s="14"/>
      <c r="AK10" s="14"/>
      <c r="AL10" s="14"/>
      <c r="AM10" s="14"/>
      <c r="AN10" s="14"/>
      <c r="AO10" s="14"/>
      <c r="AP10" s="14"/>
      <c r="AQ10" s="40"/>
      <c r="AR10" s="39"/>
      <c r="AS10" s="41"/>
      <c r="AT10" s="37"/>
      <c r="AU10" s="37"/>
      <c r="AV10" s="37"/>
      <c r="AW10" s="37"/>
      <c r="AX10" s="37"/>
      <c r="AY10" s="37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23"/>
      <c r="BU10" s="23"/>
      <c r="BV10" s="23"/>
      <c r="BW10" s="23"/>
      <c r="BX10" s="23"/>
      <c r="BY10" s="23"/>
      <c r="BZ10" s="23"/>
      <c r="CA10" s="16"/>
    </row>
    <row r="11" spans="1:80" ht="15" customHeight="1" x14ac:dyDescent="0.2"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46"/>
      <c r="AE11" s="36"/>
      <c r="AF11" s="36"/>
      <c r="AG11" s="36"/>
      <c r="AH11" s="36"/>
      <c r="AI11" s="36"/>
      <c r="AJ11" s="14"/>
      <c r="AK11" s="14"/>
      <c r="AL11" s="14"/>
      <c r="AM11" s="14"/>
      <c r="AN11" s="14"/>
      <c r="AO11" s="14"/>
      <c r="AP11" s="14"/>
      <c r="AR11" s="37"/>
      <c r="AS11" s="41"/>
      <c r="AT11" s="37"/>
      <c r="AU11" s="37"/>
      <c r="AV11" s="37"/>
      <c r="AW11" s="37"/>
      <c r="AX11" s="37"/>
      <c r="AY11" s="37"/>
      <c r="AZ11" s="40"/>
      <c r="BA11" s="40"/>
      <c r="BB11" s="40"/>
      <c r="BC11" s="40"/>
      <c r="BD11" s="40"/>
      <c r="BE11" s="14"/>
      <c r="BF11" s="14"/>
      <c r="BG11" s="14"/>
      <c r="BH11" s="40"/>
      <c r="BI11" s="40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6"/>
      <c r="CA11" s="16"/>
      <c r="CB11" s="14" t="s">
        <v>65</v>
      </c>
    </row>
    <row r="12" spans="1:80" ht="15" customHeight="1" x14ac:dyDescent="0.2"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8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0"/>
      <c r="AR12" s="37"/>
      <c r="AS12" s="38"/>
      <c r="AT12" s="39"/>
      <c r="AU12" s="39"/>
      <c r="AV12" s="39"/>
      <c r="AW12" s="39"/>
      <c r="AX12" s="39"/>
      <c r="AY12" s="39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17"/>
      <c r="BK12" s="17"/>
      <c r="BL12" s="17"/>
      <c r="BM12" s="23"/>
      <c r="BN12" s="23"/>
      <c r="BO12" s="23"/>
      <c r="BP12" s="23"/>
      <c r="BQ12" s="23"/>
      <c r="BR12" s="23"/>
      <c r="BS12" s="23"/>
      <c r="BT12" s="10"/>
      <c r="BU12" s="10"/>
      <c r="BV12" s="10"/>
      <c r="BW12" s="10"/>
      <c r="BX12" s="10"/>
      <c r="BY12" s="10"/>
      <c r="BZ12" s="10"/>
      <c r="CA12" s="10"/>
    </row>
    <row r="13" spans="1:80" ht="15" customHeight="1" x14ac:dyDescent="0.2">
      <c r="L13" s="47"/>
      <c r="M13" s="47"/>
      <c r="N13" s="47"/>
      <c r="O13" s="47"/>
      <c r="R13" s="47"/>
      <c r="S13" s="47"/>
      <c r="T13" s="47"/>
      <c r="U13" s="47"/>
      <c r="V13" s="47"/>
      <c r="W13" s="52"/>
      <c r="X13" s="52"/>
      <c r="Y13" s="52"/>
      <c r="Z13" s="52"/>
      <c r="AA13" s="52"/>
      <c r="AB13" s="52"/>
      <c r="AC13" s="55"/>
      <c r="AD13" s="48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0"/>
      <c r="AS13" s="49"/>
      <c r="BA13" s="37"/>
      <c r="BB13" s="40"/>
      <c r="BC13" s="40"/>
      <c r="BD13" s="40"/>
      <c r="BE13" s="40"/>
      <c r="BF13" s="40"/>
      <c r="BG13" s="40"/>
      <c r="BH13" s="40"/>
      <c r="BI13" s="40"/>
      <c r="BJ13" s="17"/>
      <c r="BK13" s="17"/>
      <c r="BL13" s="17"/>
      <c r="BM13" s="23"/>
      <c r="BN13" s="23"/>
      <c r="BO13" s="23"/>
      <c r="BP13" s="23"/>
      <c r="BQ13" s="23"/>
      <c r="BR13" s="23"/>
      <c r="BS13" s="23"/>
      <c r="BT13" s="18"/>
      <c r="BU13" s="26"/>
      <c r="BV13" s="26"/>
      <c r="BW13" s="26"/>
      <c r="BX13" s="26"/>
      <c r="BY13" s="26"/>
      <c r="BZ13" s="26"/>
      <c r="CA13" s="10"/>
    </row>
    <row r="14" spans="1:80" ht="15" customHeight="1" x14ac:dyDescent="0.2"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8"/>
      <c r="X14" s="47"/>
      <c r="Y14" s="47"/>
      <c r="Z14" s="47"/>
      <c r="AA14" s="47"/>
      <c r="AB14" s="47"/>
      <c r="AC14" s="47"/>
      <c r="AD14" s="41"/>
      <c r="AS14" s="54"/>
      <c r="AT14" s="54"/>
      <c r="AU14" s="54"/>
      <c r="AV14" s="54"/>
      <c r="AW14" s="54"/>
      <c r="AX14" s="54"/>
      <c r="AY14" s="54"/>
      <c r="BA14" s="37"/>
      <c r="BB14" s="40"/>
      <c r="BC14" s="40"/>
      <c r="BD14" s="40"/>
      <c r="BE14" s="40"/>
      <c r="BF14" s="40"/>
      <c r="BG14" s="40"/>
      <c r="BH14" s="40"/>
      <c r="BI14" s="40"/>
      <c r="BJ14" s="17"/>
      <c r="BK14" s="17"/>
      <c r="BL14" s="17"/>
      <c r="BM14" s="17"/>
      <c r="BN14" s="17"/>
      <c r="BO14" s="17"/>
      <c r="BP14" s="17"/>
      <c r="BQ14" s="17"/>
      <c r="BR14" s="17"/>
      <c r="BS14" s="10"/>
      <c r="BT14" s="19"/>
      <c r="BU14" s="27"/>
      <c r="BV14" s="27"/>
      <c r="BW14" s="27"/>
      <c r="BX14" s="27"/>
      <c r="BY14" s="27"/>
      <c r="BZ14" s="27"/>
      <c r="CA14" s="10"/>
    </row>
    <row r="15" spans="1:80" ht="15" customHeight="1" x14ac:dyDescent="0.2"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8"/>
      <c r="X15" s="47"/>
      <c r="Y15" s="47"/>
      <c r="Z15" s="47"/>
      <c r="AA15" s="47"/>
      <c r="AB15" s="47"/>
      <c r="AC15" s="47"/>
      <c r="AD15" s="48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0"/>
      <c r="BA15" s="37"/>
      <c r="BB15" s="40"/>
      <c r="BC15" s="40"/>
      <c r="BD15" s="40"/>
      <c r="BE15" s="40"/>
      <c r="BF15" s="61"/>
      <c r="BG15" s="61"/>
      <c r="BH15" s="61"/>
      <c r="BI15" s="61"/>
      <c r="BJ15" s="23"/>
      <c r="BK15" s="23"/>
      <c r="BL15" s="23"/>
      <c r="BM15" s="10"/>
      <c r="BN15" s="10"/>
      <c r="BO15" s="10"/>
      <c r="BP15" s="10"/>
      <c r="BQ15" s="10"/>
      <c r="BR15" s="10"/>
      <c r="BS15" s="10"/>
      <c r="BT15" s="19"/>
      <c r="BU15" s="27"/>
      <c r="BV15" s="27"/>
      <c r="BW15" s="27"/>
      <c r="BX15" s="27"/>
      <c r="BY15" s="27"/>
      <c r="BZ15" s="27"/>
      <c r="CA15" s="10"/>
    </row>
    <row r="16" spans="1:80" ht="15" customHeight="1" x14ac:dyDescent="0.2">
      <c r="J16" s="30"/>
      <c r="K16" s="30"/>
      <c r="L16" s="30"/>
      <c r="M16" s="30"/>
      <c r="N16" s="30"/>
      <c r="O16" s="30"/>
      <c r="P16" s="47"/>
      <c r="Q16" s="47"/>
      <c r="R16" s="47"/>
      <c r="S16" s="47"/>
      <c r="T16" s="47"/>
      <c r="U16" s="47"/>
      <c r="V16" s="47"/>
      <c r="W16" s="48"/>
      <c r="X16" s="47"/>
      <c r="Y16" s="47"/>
      <c r="Z16" s="47"/>
      <c r="AA16" s="47"/>
      <c r="AB16" s="47"/>
      <c r="AC16" s="47"/>
      <c r="AD16" s="48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0"/>
      <c r="AS16" s="38"/>
      <c r="AT16" s="54"/>
      <c r="AU16" s="54"/>
      <c r="AV16" s="54"/>
      <c r="AW16" s="54"/>
      <c r="AX16" s="54"/>
      <c r="AY16" s="54"/>
      <c r="BA16" s="37"/>
      <c r="BB16" s="40"/>
      <c r="BC16" s="40"/>
      <c r="BD16" s="40"/>
      <c r="BE16" s="40"/>
      <c r="BF16" s="61"/>
      <c r="BG16" s="61"/>
      <c r="BH16" s="61"/>
      <c r="BI16" s="61"/>
      <c r="BJ16" s="23"/>
      <c r="BK16" s="23"/>
      <c r="BL16" s="23"/>
      <c r="BM16" s="18"/>
      <c r="BN16" s="26"/>
      <c r="BO16" s="26"/>
      <c r="BP16" s="26"/>
      <c r="BQ16" s="26"/>
      <c r="BR16" s="26"/>
      <c r="BS16" s="26"/>
      <c r="BT16" s="19"/>
      <c r="BU16" s="27"/>
      <c r="BV16" s="27"/>
      <c r="BW16" s="27"/>
      <c r="BX16" s="27"/>
      <c r="BY16" s="27"/>
      <c r="BZ16" s="27"/>
      <c r="CA16" s="10"/>
    </row>
    <row r="17" spans="9:79" ht="15" customHeight="1" x14ac:dyDescent="0.2">
      <c r="J17" s="30"/>
      <c r="K17" s="30"/>
      <c r="L17" s="30"/>
      <c r="M17" s="30"/>
      <c r="N17" s="30"/>
      <c r="O17" s="30"/>
      <c r="P17" s="47"/>
      <c r="Q17" s="47"/>
      <c r="R17" s="47"/>
      <c r="S17" s="47"/>
      <c r="T17" s="47"/>
      <c r="U17" s="47"/>
      <c r="V17" s="47"/>
      <c r="W17" s="48"/>
      <c r="X17" s="47"/>
      <c r="Y17" s="47"/>
      <c r="Z17" s="47"/>
      <c r="AA17" s="47"/>
      <c r="AB17" s="47"/>
      <c r="AC17" s="47"/>
      <c r="AD17" s="48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0"/>
      <c r="AS17" s="59"/>
      <c r="AU17" s="37"/>
      <c r="AV17" s="37"/>
      <c r="AW17" s="37"/>
      <c r="AX17" s="37"/>
      <c r="AY17" s="37"/>
      <c r="AZ17" s="39"/>
      <c r="BA17" s="50"/>
      <c r="BB17" s="40"/>
      <c r="BC17" s="40"/>
      <c r="BD17" s="40"/>
      <c r="BE17" s="40"/>
      <c r="BF17" s="40"/>
      <c r="BG17" s="40"/>
      <c r="BH17" s="40"/>
      <c r="BI17" s="40"/>
      <c r="BJ17" s="17"/>
      <c r="BK17" s="17"/>
      <c r="BL17" s="10"/>
      <c r="BM17" s="19"/>
      <c r="BN17" s="27"/>
      <c r="BO17" s="27"/>
      <c r="BP17" s="27"/>
      <c r="BQ17" s="27"/>
      <c r="BR17" s="27"/>
      <c r="BS17" s="27"/>
      <c r="BT17" s="19"/>
      <c r="BU17" s="27"/>
      <c r="BV17" s="27"/>
      <c r="BW17" s="27"/>
      <c r="BX17" s="27"/>
      <c r="BY17" s="27"/>
      <c r="BZ17" s="27"/>
      <c r="CA17" s="10"/>
    </row>
    <row r="18" spans="9:79" ht="15" customHeight="1" x14ac:dyDescent="0.2">
      <c r="J18" s="30"/>
      <c r="K18" s="30"/>
      <c r="L18" s="30"/>
      <c r="M18" s="30"/>
      <c r="N18" s="30"/>
      <c r="O18" s="30"/>
      <c r="P18" s="47"/>
      <c r="Q18" s="47"/>
      <c r="R18" s="47"/>
      <c r="S18" s="47"/>
      <c r="T18" s="47"/>
      <c r="U18" s="47"/>
      <c r="V18" s="47"/>
      <c r="W18" s="48"/>
      <c r="X18" s="47"/>
      <c r="Y18" s="47"/>
      <c r="Z18" s="47"/>
      <c r="AA18" s="47"/>
      <c r="AB18" s="47"/>
      <c r="AC18" s="47"/>
      <c r="AD18" s="49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56"/>
      <c r="AS18" s="41"/>
      <c r="BB18" s="40"/>
      <c r="BC18" s="40"/>
      <c r="BD18" s="40"/>
      <c r="BE18" s="40"/>
      <c r="BJ18" s="10"/>
      <c r="BK18" s="10"/>
      <c r="BL18" s="10"/>
      <c r="BM18" s="19"/>
      <c r="BN18" s="27"/>
      <c r="BO18" s="27"/>
      <c r="BP18" s="27"/>
      <c r="BQ18" s="27"/>
      <c r="BR18" s="27"/>
      <c r="BS18" s="27"/>
      <c r="BT18" s="21"/>
      <c r="BU18" s="28"/>
      <c r="BV18" s="28"/>
      <c r="BW18" s="28"/>
      <c r="BX18" s="28"/>
      <c r="BY18" s="28"/>
      <c r="BZ18" s="28"/>
      <c r="CA18" s="10"/>
    </row>
    <row r="19" spans="9:79" ht="15" customHeight="1" x14ac:dyDescent="0.2">
      <c r="J19" s="30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8"/>
      <c r="X19" s="47"/>
      <c r="Y19" s="47"/>
      <c r="Z19" s="47"/>
      <c r="AA19" s="47"/>
      <c r="AB19" s="47"/>
      <c r="AC19" s="47"/>
      <c r="AS19" s="41"/>
      <c r="AT19" s="37"/>
      <c r="AU19" s="37"/>
      <c r="AV19" s="37"/>
      <c r="AW19" s="37"/>
      <c r="AX19" s="37"/>
      <c r="AY19" s="37"/>
      <c r="BB19" s="40"/>
      <c r="BC19" s="40"/>
      <c r="BD19" s="40"/>
      <c r="BE19" s="40"/>
      <c r="BF19" s="38"/>
      <c r="BG19" s="39"/>
      <c r="BH19" s="39"/>
      <c r="BI19" s="39"/>
      <c r="BJ19" s="26"/>
      <c r="BK19" s="26"/>
      <c r="BL19" s="26"/>
      <c r="BM19" s="19"/>
      <c r="BN19" s="27"/>
      <c r="BO19" s="27"/>
      <c r="BP19" s="27"/>
      <c r="BQ19" s="27"/>
      <c r="BR19" s="27"/>
      <c r="BS19" s="27"/>
      <c r="BT19" s="10"/>
      <c r="BU19" s="10"/>
      <c r="BV19" s="10"/>
      <c r="BW19" s="10"/>
      <c r="BX19" s="10"/>
      <c r="BY19" s="10"/>
      <c r="BZ19" s="10"/>
      <c r="CA19" s="10"/>
    </row>
    <row r="20" spans="9:79" ht="15" customHeight="1" x14ac:dyDescent="0.2">
      <c r="J20" s="30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8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S20" s="49"/>
      <c r="AT20" s="50"/>
      <c r="AU20" s="50"/>
      <c r="AV20" s="50"/>
      <c r="AW20" s="50"/>
      <c r="AX20" s="50"/>
      <c r="AY20" s="50"/>
      <c r="BB20" s="47"/>
      <c r="BC20" s="47"/>
      <c r="BF20" s="41"/>
      <c r="BG20" s="37"/>
      <c r="BH20" s="37"/>
      <c r="BI20" s="37"/>
      <c r="BJ20" s="27"/>
      <c r="BK20" s="27"/>
      <c r="BL20" s="27"/>
      <c r="BM20" s="19"/>
      <c r="BN20" s="27"/>
      <c r="BO20" s="27"/>
      <c r="BP20" s="27"/>
      <c r="BQ20" s="27"/>
      <c r="BR20" s="27"/>
      <c r="BS20" s="27"/>
      <c r="BT20" s="10"/>
      <c r="BU20" s="10"/>
      <c r="BV20" s="10"/>
      <c r="BW20" s="10"/>
      <c r="BX20" s="10"/>
      <c r="BY20" s="10"/>
      <c r="BZ20" s="10"/>
      <c r="CA20" s="10"/>
    </row>
    <row r="21" spans="9:79" ht="15" customHeight="1" x14ac:dyDescent="0.2">
      <c r="J21" s="30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8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37"/>
      <c r="AS21" s="41"/>
      <c r="AT21" s="37"/>
      <c r="AU21" s="37"/>
      <c r="AV21" s="37"/>
      <c r="AW21" s="37"/>
      <c r="AX21" s="37"/>
      <c r="AY21" s="37"/>
      <c r="BF21" s="41"/>
      <c r="BG21" s="37"/>
      <c r="BH21" s="37"/>
      <c r="BI21" s="37"/>
      <c r="BJ21" s="27"/>
      <c r="BK21" s="27"/>
      <c r="BL21" s="27"/>
      <c r="BM21" s="21"/>
      <c r="BN21" s="28"/>
      <c r="BO21" s="28"/>
      <c r="BP21" s="28"/>
      <c r="BQ21" s="28"/>
      <c r="BR21" s="28"/>
      <c r="BS21" s="28"/>
      <c r="BT21" s="10"/>
      <c r="BU21" s="10"/>
      <c r="BV21" s="10"/>
      <c r="BW21" s="10"/>
      <c r="BX21" s="10"/>
      <c r="BY21" s="10"/>
      <c r="BZ21" s="10"/>
      <c r="CA21" s="10"/>
    </row>
    <row r="22" spans="9:79" ht="15" customHeight="1" x14ac:dyDescent="0.2">
      <c r="K22" s="47"/>
      <c r="L22" s="47"/>
      <c r="M22" s="47"/>
      <c r="N22" s="47"/>
      <c r="O22" s="47"/>
      <c r="P22" s="52"/>
      <c r="Q22" s="52"/>
      <c r="R22" s="52"/>
      <c r="S22" s="52"/>
      <c r="T22" s="52"/>
      <c r="U22" s="52"/>
      <c r="V22" s="55"/>
      <c r="W22" s="48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37"/>
      <c r="AS22" s="49"/>
      <c r="AT22" s="50"/>
      <c r="AU22" s="50"/>
      <c r="AV22" s="50"/>
      <c r="AW22" s="50"/>
      <c r="AX22" s="50"/>
      <c r="AY22" s="50"/>
      <c r="BB22" s="39"/>
      <c r="BC22" s="39"/>
      <c r="BD22" s="39"/>
      <c r="BE22" s="39"/>
      <c r="BF22" s="41"/>
      <c r="BG22" s="37"/>
      <c r="BH22" s="37"/>
      <c r="BI22" s="37"/>
      <c r="BJ22" s="27"/>
      <c r="BK22" s="27"/>
      <c r="BL22" s="27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</row>
    <row r="23" spans="9:79" ht="15" customHeight="1" x14ac:dyDescent="0.2">
      <c r="J23" s="47"/>
      <c r="K23" s="47"/>
      <c r="L23" s="47"/>
      <c r="M23" s="47"/>
      <c r="N23" s="47"/>
      <c r="O23" s="47"/>
      <c r="P23" s="48"/>
      <c r="Q23" s="47"/>
      <c r="R23" s="47"/>
      <c r="S23" s="47"/>
      <c r="T23" s="47"/>
      <c r="U23" s="47"/>
      <c r="V23" s="47"/>
      <c r="W23" s="48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R23" s="37"/>
      <c r="AT23" s="37"/>
      <c r="AU23" s="37"/>
      <c r="AV23" s="37"/>
      <c r="AW23" s="37"/>
      <c r="AX23" s="37"/>
      <c r="AY23" s="37"/>
      <c r="BA23" s="37"/>
      <c r="BB23" s="37"/>
      <c r="BC23" s="37"/>
      <c r="BD23" s="37"/>
      <c r="BE23" s="37"/>
      <c r="BF23" s="41"/>
      <c r="BG23" s="37"/>
      <c r="BH23" s="37"/>
      <c r="BI23" s="37"/>
      <c r="BJ23" s="27"/>
      <c r="BK23" s="27"/>
      <c r="BL23" s="27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</row>
    <row r="24" spans="9:79" ht="15" customHeight="1" x14ac:dyDescent="0.2">
      <c r="J24" s="47"/>
      <c r="K24" s="47"/>
      <c r="L24" s="47"/>
      <c r="M24" s="47"/>
      <c r="N24" s="47"/>
      <c r="O24" s="47"/>
      <c r="P24" s="48"/>
      <c r="Q24" s="47"/>
      <c r="R24" s="47"/>
      <c r="S24" s="47"/>
      <c r="T24" s="47"/>
      <c r="U24" s="47"/>
      <c r="V24" s="47"/>
      <c r="W24" s="48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37"/>
      <c r="AL24" s="37"/>
      <c r="AM24" s="37"/>
      <c r="AN24" s="37"/>
      <c r="AO24" s="37"/>
      <c r="AP24" s="37"/>
      <c r="BA24" s="37"/>
      <c r="BB24" s="37"/>
      <c r="BC24" s="37"/>
      <c r="BD24" s="37"/>
      <c r="BE24" s="37"/>
      <c r="BF24" s="49"/>
      <c r="BG24" s="50"/>
      <c r="BH24" s="50"/>
      <c r="BI24" s="50"/>
      <c r="BJ24" s="28"/>
      <c r="BK24" s="28"/>
      <c r="BL24" s="28"/>
      <c r="BM24" s="10"/>
      <c r="BN24" s="10"/>
      <c r="BO24" s="10"/>
      <c r="BP24" s="10"/>
      <c r="BQ24" s="10"/>
      <c r="BR24" s="20"/>
      <c r="BS24" s="20"/>
      <c r="BT24" s="20"/>
      <c r="BU24" s="20"/>
      <c r="BV24" s="20"/>
      <c r="BW24" s="20"/>
      <c r="BX24" s="20"/>
      <c r="BY24" s="20"/>
      <c r="BZ24" s="20"/>
      <c r="CA24" s="10"/>
    </row>
    <row r="25" spans="9:79" ht="15" customHeight="1" x14ac:dyDescent="0.2">
      <c r="J25" s="47"/>
      <c r="K25" s="47"/>
      <c r="L25" s="47"/>
      <c r="M25" s="47"/>
      <c r="N25" s="47"/>
      <c r="O25" s="47"/>
      <c r="P25" s="48"/>
      <c r="Q25" s="47"/>
      <c r="R25" s="47"/>
      <c r="S25" s="47"/>
      <c r="T25" s="47"/>
      <c r="U25" s="47"/>
      <c r="V25" s="47"/>
      <c r="W25" s="48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K25" s="37"/>
      <c r="AL25" s="37"/>
      <c r="AM25" s="37"/>
      <c r="AN25" s="37"/>
      <c r="AO25" s="37"/>
      <c r="AP25" s="37"/>
      <c r="AS25" s="38"/>
      <c r="AT25" s="54"/>
      <c r="AU25" s="54"/>
      <c r="AV25" s="54"/>
      <c r="AW25" s="54"/>
      <c r="AX25" s="54"/>
      <c r="AY25" s="54"/>
      <c r="BA25" s="37"/>
      <c r="BB25" s="37"/>
      <c r="BC25" s="37"/>
      <c r="BD25" s="37"/>
      <c r="BE25" s="37"/>
      <c r="BJ25" s="10"/>
      <c r="BK25" s="10"/>
      <c r="BL25" s="10"/>
      <c r="BM25" s="10"/>
      <c r="BN25" s="10"/>
      <c r="BO25" s="10"/>
      <c r="BP25" s="1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10"/>
    </row>
    <row r="26" spans="9:79" ht="15" customHeight="1" x14ac:dyDescent="0.2">
      <c r="I26" s="47"/>
      <c r="J26" s="47"/>
      <c r="K26" s="47"/>
      <c r="L26" s="47"/>
      <c r="M26" s="47"/>
      <c r="N26" s="47"/>
      <c r="O26" s="47"/>
      <c r="P26" s="48"/>
      <c r="Q26" s="47"/>
      <c r="R26" s="47"/>
      <c r="S26" s="47"/>
      <c r="T26" s="47"/>
      <c r="U26" s="47"/>
      <c r="V26" s="47"/>
      <c r="W26" s="48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R26" s="37"/>
      <c r="AS26" s="41"/>
      <c r="AT26" s="37"/>
      <c r="AU26" s="37"/>
      <c r="AV26" s="37"/>
      <c r="AW26" s="37"/>
      <c r="AX26" s="37"/>
      <c r="AY26" s="37"/>
      <c r="BA26" s="37"/>
      <c r="BB26" s="37"/>
      <c r="BC26" s="37"/>
      <c r="BD26" s="37"/>
      <c r="BE26" s="37"/>
      <c r="BJ26" s="10"/>
      <c r="BK26" s="10"/>
      <c r="BL26" s="10"/>
      <c r="BM26" s="10"/>
      <c r="BN26" s="10"/>
      <c r="BO26" s="10"/>
      <c r="BP26" s="1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10"/>
    </row>
    <row r="27" spans="9:79" ht="15" customHeight="1" x14ac:dyDescent="0.2">
      <c r="I27" s="47"/>
      <c r="J27" s="47"/>
      <c r="K27" s="47"/>
      <c r="L27" s="47"/>
      <c r="M27" s="47"/>
      <c r="N27" s="47"/>
      <c r="O27" s="47"/>
      <c r="P27" s="48"/>
      <c r="Q27" s="47"/>
      <c r="R27" s="47"/>
      <c r="S27" s="47"/>
      <c r="T27" s="47"/>
      <c r="U27" s="47"/>
      <c r="V27" s="47"/>
      <c r="W27" s="48"/>
      <c r="X27" s="47"/>
      <c r="Y27" s="47"/>
      <c r="Z27" s="47"/>
      <c r="AA27" s="47"/>
      <c r="AB27" s="47"/>
      <c r="AC27" s="47"/>
      <c r="AD27" s="50"/>
      <c r="AE27" s="50"/>
      <c r="AF27" s="50"/>
      <c r="AG27" s="50"/>
      <c r="AH27" s="50"/>
      <c r="AI27" s="50"/>
      <c r="AJ27" s="50"/>
      <c r="AK27" s="44"/>
      <c r="AL27" s="44"/>
      <c r="AM27" s="44"/>
      <c r="AN27" s="44"/>
      <c r="AO27" s="44"/>
      <c r="AP27" s="44"/>
      <c r="AQ27" s="44"/>
      <c r="AR27" s="56"/>
      <c r="AS27" s="41"/>
      <c r="AT27" s="37"/>
      <c r="AU27" s="37"/>
      <c r="AV27" s="37"/>
      <c r="AW27" s="37"/>
      <c r="AX27" s="37"/>
      <c r="AY27" s="37"/>
      <c r="BA27" s="50"/>
      <c r="BB27" s="50"/>
      <c r="BC27" s="50"/>
      <c r="BD27" s="50"/>
      <c r="BE27" s="50"/>
      <c r="BG27" s="30"/>
      <c r="BH27" s="30"/>
      <c r="BI27" s="3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</row>
    <row r="28" spans="9:79" ht="15" customHeight="1" x14ac:dyDescent="0.2">
      <c r="I28" s="47"/>
      <c r="J28" s="47"/>
      <c r="K28" s="47"/>
      <c r="L28" s="47"/>
      <c r="M28" s="47"/>
      <c r="N28" s="47"/>
      <c r="O28" s="47"/>
      <c r="P28" s="48"/>
      <c r="Q28" s="47"/>
      <c r="R28" s="47"/>
      <c r="S28" s="47"/>
      <c r="T28" s="47"/>
      <c r="U28" s="47"/>
      <c r="V28" s="47"/>
      <c r="W28" s="48"/>
      <c r="X28" s="47"/>
      <c r="Y28" s="47"/>
      <c r="Z28" s="47"/>
      <c r="AA28" s="47"/>
      <c r="AB28" s="47"/>
      <c r="AC28" s="47"/>
      <c r="AD28" s="58"/>
      <c r="AE28" s="37"/>
      <c r="AF28" s="37"/>
      <c r="AG28" s="37"/>
      <c r="AH28" s="37"/>
      <c r="AI28" s="37"/>
      <c r="AJ28" s="37"/>
      <c r="AL28" s="37"/>
      <c r="AM28" s="37"/>
      <c r="AN28" s="37"/>
      <c r="AO28" s="37"/>
      <c r="AP28" s="37"/>
      <c r="AS28" s="41"/>
      <c r="AT28" s="37"/>
      <c r="AU28" s="37"/>
      <c r="AV28" s="37"/>
      <c r="AW28" s="37"/>
      <c r="AX28" s="37"/>
      <c r="AY28" s="37"/>
      <c r="BG28" s="30"/>
      <c r="BH28" s="30"/>
      <c r="BI28" s="3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</row>
    <row r="29" spans="9:79" ht="15" customHeight="1" x14ac:dyDescent="0.2">
      <c r="I29" s="47"/>
      <c r="J29" s="47"/>
      <c r="K29" s="47"/>
      <c r="L29" s="47"/>
      <c r="M29" s="47"/>
      <c r="N29" s="47"/>
      <c r="O29" s="47"/>
      <c r="P29" s="48"/>
      <c r="Q29" s="47"/>
      <c r="R29" s="47"/>
      <c r="S29" s="47"/>
      <c r="T29" s="47"/>
      <c r="U29" s="47"/>
      <c r="V29" s="47"/>
      <c r="W29" s="48"/>
      <c r="X29" s="47"/>
      <c r="Y29" s="47"/>
      <c r="Z29" s="47"/>
      <c r="AA29" s="47"/>
      <c r="AB29" s="47"/>
      <c r="AC29" s="47"/>
      <c r="AD29" s="48"/>
      <c r="AE29" s="47"/>
      <c r="AF29" s="47"/>
      <c r="AG29" s="47"/>
      <c r="AH29" s="47"/>
      <c r="AL29" s="37"/>
      <c r="AM29" s="37"/>
      <c r="AN29" s="37"/>
      <c r="AO29" s="37"/>
      <c r="AP29" s="37"/>
      <c r="AR29" s="37"/>
      <c r="AS29" s="41"/>
      <c r="AT29" s="37"/>
      <c r="AU29" s="37"/>
      <c r="AV29" s="37"/>
      <c r="AW29" s="37"/>
      <c r="AX29" s="37"/>
      <c r="AY29" s="37"/>
      <c r="BG29" s="30"/>
      <c r="BH29" s="30"/>
      <c r="BI29" s="3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</row>
    <row r="30" spans="9:79" ht="15" customHeight="1" x14ac:dyDescent="0.2">
      <c r="I30" s="47"/>
      <c r="J30" s="47"/>
      <c r="K30" s="47"/>
      <c r="L30" s="47"/>
      <c r="M30" s="47"/>
      <c r="N30" s="47"/>
      <c r="O30" s="47"/>
      <c r="P30" s="48"/>
      <c r="Q30" s="47"/>
      <c r="R30" s="47"/>
      <c r="S30" s="47"/>
      <c r="T30" s="47"/>
      <c r="U30" s="47"/>
      <c r="V30" s="47"/>
      <c r="W30" s="59"/>
      <c r="X30" s="37"/>
      <c r="Y30" s="37"/>
      <c r="Z30" s="37"/>
      <c r="AA30" s="37"/>
      <c r="AB30" s="37"/>
      <c r="AC30" s="37"/>
      <c r="AD30" s="41"/>
      <c r="AL30" s="37"/>
      <c r="AM30" s="37"/>
      <c r="AN30" s="37"/>
      <c r="AO30" s="37"/>
      <c r="AP30" s="37"/>
      <c r="AR30" s="37"/>
      <c r="AS30" s="38"/>
      <c r="AT30" s="39"/>
      <c r="AU30" s="39"/>
      <c r="AV30" s="39"/>
      <c r="AW30" s="39"/>
      <c r="AX30" s="39"/>
      <c r="AY30" s="39"/>
      <c r="BD30" s="30"/>
      <c r="BE30" s="30"/>
      <c r="BF30" s="30"/>
      <c r="BG30" s="30"/>
      <c r="BH30" s="30"/>
      <c r="BI30" s="3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</row>
    <row r="31" spans="9:79" ht="15" customHeight="1" x14ac:dyDescent="0.2">
      <c r="I31" s="47"/>
      <c r="J31" s="47"/>
      <c r="K31" s="47"/>
      <c r="L31" s="47"/>
      <c r="M31" s="47"/>
      <c r="N31" s="47"/>
      <c r="O31" s="47"/>
      <c r="P31" s="48"/>
      <c r="Q31" s="47"/>
      <c r="R31" s="47"/>
      <c r="S31" s="47"/>
      <c r="T31" s="47"/>
      <c r="U31" s="47"/>
      <c r="V31" s="47"/>
      <c r="W31" s="59"/>
      <c r="X31" s="37"/>
      <c r="Y31" s="37"/>
      <c r="Z31" s="37"/>
      <c r="AA31" s="37"/>
      <c r="AB31" s="37"/>
      <c r="AC31" s="37"/>
      <c r="AD31" s="41"/>
      <c r="AE31" s="37"/>
      <c r="AF31" s="37"/>
      <c r="AG31" s="37"/>
      <c r="AH31" s="37"/>
      <c r="AI31" s="37"/>
      <c r="AJ31" s="37"/>
      <c r="AL31" s="37"/>
      <c r="AM31" s="37"/>
      <c r="AN31" s="37"/>
      <c r="AO31" s="37"/>
      <c r="AP31" s="37"/>
      <c r="AR31" s="37"/>
      <c r="AS31" s="49"/>
      <c r="AT31" s="50"/>
      <c r="AU31" s="50"/>
      <c r="AV31" s="50"/>
      <c r="AW31" s="50"/>
      <c r="AX31" s="50"/>
      <c r="AY31" s="50"/>
      <c r="BC31" s="30"/>
      <c r="BD31" s="30"/>
      <c r="BE31" s="30"/>
      <c r="BF31" s="30"/>
      <c r="BG31" s="30"/>
      <c r="BH31" s="30"/>
      <c r="BI31" s="3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</row>
    <row r="32" spans="9:79" ht="15" customHeight="1" x14ac:dyDescent="0.2">
      <c r="I32" s="47"/>
      <c r="J32" s="47"/>
      <c r="K32" s="47"/>
      <c r="L32" s="47"/>
      <c r="M32" s="47"/>
      <c r="N32" s="47"/>
      <c r="O32" s="47"/>
      <c r="P32" s="48"/>
      <c r="Q32" s="47"/>
      <c r="R32" s="47"/>
      <c r="S32" s="47"/>
      <c r="T32" s="47"/>
      <c r="U32" s="47"/>
      <c r="V32" s="47"/>
      <c r="W32" s="51"/>
      <c r="X32" s="52"/>
      <c r="Y32" s="52"/>
      <c r="Z32" s="52"/>
      <c r="AA32" s="52"/>
      <c r="AB32" s="52"/>
      <c r="AC32" s="56"/>
      <c r="AD32" s="41"/>
      <c r="AE32" s="37"/>
      <c r="AF32" s="37"/>
      <c r="AG32" s="37"/>
      <c r="AH32" s="37"/>
      <c r="AI32" s="37"/>
      <c r="AJ32" s="37"/>
      <c r="AL32" s="37"/>
      <c r="AM32" s="37"/>
      <c r="AN32" s="37"/>
      <c r="AO32" s="37"/>
      <c r="AP32" s="37"/>
      <c r="BC32" s="30"/>
      <c r="BD32" s="30"/>
      <c r="BE32" s="30"/>
      <c r="BF32" s="30"/>
      <c r="BG32" s="30"/>
      <c r="BH32" s="30"/>
      <c r="BI32" s="3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</row>
    <row r="33" spans="2:79" ht="15" customHeight="1" x14ac:dyDescent="0.2">
      <c r="P33" s="59"/>
      <c r="Q33" s="37"/>
      <c r="R33" s="37"/>
      <c r="S33" s="37"/>
      <c r="T33" s="37"/>
      <c r="U33" s="37"/>
      <c r="V33" s="37"/>
      <c r="AD33" s="41"/>
      <c r="AE33" s="37"/>
      <c r="AF33" s="37"/>
      <c r="AG33" s="37"/>
      <c r="AH33" s="37"/>
      <c r="AI33" s="37"/>
      <c r="AJ33" s="37"/>
      <c r="AL33" s="37"/>
      <c r="AM33" s="37"/>
      <c r="AN33" s="37"/>
      <c r="AO33" s="37"/>
      <c r="AP33" s="37"/>
      <c r="AQ33" s="37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20"/>
      <c r="BK33" s="20"/>
      <c r="BL33" s="20"/>
      <c r="BM33" s="20"/>
      <c r="BN33" s="20"/>
      <c r="BO33" s="10"/>
      <c r="BP33" s="1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10"/>
    </row>
    <row r="34" spans="2:79" ht="15" customHeight="1" x14ac:dyDescent="0.2"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56"/>
      <c r="P34" s="59"/>
      <c r="Q34" s="37"/>
      <c r="R34" s="37"/>
      <c r="S34" s="37"/>
      <c r="T34" s="37"/>
      <c r="U34" s="37"/>
      <c r="V34" s="37"/>
      <c r="X34" s="37"/>
      <c r="Y34" s="37"/>
      <c r="Z34" s="37"/>
      <c r="AA34" s="37"/>
      <c r="AB34" s="37"/>
      <c r="AC34" s="37"/>
      <c r="AD34" s="41"/>
      <c r="AE34" s="37"/>
      <c r="AF34" s="37"/>
      <c r="AG34" s="37"/>
      <c r="AH34" s="37"/>
      <c r="AI34" s="37"/>
      <c r="AJ34" s="37"/>
      <c r="AR34" s="37"/>
      <c r="AS34" s="38"/>
      <c r="AT34" s="39"/>
      <c r="AU34" s="39"/>
      <c r="AV34" s="39"/>
      <c r="AW34" s="39"/>
      <c r="AX34" s="39"/>
      <c r="AY34" s="39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10"/>
    </row>
    <row r="35" spans="2:79" ht="15" customHeight="1" x14ac:dyDescent="0.2">
      <c r="P35" s="41"/>
      <c r="X35" s="37"/>
      <c r="Y35" s="37"/>
      <c r="Z35" s="37"/>
      <c r="AA35" s="37"/>
      <c r="AB35" s="37"/>
      <c r="AC35" s="37"/>
      <c r="AD35" s="41"/>
      <c r="AE35" s="37"/>
      <c r="AF35" s="37"/>
      <c r="AG35" s="37"/>
      <c r="AH35" s="37"/>
      <c r="AI35" s="37"/>
      <c r="AJ35" s="37"/>
      <c r="AN35" s="30"/>
      <c r="AO35" s="30"/>
      <c r="AP35" s="30"/>
      <c r="AQ35" s="30"/>
      <c r="AS35" s="41"/>
      <c r="AT35" s="37"/>
      <c r="AU35" s="37"/>
      <c r="AV35" s="37"/>
      <c r="AW35" s="37"/>
      <c r="AX35" s="37"/>
      <c r="AY35" s="37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10"/>
    </row>
    <row r="36" spans="2:79" ht="15" customHeight="1" x14ac:dyDescent="0.2">
      <c r="B36" s="53" t="str">
        <f>IF('Event Tree Input'!D27="Seismic Hazard","Seismic Hazard","")</f>
        <v/>
      </c>
      <c r="C36" s="53"/>
      <c r="D36" s="53"/>
      <c r="E36" s="53"/>
      <c r="F36" s="53"/>
      <c r="G36" s="53"/>
      <c r="H36" s="53"/>
      <c r="I36" s="64"/>
      <c r="J36" s="64"/>
      <c r="K36" s="64"/>
      <c r="L36" s="64"/>
      <c r="M36" s="64"/>
      <c r="N36" s="64"/>
      <c r="O36" s="64"/>
      <c r="P36" s="41"/>
      <c r="X36" s="37"/>
      <c r="Y36" s="37"/>
      <c r="Z36" s="37"/>
      <c r="AA36" s="37"/>
      <c r="AB36" s="37"/>
      <c r="AC36" s="37"/>
      <c r="AD36" s="49"/>
      <c r="AE36" s="50"/>
      <c r="AF36" s="50"/>
      <c r="AG36" s="50"/>
      <c r="AH36" s="50"/>
      <c r="AI36" s="50"/>
      <c r="AJ36" s="50"/>
      <c r="AK36" s="44"/>
      <c r="AL36" s="44"/>
      <c r="AM36" s="57"/>
      <c r="AN36" s="57"/>
      <c r="AO36" s="44"/>
      <c r="AP36" s="57"/>
      <c r="AQ36" s="57"/>
      <c r="AR36" s="56"/>
      <c r="AS36" s="41"/>
      <c r="AT36" s="37"/>
      <c r="AU36" s="37"/>
      <c r="AV36" s="37"/>
      <c r="AW36" s="37"/>
      <c r="AX36" s="37"/>
      <c r="AY36" s="37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10"/>
    </row>
    <row r="37" spans="2:79" ht="15" customHeight="1" x14ac:dyDescent="0.2">
      <c r="B37" s="53"/>
      <c r="C37" s="53"/>
      <c r="D37" s="53"/>
      <c r="E37" s="53"/>
      <c r="F37" s="53"/>
      <c r="G37" s="53"/>
      <c r="H37" s="53"/>
      <c r="I37" s="64"/>
      <c r="J37" s="64"/>
      <c r="K37" s="64"/>
      <c r="L37" s="64"/>
      <c r="M37" s="64"/>
      <c r="N37" s="64"/>
      <c r="O37" s="64"/>
      <c r="P37" s="41"/>
      <c r="Q37" s="37"/>
      <c r="R37" s="37"/>
      <c r="S37" s="37"/>
      <c r="T37" s="37"/>
      <c r="U37" s="37"/>
      <c r="V37" s="37"/>
      <c r="X37" s="37"/>
      <c r="Y37" s="37"/>
      <c r="Z37" s="37"/>
      <c r="AA37" s="37"/>
      <c r="AB37" s="37"/>
      <c r="AC37" s="37"/>
      <c r="AM37" s="30"/>
      <c r="AN37" s="30"/>
      <c r="AO37" s="30"/>
      <c r="AP37" s="30"/>
      <c r="AQ37" s="30"/>
      <c r="AR37" s="37"/>
      <c r="AS37" s="41"/>
      <c r="AT37" s="37"/>
      <c r="AU37" s="37"/>
      <c r="AV37" s="37"/>
      <c r="AW37" s="37"/>
      <c r="AX37" s="37"/>
      <c r="AY37" s="37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10"/>
      <c r="BU37" s="10"/>
      <c r="BV37" s="10"/>
      <c r="BW37" s="10"/>
      <c r="BX37" s="10"/>
      <c r="BY37" s="10"/>
      <c r="BZ37" s="10"/>
      <c r="CA37" s="10"/>
    </row>
    <row r="38" spans="2:79" ht="15" customHeight="1" x14ac:dyDescent="0.2">
      <c r="P38" s="41"/>
      <c r="Q38" s="37"/>
      <c r="R38" s="37"/>
      <c r="S38" s="37"/>
      <c r="T38" s="37"/>
      <c r="U38" s="37"/>
      <c r="V38" s="37"/>
      <c r="X38" s="37"/>
      <c r="Y38" s="37"/>
      <c r="Z38" s="37"/>
      <c r="AA38" s="37"/>
      <c r="AB38" s="37"/>
      <c r="AC38" s="37"/>
      <c r="AM38" s="30"/>
      <c r="AN38" s="30"/>
      <c r="AO38" s="30"/>
      <c r="AP38" s="30"/>
      <c r="AQ38" s="30"/>
      <c r="AR38" s="37"/>
      <c r="AS38" s="49"/>
      <c r="AT38" s="50"/>
      <c r="AU38" s="50"/>
      <c r="AV38" s="50"/>
      <c r="AW38" s="50"/>
      <c r="AX38" s="50"/>
      <c r="AY38" s="5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10"/>
      <c r="BU38" s="10"/>
      <c r="BV38" s="10"/>
      <c r="BW38" s="10"/>
      <c r="BX38" s="10"/>
      <c r="BY38" s="10"/>
      <c r="BZ38" s="10"/>
      <c r="CA38" s="10"/>
    </row>
    <row r="39" spans="2:79" ht="15" customHeight="1" x14ac:dyDescent="0.2">
      <c r="P39" s="41"/>
      <c r="Q39" s="37"/>
      <c r="R39" s="37"/>
      <c r="S39" s="37"/>
      <c r="T39" s="37"/>
      <c r="U39" s="37"/>
      <c r="V39" s="37"/>
      <c r="X39" s="37"/>
      <c r="Y39" s="37"/>
      <c r="Z39" s="37"/>
      <c r="AA39" s="37"/>
      <c r="AB39" s="37"/>
      <c r="AC39" s="37"/>
      <c r="AM39" s="30"/>
      <c r="AN39" s="30"/>
      <c r="AO39" s="30"/>
      <c r="AP39" s="30"/>
      <c r="AQ39" s="30"/>
      <c r="AR39" s="37"/>
      <c r="AS39" s="38"/>
      <c r="AT39" s="37"/>
      <c r="AU39" s="37"/>
      <c r="AV39" s="37"/>
      <c r="AW39" s="37"/>
      <c r="AX39" s="37"/>
      <c r="AY39" s="37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20"/>
      <c r="BK39" s="20"/>
      <c r="BL39" s="20"/>
      <c r="BM39" s="20"/>
      <c r="BN39" s="2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</row>
    <row r="40" spans="2:79" ht="15" customHeight="1" x14ac:dyDescent="0.2">
      <c r="P40" s="41"/>
      <c r="Q40" s="37"/>
      <c r="R40" s="37"/>
      <c r="S40" s="37"/>
      <c r="T40" s="37"/>
      <c r="U40" s="37"/>
      <c r="V40" s="37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S40" s="49"/>
      <c r="AT40" s="44"/>
      <c r="AU40" s="44"/>
      <c r="AV40" s="44"/>
      <c r="AW40" s="44"/>
      <c r="AX40" s="44"/>
      <c r="AY40" s="44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20"/>
      <c r="BK40" s="20"/>
      <c r="BL40" s="20"/>
      <c r="BM40" s="20"/>
      <c r="BN40" s="2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</row>
    <row r="41" spans="2:79" ht="15" customHeight="1" x14ac:dyDescent="0.2">
      <c r="P41" s="41"/>
      <c r="Q41" s="37"/>
      <c r="R41" s="37"/>
      <c r="S41" s="37"/>
      <c r="T41" s="37"/>
      <c r="U41" s="37"/>
      <c r="V41" s="37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20"/>
      <c r="BK41" s="20"/>
      <c r="BL41" s="20"/>
      <c r="BM41" s="20"/>
      <c r="BN41" s="2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</row>
    <row r="42" spans="2:79" ht="15" customHeight="1" x14ac:dyDescent="0.2">
      <c r="P42" s="41"/>
      <c r="Q42" s="37"/>
      <c r="R42" s="37"/>
      <c r="S42" s="37"/>
      <c r="T42" s="37"/>
      <c r="U42" s="37"/>
      <c r="V42" s="37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7"/>
      <c r="AT42" s="37"/>
      <c r="AU42" s="37"/>
      <c r="AV42" s="37"/>
      <c r="AW42" s="37"/>
      <c r="AX42" s="37"/>
      <c r="AY42" s="37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20"/>
      <c r="BK42" s="20"/>
      <c r="BL42" s="20"/>
      <c r="BM42" s="20"/>
      <c r="BN42" s="2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</row>
    <row r="43" spans="2:79" ht="15" customHeight="1" x14ac:dyDescent="0.2">
      <c r="P43" s="41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S43" s="38"/>
      <c r="AT43" s="39"/>
      <c r="AU43" s="39"/>
      <c r="AV43" s="39"/>
      <c r="AW43" s="39"/>
      <c r="AX43" s="39"/>
      <c r="AY43" s="39"/>
      <c r="AZ43" s="30"/>
      <c r="BA43" s="30"/>
      <c r="BB43" s="30"/>
      <c r="BC43" s="30"/>
      <c r="BD43" s="30"/>
      <c r="BE43" s="3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</row>
    <row r="44" spans="2:79" ht="15" customHeight="1" x14ac:dyDescent="0.2">
      <c r="P44" s="41"/>
      <c r="S44" s="30"/>
      <c r="T44" s="30"/>
      <c r="U44" s="30"/>
      <c r="V44" s="30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44"/>
      <c r="AS44" s="41"/>
      <c r="AT44" s="37"/>
      <c r="AU44" s="37"/>
      <c r="AV44" s="37"/>
      <c r="AW44" s="37"/>
      <c r="AX44" s="37"/>
      <c r="AY44" s="37"/>
      <c r="AZ44" s="30"/>
      <c r="BA44" s="30"/>
      <c r="BB44" s="30"/>
      <c r="BC44" s="30"/>
      <c r="BD44" s="30"/>
      <c r="BE44" s="3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</row>
    <row r="45" spans="2:79" ht="15" customHeight="1" x14ac:dyDescent="0.2">
      <c r="P45" s="41"/>
      <c r="R45" s="30"/>
      <c r="S45" s="30"/>
      <c r="T45" s="30"/>
      <c r="U45" s="30"/>
      <c r="V45" s="30"/>
      <c r="W45" s="60"/>
      <c r="X45" s="30"/>
      <c r="Y45" s="30"/>
      <c r="Z45" s="30"/>
      <c r="AA45" s="30"/>
      <c r="AB45" s="30"/>
      <c r="AC45" s="30"/>
      <c r="AD45" s="62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9"/>
      <c r="AS45" s="41"/>
      <c r="AT45" s="37"/>
      <c r="AU45" s="37"/>
      <c r="AV45" s="37"/>
      <c r="AW45" s="37"/>
      <c r="AX45" s="37"/>
      <c r="AY45" s="37"/>
      <c r="AZ45" s="30"/>
      <c r="BA45" s="30"/>
      <c r="BB45" s="30"/>
      <c r="BC45" s="30"/>
      <c r="BD45" s="3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2:79" ht="15" customHeight="1" x14ac:dyDescent="0.2">
      <c r="P46" s="41"/>
      <c r="R46" s="30"/>
      <c r="S46" s="30"/>
      <c r="T46" s="30"/>
      <c r="U46" s="30"/>
      <c r="V46" s="30"/>
      <c r="W46" s="6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7"/>
      <c r="AS46" s="41"/>
      <c r="AT46" s="37"/>
      <c r="AU46" s="37"/>
      <c r="AV46" s="37"/>
      <c r="AW46" s="37"/>
      <c r="AX46" s="37"/>
      <c r="AY46" s="37"/>
      <c r="AZ46" s="3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2:79" ht="15" customHeight="1" x14ac:dyDescent="0.2">
      <c r="P47" s="49"/>
      <c r="Q47" s="44"/>
      <c r="R47" s="57"/>
      <c r="S47" s="57"/>
      <c r="T47" s="57"/>
      <c r="U47" s="57"/>
      <c r="V47" s="57"/>
      <c r="W47" s="6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7"/>
      <c r="AS47" s="49"/>
      <c r="AT47" s="50"/>
      <c r="AU47" s="50"/>
      <c r="AV47" s="50"/>
      <c r="AW47" s="50"/>
      <c r="AX47" s="50"/>
      <c r="AY47" s="5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2:79" ht="15" customHeight="1" x14ac:dyDescent="0.2">
      <c r="R48" s="30"/>
      <c r="S48" s="30"/>
      <c r="T48" s="30"/>
      <c r="U48" s="30"/>
      <c r="V48" s="30"/>
      <c r="W48" s="6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S48" s="38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R49" s="30"/>
      <c r="S49" s="30"/>
      <c r="T49" s="30"/>
      <c r="U49" s="30"/>
      <c r="V49" s="30"/>
      <c r="W49" s="6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S49" s="49"/>
      <c r="AT49" s="44"/>
      <c r="AU49" s="44"/>
      <c r="AV49" s="44"/>
      <c r="AW49" s="44"/>
      <c r="AX49" s="44"/>
      <c r="AY49" s="44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R50" s="30"/>
      <c r="S50" s="30"/>
      <c r="T50" s="30"/>
      <c r="U50" s="30"/>
      <c r="V50" s="30"/>
      <c r="W50" s="6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W51" s="49"/>
      <c r="X51" s="44"/>
      <c r="Y51" s="44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44"/>
      <c r="AS51" s="44"/>
      <c r="AT51" s="44"/>
      <c r="AU51" s="44"/>
      <c r="AV51" s="44"/>
      <c r="AW51" s="44"/>
      <c r="AX51" s="44"/>
      <c r="AY51" s="44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ht="15" customHeight="1" x14ac:dyDescent="0.2"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</row>
    <row r="54" spans="1:79" s="14" customFormat="1" ht="15" customHeight="1" x14ac:dyDescent="0.2">
      <c r="A54" s="76" t="s">
        <v>19</v>
      </c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  <c r="BF54" s="76"/>
      <c r="BG54" s="76"/>
      <c r="BH54" s="76"/>
      <c r="BI54" s="76"/>
      <c r="BJ54" s="76"/>
      <c r="BK54" s="76"/>
      <c r="BL54" s="76"/>
      <c r="BM54" s="76"/>
      <c r="BN54" s="76"/>
      <c r="BO54" s="76"/>
      <c r="BP54" s="76"/>
      <c r="BQ54" s="76"/>
      <c r="BR54" s="76"/>
      <c r="BS54" s="76"/>
      <c r="BT54" s="76"/>
      <c r="BU54" s="76"/>
      <c r="BV54" s="76"/>
      <c r="BW54" s="76"/>
      <c r="BX54" s="76"/>
      <c r="BY54" s="76"/>
      <c r="BZ54" s="76"/>
      <c r="CA54" s="76"/>
    </row>
    <row r="56" spans="1:79" ht="15" customHeight="1" x14ac:dyDescent="0.2">
      <c r="A56" s="75" t="s">
        <v>67</v>
      </c>
      <c r="B56" s="75"/>
      <c r="C56" s="75"/>
      <c r="D56" s="75"/>
      <c r="E56" s="75"/>
      <c r="F56" s="75" t="str">
        <f>IF('Event Tree Input'!D27="Seismic Hazard","Yes","No")</f>
        <v>No</v>
      </c>
      <c r="G56" s="75"/>
      <c r="I56" s="64" t="s">
        <v>17</v>
      </c>
      <c r="J56" s="64"/>
      <c r="K56" s="75" t="s">
        <v>23</v>
      </c>
      <c r="L56" s="75"/>
      <c r="M56" s="75"/>
      <c r="N56" s="75" t="s">
        <v>24</v>
      </c>
      <c r="O56" s="75"/>
      <c r="P56" s="75"/>
    </row>
    <row r="57" spans="1:79" ht="15" customHeight="1" x14ac:dyDescent="0.2">
      <c r="I57" s="64"/>
      <c r="J57" s="64"/>
      <c r="K57" s="75" t="s">
        <v>22</v>
      </c>
      <c r="L57" s="75"/>
      <c r="M57" s="75"/>
      <c r="N57" s="75" t="s">
        <v>22</v>
      </c>
      <c r="O57" s="75"/>
      <c r="P57" s="75"/>
      <c r="S57" s="75" t="s">
        <v>17</v>
      </c>
      <c r="T57" s="75"/>
      <c r="U57" s="75" t="s">
        <v>27</v>
      </c>
      <c r="V57" s="75"/>
      <c r="W57" s="75"/>
      <c r="X57" s="75" t="s">
        <v>30</v>
      </c>
      <c r="Y57" s="75"/>
      <c r="Z57" s="75"/>
    </row>
    <row r="58" spans="1:79" ht="15" customHeight="1" x14ac:dyDescent="0.2">
      <c r="I58" s="75">
        <v>1</v>
      </c>
      <c r="J58" s="75"/>
      <c r="K58" s="75" t="str">
        <f>'Event Tree Input'!B176</f>
        <v>Circle</v>
      </c>
      <c r="L58" s="75"/>
      <c r="M58" s="75"/>
      <c r="N58" s="75" t="str">
        <f>'Event Tree Input'!C176</f>
        <v>Triangle</v>
      </c>
      <c r="O58" s="75"/>
      <c r="P58" s="75"/>
      <c r="S58" s="75">
        <v>1</v>
      </c>
      <c r="T58" s="75"/>
      <c r="U58" s="75" t="str">
        <f>IF('Event Tree Input'!$D$32="No","No",IF(AND('Event Tree Input'!$D$32="Yes",'Event Tree Input'!$D$29&gt;=S58),"Yes","No"))</f>
        <v>No</v>
      </c>
      <c r="V58" s="75"/>
      <c r="W58" s="75"/>
      <c r="X58" s="75" t="str">
        <f>'Event Tree Input'!$D$31</f>
        <v>Yes</v>
      </c>
      <c r="Y58" s="75"/>
      <c r="Z58" s="75"/>
    </row>
    <row r="59" spans="1:79" ht="15" customHeight="1" x14ac:dyDescent="0.2">
      <c r="I59" s="75">
        <v>2</v>
      </c>
      <c r="J59" s="75"/>
      <c r="K59" s="75" t="str">
        <f>'Event Tree Input'!B177</f>
        <v>Circle</v>
      </c>
      <c r="L59" s="75"/>
      <c r="M59" s="75"/>
      <c r="N59" s="75" t="str">
        <f>'Event Tree Input'!C177</f>
        <v>Triangle</v>
      </c>
      <c r="O59" s="75"/>
      <c r="P59" s="75"/>
      <c r="S59" s="75">
        <v>2</v>
      </c>
      <c r="T59" s="75"/>
      <c r="U59" s="75" t="str">
        <f>IF('Event Tree Input'!$D$32="No","No",IF(AND('Event Tree Input'!$D$32="Yes",'Event Tree Input'!$D$29&gt;=S59),"Yes","No"))</f>
        <v>No</v>
      </c>
      <c r="V59" s="75"/>
      <c r="W59" s="75"/>
      <c r="X59" s="75" t="str">
        <f>'Event Tree Input'!$D$31</f>
        <v>Yes</v>
      </c>
      <c r="Y59" s="75"/>
      <c r="Z59" s="75"/>
    </row>
    <row r="60" spans="1:79" ht="15" customHeight="1" x14ac:dyDescent="0.2">
      <c r="I60" s="75">
        <v>3</v>
      </c>
      <c r="J60" s="75"/>
      <c r="K60" s="75" t="str">
        <f>'Event Tree Input'!B178</f>
        <v>Circle</v>
      </c>
      <c r="L60" s="75"/>
      <c r="M60" s="75"/>
      <c r="N60" s="75" t="str">
        <f>'Event Tree Input'!C178</f>
        <v>Triangle</v>
      </c>
      <c r="O60" s="75"/>
      <c r="P60" s="75"/>
      <c r="S60" s="75">
        <v>3</v>
      </c>
      <c r="T60" s="75"/>
      <c r="U60" s="75" t="str">
        <f>IF('Event Tree Input'!$D$32="No","No",IF(AND('Event Tree Input'!$D$32="Yes",'Event Tree Input'!$D$29&gt;=S60),"Yes","No"))</f>
        <v>No</v>
      </c>
      <c r="V60" s="75"/>
      <c r="W60" s="75"/>
      <c r="X60" s="75" t="str">
        <f>'Event Tree Input'!$D$31</f>
        <v>Yes</v>
      </c>
      <c r="Y60" s="75"/>
      <c r="Z60" s="75"/>
    </row>
    <row r="61" spans="1:79" ht="15" customHeight="1" x14ac:dyDescent="0.2">
      <c r="I61" s="75">
        <v>4</v>
      </c>
      <c r="J61" s="75"/>
      <c r="K61" s="75" t="str">
        <f>'Event Tree Input'!B179</f>
        <v>Circle</v>
      </c>
      <c r="L61" s="75"/>
      <c r="M61" s="75"/>
      <c r="N61" s="75" t="str">
        <f>'Event Tree Input'!C179</f>
        <v>Triangle</v>
      </c>
      <c r="O61" s="75"/>
      <c r="P61" s="75"/>
      <c r="S61" s="75">
        <v>4</v>
      </c>
      <c r="T61" s="75"/>
      <c r="U61" s="75" t="str">
        <f>IF('Event Tree Input'!$D$32="No","No",IF(AND('Event Tree Input'!$D$32="Yes",'Event Tree Input'!$D$29&gt;=S61),"Yes","No"))</f>
        <v>No</v>
      </c>
      <c r="V61" s="75"/>
      <c r="W61" s="75"/>
      <c r="X61" s="75" t="str">
        <f>'Event Tree Input'!$D$31</f>
        <v>Yes</v>
      </c>
      <c r="Y61" s="75"/>
      <c r="Z61" s="75"/>
    </row>
    <row r="62" spans="1:79" ht="15" customHeight="1" x14ac:dyDescent="0.2">
      <c r="I62" s="75">
        <v>5</v>
      </c>
      <c r="J62" s="75"/>
      <c r="K62" s="75" t="str">
        <f>'Event Tree Input'!B180</f>
        <v>Triangle</v>
      </c>
      <c r="L62" s="75"/>
      <c r="M62" s="75"/>
      <c r="N62" s="75" t="str">
        <f>'Event Tree Input'!C180</f>
        <v>Triangle</v>
      </c>
      <c r="O62" s="75"/>
      <c r="P62" s="75"/>
      <c r="S62" s="75">
        <v>5</v>
      </c>
      <c r="T62" s="75"/>
      <c r="U62" s="75" t="str">
        <f>IF('Event Tree Input'!$D$32="No","No",IF(AND('Event Tree Input'!$D$32="Yes",'Event Tree Input'!$D$29&gt;=S62),"Yes","No"))</f>
        <v>No</v>
      </c>
      <c r="V62" s="75"/>
      <c r="W62" s="75"/>
      <c r="X62" s="75" t="str">
        <f>'Event Tree Input'!$D$31</f>
        <v>Yes</v>
      </c>
      <c r="Y62" s="75"/>
      <c r="Z62" s="75"/>
    </row>
    <row r="63" spans="1:79" ht="15" customHeight="1" x14ac:dyDescent="0.2">
      <c r="I63" s="75">
        <v>6</v>
      </c>
      <c r="J63" s="75"/>
      <c r="K63" s="75" t="str">
        <f>'Event Tree Input'!B181</f>
        <v/>
      </c>
      <c r="L63" s="75"/>
      <c r="M63" s="75"/>
      <c r="N63" s="75" t="str">
        <f>'Event Tree Input'!C181</f>
        <v/>
      </c>
      <c r="O63" s="75"/>
      <c r="P63" s="75"/>
      <c r="S63" s="75">
        <v>6</v>
      </c>
      <c r="T63" s="75"/>
      <c r="U63" s="75" t="str">
        <f>IF('Event Tree Input'!$D$32="No","No",IF(AND('Event Tree Input'!$D$32="Yes",'Event Tree Input'!$D$29&gt;=S63),"Yes","No"))</f>
        <v>No</v>
      </c>
      <c r="V63" s="75"/>
      <c r="W63" s="75"/>
      <c r="X63" s="75" t="str">
        <f>'Event Tree Input'!$D$31</f>
        <v>Yes</v>
      </c>
      <c r="Y63" s="75"/>
      <c r="Z63" s="75"/>
    </row>
    <row r="64" spans="1:79" ht="15" customHeight="1" x14ac:dyDescent="0.2">
      <c r="I64" s="75">
        <v>7</v>
      </c>
      <c r="J64" s="75"/>
      <c r="K64" s="75" t="str">
        <f>'Event Tree Input'!B182</f>
        <v/>
      </c>
      <c r="L64" s="75"/>
      <c r="M64" s="75"/>
      <c r="N64" s="75" t="str">
        <f>'Event Tree Input'!C182</f>
        <v/>
      </c>
      <c r="O64" s="75"/>
      <c r="P64" s="75"/>
      <c r="S64" s="75">
        <v>7</v>
      </c>
      <c r="T64" s="75"/>
      <c r="U64" s="75" t="str">
        <f>IF('Event Tree Input'!$D$32="No","No",IF(AND('Event Tree Input'!$D$32="Yes",'Event Tree Input'!$D$29&gt;=S64),"Yes","No"))</f>
        <v>No</v>
      </c>
      <c r="V64" s="75"/>
      <c r="W64" s="75"/>
      <c r="X64" s="75" t="str">
        <f>'Event Tree Input'!$D$31</f>
        <v>Yes</v>
      </c>
      <c r="Y64" s="75"/>
      <c r="Z64" s="75"/>
    </row>
    <row r="65" spans="2:26" ht="15" customHeight="1" x14ac:dyDescent="0.2">
      <c r="I65" s="75">
        <v>8</v>
      </c>
      <c r="J65" s="75"/>
      <c r="K65" s="75" t="str">
        <f>'Event Tree Input'!B183</f>
        <v/>
      </c>
      <c r="L65" s="75"/>
      <c r="M65" s="75"/>
      <c r="N65" s="75" t="str">
        <f>'Event Tree Input'!C183</f>
        <v/>
      </c>
      <c r="O65" s="75"/>
      <c r="P65" s="75"/>
      <c r="S65" s="75">
        <v>8</v>
      </c>
      <c r="T65" s="75"/>
      <c r="U65" s="75" t="str">
        <f>IF('Event Tree Input'!$D$32="No","No",IF(AND('Event Tree Input'!$D$32="Yes",'Event Tree Input'!$D$29&gt;=S65),"Yes","No"))</f>
        <v>No</v>
      </c>
      <c r="V65" s="75"/>
      <c r="W65" s="75"/>
      <c r="X65" s="75" t="str">
        <f>'Event Tree Input'!$D$31</f>
        <v>Yes</v>
      </c>
      <c r="Y65" s="75"/>
      <c r="Z65" s="75"/>
    </row>
    <row r="66" spans="2:26" ht="15" customHeight="1" x14ac:dyDescent="0.2">
      <c r="I66" s="75">
        <v>9</v>
      </c>
      <c r="J66" s="75"/>
      <c r="K66" s="75" t="str">
        <f>'Event Tree Input'!B184</f>
        <v/>
      </c>
      <c r="L66" s="75"/>
      <c r="M66" s="75"/>
      <c r="N66" s="75" t="str">
        <f>'Event Tree Input'!C184</f>
        <v/>
      </c>
      <c r="O66" s="75"/>
      <c r="P66" s="75"/>
      <c r="S66" s="75">
        <v>9</v>
      </c>
      <c r="T66" s="75"/>
      <c r="U66" s="75" t="str">
        <f>IF('Event Tree Input'!$D$32="No","No",IF(AND('Event Tree Input'!$D$32="Yes",'Event Tree Input'!$D$29&gt;=S66),"Yes","No"))</f>
        <v>No</v>
      </c>
      <c r="V66" s="75"/>
      <c r="W66" s="75"/>
      <c r="X66" s="75" t="str">
        <f>'Event Tree Input'!$D$31</f>
        <v>Yes</v>
      </c>
      <c r="Y66" s="75"/>
      <c r="Z66" s="75"/>
    </row>
    <row r="68" spans="2:26" ht="15" customHeight="1" x14ac:dyDescent="0.2">
      <c r="B68" s="9" t="s">
        <v>39</v>
      </c>
      <c r="M68" s="25"/>
      <c r="N68" s="25"/>
      <c r="O68" s="25"/>
    </row>
    <row r="69" spans="2:26" ht="15" customHeight="1" x14ac:dyDescent="0.2">
      <c r="B69" s="74" t="str">
        <f>'Event Tree Input'!A45</f>
        <v>Node 1 Callout</v>
      </c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30"/>
    </row>
    <row r="70" spans="2:26" ht="15" customHeight="1" x14ac:dyDescent="0.2"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30"/>
    </row>
    <row r="71" spans="2:26" ht="15" customHeight="1" x14ac:dyDescent="0.2"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30"/>
      <c r="X71" s="31"/>
      <c r="Y71" s="30"/>
    </row>
    <row r="72" spans="2:26" ht="15" customHeight="1" x14ac:dyDescent="0.2"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30"/>
      <c r="X72" s="31"/>
      <c r="Y72" s="30"/>
    </row>
    <row r="73" spans="2:26" ht="15" customHeight="1" x14ac:dyDescent="0.2"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30"/>
      <c r="X73" s="31"/>
      <c r="Y73" s="30"/>
    </row>
    <row r="74" spans="2:26" ht="15" customHeight="1" x14ac:dyDescent="0.2"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30"/>
      <c r="X74" s="31"/>
      <c r="Y74" s="30"/>
    </row>
    <row r="75" spans="2:26" ht="15" customHeight="1" x14ac:dyDescent="0.2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1"/>
      <c r="Y75" s="30"/>
    </row>
    <row r="76" spans="2:26" ht="15" customHeight="1" x14ac:dyDescent="0.2">
      <c r="B76" s="9" t="s">
        <v>40</v>
      </c>
      <c r="M76" s="25"/>
      <c r="N76" s="25"/>
      <c r="O76" s="25"/>
      <c r="W76" s="30"/>
      <c r="X76" s="30"/>
      <c r="Y76" s="30"/>
    </row>
    <row r="77" spans="2:26" ht="15" customHeight="1" x14ac:dyDescent="0.2">
      <c r="B77" s="74" t="str">
        <f>'Event Tree Input'!A59</f>
        <v>Node 2 Callout</v>
      </c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</row>
    <row r="78" spans="2:26" ht="15" customHeight="1" x14ac:dyDescent="0.2"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31"/>
      <c r="X78" s="31"/>
    </row>
    <row r="79" spans="2:26" ht="15" customHeight="1" x14ac:dyDescent="0.2"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31"/>
      <c r="X79" s="31"/>
    </row>
    <row r="80" spans="2:26" ht="15" customHeight="1" x14ac:dyDescent="0.2"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31"/>
      <c r="X80" s="31"/>
    </row>
    <row r="81" spans="2:24" ht="15" customHeight="1" x14ac:dyDescent="0.2"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31"/>
      <c r="X81" s="31"/>
    </row>
    <row r="82" spans="2:24" ht="15" customHeight="1" x14ac:dyDescent="0.2"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31"/>
      <c r="X82" s="31"/>
    </row>
    <row r="84" spans="2:24" ht="15" customHeight="1" x14ac:dyDescent="0.2">
      <c r="B84" s="9" t="s">
        <v>41</v>
      </c>
      <c r="M84" s="25"/>
      <c r="N84" s="25"/>
      <c r="O84" s="25"/>
    </row>
    <row r="85" spans="2:24" ht="15" customHeight="1" x14ac:dyDescent="0.2">
      <c r="B85" s="74" t="str">
        <f>'Event Tree Input'!A73</f>
        <v>Node 3 Callout</v>
      </c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</row>
    <row r="86" spans="2:24" ht="15" customHeight="1" x14ac:dyDescent="0.2"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</row>
    <row r="87" spans="2:24" ht="15" customHeight="1" x14ac:dyDescent="0.2"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</row>
    <row r="88" spans="2:24" ht="15" customHeight="1" x14ac:dyDescent="0.2"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</row>
    <row r="89" spans="2:24" ht="15" customHeight="1" x14ac:dyDescent="0.2"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</row>
    <row r="90" spans="2:24" ht="15" customHeight="1" x14ac:dyDescent="0.2"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</row>
    <row r="92" spans="2:24" ht="15" customHeight="1" x14ac:dyDescent="0.2">
      <c r="B92" s="9" t="s">
        <v>42</v>
      </c>
      <c r="M92" s="25"/>
      <c r="N92" s="25"/>
      <c r="O92" s="25"/>
    </row>
    <row r="93" spans="2:24" ht="15" customHeight="1" x14ac:dyDescent="0.2">
      <c r="B93" s="74" t="str">
        <f>'Event Tree Input'!A87</f>
        <v>Node 4 Callout</v>
      </c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</row>
    <row r="94" spans="2:24" ht="15" customHeight="1" x14ac:dyDescent="0.2"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</row>
    <row r="95" spans="2:24" ht="15" customHeight="1" x14ac:dyDescent="0.2"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</row>
    <row r="96" spans="2:24" ht="15" customHeight="1" x14ac:dyDescent="0.2"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</row>
    <row r="97" spans="2:22" ht="15" customHeight="1" x14ac:dyDescent="0.2"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</row>
    <row r="98" spans="2:22" ht="15" customHeight="1" x14ac:dyDescent="0.2"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</row>
    <row r="100" spans="2:22" ht="15" customHeight="1" x14ac:dyDescent="0.2">
      <c r="B100" s="9" t="s">
        <v>43</v>
      </c>
      <c r="M100" s="25"/>
      <c r="N100" s="25"/>
      <c r="O100" s="25"/>
    </row>
    <row r="101" spans="2:22" ht="15" customHeight="1" x14ac:dyDescent="0.2">
      <c r="B101" s="74" t="str">
        <f>'Event Tree Input'!A101</f>
        <v>Node 5 Callout</v>
      </c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</row>
    <row r="102" spans="2:22" ht="15" customHeight="1" x14ac:dyDescent="0.2"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</row>
    <row r="103" spans="2:22" ht="15" customHeight="1" x14ac:dyDescent="0.2"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</row>
    <row r="104" spans="2:22" ht="15" customHeight="1" x14ac:dyDescent="0.2"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</row>
    <row r="105" spans="2:22" ht="15" customHeight="1" x14ac:dyDescent="0.2"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</row>
    <row r="106" spans="2:22" ht="15" customHeight="1" x14ac:dyDescent="0.2"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</row>
    <row r="108" spans="2:22" ht="15" customHeight="1" x14ac:dyDescent="0.2">
      <c r="B108" s="9" t="s">
        <v>44</v>
      </c>
      <c r="M108" s="25"/>
      <c r="N108" s="25"/>
      <c r="O108" s="25"/>
    </row>
    <row r="109" spans="2:22" ht="15" customHeight="1" x14ac:dyDescent="0.2">
      <c r="B109" s="74" t="str">
        <f>'Event Tree Input'!A115</f>
        <v>Node 6 Callout</v>
      </c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</row>
    <row r="110" spans="2:22" ht="15" customHeight="1" x14ac:dyDescent="0.2"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</row>
    <row r="111" spans="2:22" ht="15" customHeight="1" x14ac:dyDescent="0.2"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</row>
    <row r="112" spans="2:22" ht="15" customHeight="1" x14ac:dyDescent="0.2"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</row>
    <row r="113" spans="2:22" ht="15" customHeight="1" x14ac:dyDescent="0.2"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</row>
    <row r="114" spans="2:22" ht="15" customHeight="1" x14ac:dyDescent="0.2"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</row>
    <row r="116" spans="2:22" ht="15" customHeight="1" x14ac:dyDescent="0.2">
      <c r="B116" s="9" t="s">
        <v>45</v>
      </c>
      <c r="M116" s="25"/>
      <c r="N116" s="25"/>
      <c r="O116" s="25"/>
    </row>
    <row r="117" spans="2:22" ht="15" customHeight="1" x14ac:dyDescent="0.2">
      <c r="B117" s="74" t="str">
        <f>'Event Tree Input'!A129</f>
        <v>Node 7 Callout</v>
      </c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</row>
    <row r="118" spans="2:22" ht="15" customHeight="1" x14ac:dyDescent="0.2"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</row>
    <row r="119" spans="2:22" ht="15" customHeight="1" x14ac:dyDescent="0.2"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</row>
    <row r="120" spans="2:22" ht="15" customHeight="1" x14ac:dyDescent="0.2"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</row>
    <row r="121" spans="2:22" ht="15" customHeight="1" x14ac:dyDescent="0.2"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</row>
    <row r="122" spans="2:22" ht="15" customHeight="1" x14ac:dyDescent="0.2"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</row>
    <row r="124" spans="2:22" ht="15" customHeight="1" x14ac:dyDescent="0.2">
      <c r="B124" s="9" t="s">
        <v>46</v>
      </c>
      <c r="M124" s="25"/>
      <c r="N124" s="25"/>
      <c r="O124" s="25"/>
    </row>
    <row r="125" spans="2:22" ht="15" customHeight="1" x14ac:dyDescent="0.2">
      <c r="B125" s="74" t="str">
        <f>'Event Tree Input'!A143</f>
        <v>Node 8 Callout</v>
      </c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</row>
    <row r="126" spans="2:22" ht="15" customHeight="1" x14ac:dyDescent="0.2"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</row>
    <row r="127" spans="2:22" ht="15" customHeight="1" x14ac:dyDescent="0.2"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</row>
    <row r="128" spans="2:22" ht="15" customHeight="1" x14ac:dyDescent="0.2"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</row>
    <row r="129" spans="2:22" ht="15" customHeight="1" x14ac:dyDescent="0.2"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</row>
    <row r="130" spans="2:22" ht="15" customHeight="1" x14ac:dyDescent="0.2"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</row>
    <row r="132" spans="2:22" ht="15" customHeight="1" x14ac:dyDescent="0.2">
      <c r="B132" s="9" t="s">
        <v>47</v>
      </c>
      <c r="M132" s="25"/>
      <c r="N132" s="25"/>
      <c r="O132" s="25"/>
    </row>
    <row r="133" spans="2:22" ht="15" customHeight="1" x14ac:dyDescent="0.2">
      <c r="B133" s="74" t="str">
        <f>'Event Tree Input'!A157</f>
        <v>Node 9 Callout</v>
      </c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</row>
    <row r="134" spans="2:22" ht="15" customHeight="1" x14ac:dyDescent="0.2"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</row>
    <row r="135" spans="2:22" ht="15" customHeight="1" x14ac:dyDescent="0.2"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</row>
    <row r="136" spans="2:22" ht="15" customHeight="1" x14ac:dyDescent="0.2"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</row>
    <row r="137" spans="2:22" ht="15" customHeight="1" x14ac:dyDescent="0.2"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</row>
    <row r="138" spans="2:22" ht="15" customHeight="1" x14ac:dyDescent="0.2"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</row>
  </sheetData>
  <mergeCells count="90">
    <mergeCell ref="B69:V74"/>
    <mergeCell ref="A5:CA5"/>
    <mergeCell ref="A54:CA54"/>
    <mergeCell ref="F56:G56"/>
    <mergeCell ref="A56:E56"/>
    <mergeCell ref="I61:J61"/>
    <mergeCell ref="X59:Z59"/>
    <mergeCell ref="X60:Z60"/>
    <mergeCell ref="X61:Z61"/>
    <mergeCell ref="N56:P56"/>
    <mergeCell ref="K57:M57"/>
    <mergeCell ref="N57:P57"/>
    <mergeCell ref="N58:P58"/>
    <mergeCell ref="X62:Z62"/>
    <mergeCell ref="X57:Z57"/>
    <mergeCell ref="X58:Z58"/>
    <mergeCell ref="U57:W57"/>
    <mergeCell ref="U58:W58"/>
    <mergeCell ref="I64:J64"/>
    <mergeCell ref="I65:J65"/>
    <mergeCell ref="S60:T60"/>
    <mergeCell ref="S61:T61"/>
    <mergeCell ref="S62:T62"/>
    <mergeCell ref="S63:T63"/>
    <mergeCell ref="U65:W65"/>
    <mergeCell ref="U60:W60"/>
    <mergeCell ref="U61:W61"/>
    <mergeCell ref="U62:W62"/>
    <mergeCell ref="S64:T64"/>
    <mergeCell ref="S65:T65"/>
    <mergeCell ref="U59:W59"/>
    <mergeCell ref="S59:T59"/>
    <mergeCell ref="I66:J66"/>
    <mergeCell ref="K66:M66"/>
    <mergeCell ref="K63:M63"/>
    <mergeCell ref="K64:M64"/>
    <mergeCell ref="K65:M65"/>
    <mergeCell ref="I63:J63"/>
    <mergeCell ref="S58:T58"/>
    <mergeCell ref="I36:O37"/>
    <mergeCell ref="K59:M59"/>
    <mergeCell ref="I56:J57"/>
    <mergeCell ref="N59:P59"/>
    <mergeCell ref="S57:T57"/>
    <mergeCell ref="N60:P60"/>
    <mergeCell ref="N61:P61"/>
    <mergeCell ref="N62:P62"/>
    <mergeCell ref="I62:J62"/>
    <mergeCell ref="K56:M56"/>
    <mergeCell ref="K60:M60"/>
    <mergeCell ref="K61:M61"/>
    <mergeCell ref="K62:M62"/>
    <mergeCell ref="I58:J58"/>
    <mergeCell ref="I59:J59"/>
    <mergeCell ref="I60:J60"/>
    <mergeCell ref="K58:M58"/>
    <mergeCell ref="X63:Z63"/>
    <mergeCell ref="U63:W63"/>
    <mergeCell ref="X64:Z64"/>
    <mergeCell ref="X65:Z65"/>
    <mergeCell ref="X66:Z66"/>
    <mergeCell ref="U64:W64"/>
    <mergeCell ref="S66:T66"/>
    <mergeCell ref="U66:W66"/>
    <mergeCell ref="N66:P66"/>
    <mergeCell ref="N63:P63"/>
    <mergeCell ref="N64:P64"/>
    <mergeCell ref="N65:P65"/>
    <mergeCell ref="B117:V122"/>
    <mergeCell ref="B125:V130"/>
    <mergeCell ref="B133:V138"/>
    <mergeCell ref="B77:V82"/>
    <mergeCell ref="B85:V90"/>
    <mergeCell ref="B93:V98"/>
    <mergeCell ref="B101:V106"/>
    <mergeCell ref="B109:V114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16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15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14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BB21:BE21 BA28:BE28 BA18 AZ13:AZ17</xm:sqref>
        </x14:conditionalFormatting>
        <x14:conditionalFormatting xmlns:xm="http://schemas.microsoft.com/office/excel/2006/main">
          <x14:cfRule type="expression" priority="13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AS7:AT7 AS8:AS12</xm:sqref>
        </x14:conditionalFormatting>
        <x14:conditionalFormatting xmlns:xm="http://schemas.microsoft.com/office/excel/2006/main">
          <x14:cfRule type="expression" priority="12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AK34:AQ34 AK28:AL28 AK29:AK33 AK27:AP27 AR9</xm:sqref>
        </x14:conditionalFormatting>
        <x14:conditionalFormatting xmlns:xm="http://schemas.microsoft.com/office/excel/2006/main">
          <x14:cfRule type="expression" priority="11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10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9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  <x14:conditionalFormatting xmlns:xm="http://schemas.microsoft.com/office/excel/2006/main">
          <x14:cfRule type="expression" priority="8" id="{4A3A5A0F-7EF1-490D-BE5B-3A3F5FBE1426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AT17:AU17 AS19:AS23</xm:sqref>
        </x14:conditionalFormatting>
        <x14:conditionalFormatting xmlns:xm="http://schemas.microsoft.com/office/excel/2006/main">
          <x14:cfRule type="expression" priority="7" id="{BDAABDCE-D218-470F-A847-E6EF2FBDCD09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AR20</xm:sqref>
        </x14:conditionalFormatting>
        <x14:conditionalFormatting xmlns:xm="http://schemas.microsoft.com/office/excel/2006/main">
          <x14:cfRule type="expression" priority="6" id="{D756205E-9251-4D2C-9C94-2875F5E58B44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AS26:AT26 AS27:AS31</xm:sqref>
        </x14:conditionalFormatting>
        <x14:conditionalFormatting xmlns:xm="http://schemas.microsoft.com/office/excel/2006/main">
          <x14:cfRule type="expression" priority="5" id="{5C3EC80A-DAC6-4FBA-822C-AE1994686915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AR28</xm:sqref>
        </x14:conditionalFormatting>
        <x14:conditionalFormatting xmlns:xm="http://schemas.microsoft.com/office/excel/2006/main">
          <x14:cfRule type="expression" priority="4" id="{2D628007-35EB-4A0C-A5FD-39CCDFEABE11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AS34:AT34 AS35:AS39</xm:sqref>
        </x14:conditionalFormatting>
        <x14:conditionalFormatting xmlns:xm="http://schemas.microsoft.com/office/excel/2006/main">
          <x14:cfRule type="expression" priority="3" id="{976AF6C5-63AF-4C58-AC3C-FE28BEDF5F76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AR36</xm:sqref>
        </x14:conditionalFormatting>
        <x14:conditionalFormatting xmlns:xm="http://schemas.microsoft.com/office/excel/2006/main">
          <x14:cfRule type="expression" priority="2" id="{C91DDA5F-EF40-4B80-95BA-2FA6ED47B00B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AS42:AT42 AS43:AS47</xm:sqref>
        </x14:conditionalFormatting>
        <x14:conditionalFormatting xmlns:xm="http://schemas.microsoft.com/office/excel/2006/main">
          <x14:cfRule type="expression" priority="1" id="{B3D77377-D397-48E6-B6F8-8AF9C5962D4C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AR44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37165C-9143-4408-8E05-26B8BB4E354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9EECC8-AE37-459A-A248-3F067B57F2C0}">
  <ds:schemaRefs>
    <ds:schemaRef ds:uri="http://www.w3.org/XML/1998/namespace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terms/"/>
    <ds:schemaRef ds:uri="f254aa9d-3c64-433e-b325-d6b94ca3f691"/>
    <ds:schemaRef ds:uri="a8f80ecd-cddb-46c8-b263-c25672b580c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DD0898F-4BFB-4CB3-BBA0-4E4DFCED37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2025-09-04T00:51:12Z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