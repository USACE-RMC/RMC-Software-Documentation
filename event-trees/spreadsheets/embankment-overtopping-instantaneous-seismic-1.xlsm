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CE\OneDrive\Desktop\Typical Sub-Event Tree Database\Files For Website\Toolboxes\"/>
    </mc:Choice>
  </mc:AlternateContent>
  <xr:revisionPtr revIDLastSave="0" documentId="13_ncr:1_{42A793A0-E1A2-4BE7-9195-80AFB10B971A}" xr6:coauthVersionLast="47" xr6:coauthVersionMax="47" xr10:uidLastSave="{00000000-0000-0000-0000-000000000000}"/>
  <bookViews>
    <workbookView xWindow="-120" yWindow="-120" windowWidth="38640" windowHeight="21120" xr2:uid="{A7905DFA-89CE-48F4-B388-E61921010955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sIncRef1">#REF!</definedName>
    <definedName name="ConsIncRef2">#REF!</definedName>
    <definedName name="ConsNBRef1">#REF!</definedName>
    <definedName name="ConsNBRef2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Tree'!$A$1:$CA$53</definedName>
    <definedName name="_xlnm.Print_Area" localSheetId="0">'Event Tree Input'!$A$1:$H$144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5" i="14" l="1"/>
  <c r="E35" i="14" l="1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58" i="2" l="1"/>
  <c r="C159" i="2" l="1"/>
  <c r="C160" i="2"/>
  <c r="C161" i="2"/>
  <c r="C162" i="2"/>
  <c r="C163" i="2"/>
  <c r="C164" i="2"/>
  <c r="C165" i="2"/>
  <c r="C166" i="2"/>
  <c r="C158" i="2"/>
  <c r="B159" i="2"/>
  <c r="B160" i="2"/>
  <c r="B161" i="2"/>
  <c r="B162" i="2"/>
  <c r="B163" i="2"/>
  <c r="B164" i="2"/>
  <c r="B165" i="2"/>
  <c r="B166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<sst xmlns="http://schemas.openxmlformats.org/spreadsheetml/2006/main" count="141" uniqueCount="71">
  <si>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</si>
  <si>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</si>
  <si>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</si>
  <si>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</si>
  <si>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</si>
  <si>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</si>
  <si>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</si>
  <si>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</si>
  <si>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</si>
  <si>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</si>
  <si>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</si>
  <si>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</si>
  <si>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</si>
  <si>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</si>
  <si>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</si>
  <si>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</si>
  <si>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</si>
  <si>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</si>
  <si>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</si>
  <si>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</si>
  <si>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</si>
  <si>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</si>
  <si>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</si>
  <si>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</si>
  <si>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</si>
  <si>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</si>
  <si>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</si>
  <si>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</si>
  <si>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</si>
  <si>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</si>
  <si>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</si>
  <si>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</si>
  <si>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</si>
  <si>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</si>
  <si>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</si>
  <si>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Node 9 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</si>
  <si>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</si>
  <si>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</si>
  <si>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</si>
  <si>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</si>
  <si>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</si>
  <si>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</si>
  <si>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</si>
  <si>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</si>
  <si>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</si>
  <si>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</si>
  <si>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</si>
  <si>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</si>
  <si>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</si>
  <si>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</si>
  <si>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Node 8 Title</t>
  </si>
  <si>
    <t>Node 8 Description</t>
  </si>
  <si>
    <t>Node 9 Description</t>
  </si>
  <si>
    <t>◄ See directions for copy and paste in the 'Event Tree Input' worksheet.</t>
  </si>
  <si>
    <t>◄ To change arrow type, right click the arrow and hover over "Connector Types."</t>
  </si>
  <si>
    <t>Seismic Hazard</t>
  </si>
  <si>
    <t>Unsuccessful Intervention</t>
  </si>
  <si>
    <t>Detection and intervention are unsuccessful?</t>
  </si>
  <si>
    <t>Breach</t>
  </si>
  <si>
    <t>Uncontrolled release of impounded water occurs?</t>
  </si>
  <si>
    <t>◄ If using copy/paste, paste values only to preserve conditional formatting.</t>
  </si>
  <si>
    <t>Hydrologic Hazard</t>
  </si>
  <si>
    <t>Flaw: Liquefiable Zone</t>
  </si>
  <si>
    <t>A zone of material susceptible to liquefaction or cyclic softening exists in the embankment or the foundation with sufficient extent?</t>
  </si>
  <si>
    <t>Flaw: Liquefaction</t>
  </si>
  <si>
    <t>Liquefaction or cyclic softening of embankment or foundation soils occurs?</t>
  </si>
  <si>
    <t>Instability</t>
  </si>
  <si>
    <t>Flow slide occurs due to (reduced) residual shear strength?</t>
  </si>
  <si>
    <t>Deformation</t>
  </si>
  <si>
    <t>Embankment deformation is greater than available freeboard?</t>
  </si>
  <si>
    <t>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</si>
</sst>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1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  <font>
      <u/>
      <sz val="10"/>
      <color theme="1"/>
      <name val="Arial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53">
    <xf numFmtId="0" fontId="0" fillId="0" borderId="0" xfId="0"/>
    <xf numFmtId="0" fontId="2" fillId="3" borderId="0" xfId="2" applyFont="1" applyFill="1"/>
    <xf numFmtId="0" fontId="5" fillId="0" borderId="0" xfId="0" applyFont="1"/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6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7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2" borderId="0" xfId="2" applyFill="1"/>
    <xf numFmtId="0" fontId="1" fillId="0" borderId="0" xfId="0" applyFont="1"/>
    <xf numFmtId="0" fontId="1" fillId="4" borderId="0" xfId="8" applyFont="1" applyFill="1" applyAlignment="1">
      <alignment vertical="center"/>
    </xf>
    <xf numFmtId="0" fontId="1" fillId="4" borderId="0" xfId="8" applyFont="1" applyFill="1" applyAlignment="1">
      <alignment horizontal="right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1" fillId="2" borderId="0" xfId="8" applyFont="1" applyFill="1" applyAlignment="1">
      <alignment horizontal="right" vertical="center"/>
    </xf>
    <xf numFmtId="164" fontId="4" fillId="5" borderId="2" xfId="8" applyNumberForma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vertical="center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2" fillId="0" borderId="0" xfId="2" applyFont="1" applyAlignment="1">
      <alignment horizontal="left"/>
    </xf>
    <xf numFmtId="0" fontId="1" fillId="0" borderId="0" xfId="2" applyAlignment="1">
      <alignment wrapText="1"/>
    </xf>
    <xf numFmtId="0" fontId="1" fillId="0" borderId="0" xfId="2" applyAlignment="1">
      <alignment vertical="center" wrapText="1"/>
    </xf>
    <xf numFmtId="0" fontId="4" fillId="0" borderId="0" xfId="0" applyFont="1" applyAlignment="1">
      <alignment wrapText="1"/>
    </xf>
    <xf numFmtId="0" fontId="4" fillId="0" borderId="3" xfId="0" applyFont="1" applyBorder="1"/>
    <xf numFmtId="0" fontId="4" fillId="0" borderId="4" xfId="0" applyFont="1" applyBorder="1" applyAlignment="1">
      <alignment vertical="center" wrapText="1"/>
    </xf>
    <xf numFmtId="0" fontId="4" fillId="0" borderId="1" xfId="0" applyFont="1" applyBorder="1"/>
    <xf numFmtId="0" fontId="4" fillId="0" borderId="5" xfId="0" applyFont="1" applyBorder="1"/>
    <xf numFmtId="0" fontId="4" fillId="0" borderId="2" xfId="0" applyFont="1" applyBorder="1" applyAlignment="1">
      <alignment vertical="center" wrapText="1"/>
    </xf>
    <xf numFmtId="0" fontId="4" fillId="0" borderId="2" xfId="0" applyFont="1" applyBorder="1"/>
    <xf numFmtId="0" fontId="8" fillId="0" borderId="0" xfId="0" applyFont="1"/>
    <xf numFmtId="0" fontId="8" fillId="0" borderId="0" xfId="0" applyFont="1" applyAlignment="1">
      <alignment vertical="center" wrapText="1"/>
    </xf>
    <xf numFmtId="0" fontId="4" fillId="5" borderId="0" xfId="8" applyFill="1" applyAlignment="1" applyProtection="1">
      <alignment horizontal="left" vertical="top" wrapText="1"/>
      <protection locked="0"/>
    </xf>
    <xf numFmtId="0" fontId="4" fillId="5" borderId="2" xfId="8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2" fillId="3" borderId="0" xfId="2" applyFont="1" applyFill="1" applyAlignment="1">
      <alignment horizontal="left"/>
    </xf>
    <xf numFmtId="0" fontId="2" fillId="3" borderId="0" xfId="2" applyFont="1" applyFill="1" applyAlignment="1">
      <alignment horizontal="left" vertical="center"/>
    </xf>
    <xf numFmtId="0" fontId="4" fillId="0" borderId="0" xfId="0" applyFont="1" applyAlignment="1">
      <alignment horizontal="center"/>
    </xf>
    <xf numFmtId="0" fontId="1" fillId="2" borderId="0" xfId="8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8" applyFont="1" applyFill="1" applyAlignment="1">
      <alignment horizontal="right" vertical="center"/>
    </xf>
    <xf numFmtId="0" fontId="4" fillId="5" borderId="6" xfId="8" applyFill="1" applyBorder="1" applyAlignment="1" applyProtection="1">
      <alignment horizontal="left" vertical="center"/>
      <protection locked="0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38">
    <dxf>
      <border>
        <left/>
        <right/>
        <top/>
        <bottom/>
        <vertical/>
        <horizontal/>
      </border>
    </dxf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70C0"/>
      <color rgb="FFFFFF99"/>
      <color rgb="FF00FFFF"/>
      <color rgb="FF00B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25</xdr:row>
      <xdr:rowOff>190499</xdr:rowOff>
    </xdr:from>
    <xdr:to>
      <xdr:col>21</xdr:col>
      <xdr:colOff>161925</xdr:colOff>
      <xdr:row>28</xdr:row>
      <xdr:rowOff>113918</xdr:rowOff>
    </xdr:to>
    <xdr:sp macro="" textlink="'Event Tree Input'!A21">
      <xdr:nvSpPr>
        <xdr:cNvPr id="41" name="N1Title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3028950" y="4952999"/>
          <a:ext cx="1333500" cy="494919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Flaw: Liquefiable Zone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22</xdr:row>
      <xdr:rowOff>142874</xdr:rowOff>
    </xdr:from>
    <xdr:to>
      <xdr:col>28</xdr:col>
      <xdr:colOff>161925</xdr:colOff>
      <xdr:row>25</xdr:row>
      <xdr:rowOff>66293</xdr:rowOff>
    </xdr:to>
    <xdr:sp macro="" textlink="'Event Tree Input'!A35">
      <xdr:nvSpPr>
        <xdr:cNvPr id="77" name="N2Title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4429125" y="5000624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Flaw: Liquefaction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19</xdr:row>
      <xdr:rowOff>142874</xdr:rowOff>
    </xdr:from>
    <xdr:to>
      <xdr:col>35</xdr:col>
      <xdr:colOff>171450</xdr:colOff>
      <xdr:row>22</xdr:row>
      <xdr:rowOff>66293</xdr:rowOff>
    </xdr:to>
    <xdr:sp macro="" textlink="'Event Tree Input'!A49">
      <xdr:nvSpPr>
        <xdr:cNvPr id="79" name="N3Title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5838825" y="445769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Instability</a:t>
          </a:fld>
          <a:endParaRPr lang="en-US" sz="1100"/>
        </a:p>
      </xdr:txBody>
    </xdr:sp>
    <xdr:clientData/>
  </xdr:twoCellAnchor>
  <xdr:twoCellAnchor>
    <xdr:from>
      <xdr:col>36</xdr:col>
      <xdr:colOff>9524</xdr:colOff>
      <xdr:row>16</xdr:row>
      <xdr:rowOff>152399</xdr:rowOff>
    </xdr:from>
    <xdr:to>
      <xdr:col>43</xdr:col>
      <xdr:colOff>0</xdr:colOff>
      <xdr:row>20</xdr:row>
      <xdr:rowOff>1</xdr:rowOff>
    </xdr:to>
    <xdr:sp macro="" textlink="'Event Tree Input'!A63">
      <xdr:nvSpPr>
        <xdr:cNvPr id="83" name="N4Title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7210424" y="4343399"/>
          <a:ext cx="1390651" cy="60960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Deformation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13</xdr:row>
      <xdr:rowOff>142874</xdr:rowOff>
    </xdr:from>
    <xdr:to>
      <xdr:col>49</xdr:col>
      <xdr:colOff>161925</xdr:colOff>
      <xdr:row>16</xdr:row>
      <xdr:rowOff>66674</xdr:rowOff>
    </xdr:to>
    <xdr:sp macro="" textlink="'Event Tree Input'!A77">
      <xdr:nvSpPr>
        <xdr:cNvPr id="84" name="N5Title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8629650" y="33718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Unsuccessful Intervention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10</xdr:row>
      <xdr:rowOff>142874</xdr:rowOff>
    </xdr:from>
    <xdr:to>
      <xdr:col>56</xdr:col>
      <xdr:colOff>161925</xdr:colOff>
      <xdr:row>13</xdr:row>
      <xdr:rowOff>66674</xdr:rowOff>
    </xdr:to>
    <xdr:sp macro="" textlink="'Event Tree Input'!A91">
      <xdr:nvSpPr>
        <xdr:cNvPr id="85" name="N6Title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Breach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05">
      <xdr:nvSpPr>
        <xdr:cNvPr id="91" name="N7Title" hidden="1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Breach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19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8 Title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33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9 Title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9</xdr:row>
      <xdr:rowOff>142876</xdr:rowOff>
    </xdr:from>
    <xdr:to>
      <xdr:col>41</xdr:col>
      <xdr:colOff>83344</xdr:colOff>
      <xdr:row>11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40</xdr:col>
      <xdr:colOff>95252</xdr:colOff>
      <xdr:row>31</xdr:row>
      <xdr:rowOff>23812</xdr:rowOff>
    </xdr:from>
    <xdr:to>
      <xdr:col>46</xdr:col>
      <xdr:colOff>142875</xdr:colOff>
      <xdr:row>32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22</xdr:col>
      <xdr:colOff>142874</xdr:colOff>
      <xdr:row>15</xdr:row>
      <xdr:rowOff>107155</xdr:rowOff>
    </xdr:from>
    <xdr:to>
      <xdr:col>29</xdr:col>
      <xdr:colOff>0</xdr:colOff>
      <xdr:row>17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13</xdr:col>
      <xdr:colOff>71439</xdr:colOff>
      <xdr:row>20</xdr:row>
      <xdr:rowOff>11906</xdr:rowOff>
    </xdr:from>
    <xdr:to>
      <xdr:col>19</xdr:col>
      <xdr:colOff>95251</xdr:colOff>
      <xdr:row>21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2 Callout</a:t>
          </a:r>
        </a:p>
      </xdr:txBody>
    </xdr:sp>
    <xdr:clientData/>
  </xdr:twoCellAnchor>
  <xdr:twoCellAnchor>
    <xdr:from>
      <xdr:col>14</xdr:col>
      <xdr:colOff>54695</xdr:colOff>
      <xdr:row>36</xdr:row>
      <xdr:rowOff>52240</xdr:rowOff>
    </xdr:from>
    <xdr:to>
      <xdr:col>15</xdr:col>
      <xdr:colOff>128993</xdr:colOff>
      <xdr:row>37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2855045" y="69102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54695</xdr:colOff>
      <xdr:row>30</xdr:row>
      <xdr:rowOff>52240</xdr:rowOff>
    </xdr:from>
    <xdr:to>
      <xdr:col>22</xdr:col>
      <xdr:colOff>128993</xdr:colOff>
      <xdr:row>31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4255220" y="57672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28</xdr:col>
      <xdr:colOff>64220</xdr:colOff>
      <xdr:row>26</xdr:row>
      <xdr:rowOff>52240</xdr:rowOff>
    </xdr:from>
    <xdr:to>
      <xdr:col>29</xdr:col>
      <xdr:colOff>138518</xdr:colOff>
      <xdr:row>27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35</xdr:col>
      <xdr:colOff>64220</xdr:colOff>
      <xdr:row>23</xdr:row>
      <xdr:rowOff>52240</xdr:rowOff>
    </xdr:from>
    <xdr:to>
      <xdr:col>36</xdr:col>
      <xdr:colOff>138518</xdr:colOff>
      <xdr:row>24</xdr:row>
      <xdr:rowOff>136062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20</xdr:row>
      <xdr:rowOff>52240</xdr:rowOff>
    </xdr:from>
    <xdr:to>
      <xdr:col>43</xdr:col>
      <xdr:colOff>138518</xdr:colOff>
      <xdr:row>21</xdr:row>
      <xdr:rowOff>136062</xdr:rowOff>
    </xdr:to>
    <xdr:sp macro="" textlink="">
      <xdr:nvSpPr>
        <xdr:cNvPr id="9" name="N5Num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17</xdr:row>
      <xdr:rowOff>52240</xdr:rowOff>
    </xdr:from>
    <xdr:to>
      <xdr:col>50</xdr:col>
      <xdr:colOff>138518</xdr:colOff>
      <xdr:row>18</xdr:row>
      <xdr:rowOff>136062</xdr:rowOff>
    </xdr:to>
    <xdr:sp macro="" textlink="">
      <xdr:nvSpPr>
        <xdr:cNvPr id="10" name="N6Num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14</xdr:row>
      <xdr:rowOff>52240</xdr:rowOff>
    </xdr:from>
    <xdr:to>
      <xdr:col>57</xdr:col>
      <xdr:colOff>138518</xdr:colOff>
      <xdr:row>15</xdr:row>
      <xdr:rowOff>136062</xdr:rowOff>
    </xdr:to>
    <xdr:sp macro="" textlink="">
      <xdr:nvSpPr>
        <xdr:cNvPr id="11" name="N7Num" hidden="1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 hidden="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76200</xdr:colOff>
      <xdr:row>29</xdr:row>
      <xdr:rowOff>54695</xdr:rowOff>
    </xdr:from>
    <xdr:to>
      <xdr:col>36</xdr:col>
      <xdr:colOff>96889</xdr:colOff>
      <xdr:row>30</xdr:row>
      <xdr:rowOff>129748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 rot="16200000">
          <a:off x="5824163" y="5243298"/>
          <a:ext cx="256715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26</xdr:row>
      <xdr:rowOff>54695</xdr:rowOff>
    </xdr:from>
    <xdr:to>
      <xdr:col>43</xdr:col>
      <xdr:colOff>96889</xdr:colOff>
      <xdr:row>27</xdr:row>
      <xdr:rowOff>129748</xdr:rowOff>
    </xdr:to>
    <xdr:sp macro="" textlink="">
      <xdr:nvSpPr>
        <xdr:cNvPr id="16" name="N4B2Tri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23</xdr:row>
      <xdr:rowOff>54695</xdr:rowOff>
    </xdr:from>
    <xdr:to>
      <xdr:col>50</xdr:col>
      <xdr:colOff>87364</xdr:colOff>
      <xdr:row>24</xdr:row>
      <xdr:rowOff>129748</xdr:rowOff>
    </xdr:to>
    <xdr:sp macro="" textlink="">
      <xdr:nvSpPr>
        <xdr:cNvPr id="17" name="N5B2Tri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20</xdr:row>
      <xdr:rowOff>54695</xdr:rowOff>
    </xdr:from>
    <xdr:to>
      <xdr:col>57</xdr:col>
      <xdr:colOff>87364</xdr:colOff>
      <xdr:row>21</xdr:row>
      <xdr:rowOff>129748</xdr:rowOff>
    </xdr:to>
    <xdr:sp macro="" textlink="">
      <xdr:nvSpPr>
        <xdr:cNvPr id="18" name="N6B2Tri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 hidden="1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 hidden="1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29</xdr:row>
      <xdr:rowOff>55169</xdr:rowOff>
    </xdr:from>
    <xdr:to>
      <xdr:col>22</xdr:col>
      <xdr:colOff>97956</xdr:colOff>
      <xdr:row>30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26</xdr:row>
      <xdr:rowOff>55150</xdr:rowOff>
    </xdr:from>
    <xdr:to>
      <xdr:col>29</xdr:col>
      <xdr:colOff>97957</xdr:colOff>
      <xdr:row>27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23</xdr:row>
      <xdr:rowOff>55140</xdr:rowOff>
    </xdr:from>
    <xdr:to>
      <xdr:col>36</xdr:col>
      <xdr:colOff>97958</xdr:colOff>
      <xdr:row>24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20</xdr:row>
      <xdr:rowOff>55130</xdr:rowOff>
    </xdr:from>
    <xdr:to>
      <xdr:col>43</xdr:col>
      <xdr:colOff>97959</xdr:colOff>
      <xdr:row>21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17</xdr:row>
      <xdr:rowOff>55117</xdr:rowOff>
    </xdr:from>
    <xdr:to>
      <xdr:col>50</xdr:col>
      <xdr:colOff>88435</xdr:colOff>
      <xdr:row>18</xdr:row>
      <xdr:rowOff>130171</xdr:rowOff>
    </xdr:to>
    <xdr:sp macro="" textlink="">
      <xdr:nvSpPr>
        <xdr:cNvPr id="27" name="N5B1Tri" hidden="1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14</xdr:row>
      <xdr:rowOff>55101</xdr:rowOff>
    </xdr:from>
    <xdr:to>
      <xdr:col>57</xdr:col>
      <xdr:colOff>88436</xdr:colOff>
      <xdr:row>15</xdr:row>
      <xdr:rowOff>130155</xdr:rowOff>
    </xdr:to>
    <xdr:sp macro="" textlink="">
      <xdr:nvSpPr>
        <xdr:cNvPr id="28" name="N6B1Tri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 hidden="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 hidden="1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168104</xdr:colOff>
      <xdr:row>33</xdr:row>
      <xdr:rowOff>142874</xdr:rowOff>
    </xdr:from>
    <xdr:to>
      <xdr:col>21</xdr:col>
      <xdr:colOff>96023</xdr:colOff>
      <xdr:row>40</xdr:row>
      <xdr:rowOff>19049</xdr:rowOff>
    </xdr:to>
    <xdr:sp macro="" textlink="'Event Tree Input'!A24">
      <xdr:nvSpPr>
        <xdr:cNvPr id="14" name="N1Descr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3168479" y="6429374"/>
          <a:ext cx="1128069" cy="1209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 zone of material susceptible to liquefaction or cyclic softening exists in the embankment or the foundation with sufficient extent?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28</xdr:row>
      <xdr:rowOff>76200</xdr:rowOff>
    </xdr:from>
    <xdr:to>
      <xdr:col>28</xdr:col>
      <xdr:colOff>103155</xdr:colOff>
      <xdr:row>34</xdr:row>
      <xdr:rowOff>0</xdr:rowOff>
    </xdr:to>
    <xdr:sp macro="" textlink="'Event Tree Input'!A38">
      <xdr:nvSpPr>
        <xdr:cNvPr id="58" name="N2Descr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4579143" y="54102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Liquefaction or cyclic softening of embankment or foundation soils occurs?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24</xdr:row>
      <xdr:rowOff>38100</xdr:rowOff>
    </xdr:from>
    <xdr:to>
      <xdr:col>35</xdr:col>
      <xdr:colOff>100775</xdr:colOff>
      <xdr:row>29</xdr:row>
      <xdr:rowOff>152400</xdr:rowOff>
    </xdr:to>
    <xdr:sp macro="" textlink="'Event Tree Input'!A52">
      <xdr:nvSpPr>
        <xdr:cNvPr id="59" name="N3Descr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Flow slide occurs due to (reduced) residual shear strength?</a:t>
          </a:fld>
          <a:endParaRPr lang="en-US" sz="1100"/>
        </a:p>
      </xdr:txBody>
    </xdr:sp>
    <xdr:clientData/>
  </xdr:twoCellAnchor>
  <xdr:twoCellAnchor>
    <xdr:from>
      <xdr:col>36</xdr:col>
      <xdr:colOff>176212</xdr:colOff>
      <xdr:row>21</xdr:row>
      <xdr:rowOff>38100</xdr:rowOff>
    </xdr:from>
    <xdr:to>
      <xdr:col>42</xdr:col>
      <xdr:colOff>100774</xdr:colOff>
      <xdr:row>26</xdr:row>
      <xdr:rowOff>152400</xdr:rowOff>
    </xdr:to>
    <xdr:sp macro="" textlink="'Event Tree Input'!A66">
      <xdr:nvSpPr>
        <xdr:cNvPr id="60" name="N4Descr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7377112" y="5181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Embankment deformation is greater than available freeboard?</a:t>
          </a:fld>
          <a:endParaRPr lang="en-US" sz="1100"/>
        </a:p>
      </xdr:txBody>
    </xdr:sp>
    <xdr:clientData/>
  </xdr:twoCellAnchor>
  <xdr:twoCellAnchor>
    <xdr:from>
      <xdr:col>43</xdr:col>
      <xdr:colOff>178594</xdr:colOff>
      <xdr:row>18</xdr:row>
      <xdr:rowOff>38100</xdr:rowOff>
    </xdr:from>
    <xdr:to>
      <xdr:col>49</xdr:col>
      <xdr:colOff>103156</xdr:colOff>
      <xdr:row>23</xdr:row>
      <xdr:rowOff>152400</xdr:rowOff>
    </xdr:to>
    <xdr:sp macro="" textlink="'Event Tree Input'!A80">
      <xdr:nvSpPr>
        <xdr:cNvPr id="61" name="N5Descr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8779669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50</xdr:col>
      <xdr:colOff>176212</xdr:colOff>
      <xdr:row>15</xdr:row>
      <xdr:rowOff>38100</xdr:rowOff>
    </xdr:from>
    <xdr:to>
      <xdr:col>56</xdr:col>
      <xdr:colOff>100774</xdr:colOff>
      <xdr:row>20</xdr:row>
      <xdr:rowOff>152400</xdr:rowOff>
    </xdr:to>
    <xdr:sp macro="" textlink="'Event Tree Input'!A94">
      <xdr:nvSpPr>
        <xdr:cNvPr id="62" name="N6Descr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Uncontrolled release of impounded water occurs?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08">
      <xdr:nvSpPr>
        <xdr:cNvPr id="64" name="N7Descr" hidden="1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Uncontrolled release of impounded water occurs?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22">
      <xdr:nvSpPr>
        <xdr:cNvPr id="65" name="N8Descr" hidden="1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8 Description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36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9 Description</a:t>
          </a:fld>
          <a:endParaRPr lang="en-US" sz="1100"/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10</xdr:row>
      <xdr:rowOff>107157</xdr:rowOff>
    </xdr:from>
    <xdr:to>
      <xdr:col>46</xdr:col>
      <xdr:colOff>95251</xdr:colOff>
      <xdr:row>13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16</xdr:row>
      <xdr:rowOff>77390</xdr:rowOff>
    </xdr:from>
    <xdr:to>
      <xdr:col>32</xdr:col>
      <xdr:colOff>104775</xdr:colOff>
      <xdr:row>19</xdr:row>
      <xdr:rowOff>142874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5907286" y="4230885"/>
          <a:ext cx="636984" cy="71199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26</xdr:row>
      <xdr:rowOff>11906</xdr:rowOff>
    </xdr:from>
    <xdr:to>
      <xdr:col>40</xdr:col>
      <xdr:colOff>95251</xdr:colOff>
      <xdr:row>31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20</xdr:row>
      <xdr:rowOff>30161</xdr:rowOff>
    </xdr:from>
    <xdr:to>
      <xdr:col>55</xdr:col>
      <xdr:colOff>142873</xdr:colOff>
      <xdr:row>26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20</xdr:row>
      <xdr:rowOff>142875</xdr:rowOff>
    </xdr:from>
    <xdr:to>
      <xdr:col>25</xdr:col>
      <xdr:colOff>95252</xdr:colOff>
      <xdr:row>22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357690" y="4679156"/>
          <a:ext cx="380999" cy="121443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38100</xdr:colOff>
          <xdr:row>11</xdr:row>
          <xdr:rowOff>180975</xdr:rowOff>
        </xdr:from>
        <xdr:to>
          <xdr:col>80</xdr:col>
          <xdr:colOff>619125</xdr:colOff>
          <xdr:row>14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Transparent Background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38100</xdr:colOff>
          <xdr:row>15</xdr:row>
          <xdr:rowOff>9525</xdr:rowOff>
        </xdr:from>
        <xdr:to>
          <xdr:col>80</xdr:col>
          <xdr:colOff>619125</xdr:colOff>
          <xdr:row>17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White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Background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190501</xdr:colOff>
      <xdr:row>38</xdr:row>
      <xdr:rowOff>83344</xdr:rowOff>
    </xdr:from>
    <xdr:to>
      <xdr:col>26</xdr:col>
      <xdr:colOff>23813</xdr:colOff>
      <xdr:row>40</xdr:row>
      <xdr:rowOff>0</xdr:rowOff>
    </xdr:to>
    <xdr:sp macro="" textlink="">
      <xdr:nvSpPr>
        <xdr:cNvPr id="32" name="N1Callout" hidden="1">
          <a:extLst>
            <a:ext uri="{FF2B5EF4-FFF2-40B4-BE49-F238E27FC236}">
              <a16:creationId xmlns:a16="http://schemas.microsoft.com/office/drawing/2014/main" id="{11B0232E-97C3-437F-ACDC-C75A9266FE48}"/>
            </a:ext>
          </a:extLst>
        </xdr:cNvPr>
        <xdr:cNvSpPr txBox="1"/>
      </xdr:nvSpPr>
      <xdr:spPr>
        <a:xfrm>
          <a:off x="3990976" y="8465344"/>
          <a:ext cx="1233487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28</xdr:col>
      <xdr:colOff>64220</xdr:colOff>
      <xdr:row>34</xdr:row>
      <xdr:rowOff>52240</xdr:rowOff>
    </xdr:from>
    <xdr:to>
      <xdr:col>29</xdr:col>
      <xdr:colOff>138518</xdr:colOff>
      <xdr:row>35</xdr:row>
      <xdr:rowOff>136062</xdr:rowOff>
    </xdr:to>
    <xdr:sp macro="" textlink="">
      <xdr:nvSpPr>
        <xdr:cNvPr id="33" name="N3Num">
          <a:extLst>
            <a:ext uri="{FF2B5EF4-FFF2-40B4-BE49-F238E27FC236}">
              <a16:creationId xmlns:a16="http://schemas.microsoft.com/office/drawing/2014/main" id="{B0E1B63D-BF45-467B-ADB3-06F3D231439B}"/>
            </a:ext>
          </a:extLst>
        </xdr:cNvPr>
        <xdr:cNvSpPr>
          <a:spLocks noChangeAspect="1"/>
        </xdr:cNvSpPr>
      </xdr:nvSpPr>
      <xdr:spPr>
        <a:xfrm>
          <a:off x="5664920" y="50052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35</xdr:col>
      <xdr:colOff>64220</xdr:colOff>
      <xdr:row>31</xdr:row>
      <xdr:rowOff>52240</xdr:rowOff>
    </xdr:from>
    <xdr:to>
      <xdr:col>36</xdr:col>
      <xdr:colOff>138518</xdr:colOff>
      <xdr:row>32</xdr:row>
      <xdr:rowOff>136062</xdr:rowOff>
    </xdr:to>
    <xdr:sp macro="" textlink="">
      <xdr:nvSpPr>
        <xdr:cNvPr id="34" name="N4Num">
          <a:extLst>
            <a:ext uri="{FF2B5EF4-FFF2-40B4-BE49-F238E27FC236}">
              <a16:creationId xmlns:a16="http://schemas.microsoft.com/office/drawing/2014/main" id="{5B79BB11-A265-42EF-A1F5-500B1AB80D5F}"/>
            </a:ext>
          </a:extLst>
        </xdr:cNvPr>
        <xdr:cNvSpPr>
          <a:spLocks noChangeAspect="1"/>
        </xdr:cNvSpPr>
      </xdr:nvSpPr>
      <xdr:spPr>
        <a:xfrm>
          <a:off x="7065095" y="44337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35</xdr:col>
      <xdr:colOff>76200</xdr:colOff>
      <xdr:row>37</xdr:row>
      <xdr:rowOff>54695</xdr:rowOff>
    </xdr:from>
    <xdr:to>
      <xdr:col>36</xdr:col>
      <xdr:colOff>96889</xdr:colOff>
      <xdr:row>38</xdr:row>
      <xdr:rowOff>129748</xdr:rowOff>
    </xdr:to>
    <xdr:sp macro="" textlink="">
      <xdr:nvSpPr>
        <xdr:cNvPr id="35" name="N3B2Tri">
          <a:extLst>
            <a:ext uri="{FF2B5EF4-FFF2-40B4-BE49-F238E27FC236}">
              <a16:creationId xmlns:a16="http://schemas.microsoft.com/office/drawing/2014/main" id="{19268FDB-6FCE-4F4C-95E5-2F51B0939D8E}"/>
            </a:ext>
          </a:extLst>
        </xdr:cNvPr>
        <xdr:cNvSpPr/>
      </xdr:nvSpPr>
      <xdr:spPr>
        <a:xfrm rot="16200000">
          <a:off x="7054655" y="5601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34</xdr:row>
      <xdr:rowOff>55150</xdr:rowOff>
    </xdr:from>
    <xdr:to>
      <xdr:col>29</xdr:col>
      <xdr:colOff>97957</xdr:colOff>
      <xdr:row>35</xdr:row>
      <xdr:rowOff>130204</xdr:rowOff>
    </xdr:to>
    <xdr:sp macro="" textlink="">
      <xdr:nvSpPr>
        <xdr:cNvPr id="36" name="N2B1Tri" hidden="1">
          <a:extLst>
            <a:ext uri="{FF2B5EF4-FFF2-40B4-BE49-F238E27FC236}">
              <a16:creationId xmlns:a16="http://schemas.microsoft.com/office/drawing/2014/main" id="{7356ABF4-1B4F-42C2-AAAD-0FA194AF2EDD}"/>
            </a:ext>
          </a:extLst>
        </xdr:cNvPr>
        <xdr:cNvSpPr/>
      </xdr:nvSpPr>
      <xdr:spPr>
        <a:xfrm rot="16200000">
          <a:off x="5655548" y="503057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31</xdr:row>
      <xdr:rowOff>55140</xdr:rowOff>
    </xdr:from>
    <xdr:to>
      <xdr:col>36</xdr:col>
      <xdr:colOff>97958</xdr:colOff>
      <xdr:row>32</xdr:row>
      <xdr:rowOff>130194</xdr:rowOff>
    </xdr:to>
    <xdr:sp macro="" textlink="">
      <xdr:nvSpPr>
        <xdr:cNvPr id="37" name="N3B1Tri" hidden="1">
          <a:extLst>
            <a:ext uri="{FF2B5EF4-FFF2-40B4-BE49-F238E27FC236}">
              <a16:creationId xmlns:a16="http://schemas.microsoft.com/office/drawing/2014/main" id="{092BA3FF-9AE7-45F8-94A9-D11972AB6B80}"/>
            </a:ext>
          </a:extLst>
        </xdr:cNvPr>
        <xdr:cNvSpPr/>
      </xdr:nvSpPr>
      <xdr:spPr>
        <a:xfrm rot="16200000">
          <a:off x="7055724" y="44590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29</xdr:col>
      <xdr:colOff>176213</xdr:colOff>
      <xdr:row>32</xdr:row>
      <xdr:rowOff>38100</xdr:rowOff>
    </xdr:from>
    <xdr:to>
      <xdr:col>35</xdr:col>
      <xdr:colOff>100775</xdr:colOff>
      <xdr:row>37</xdr:row>
      <xdr:rowOff>152400</xdr:rowOff>
    </xdr:to>
    <xdr:sp macro="" textlink="'Event Tree Input'!A52">
      <xdr:nvSpPr>
        <xdr:cNvPr id="38" name="N3Descr">
          <a:extLst>
            <a:ext uri="{FF2B5EF4-FFF2-40B4-BE49-F238E27FC236}">
              <a16:creationId xmlns:a16="http://schemas.microsoft.com/office/drawing/2014/main" id="{1A728AF2-B734-481C-A833-DB7210AFEF74}"/>
            </a:ext>
          </a:extLst>
        </xdr:cNvPr>
        <xdr:cNvSpPr txBox="1"/>
      </xdr:nvSpPr>
      <xdr:spPr>
        <a:xfrm>
          <a:off x="5976938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r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t>Newmark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sliding occurs due to inertia forces exceeding the yield resistance?</a:t>
          </a:r>
          <a:endParaRPr lang="en-US" sz="1100"/>
        </a:p>
      </xdr:txBody>
    </xdr:sp>
    <xdr:clientData/>
  </xdr:twoCellAnchor>
  <xdr:twoCellAnchor>
    <xdr:from>
      <xdr:col>28</xdr:col>
      <xdr:colOff>64220</xdr:colOff>
      <xdr:row>42</xdr:row>
      <xdr:rowOff>52240</xdr:rowOff>
    </xdr:from>
    <xdr:to>
      <xdr:col>29</xdr:col>
      <xdr:colOff>138518</xdr:colOff>
      <xdr:row>43</xdr:row>
      <xdr:rowOff>136062</xdr:rowOff>
    </xdr:to>
    <xdr:sp macro="" textlink="">
      <xdr:nvSpPr>
        <xdr:cNvPr id="39" name="N3Num">
          <a:extLst>
            <a:ext uri="{FF2B5EF4-FFF2-40B4-BE49-F238E27FC236}">
              <a16:creationId xmlns:a16="http://schemas.microsoft.com/office/drawing/2014/main" id="{24897523-B2B9-4302-BE6E-A1CBCFB4DCA2}"/>
            </a:ext>
          </a:extLst>
        </xdr:cNvPr>
        <xdr:cNvSpPr>
          <a:spLocks noChangeAspect="1"/>
        </xdr:cNvSpPr>
      </xdr:nvSpPr>
      <xdr:spPr>
        <a:xfrm>
          <a:off x="5664920" y="50052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35</xdr:col>
      <xdr:colOff>64220</xdr:colOff>
      <xdr:row>39</xdr:row>
      <xdr:rowOff>52240</xdr:rowOff>
    </xdr:from>
    <xdr:to>
      <xdr:col>36</xdr:col>
      <xdr:colOff>138518</xdr:colOff>
      <xdr:row>40</xdr:row>
      <xdr:rowOff>136062</xdr:rowOff>
    </xdr:to>
    <xdr:sp macro="" textlink="">
      <xdr:nvSpPr>
        <xdr:cNvPr id="40" name="N4Num">
          <a:extLst>
            <a:ext uri="{FF2B5EF4-FFF2-40B4-BE49-F238E27FC236}">
              <a16:creationId xmlns:a16="http://schemas.microsoft.com/office/drawing/2014/main" id="{71988957-C8CD-4C22-9C50-C1E9E5733220}"/>
            </a:ext>
          </a:extLst>
        </xdr:cNvPr>
        <xdr:cNvSpPr>
          <a:spLocks noChangeAspect="1"/>
        </xdr:cNvSpPr>
      </xdr:nvSpPr>
      <xdr:spPr>
        <a:xfrm>
          <a:off x="7065095" y="44337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35</xdr:col>
      <xdr:colOff>76200</xdr:colOff>
      <xdr:row>45</xdr:row>
      <xdr:rowOff>54695</xdr:rowOff>
    </xdr:from>
    <xdr:to>
      <xdr:col>36</xdr:col>
      <xdr:colOff>96889</xdr:colOff>
      <xdr:row>46</xdr:row>
      <xdr:rowOff>129748</xdr:rowOff>
    </xdr:to>
    <xdr:sp macro="" textlink="">
      <xdr:nvSpPr>
        <xdr:cNvPr id="42" name="N3B2Tri">
          <a:extLst>
            <a:ext uri="{FF2B5EF4-FFF2-40B4-BE49-F238E27FC236}">
              <a16:creationId xmlns:a16="http://schemas.microsoft.com/office/drawing/2014/main" id="{5FD18A54-A331-4E95-B8F0-F0A9F51AE8E3}"/>
            </a:ext>
          </a:extLst>
        </xdr:cNvPr>
        <xdr:cNvSpPr/>
      </xdr:nvSpPr>
      <xdr:spPr>
        <a:xfrm rot="16200000">
          <a:off x="7054655" y="5601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42</xdr:row>
      <xdr:rowOff>55150</xdr:rowOff>
    </xdr:from>
    <xdr:to>
      <xdr:col>29</xdr:col>
      <xdr:colOff>97957</xdr:colOff>
      <xdr:row>43</xdr:row>
      <xdr:rowOff>130204</xdr:rowOff>
    </xdr:to>
    <xdr:sp macro="" textlink="">
      <xdr:nvSpPr>
        <xdr:cNvPr id="44" name="N2B1Tri" hidden="1">
          <a:extLst>
            <a:ext uri="{FF2B5EF4-FFF2-40B4-BE49-F238E27FC236}">
              <a16:creationId xmlns:a16="http://schemas.microsoft.com/office/drawing/2014/main" id="{1A6DB117-48A5-419C-A056-CE6C1489A9F9}"/>
            </a:ext>
          </a:extLst>
        </xdr:cNvPr>
        <xdr:cNvSpPr/>
      </xdr:nvSpPr>
      <xdr:spPr>
        <a:xfrm rot="16200000">
          <a:off x="5655548" y="503057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39</xdr:row>
      <xdr:rowOff>55140</xdr:rowOff>
    </xdr:from>
    <xdr:to>
      <xdr:col>36</xdr:col>
      <xdr:colOff>97958</xdr:colOff>
      <xdr:row>40</xdr:row>
      <xdr:rowOff>130194</xdr:rowOff>
    </xdr:to>
    <xdr:sp macro="" textlink="">
      <xdr:nvSpPr>
        <xdr:cNvPr id="45" name="N3B1Tri" hidden="1">
          <a:extLst>
            <a:ext uri="{FF2B5EF4-FFF2-40B4-BE49-F238E27FC236}">
              <a16:creationId xmlns:a16="http://schemas.microsoft.com/office/drawing/2014/main" id="{759A9DEC-F57F-4DDD-8D9E-C07FDAB5A5F0}"/>
            </a:ext>
          </a:extLst>
        </xdr:cNvPr>
        <xdr:cNvSpPr/>
      </xdr:nvSpPr>
      <xdr:spPr>
        <a:xfrm rot="16200000">
          <a:off x="7055724" y="44590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77268</xdr:colOff>
      <xdr:row>31</xdr:row>
      <xdr:rowOff>55150</xdr:rowOff>
    </xdr:from>
    <xdr:to>
      <xdr:col>22</xdr:col>
      <xdr:colOff>97957</xdr:colOff>
      <xdr:row>32</xdr:row>
      <xdr:rowOff>130204</xdr:rowOff>
    </xdr:to>
    <xdr:sp macro="" textlink="">
      <xdr:nvSpPr>
        <xdr:cNvPr id="48" name="N2B1Tri" hidden="1">
          <a:extLst>
            <a:ext uri="{FF2B5EF4-FFF2-40B4-BE49-F238E27FC236}">
              <a16:creationId xmlns:a16="http://schemas.microsoft.com/office/drawing/2014/main" id="{0E48A78C-04A4-4BED-9D88-97678BCE26F4}"/>
            </a:ext>
          </a:extLst>
        </xdr:cNvPr>
        <xdr:cNvSpPr/>
      </xdr:nvSpPr>
      <xdr:spPr>
        <a:xfrm rot="16200000">
          <a:off x="5655548" y="655457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77268</xdr:colOff>
      <xdr:row>35</xdr:row>
      <xdr:rowOff>55150</xdr:rowOff>
    </xdr:from>
    <xdr:to>
      <xdr:col>15</xdr:col>
      <xdr:colOff>97957</xdr:colOff>
      <xdr:row>36</xdr:row>
      <xdr:rowOff>130204</xdr:rowOff>
    </xdr:to>
    <xdr:sp macro="" textlink="">
      <xdr:nvSpPr>
        <xdr:cNvPr id="49" name="N2B1Tri" hidden="1">
          <a:extLst>
            <a:ext uri="{FF2B5EF4-FFF2-40B4-BE49-F238E27FC236}">
              <a16:creationId xmlns:a16="http://schemas.microsoft.com/office/drawing/2014/main" id="{43C86A25-7092-4123-AF7E-353E05C0CFEB}"/>
            </a:ext>
          </a:extLst>
        </xdr:cNvPr>
        <xdr:cNvSpPr/>
      </xdr:nvSpPr>
      <xdr:spPr>
        <a:xfrm rot="16200000">
          <a:off x="4255373" y="598307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77268</xdr:colOff>
      <xdr:row>38</xdr:row>
      <xdr:rowOff>55150</xdr:rowOff>
    </xdr:from>
    <xdr:to>
      <xdr:col>15</xdr:col>
      <xdr:colOff>97957</xdr:colOff>
      <xdr:row>39</xdr:row>
      <xdr:rowOff>130204</xdr:rowOff>
    </xdr:to>
    <xdr:sp macro="" textlink="">
      <xdr:nvSpPr>
        <xdr:cNvPr id="50" name="N2B1Tri" hidden="1">
          <a:extLst>
            <a:ext uri="{FF2B5EF4-FFF2-40B4-BE49-F238E27FC236}">
              <a16:creationId xmlns:a16="http://schemas.microsoft.com/office/drawing/2014/main" id="{A1A8AB45-9CEE-43D2-A95F-3E21199C071C}"/>
            </a:ext>
          </a:extLst>
        </xdr:cNvPr>
        <xdr:cNvSpPr/>
      </xdr:nvSpPr>
      <xdr:spPr>
        <a:xfrm rot="16200000">
          <a:off x="4255373" y="598307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77268</xdr:colOff>
      <xdr:row>39</xdr:row>
      <xdr:rowOff>55150</xdr:rowOff>
    </xdr:from>
    <xdr:to>
      <xdr:col>15</xdr:col>
      <xdr:colOff>97957</xdr:colOff>
      <xdr:row>40</xdr:row>
      <xdr:rowOff>130204</xdr:rowOff>
    </xdr:to>
    <xdr:sp macro="" textlink="">
      <xdr:nvSpPr>
        <xdr:cNvPr id="51" name="N2B1Tri" hidden="1">
          <a:extLst>
            <a:ext uri="{FF2B5EF4-FFF2-40B4-BE49-F238E27FC236}">
              <a16:creationId xmlns:a16="http://schemas.microsoft.com/office/drawing/2014/main" id="{20D63EE5-2115-4105-AB95-BD27DA580DF0}"/>
            </a:ext>
          </a:extLst>
        </xdr:cNvPr>
        <xdr:cNvSpPr/>
      </xdr:nvSpPr>
      <xdr:spPr>
        <a:xfrm rot="16200000">
          <a:off x="4255373" y="598307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29</xdr:col>
      <xdr:colOff>176213</xdr:colOff>
      <xdr:row>40</xdr:row>
      <xdr:rowOff>9525</xdr:rowOff>
    </xdr:from>
    <xdr:to>
      <xdr:col>35</xdr:col>
      <xdr:colOff>100775</xdr:colOff>
      <xdr:row>45</xdr:row>
      <xdr:rowOff>123825</xdr:rowOff>
    </xdr:to>
    <xdr:sp macro="" textlink="'Event Tree Input'!A52">
      <xdr:nvSpPr>
        <xdr:cNvPr id="52" name="N3Descr">
          <a:extLst>
            <a:ext uri="{FF2B5EF4-FFF2-40B4-BE49-F238E27FC236}">
              <a16:creationId xmlns:a16="http://schemas.microsoft.com/office/drawing/2014/main" id="{7B63D9AC-B2DF-4301-94C9-0F0CC9579D22}"/>
            </a:ext>
          </a:extLst>
        </xdr:cNvPr>
        <xdr:cNvSpPr txBox="1"/>
      </xdr:nvSpPr>
      <xdr:spPr>
        <a:xfrm>
          <a:off x="5976938" y="7629525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r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t>Newmark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sliding occurs due to inertia forces exceeding the yield resistance?</a:t>
          </a:r>
          <a:endParaRPr lang="en-US" sz="1100"/>
        </a:p>
      </xdr:txBody>
    </xdr:sp>
    <xdr:clientData/>
  </xdr:twoCellAnchor>
  <xdr:twoCellAnchor>
    <xdr:from>
      <xdr:col>21</xdr:col>
      <xdr:colOff>77267</xdr:colOff>
      <xdr:row>30</xdr:row>
      <xdr:rowOff>55169</xdr:rowOff>
    </xdr:from>
    <xdr:to>
      <xdr:col>22</xdr:col>
      <xdr:colOff>97956</xdr:colOff>
      <xdr:row>31</xdr:row>
      <xdr:rowOff>130223</xdr:rowOff>
    </xdr:to>
    <xdr:sp macro="" textlink="">
      <xdr:nvSpPr>
        <xdr:cNvPr id="5" name="N1B1Tri" hidden="1">
          <a:extLst>
            <a:ext uri="{FF2B5EF4-FFF2-40B4-BE49-F238E27FC236}">
              <a16:creationId xmlns:a16="http://schemas.microsoft.com/office/drawing/2014/main" id="{F8D83A04-27C1-4A31-A877-A1F8CB1A581D}"/>
            </a:ext>
          </a:extLst>
        </xdr:cNvPr>
        <xdr:cNvSpPr/>
      </xdr:nvSpPr>
      <xdr:spPr>
        <a:xfrm rot="16200000">
          <a:off x="4255372" y="5602089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30</xdr:row>
      <xdr:rowOff>55169</xdr:rowOff>
    </xdr:from>
    <xdr:to>
      <xdr:col>22</xdr:col>
      <xdr:colOff>97956</xdr:colOff>
      <xdr:row>31</xdr:row>
      <xdr:rowOff>130223</xdr:rowOff>
    </xdr:to>
    <xdr:sp macro="" textlink="">
      <xdr:nvSpPr>
        <xdr:cNvPr id="7" name="N1B1Tri" hidden="1">
          <a:extLst>
            <a:ext uri="{FF2B5EF4-FFF2-40B4-BE49-F238E27FC236}">
              <a16:creationId xmlns:a16="http://schemas.microsoft.com/office/drawing/2014/main" id="{3664EC48-4722-4A1B-84A0-FCF6F5CFDEF5}"/>
            </a:ext>
          </a:extLst>
        </xdr:cNvPr>
        <xdr:cNvSpPr/>
      </xdr:nvSpPr>
      <xdr:spPr>
        <a:xfrm rot="16200000">
          <a:off x="4255372" y="5602089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9</xdr:col>
      <xdr:colOff>180975</xdr:colOff>
      <xdr:row>35</xdr:row>
      <xdr:rowOff>147490</xdr:rowOff>
    </xdr:from>
    <xdr:to>
      <xdr:col>12</xdr:col>
      <xdr:colOff>27104</xdr:colOff>
      <xdr:row>38</xdr:row>
      <xdr:rowOff>37942</xdr:rowOff>
    </xdr:to>
    <xdr:sp macro="" textlink="">
      <xdr:nvSpPr>
        <xdr:cNvPr id="54" name="Load1">
          <a:extLst>
            <a:ext uri="{FF2B5EF4-FFF2-40B4-BE49-F238E27FC236}">
              <a16:creationId xmlns:a16="http://schemas.microsoft.com/office/drawing/2014/main" id="{B23F228A-13F4-4366-9F7E-9C620FA28CE2}"/>
            </a:ext>
          </a:extLst>
        </xdr:cNvPr>
        <xdr:cNvSpPr/>
      </xdr:nvSpPr>
      <xdr:spPr>
        <a:xfrm>
          <a:off x="1981200" y="6052990"/>
          <a:ext cx="446204" cy="461952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</xdr:col>
      <xdr:colOff>151246</xdr:colOff>
      <xdr:row>35</xdr:row>
      <xdr:rowOff>146803</xdr:rowOff>
    </xdr:from>
    <xdr:to>
      <xdr:col>4</xdr:col>
      <xdr:colOff>197400</xdr:colOff>
      <xdr:row>38</xdr:row>
      <xdr:rowOff>37255</xdr:rowOff>
    </xdr:to>
    <xdr:sp macro="" textlink="">
      <xdr:nvSpPr>
        <xdr:cNvPr id="55" name="Load2">
          <a:extLst>
            <a:ext uri="{FF2B5EF4-FFF2-40B4-BE49-F238E27FC236}">
              <a16:creationId xmlns:a16="http://schemas.microsoft.com/office/drawing/2014/main" id="{970B23DF-5680-4B7C-9204-8EC19969344C}"/>
            </a:ext>
          </a:extLst>
        </xdr:cNvPr>
        <xdr:cNvSpPr/>
      </xdr:nvSpPr>
      <xdr:spPr>
        <a:xfrm>
          <a:off x="551296" y="6052303"/>
          <a:ext cx="446204" cy="461952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77268</xdr:colOff>
      <xdr:row>36</xdr:row>
      <xdr:rowOff>55150</xdr:rowOff>
    </xdr:from>
    <xdr:to>
      <xdr:col>15</xdr:col>
      <xdr:colOff>97957</xdr:colOff>
      <xdr:row>37</xdr:row>
      <xdr:rowOff>130204</xdr:rowOff>
    </xdr:to>
    <xdr:sp macro="" textlink="">
      <xdr:nvSpPr>
        <xdr:cNvPr id="56" name="N2B1Tri" hidden="1">
          <a:extLst>
            <a:ext uri="{FF2B5EF4-FFF2-40B4-BE49-F238E27FC236}">
              <a16:creationId xmlns:a16="http://schemas.microsoft.com/office/drawing/2014/main" id="{99BF9BB6-5CEB-49D8-8BBF-41DAA3F39975}"/>
            </a:ext>
          </a:extLst>
        </xdr:cNvPr>
        <xdr:cNvSpPr/>
      </xdr:nvSpPr>
      <xdr:spPr>
        <a:xfrm rot="16200000">
          <a:off x="2855198" y="674507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77268</xdr:colOff>
      <xdr:row>33</xdr:row>
      <xdr:rowOff>55150</xdr:rowOff>
    </xdr:from>
    <xdr:to>
      <xdr:col>15</xdr:col>
      <xdr:colOff>97957</xdr:colOff>
      <xdr:row>34</xdr:row>
      <xdr:rowOff>130204</xdr:rowOff>
    </xdr:to>
    <xdr:sp macro="" textlink="">
      <xdr:nvSpPr>
        <xdr:cNvPr id="57" name="N2B1Tri" hidden="1">
          <a:extLst>
            <a:ext uri="{FF2B5EF4-FFF2-40B4-BE49-F238E27FC236}">
              <a16:creationId xmlns:a16="http://schemas.microsoft.com/office/drawing/2014/main" id="{DD024178-C37C-497E-BB46-8E7F1A801387}"/>
            </a:ext>
          </a:extLst>
        </xdr:cNvPr>
        <xdr:cNvSpPr/>
      </xdr:nvSpPr>
      <xdr:spPr>
        <a:xfrm rot="16200000">
          <a:off x="2855198" y="674507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69"/>
  <sheetViews>
    <sheetView tabSelected="1" zoomScaleNormal="100" workbookViewId="0"/>
  </sheetViews>
  <sheetFormatPr defaultColWidth="9.140625" defaultRowHeight="12.75" x14ac:dyDescent="0.2"/>
  <cols>
    <col min="1" max="33" width="11.28515625" style="3" customWidth="1"/>
    <col min="34" max="16384" width="9.140625" style="3"/>
  </cols>
  <sheetData>
    <row r="1" spans="1:9" ht="12.75" customHeight="1" x14ac:dyDescent="0.2">
      <c r="A1" s="19" t="s">
        <v>8</v>
      </c>
      <c r="B1" s="41"/>
      <c r="C1" s="41"/>
      <c r="D1" s="41"/>
      <c r="E1" s="20" t="s">
        <v>9</v>
      </c>
      <c r="F1" s="21"/>
      <c r="G1" s="22" t="s">
        <v>10</v>
      </c>
      <c r="H1" s="23"/>
    </row>
    <row r="2" spans="1:9" x14ac:dyDescent="0.2">
      <c r="A2" s="19" t="s">
        <v>11</v>
      </c>
      <c r="B2" s="41"/>
      <c r="C2" s="41"/>
      <c r="D2" s="41"/>
      <c r="E2" s="20" t="s">
        <v>9</v>
      </c>
      <c r="F2" s="21"/>
      <c r="G2" s="22" t="s">
        <v>10</v>
      </c>
      <c r="H2" s="23"/>
    </row>
    <row r="3" spans="1:9" x14ac:dyDescent="0.2">
      <c r="A3" s="24" t="s">
        <v>12</v>
      </c>
      <c r="B3" s="6"/>
      <c r="C3" s="42"/>
      <c r="D3" s="42"/>
      <c r="E3" s="42"/>
      <c r="F3" s="42"/>
      <c r="G3" s="42"/>
      <c r="H3" s="42"/>
    </row>
    <row r="4" spans="1:9" x14ac:dyDescent="0.2">
      <c r="A4" s="4"/>
      <c r="B4" s="4"/>
      <c r="C4" s="4"/>
      <c r="D4" s="4"/>
      <c r="E4" s="4"/>
      <c r="F4" s="4"/>
      <c r="G4" s="4"/>
      <c r="H4" s="4"/>
    </row>
    <row r="5" spans="1:9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9" x14ac:dyDescent="0.2">
      <c r="A6" s="17"/>
      <c r="B6" s="16"/>
      <c r="C6" s="16"/>
      <c r="D6" s="16"/>
      <c r="E6" s="16"/>
      <c r="F6" s="16"/>
      <c r="G6" s="16"/>
      <c r="H6" s="16"/>
    </row>
    <row r="7" spans="1:9" x14ac:dyDescent="0.2">
      <c r="A7" s="1" t="s">
        <v>31</v>
      </c>
      <c r="B7" s="1"/>
      <c r="C7" s="1"/>
      <c r="D7" s="1"/>
      <c r="E7" s="1"/>
      <c r="F7" s="1"/>
      <c r="G7" s="1"/>
      <c r="H7" s="1"/>
    </row>
    <row r="8" spans="1:9" x14ac:dyDescent="0.2">
      <c r="A8" s="4"/>
      <c r="B8" s="4"/>
      <c r="C8" s="4"/>
      <c r="D8" s="4"/>
      <c r="E8" s="4"/>
      <c r="F8" s="4"/>
      <c r="G8" s="4"/>
      <c r="H8" s="4"/>
    </row>
    <row r="9" spans="1:9" x14ac:dyDescent="0.2">
      <c r="A9" s="4" t="s">
        <v>21</v>
      </c>
      <c r="B9" s="4"/>
      <c r="C9" s="4"/>
      <c r="D9" s="43" t="s">
        <v>55</v>
      </c>
      <c r="E9" s="43"/>
      <c r="F9" s="11" t="s">
        <v>28</v>
      </c>
      <c r="G9" s="43"/>
      <c r="H9" s="43"/>
      <c r="I9" s="2" t="s">
        <v>14</v>
      </c>
    </row>
    <row r="10" spans="1:9" x14ac:dyDescent="0.2">
      <c r="A10" s="4"/>
      <c r="B10" s="4"/>
      <c r="C10" s="4"/>
      <c r="D10" s="4"/>
      <c r="E10" s="4"/>
      <c r="F10" s="4"/>
      <c r="G10" s="4"/>
      <c r="H10" s="4"/>
    </row>
    <row r="11" spans="1:9" x14ac:dyDescent="0.2">
      <c r="A11" s="4" t="s">
        <v>13</v>
      </c>
      <c r="B11" s="4"/>
      <c r="C11" s="4"/>
      <c r="D11" s="5">
        <v>6</v>
      </c>
      <c r="E11" s="4"/>
      <c r="F11" s="4"/>
      <c r="G11" s="4"/>
      <c r="H11" s="4"/>
      <c r="I11" s="2" t="s">
        <v>14</v>
      </c>
    </row>
    <row r="12" spans="1:9" x14ac:dyDescent="0.2">
      <c r="A12" s="4"/>
      <c r="B12" s="4"/>
      <c r="C12" s="4"/>
      <c r="D12" s="4"/>
      <c r="E12" s="4"/>
      <c r="F12" s="4"/>
      <c r="G12" s="4"/>
      <c r="H12" s="4"/>
    </row>
    <row r="13" spans="1:9" x14ac:dyDescent="0.2">
      <c r="A13" s="4" t="s">
        <v>37</v>
      </c>
      <c r="B13" s="4"/>
      <c r="C13" s="4"/>
      <c r="D13" s="5" t="s">
        <v>15</v>
      </c>
      <c r="E13" s="4"/>
      <c r="F13" s="4"/>
      <c r="G13" s="4"/>
      <c r="H13" s="4"/>
      <c r="I13" s="2" t="s">
        <v>14</v>
      </c>
    </row>
    <row r="14" spans="1:9" x14ac:dyDescent="0.2">
      <c r="A14" s="4" t="s">
        <v>26</v>
      </c>
      <c r="B14" s="4"/>
      <c r="C14" s="4"/>
      <c r="D14" s="5" t="s">
        <v>16</v>
      </c>
      <c r="E14" s="4"/>
      <c r="F14" s="4"/>
      <c r="G14" s="4"/>
      <c r="H14" s="4"/>
      <c r="I14" s="2" t="s">
        <v>14</v>
      </c>
    </row>
    <row r="15" spans="1:9" x14ac:dyDescent="0.2">
      <c r="A15" s="4"/>
      <c r="B15" s="4"/>
      <c r="C15" s="4"/>
      <c r="D15" s="4"/>
      <c r="E15" s="4"/>
      <c r="F15" s="4"/>
      <c r="G15" s="4"/>
      <c r="H15" s="4"/>
    </row>
    <row r="16" spans="1:9" x14ac:dyDescent="0.2">
      <c r="A16" s="1" t="s">
        <v>30</v>
      </c>
      <c r="B16" s="1"/>
      <c r="C16" s="1"/>
      <c r="D16" s="1"/>
      <c r="E16" s="1"/>
      <c r="F16" s="1"/>
      <c r="G16" s="1"/>
      <c r="H16" s="1"/>
      <c r="I16" s="18" t="s">
        <v>60</v>
      </c>
    </row>
    <row r="17" spans="1:9" x14ac:dyDescent="0.2">
      <c r="A17" s="4"/>
      <c r="B17" s="4"/>
      <c r="C17" s="4"/>
      <c r="D17" s="4"/>
      <c r="E17" s="4"/>
      <c r="F17" s="4"/>
      <c r="G17" s="4"/>
      <c r="H17" s="4"/>
    </row>
    <row r="18" spans="1:9" x14ac:dyDescent="0.2">
      <c r="A18" s="7" t="s">
        <v>0</v>
      </c>
      <c r="B18" s="4"/>
      <c r="C18" s="4"/>
      <c r="D18" s="4"/>
      <c r="E18" s="4"/>
      <c r="F18" s="4"/>
      <c r="G18" s="4"/>
      <c r="H18" s="4"/>
    </row>
    <row r="19" spans="1:9" ht="8.1" customHeight="1" x14ac:dyDescent="0.2">
      <c r="A19" s="7"/>
      <c r="B19" s="4"/>
      <c r="C19" s="4"/>
      <c r="D19" s="4"/>
      <c r="E19" s="4"/>
      <c r="F19" s="4"/>
      <c r="G19" s="4"/>
      <c r="H19" s="4"/>
    </row>
    <row r="20" spans="1:9" ht="12.75" customHeight="1" x14ac:dyDescent="0.2">
      <c r="A20" s="4" t="s">
        <v>34</v>
      </c>
      <c r="B20" s="4"/>
      <c r="C20" s="4"/>
      <c r="D20" s="4"/>
      <c r="E20" s="4"/>
      <c r="F20" s="4"/>
      <c r="G20" s="4"/>
      <c r="H20" s="4"/>
    </row>
    <row r="21" spans="1:9" ht="12.75" customHeight="1" x14ac:dyDescent="0.2">
      <c r="A21" s="40" t="s">
        <v>62</v>
      </c>
      <c r="B21" s="40"/>
      <c r="C21" s="40"/>
      <c r="D21" s="40"/>
      <c r="E21" s="40"/>
      <c r="F21" s="40"/>
      <c r="G21" s="40"/>
      <c r="H21" s="40"/>
    </row>
    <row r="22" spans="1:9" ht="8.1" customHeight="1" x14ac:dyDescent="0.2">
      <c r="A22" s="10"/>
      <c r="B22" s="10"/>
      <c r="C22" s="10"/>
      <c r="D22" s="10"/>
      <c r="E22" s="10"/>
      <c r="F22" s="10"/>
      <c r="G22" s="10"/>
      <c r="H22" s="10"/>
    </row>
    <row r="23" spans="1:9" x14ac:dyDescent="0.2">
      <c r="A23" s="6" t="s">
        <v>33</v>
      </c>
      <c r="B23" s="6"/>
      <c r="C23" s="6"/>
      <c r="D23" s="6"/>
      <c r="E23" s="6"/>
      <c r="F23" s="6"/>
      <c r="G23" s="6"/>
      <c r="H23" s="6"/>
    </row>
    <row r="24" spans="1:9" ht="12.75" customHeight="1" x14ac:dyDescent="0.2">
      <c r="A24" s="40" t="s">
        <v>63</v>
      </c>
      <c r="B24" s="40"/>
      <c r="C24" s="40"/>
      <c r="D24" s="40"/>
      <c r="E24" s="40"/>
      <c r="F24" s="40"/>
      <c r="G24" s="40"/>
      <c r="H24" s="40"/>
      <c r="I24" s="8"/>
    </row>
    <row r="25" spans="1:9" ht="8.1" customHeight="1" x14ac:dyDescent="0.2">
      <c r="A25" s="4"/>
      <c r="B25" s="4"/>
      <c r="C25" s="6"/>
      <c r="D25" s="6"/>
      <c r="E25" s="6"/>
      <c r="F25" s="6"/>
      <c r="G25" s="6"/>
      <c r="H25" s="6"/>
    </row>
    <row r="26" spans="1:9" x14ac:dyDescent="0.2">
      <c r="A26" s="6" t="s">
        <v>36</v>
      </c>
      <c r="B26" s="4"/>
      <c r="C26" s="4"/>
      <c r="D26" s="4"/>
      <c r="E26" s="4"/>
      <c r="F26" s="4"/>
      <c r="G26" s="4"/>
      <c r="H26" s="4"/>
    </row>
    <row r="27" spans="1:9" ht="12.75" customHeight="1" x14ac:dyDescent="0.2">
      <c r="A27" s="40" t="s">
        <v>38</v>
      </c>
      <c r="B27" s="40"/>
      <c r="C27" s="40"/>
      <c r="D27" s="40"/>
      <c r="E27" s="40"/>
      <c r="F27" s="40"/>
      <c r="G27" s="40"/>
      <c r="H27" s="40"/>
      <c r="I27" s="8"/>
    </row>
    <row r="28" spans="1:9" ht="12.75" customHeight="1" x14ac:dyDescent="0.2">
      <c r="A28" s="40"/>
      <c r="B28" s="40"/>
      <c r="C28" s="40"/>
      <c r="D28" s="40"/>
      <c r="E28" s="40"/>
      <c r="F28" s="40"/>
      <c r="G28" s="40"/>
      <c r="H28" s="40"/>
    </row>
    <row r="29" spans="1:9" ht="12.75" customHeight="1" x14ac:dyDescent="0.2">
      <c r="A29" s="40"/>
      <c r="B29" s="40"/>
      <c r="C29" s="40"/>
      <c r="D29" s="40"/>
      <c r="E29" s="40"/>
      <c r="F29" s="40"/>
      <c r="G29" s="40"/>
      <c r="H29" s="40"/>
    </row>
    <row r="30" spans="1:9" ht="12.75" customHeight="1" x14ac:dyDescent="0.2">
      <c r="A30" s="40"/>
      <c r="B30" s="40"/>
      <c r="C30" s="40"/>
      <c r="D30" s="40"/>
      <c r="E30" s="40"/>
      <c r="F30" s="40"/>
      <c r="G30" s="40"/>
      <c r="H30" s="40"/>
    </row>
    <row r="31" spans="1:9" x14ac:dyDescent="0.2">
      <c r="A31" s="4"/>
      <c r="B31" s="4"/>
      <c r="C31" s="4"/>
      <c r="D31" s="4"/>
      <c r="E31" s="4"/>
      <c r="F31" s="4"/>
      <c r="G31" s="4"/>
      <c r="H31" s="4"/>
    </row>
    <row r="32" spans="1:9" x14ac:dyDescent="0.2">
      <c r="A32" s="7" t="s">
        <v>1</v>
      </c>
      <c r="B32" s="4"/>
      <c r="C32" s="4"/>
      <c r="D32" s="4"/>
      <c r="E32" s="4"/>
      <c r="F32" s="4"/>
      <c r="G32" s="4"/>
      <c r="H32" s="4"/>
    </row>
    <row r="33" spans="1:9" ht="8.1" customHeight="1" x14ac:dyDescent="0.2">
      <c r="A33" s="7"/>
      <c r="B33" s="4"/>
      <c r="C33" s="4"/>
      <c r="D33" s="4"/>
      <c r="E33" s="4"/>
      <c r="F33" s="4"/>
      <c r="G33" s="4"/>
      <c r="H33" s="4"/>
    </row>
    <row r="34" spans="1:9" x14ac:dyDescent="0.2">
      <c r="A34" s="4" t="s">
        <v>34</v>
      </c>
      <c r="B34" s="4"/>
      <c r="C34" s="4"/>
      <c r="D34" s="4"/>
      <c r="E34" s="4"/>
      <c r="F34" s="4"/>
      <c r="G34" s="4"/>
      <c r="H34" s="4"/>
    </row>
    <row r="35" spans="1:9" ht="12.75" customHeight="1" x14ac:dyDescent="0.2">
      <c r="A35" s="40" t="s">
        <v>64</v>
      </c>
      <c r="B35" s="40"/>
      <c r="C35" s="40"/>
      <c r="D35" s="40"/>
      <c r="E35" s="40"/>
      <c r="F35" s="40"/>
      <c r="G35" s="40"/>
      <c r="H35" s="40"/>
    </row>
    <row r="36" spans="1:9" ht="8.1" customHeight="1" x14ac:dyDescent="0.2">
      <c r="A36" s="10"/>
      <c r="B36" s="10"/>
      <c r="C36" s="10"/>
      <c r="D36" s="10"/>
      <c r="E36" s="10"/>
      <c r="F36" s="10"/>
      <c r="G36" s="10"/>
      <c r="H36" s="10"/>
    </row>
    <row r="37" spans="1:9" x14ac:dyDescent="0.2">
      <c r="A37" s="6" t="s">
        <v>33</v>
      </c>
      <c r="B37" s="6"/>
      <c r="C37" s="6"/>
      <c r="D37" s="6"/>
      <c r="E37" s="6"/>
      <c r="F37" s="6"/>
      <c r="G37" s="6"/>
      <c r="H37" s="6"/>
    </row>
    <row r="38" spans="1:9" ht="12.75" customHeight="1" x14ac:dyDescent="0.2">
      <c r="A38" s="40" t="s">
        <v>65</v>
      </c>
      <c r="B38" s="40"/>
      <c r="C38" s="40"/>
      <c r="D38" s="40"/>
      <c r="E38" s="40"/>
      <c r="F38" s="40"/>
      <c r="G38" s="40"/>
      <c r="H38" s="40"/>
      <c r="I38" s="8"/>
    </row>
    <row r="39" spans="1:9" ht="8.1" customHeight="1" x14ac:dyDescent="0.2">
      <c r="A39" s="4"/>
      <c r="B39" s="4"/>
      <c r="C39" s="6"/>
      <c r="D39" s="6"/>
      <c r="E39" s="6"/>
      <c r="F39" s="6"/>
      <c r="G39" s="6"/>
      <c r="H39" s="6"/>
    </row>
    <row r="40" spans="1:9" x14ac:dyDescent="0.2">
      <c r="A40" s="6" t="s">
        <v>36</v>
      </c>
      <c r="B40" s="4"/>
      <c r="C40" s="4"/>
      <c r="D40" s="4"/>
      <c r="E40" s="4"/>
      <c r="F40" s="4"/>
      <c r="G40" s="4"/>
      <c r="H40" s="4"/>
    </row>
    <row r="41" spans="1:9" ht="12.75" customHeight="1" x14ac:dyDescent="0.2">
      <c r="A41" s="40" t="s">
        <v>39</v>
      </c>
      <c r="B41" s="40"/>
      <c r="C41" s="40"/>
      <c r="D41" s="40"/>
      <c r="E41" s="40"/>
      <c r="F41" s="40"/>
      <c r="G41" s="40"/>
      <c r="H41" s="40"/>
      <c r="I41" s="8"/>
    </row>
    <row r="42" spans="1:9" ht="12.75" customHeight="1" x14ac:dyDescent="0.2">
      <c r="A42" s="40"/>
      <c r="B42" s="40"/>
      <c r="C42" s="40"/>
      <c r="D42" s="40"/>
      <c r="E42" s="40"/>
      <c r="F42" s="40"/>
      <c r="G42" s="40"/>
      <c r="H42" s="40"/>
    </row>
    <row r="43" spans="1:9" ht="12.75" customHeight="1" x14ac:dyDescent="0.2">
      <c r="A43" s="40"/>
      <c r="B43" s="40"/>
      <c r="C43" s="40"/>
      <c r="D43" s="40"/>
      <c r="E43" s="40"/>
      <c r="F43" s="40"/>
      <c r="G43" s="40"/>
      <c r="H43" s="40"/>
    </row>
    <row r="44" spans="1:9" ht="12.75" customHeight="1" x14ac:dyDescent="0.2">
      <c r="A44" s="40"/>
      <c r="B44" s="40"/>
      <c r="C44" s="40"/>
      <c r="D44" s="40"/>
      <c r="E44" s="40"/>
      <c r="F44" s="40"/>
      <c r="G44" s="40"/>
      <c r="H44" s="40"/>
    </row>
    <row r="45" spans="1:9" x14ac:dyDescent="0.2">
      <c r="A45" s="4"/>
      <c r="B45" s="4"/>
      <c r="C45" s="4"/>
      <c r="D45" s="4"/>
      <c r="E45" s="4"/>
      <c r="F45" s="4"/>
      <c r="G45" s="4"/>
      <c r="H45" s="4"/>
    </row>
    <row r="46" spans="1:9" x14ac:dyDescent="0.2">
      <c r="A46" s="7" t="s">
        <v>2</v>
      </c>
      <c r="B46" s="4"/>
      <c r="C46" s="4"/>
      <c r="D46" s="4"/>
      <c r="E46" s="4"/>
      <c r="F46" s="4"/>
      <c r="G46" s="4"/>
      <c r="H46" s="4"/>
    </row>
    <row r="47" spans="1:9" ht="8.1" customHeight="1" x14ac:dyDescent="0.2">
      <c r="A47" s="7"/>
      <c r="B47" s="4"/>
      <c r="C47" s="4"/>
      <c r="D47" s="4"/>
      <c r="E47" s="4"/>
      <c r="F47" s="4"/>
      <c r="G47" s="4"/>
      <c r="H47" s="4"/>
    </row>
    <row r="48" spans="1:9" x14ac:dyDescent="0.2">
      <c r="A48" s="4" t="s">
        <v>34</v>
      </c>
      <c r="B48" s="4"/>
      <c r="C48" s="4"/>
      <c r="D48" s="4"/>
      <c r="E48" s="4"/>
      <c r="F48" s="4"/>
      <c r="G48" s="4"/>
      <c r="H48" s="4"/>
    </row>
    <row r="49" spans="1:9" ht="12.75" customHeight="1" x14ac:dyDescent="0.2">
      <c r="A49" s="40" t="s">
        <v>66</v>
      </c>
      <c r="B49" s="40"/>
      <c r="C49" s="40"/>
      <c r="D49" s="40"/>
      <c r="E49" s="40"/>
      <c r="F49" s="40"/>
      <c r="G49" s="40"/>
      <c r="H49" s="40"/>
    </row>
    <row r="50" spans="1:9" ht="8.1" customHeight="1" x14ac:dyDescent="0.2">
      <c r="A50" s="10"/>
      <c r="B50" s="10"/>
      <c r="C50" s="10"/>
      <c r="D50" s="10"/>
      <c r="E50" s="10"/>
      <c r="F50" s="10"/>
      <c r="G50" s="10"/>
      <c r="H50" s="10"/>
    </row>
    <row r="51" spans="1:9" x14ac:dyDescent="0.2">
      <c r="A51" s="6" t="s">
        <v>33</v>
      </c>
      <c r="B51" s="6"/>
      <c r="C51" s="6"/>
      <c r="D51" s="6"/>
      <c r="E51" s="6"/>
      <c r="F51" s="6"/>
      <c r="G51" s="6"/>
      <c r="H51" s="6"/>
    </row>
    <row r="52" spans="1:9" ht="12.75" customHeight="1" x14ac:dyDescent="0.2">
      <c r="A52" s="40" t="s">
        <v>67</v>
      </c>
      <c r="B52" s="40"/>
      <c r="C52" s="40"/>
      <c r="D52" s="40"/>
      <c r="E52" s="40"/>
      <c r="F52" s="40"/>
      <c r="G52" s="40"/>
      <c r="H52" s="40"/>
      <c r="I52" s="8"/>
    </row>
    <row r="53" spans="1:9" ht="8.1" customHeight="1" x14ac:dyDescent="0.2">
      <c r="A53" s="4"/>
      <c r="B53" s="4"/>
      <c r="C53" s="6"/>
      <c r="D53" s="6"/>
      <c r="E53" s="6"/>
      <c r="F53" s="6"/>
      <c r="G53" s="6"/>
      <c r="H53" s="6"/>
    </row>
    <row r="54" spans="1:9" x14ac:dyDescent="0.2">
      <c r="A54" s="6" t="s">
        <v>36</v>
      </c>
      <c r="B54" s="4"/>
      <c r="C54" s="4"/>
      <c r="D54" s="4"/>
      <c r="E54" s="4"/>
      <c r="F54" s="4"/>
      <c r="G54" s="4"/>
      <c r="H54" s="4"/>
    </row>
    <row r="55" spans="1:9" ht="12.75" customHeight="1" x14ac:dyDescent="0.2">
      <c r="A55" s="40" t="s">
        <v>40</v>
      </c>
      <c r="B55" s="40"/>
      <c r="C55" s="40"/>
      <c r="D55" s="40"/>
      <c r="E55" s="40"/>
      <c r="F55" s="40"/>
      <c r="G55" s="40"/>
      <c r="H55" s="40"/>
      <c r="I55" s="8"/>
    </row>
    <row r="56" spans="1:9" ht="12.75" customHeight="1" x14ac:dyDescent="0.2">
      <c r="A56" s="40"/>
      <c r="B56" s="40"/>
      <c r="C56" s="40"/>
      <c r="D56" s="40"/>
      <c r="E56" s="40"/>
      <c r="F56" s="40"/>
      <c r="G56" s="40"/>
      <c r="H56" s="40"/>
    </row>
    <row r="57" spans="1:9" ht="12.75" customHeight="1" x14ac:dyDescent="0.2">
      <c r="A57" s="40"/>
      <c r="B57" s="40"/>
      <c r="C57" s="40"/>
      <c r="D57" s="40"/>
      <c r="E57" s="40"/>
      <c r="F57" s="40"/>
      <c r="G57" s="40"/>
      <c r="H57" s="40"/>
    </row>
    <row r="58" spans="1:9" ht="12.75" customHeight="1" x14ac:dyDescent="0.2">
      <c r="A58" s="40"/>
      <c r="B58" s="40"/>
      <c r="C58" s="40"/>
      <c r="D58" s="40"/>
      <c r="E58" s="40"/>
      <c r="F58" s="40"/>
      <c r="G58" s="40"/>
      <c r="H58" s="40"/>
    </row>
    <row r="59" spans="1:9" x14ac:dyDescent="0.2">
      <c r="A59" s="4"/>
      <c r="B59" s="4"/>
      <c r="C59" s="4"/>
      <c r="D59" s="4"/>
      <c r="E59" s="4"/>
      <c r="F59" s="4"/>
      <c r="G59" s="4"/>
      <c r="H59" s="4"/>
    </row>
    <row r="60" spans="1:9" x14ac:dyDescent="0.2">
      <c r="A60" s="7" t="s">
        <v>3</v>
      </c>
      <c r="B60" s="4"/>
      <c r="C60" s="4"/>
      <c r="D60" s="4"/>
      <c r="E60" s="4"/>
      <c r="F60" s="4"/>
      <c r="G60" s="4"/>
      <c r="H60" s="4"/>
    </row>
    <row r="61" spans="1:9" ht="8.1" customHeight="1" x14ac:dyDescent="0.2">
      <c r="A61" s="7"/>
      <c r="B61" s="4"/>
      <c r="C61" s="4"/>
      <c r="D61" s="4"/>
      <c r="E61" s="4"/>
      <c r="F61" s="4"/>
      <c r="G61" s="4"/>
      <c r="H61" s="4"/>
    </row>
    <row r="62" spans="1:9" x14ac:dyDescent="0.2">
      <c r="A62" s="4" t="s">
        <v>34</v>
      </c>
      <c r="B62" s="4"/>
      <c r="C62" s="4"/>
      <c r="D62" s="4"/>
      <c r="E62" s="4"/>
      <c r="F62" s="4"/>
      <c r="G62" s="4"/>
      <c r="H62" s="4"/>
    </row>
    <row r="63" spans="1:9" ht="12.75" customHeight="1" x14ac:dyDescent="0.2">
      <c r="A63" s="40" t="s">
        <v>68</v>
      </c>
      <c r="B63" s="40"/>
      <c r="C63" s="40"/>
      <c r="D63" s="40"/>
      <c r="E63" s="40"/>
      <c r="F63" s="40"/>
      <c r="G63" s="40"/>
      <c r="H63" s="40"/>
    </row>
    <row r="64" spans="1:9" ht="8.1" customHeight="1" x14ac:dyDescent="0.2">
      <c r="A64" s="10"/>
      <c r="B64" s="10"/>
      <c r="C64" s="10"/>
      <c r="D64" s="10"/>
      <c r="E64" s="10"/>
      <c r="F64" s="10"/>
      <c r="G64" s="10"/>
      <c r="H64" s="10"/>
    </row>
    <row r="65" spans="1:9" x14ac:dyDescent="0.2">
      <c r="A65" s="6" t="s">
        <v>33</v>
      </c>
      <c r="B65" s="6"/>
      <c r="C65" s="6"/>
      <c r="D65" s="6"/>
      <c r="E65" s="6"/>
      <c r="F65" s="6"/>
      <c r="G65" s="6"/>
      <c r="H65" s="6"/>
    </row>
    <row r="66" spans="1:9" ht="12.75" customHeight="1" x14ac:dyDescent="0.2">
      <c r="A66" s="40" t="s">
        <v>69</v>
      </c>
      <c r="B66" s="40"/>
      <c r="C66" s="40"/>
      <c r="D66" s="40"/>
      <c r="E66" s="40"/>
      <c r="F66" s="40"/>
      <c r="G66" s="40"/>
      <c r="H66" s="40"/>
      <c r="I66" s="8"/>
    </row>
    <row r="67" spans="1:9" ht="8.1" customHeight="1" x14ac:dyDescent="0.2">
      <c r="A67" s="4"/>
      <c r="B67" s="4"/>
      <c r="C67" s="6"/>
      <c r="D67" s="6"/>
      <c r="E67" s="6"/>
      <c r="F67" s="6"/>
      <c r="G67" s="6"/>
      <c r="H67" s="6"/>
    </row>
    <row r="68" spans="1:9" x14ac:dyDescent="0.2">
      <c r="A68" s="6" t="s">
        <v>36</v>
      </c>
      <c r="B68" s="4"/>
      <c r="C68" s="4"/>
      <c r="D68" s="4"/>
      <c r="E68" s="4"/>
      <c r="F68" s="4"/>
      <c r="G68" s="4"/>
      <c r="H68" s="4"/>
    </row>
    <row r="69" spans="1:9" ht="12.75" customHeight="1" x14ac:dyDescent="0.2">
      <c r="A69" s="40" t="s">
        <v>41</v>
      </c>
      <c r="B69" s="40"/>
      <c r="C69" s="40"/>
      <c r="D69" s="40"/>
      <c r="E69" s="40"/>
      <c r="F69" s="40"/>
      <c r="G69" s="40"/>
      <c r="H69" s="40"/>
      <c r="I69" s="8"/>
    </row>
    <row r="70" spans="1:9" ht="12.75" customHeight="1" x14ac:dyDescent="0.2">
      <c r="A70" s="40"/>
      <c r="B70" s="40"/>
      <c r="C70" s="40"/>
      <c r="D70" s="40"/>
      <c r="E70" s="40"/>
      <c r="F70" s="40"/>
      <c r="G70" s="40"/>
      <c r="H70" s="40"/>
    </row>
    <row r="71" spans="1:9" ht="12.75" customHeight="1" x14ac:dyDescent="0.2">
      <c r="A71" s="40"/>
      <c r="B71" s="40"/>
      <c r="C71" s="40"/>
      <c r="D71" s="40"/>
      <c r="E71" s="40"/>
      <c r="F71" s="40"/>
      <c r="G71" s="40"/>
      <c r="H71" s="40"/>
    </row>
    <row r="72" spans="1:9" ht="12.75" customHeight="1" x14ac:dyDescent="0.2">
      <c r="A72" s="40"/>
      <c r="B72" s="40"/>
      <c r="C72" s="40"/>
      <c r="D72" s="40"/>
      <c r="E72" s="40"/>
      <c r="F72" s="40"/>
      <c r="G72" s="40"/>
      <c r="H72" s="40"/>
    </row>
    <row r="73" spans="1:9" x14ac:dyDescent="0.2">
      <c r="A73" s="4"/>
      <c r="B73" s="4"/>
      <c r="C73" s="4"/>
      <c r="D73" s="4"/>
      <c r="E73" s="4"/>
      <c r="F73" s="4"/>
      <c r="G73" s="4"/>
      <c r="H73" s="4"/>
    </row>
    <row r="74" spans="1:9" x14ac:dyDescent="0.2">
      <c r="A74" s="7" t="s">
        <v>4</v>
      </c>
      <c r="B74" s="4"/>
      <c r="C74" s="4"/>
      <c r="D74" s="4"/>
      <c r="E74" s="4"/>
      <c r="F74" s="4"/>
      <c r="G74" s="4"/>
      <c r="H74" s="4"/>
    </row>
    <row r="75" spans="1:9" ht="8.1" customHeight="1" x14ac:dyDescent="0.2">
      <c r="A75" s="7"/>
      <c r="B75" s="4"/>
      <c r="C75" s="4"/>
      <c r="D75" s="4"/>
      <c r="E75" s="4"/>
      <c r="F75" s="4"/>
      <c r="G75" s="4"/>
      <c r="H75" s="4"/>
    </row>
    <row r="76" spans="1:9" x14ac:dyDescent="0.2">
      <c r="A76" s="4" t="s">
        <v>34</v>
      </c>
      <c r="B76" s="4"/>
      <c r="C76" s="4"/>
      <c r="D76" s="4"/>
      <c r="E76" s="4"/>
      <c r="F76" s="4"/>
      <c r="G76" s="4"/>
      <c r="H76" s="4"/>
    </row>
    <row r="77" spans="1:9" ht="12.75" customHeight="1" x14ac:dyDescent="0.2">
      <c r="A77" s="40" t="s">
        <v>56</v>
      </c>
      <c r="B77" s="40"/>
      <c r="C77" s="40"/>
      <c r="D77" s="40"/>
      <c r="E77" s="40"/>
      <c r="F77" s="40"/>
      <c r="G77" s="40"/>
      <c r="H77" s="40"/>
    </row>
    <row r="78" spans="1:9" ht="8.1" customHeight="1" x14ac:dyDescent="0.2">
      <c r="A78" s="10"/>
      <c r="B78" s="10"/>
      <c r="C78" s="10"/>
      <c r="D78" s="10"/>
      <c r="E78" s="10"/>
      <c r="F78" s="10"/>
      <c r="G78" s="10"/>
      <c r="H78" s="10"/>
    </row>
    <row r="79" spans="1:9" x14ac:dyDescent="0.2">
      <c r="A79" s="6" t="s">
        <v>33</v>
      </c>
      <c r="B79" s="6"/>
      <c r="C79" s="6"/>
      <c r="D79" s="6"/>
      <c r="E79" s="6"/>
      <c r="F79" s="6"/>
      <c r="G79" s="6"/>
      <c r="H79" s="6"/>
    </row>
    <row r="80" spans="1:9" ht="12.75" customHeight="1" x14ac:dyDescent="0.2">
      <c r="A80" s="40" t="s">
        <v>57</v>
      </c>
      <c r="B80" s="40"/>
      <c r="C80" s="40"/>
      <c r="D80" s="40"/>
      <c r="E80" s="40"/>
      <c r="F80" s="40"/>
      <c r="G80" s="40"/>
      <c r="H80" s="40"/>
      <c r="I80" s="8"/>
    </row>
    <row r="81" spans="1:9" ht="8.1" customHeight="1" x14ac:dyDescent="0.2">
      <c r="A81" s="4"/>
      <c r="B81" s="4"/>
      <c r="C81" s="6"/>
      <c r="D81" s="6"/>
      <c r="E81" s="6"/>
      <c r="F81" s="6"/>
      <c r="G81" s="6"/>
      <c r="H81" s="6"/>
    </row>
    <row r="82" spans="1:9" x14ac:dyDescent="0.2">
      <c r="A82" s="6" t="s">
        <v>36</v>
      </c>
      <c r="B82" s="4"/>
      <c r="C82" s="4"/>
      <c r="D82" s="4"/>
      <c r="E82" s="4"/>
      <c r="F82" s="4"/>
      <c r="G82" s="4"/>
      <c r="H82" s="4"/>
    </row>
    <row r="83" spans="1:9" ht="12.75" customHeight="1" x14ac:dyDescent="0.2">
      <c r="A83" s="40" t="s">
        <v>42</v>
      </c>
      <c r="B83" s="40"/>
      <c r="C83" s="40"/>
      <c r="D83" s="40"/>
      <c r="E83" s="40"/>
      <c r="F83" s="40"/>
      <c r="G83" s="40"/>
      <c r="H83" s="40"/>
      <c r="I83" s="8"/>
    </row>
    <row r="84" spans="1:9" ht="12.75" customHeight="1" x14ac:dyDescent="0.2">
      <c r="A84" s="40"/>
      <c r="B84" s="40"/>
      <c r="C84" s="40"/>
      <c r="D84" s="40"/>
      <c r="E84" s="40"/>
      <c r="F84" s="40"/>
      <c r="G84" s="40"/>
      <c r="H84" s="40"/>
    </row>
    <row r="85" spans="1:9" ht="12.75" customHeight="1" x14ac:dyDescent="0.2">
      <c r="A85" s="40"/>
      <c r="B85" s="40"/>
      <c r="C85" s="40"/>
      <c r="D85" s="40"/>
      <c r="E85" s="40"/>
      <c r="F85" s="40"/>
      <c r="G85" s="40"/>
      <c r="H85" s="40"/>
    </row>
    <row r="86" spans="1:9" ht="12.75" customHeight="1" x14ac:dyDescent="0.2">
      <c r="A86" s="40"/>
      <c r="B86" s="40"/>
      <c r="C86" s="40"/>
      <c r="D86" s="40"/>
      <c r="E86" s="40"/>
      <c r="F86" s="40"/>
      <c r="G86" s="40"/>
      <c r="H86" s="40"/>
    </row>
    <row r="87" spans="1:9" x14ac:dyDescent="0.2">
      <c r="A87" s="4"/>
      <c r="B87" s="4"/>
      <c r="C87" s="4"/>
      <c r="D87" s="4"/>
      <c r="E87" s="4"/>
      <c r="F87" s="4"/>
      <c r="G87" s="4"/>
      <c r="H87" s="4"/>
    </row>
    <row r="88" spans="1:9" x14ac:dyDescent="0.2">
      <c r="A88" s="7" t="s">
        <v>5</v>
      </c>
      <c r="B88" s="4"/>
      <c r="C88" s="4"/>
      <c r="D88" s="4"/>
      <c r="E88" s="4"/>
      <c r="F88" s="4"/>
      <c r="G88" s="4"/>
      <c r="H88" s="4"/>
    </row>
    <row r="89" spans="1:9" ht="8.1" customHeight="1" x14ac:dyDescent="0.2">
      <c r="A89" s="7"/>
      <c r="B89" s="4"/>
      <c r="C89" s="4"/>
      <c r="D89" s="4"/>
      <c r="E89" s="4"/>
      <c r="F89" s="4"/>
      <c r="G89" s="4"/>
      <c r="H89" s="4"/>
    </row>
    <row r="90" spans="1:9" x14ac:dyDescent="0.2">
      <c r="A90" s="4" t="s">
        <v>34</v>
      </c>
      <c r="B90" s="4"/>
      <c r="C90" s="4"/>
      <c r="D90" s="4"/>
      <c r="E90" s="4"/>
      <c r="F90" s="4"/>
      <c r="G90" s="4"/>
      <c r="H90" s="4"/>
    </row>
    <row r="91" spans="1:9" ht="12.75" customHeight="1" x14ac:dyDescent="0.2">
      <c r="A91" s="40" t="s">
        <v>58</v>
      </c>
      <c r="B91" s="40"/>
      <c r="C91" s="40"/>
      <c r="D91" s="40"/>
      <c r="E91" s="40"/>
      <c r="F91" s="40"/>
      <c r="G91" s="40"/>
      <c r="H91" s="40"/>
    </row>
    <row r="92" spans="1:9" ht="8.1" customHeight="1" x14ac:dyDescent="0.2">
      <c r="A92" s="10"/>
      <c r="B92" s="10"/>
      <c r="C92" s="10"/>
      <c r="D92" s="10"/>
      <c r="E92" s="10"/>
      <c r="F92" s="10"/>
      <c r="G92" s="10"/>
      <c r="H92" s="10"/>
    </row>
    <row r="93" spans="1:9" x14ac:dyDescent="0.2">
      <c r="A93" s="6" t="s">
        <v>33</v>
      </c>
      <c r="B93" s="6"/>
      <c r="C93" s="6"/>
      <c r="D93" s="6"/>
      <c r="E93" s="6"/>
      <c r="F93" s="6"/>
      <c r="G93" s="6"/>
      <c r="H93" s="6"/>
    </row>
    <row r="94" spans="1:9" ht="12.75" customHeight="1" x14ac:dyDescent="0.2">
      <c r="A94" s="40" t="s">
        <v>59</v>
      </c>
      <c r="B94" s="40"/>
      <c r="C94" s="40"/>
      <c r="D94" s="40"/>
      <c r="E94" s="40"/>
      <c r="F94" s="40"/>
      <c r="G94" s="40"/>
      <c r="H94" s="40"/>
      <c r="I94" s="8"/>
    </row>
    <row r="95" spans="1:9" ht="8.1" customHeight="1" x14ac:dyDescent="0.2">
      <c r="A95" s="4"/>
      <c r="B95" s="4"/>
      <c r="C95" s="6"/>
      <c r="D95" s="6"/>
      <c r="E95" s="6"/>
      <c r="F95" s="6"/>
      <c r="G95" s="6"/>
      <c r="H95" s="6"/>
    </row>
    <row r="96" spans="1:9" x14ac:dyDescent="0.2">
      <c r="A96" s="6" t="s">
        <v>36</v>
      </c>
      <c r="B96" s="4"/>
      <c r="C96" s="4"/>
      <c r="D96" s="4"/>
      <c r="E96" s="4"/>
      <c r="F96" s="4"/>
      <c r="G96" s="4"/>
      <c r="H96" s="4"/>
    </row>
    <row r="97" spans="1:15" ht="12.75" customHeight="1" x14ac:dyDescent="0.2">
      <c r="A97" s="40" t="s">
        <v>43</v>
      </c>
      <c r="B97" s="40"/>
      <c r="C97" s="40"/>
      <c r="D97" s="40"/>
      <c r="E97" s="40"/>
      <c r="F97" s="40"/>
      <c r="G97" s="40"/>
      <c r="H97" s="40"/>
      <c r="I97" s="8"/>
    </row>
    <row r="98" spans="1:15" ht="12.75" customHeight="1" x14ac:dyDescent="0.2">
      <c r="A98" s="40"/>
      <c r="B98" s="40"/>
      <c r="C98" s="40"/>
      <c r="D98" s="40"/>
      <c r="E98" s="40"/>
      <c r="F98" s="40"/>
      <c r="G98" s="40"/>
      <c r="H98" s="40"/>
    </row>
    <row r="99" spans="1:15" ht="12.75" customHeight="1" x14ac:dyDescent="0.2">
      <c r="A99" s="40"/>
      <c r="B99" s="40"/>
      <c r="C99" s="40"/>
      <c r="D99" s="40"/>
      <c r="E99" s="40"/>
      <c r="F99" s="40"/>
      <c r="G99" s="40"/>
      <c r="H99" s="40"/>
    </row>
    <row r="100" spans="1:15" ht="12.75" customHeight="1" x14ac:dyDescent="0.2">
      <c r="A100" s="40"/>
      <c r="B100" s="40"/>
      <c r="C100" s="40"/>
      <c r="D100" s="40"/>
      <c r="E100" s="40"/>
      <c r="F100" s="40"/>
      <c r="G100" s="40"/>
      <c r="H100" s="40"/>
    </row>
    <row r="101" spans="1:15" x14ac:dyDescent="0.2">
      <c r="A101" s="4"/>
      <c r="B101" s="4"/>
      <c r="C101" s="4"/>
      <c r="D101" s="4"/>
      <c r="E101" s="4"/>
      <c r="F101" s="4"/>
      <c r="G101" s="4"/>
      <c r="H101" s="4"/>
    </row>
    <row r="102" spans="1:15" x14ac:dyDescent="0.2">
      <c r="A102" s="7" t="s">
        <v>6</v>
      </c>
      <c r="B102" s="4"/>
      <c r="C102" s="4"/>
      <c r="D102" s="4"/>
      <c r="E102" s="4"/>
      <c r="F102" s="4"/>
      <c r="G102" s="4"/>
      <c r="H102" s="4"/>
    </row>
    <row r="103" spans="1:15" ht="8.1" customHeight="1" x14ac:dyDescent="0.2">
      <c r="A103" s="7"/>
      <c r="B103" s="4"/>
      <c r="C103" s="4"/>
      <c r="D103" s="4"/>
      <c r="E103" s="4"/>
      <c r="F103" s="4"/>
      <c r="G103" s="4"/>
      <c r="H103" s="4"/>
    </row>
    <row r="104" spans="1:15" x14ac:dyDescent="0.2">
      <c r="A104" s="4" t="s">
        <v>34</v>
      </c>
      <c r="B104" s="4"/>
      <c r="C104" s="4"/>
      <c r="D104" s="4"/>
      <c r="E104" s="4"/>
      <c r="F104" s="4"/>
      <c r="G104" s="4"/>
      <c r="H104" s="4"/>
    </row>
    <row r="105" spans="1:15" ht="12.75" customHeight="1" x14ac:dyDescent="0.2">
      <c r="A105" s="40" t="s">
        <v>58</v>
      </c>
      <c r="B105" s="40"/>
      <c r="C105" s="40"/>
      <c r="D105" s="40"/>
      <c r="E105" s="40"/>
      <c r="F105" s="40"/>
      <c r="G105" s="40"/>
      <c r="H105" s="40"/>
    </row>
    <row r="106" spans="1:15" ht="8.1" customHeight="1" x14ac:dyDescent="0.2">
      <c r="A106" s="10"/>
      <c r="B106" s="10"/>
      <c r="C106" s="10"/>
      <c r="D106" s="10"/>
      <c r="E106" s="10"/>
      <c r="F106" s="10"/>
      <c r="G106" s="10"/>
      <c r="H106" s="10"/>
    </row>
    <row r="107" spans="1:15" x14ac:dyDescent="0.2">
      <c r="A107" s="6" t="s">
        <v>33</v>
      </c>
      <c r="B107" s="6"/>
      <c r="C107" s="6"/>
      <c r="D107" s="6"/>
      <c r="E107" s="6"/>
      <c r="F107" s="6"/>
      <c r="G107" s="6"/>
      <c r="H107" s="6"/>
    </row>
    <row r="108" spans="1:15" ht="12.75" customHeight="1" x14ac:dyDescent="0.2">
      <c r="A108" s="40" t="s">
        <v>59</v>
      </c>
      <c r="B108" s="40"/>
      <c r="C108" s="40"/>
      <c r="D108" s="40"/>
      <c r="E108" s="40"/>
      <c r="F108" s="40"/>
      <c r="G108" s="40"/>
      <c r="H108" s="40"/>
      <c r="I108" s="8"/>
    </row>
    <row r="109" spans="1:15" ht="8.1" customHeight="1" x14ac:dyDescent="0.2">
      <c r="A109" s="4"/>
      <c r="B109" s="4"/>
      <c r="C109" s="6"/>
      <c r="D109" s="6"/>
      <c r="E109" s="6"/>
      <c r="F109" s="6"/>
      <c r="G109" s="6"/>
      <c r="H109" s="6"/>
    </row>
    <row r="110" spans="1:15" x14ac:dyDescent="0.2">
      <c r="A110" s="6" t="s">
        <v>36</v>
      </c>
      <c r="B110" s="4"/>
      <c r="C110" s="4"/>
      <c r="D110" s="4"/>
      <c r="E110" s="4"/>
      <c r="F110" s="4"/>
      <c r="G110" s="4"/>
      <c r="H110" s="4"/>
    </row>
    <row r="111" spans="1:15" ht="12.75" customHeight="1" x14ac:dyDescent="0.25">
      <c r="A111" s="40" t="s">
        <v>44</v>
      </c>
      <c r="B111" s="40"/>
      <c r="C111" s="40"/>
      <c r="D111" s="40"/>
      <c r="E111" s="40"/>
      <c r="F111" s="40"/>
      <c r="G111" s="40"/>
      <c r="H111" s="40"/>
      <c r="I111" s="8"/>
      <c r="O111" s="13"/>
    </row>
    <row r="112" spans="1:15" ht="12.75" customHeight="1" x14ac:dyDescent="0.2">
      <c r="A112" s="40"/>
      <c r="B112" s="40"/>
      <c r="C112" s="40"/>
      <c r="D112" s="40"/>
      <c r="E112" s="40"/>
      <c r="F112" s="40"/>
      <c r="G112" s="40"/>
      <c r="H112" s="40"/>
    </row>
    <row r="113" spans="1:9" ht="12.75" customHeight="1" x14ac:dyDescent="0.2">
      <c r="A113" s="40"/>
      <c r="B113" s="40"/>
      <c r="C113" s="40"/>
      <c r="D113" s="40"/>
      <c r="E113" s="40"/>
      <c r="F113" s="40"/>
      <c r="G113" s="40"/>
      <c r="H113" s="40"/>
    </row>
    <row r="114" spans="1:9" ht="12.75" customHeight="1" x14ac:dyDescent="0.2">
      <c r="A114" s="40"/>
      <c r="B114" s="40"/>
      <c r="C114" s="40"/>
      <c r="D114" s="40"/>
      <c r="E114" s="40"/>
      <c r="F114" s="40"/>
      <c r="G114" s="40"/>
      <c r="H114" s="40"/>
    </row>
    <row r="115" spans="1:9" ht="12.75" customHeight="1" x14ac:dyDescent="0.2">
      <c r="A115" s="4"/>
      <c r="B115" s="4"/>
      <c r="C115" s="4"/>
      <c r="D115" s="4"/>
      <c r="E115" s="4"/>
      <c r="F115" s="4"/>
      <c r="G115" s="4"/>
      <c r="H115" s="4"/>
    </row>
    <row r="116" spans="1:9" x14ac:dyDescent="0.2">
      <c r="A116" s="7" t="s">
        <v>32</v>
      </c>
      <c r="B116" s="4"/>
      <c r="C116" s="4"/>
      <c r="D116" s="4"/>
      <c r="E116" s="4"/>
      <c r="F116" s="4"/>
      <c r="G116" s="4"/>
      <c r="H116" s="4"/>
    </row>
    <row r="117" spans="1:9" ht="8.1" customHeight="1" x14ac:dyDescent="0.2">
      <c r="A117" s="7"/>
      <c r="B117" s="4"/>
      <c r="C117" s="4"/>
      <c r="D117" s="4"/>
      <c r="E117" s="4"/>
      <c r="F117" s="4"/>
      <c r="G117" s="4"/>
      <c r="H117" s="4"/>
    </row>
    <row r="118" spans="1:9" x14ac:dyDescent="0.2">
      <c r="A118" s="4" t="s">
        <v>34</v>
      </c>
      <c r="B118" s="4"/>
      <c r="C118" s="4"/>
      <c r="D118" s="4"/>
      <c r="E118" s="4"/>
      <c r="F118" s="4"/>
      <c r="G118" s="4"/>
      <c r="H118" s="4"/>
    </row>
    <row r="119" spans="1:9" ht="12.75" customHeight="1" x14ac:dyDescent="0.2">
      <c r="A119" s="40" t="s">
        <v>50</v>
      </c>
      <c r="B119" s="40"/>
      <c r="C119" s="40"/>
      <c r="D119" s="40"/>
      <c r="E119" s="40"/>
      <c r="F119" s="40"/>
      <c r="G119" s="40"/>
      <c r="H119" s="40"/>
    </row>
    <row r="120" spans="1:9" ht="8.1" customHeight="1" x14ac:dyDescent="0.2">
      <c r="A120" s="10"/>
      <c r="B120" s="10"/>
      <c r="C120" s="10"/>
      <c r="D120" s="10"/>
      <c r="E120" s="10"/>
      <c r="F120" s="10"/>
      <c r="G120" s="10"/>
      <c r="H120" s="10"/>
    </row>
    <row r="121" spans="1:9" x14ac:dyDescent="0.2">
      <c r="A121" s="6" t="s">
        <v>33</v>
      </c>
      <c r="B121" s="6"/>
      <c r="C121" s="6"/>
      <c r="D121" s="6"/>
      <c r="E121" s="6"/>
      <c r="F121" s="6"/>
      <c r="G121" s="6"/>
      <c r="H121" s="6"/>
    </row>
    <row r="122" spans="1:9" ht="12.75" customHeight="1" x14ac:dyDescent="0.2">
      <c r="A122" s="40" t="s">
        <v>51</v>
      </c>
      <c r="B122" s="40"/>
      <c r="C122" s="40"/>
      <c r="D122" s="40"/>
      <c r="E122" s="40"/>
      <c r="F122" s="40"/>
      <c r="G122" s="40"/>
      <c r="H122" s="40"/>
      <c r="I122" s="8"/>
    </row>
    <row r="123" spans="1:9" ht="8.1" customHeight="1" x14ac:dyDescent="0.2">
      <c r="A123" s="4"/>
      <c r="B123" s="4"/>
      <c r="C123" s="6"/>
      <c r="D123" s="6"/>
      <c r="E123" s="6"/>
      <c r="F123" s="6"/>
      <c r="G123" s="6"/>
      <c r="H123" s="6"/>
    </row>
    <row r="124" spans="1:9" x14ac:dyDescent="0.2">
      <c r="A124" s="6" t="s">
        <v>36</v>
      </c>
      <c r="B124" s="4"/>
      <c r="C124" s="4"/>
      <c r="D124" s="4"/>
      <c r="E124" s="4"/>
      <c r="F124" s="4"/>
      <c r="G124" s="4"/>
      <c r="H124" s="4"/>
    </row>
    <row r="125" spans="1:9" ht="12.75" customHeight="1" x14ac:dyDescent="0.2">
      <c r="A125" s="40" t="s">
        <v>45</v>
      </c>
      <c r="B125" s="40"/>
      <c r="C125" s="40"/>
      <c r="D125" s="40"/>
      <c r="E125" s="40"/>
      <c r="F125" s="40"/>
      <c r="G125" s="40"/>
      <c r="H125" s="40"/>
      <c r="I125" s="8"/>
    </row>
    <row r="126" spans="1:9" ht="12.75" customHeight="1" x14ac:dyDescent="0.2">
      <c r="A126" s="40"/>
      <c r="B126" s="40"/>
      <c r="C126" s="40"/>
      <c r="D126" s="40"/>
      <c r="E126" s="40"/>
      <c r="F126" s="40"/>
      <c r="G126" s="40"/>
      <c r="H126" s="40"/>
    </row>
    <row r="127" spans="1:9" ht="12.75" customHeight="1" x14ac:dyDescent="0.2">
      <c r="A127" s="40"/>
      <c r="B127" s="40"/>
      <c r="C127" s="40"/>
      <c r="D127" s="40"/>
      <c r="E127" s="40"/>
      <c r="F127" s="40"/>
      <c r="G127" s="40"/>
      <c r="H127" s="40"/>
    </row>
    <row r="128" spans="1:9" ht="12.75" customHeight="1" x14ac:dyDescent="0.2">
      <c r="A128" s="40"/>
      <c r="B128" s="40"/>
      <c r="C128" s="40"/>
      <c r="D128" s="40"/>
      <c r="E128" s="40"/>
      <c r="F128" s="40"/>
      <c r="G128" s="40"/>
      <c r="H128" s="40"/>
    </row>
    <row r="129" spans="1:9" x14ac:dyDescent="0.2">
      <c r="A129" s="4"/>
      <c r="B129" s="4"/>
      <c r="C129" s="4"/>
      <c r="D129" s="4"/>
      <c r="E129" s="4"/>
      <c r="F129" s="4"/>
      <c r="G129" s="4"/>
      <c r="H129" s="4"/>
    </row>
    <row r="130" spans="1:9" x14ac:dyDescent="0.2">
      <c r="A130" s="7" t="s">
        <v>7</v>
      </c>
      <c r="B130" s="4"/>
      <c r="C130" s="4"/>
      <c r="D130" s="4"/>
      <c r="E130" s="4"/>
      <c r="F130" s="4"/>
      <c r="G130" s="4"/>
      <c r="H130" s="4"/>
    </row>
    <row r="131" spans="1:9" ht="8.1" customHeight="1" x14ac:dyDescent="0.2">
      <c r="A131" s="7"/>
      <c r="B131" s="4"/>
      <c r="C131" s="4"/>
      <c r="D131" s="4"/>
      <c r="E131" s="4"/>
      <c r="F131" s="4"/>
      <c r="G131" s="4"/>
      <c r="H131" s="4"/>
    </row>
    <row r="132" spans="1:9" x14ac:dyDescent="0.2">
      <c r="A132" s="4" t="s">
        <v>34</v>
      </c>
      <c r="B132" s="4"/>
      <c r="C132" s="4"/>
      <c r="D132" s="4"/>
      <c r="E132" s="4"/>
      <c r="F132" s="4"/>
      <c r="G132" s="4"/>
      <c r="H132" s="4"/>
    </row>
    <row r="133" spans="1:9" ht="12.75" customHeight="1" x14ac:dyDescent="0.2">
      <c r="A133" s="40" t="s">
        <v>35</v>
      </c>
      <c r="B133" s="40"/>
      <c r="C133" s="40"/>
      <c r="D133" s="40"/>
      <c r="E133" s="40"/>
      <c r="F133" s="40"/>
      <c r="G133" s="40"/>
      <c r="H133" s="40"/>
    </row>
    <row r="134" spans="1:9" ht="8.1" customHeight="1" x14ac:dyDescent="0.2">
      <c r="A134" s="10"/>
      <c r="B134" s="10"/>
      <c r="C134" s="10"/>
      <c r="D134" s="10"/>
      <c r="E134" s="10"/>
      <c r="F134" s="10"/>
      <c r="G134" s="10"/>
      <c r="H134" s="10"/>
    </row>
    <row r="135" spans="1:9" x14ac:dyDescent="0.2">
      <c r="A135" s="6" t="s">
        <v>33</v>
      </c>
      <c r="B135" s="6"/>
      <c r="C135" s="6"/>
      <c r="D135" s="6"/>
      <c r="E135" s="6"/>
      <c r="F135" s="6"/>
      <c r="G135" s="6"/>
      <c r="H135" s="6"/>
    </row>
    <row r="136" spans="1:9" ht="12.75" customHeight="1" x14ac:dyDescent="0.2">
      <c r="A136" s="40" t="s">
        <v>52</v>
      </c>
      <c r="B136" s="40"/>
      <c r="C136" s="40"/>
      <c r="D136" s="40"/>
      <c r="E136" s="40"/>
      <c r="F136" s="40"/>
      <c r="G136" s="40"/>
      <c r="H136" s="40"/>
      <c r="I136" s="8"/>
    </row>
    <row r="137" spans="1:9" ht="8.1" customHeight="1" x14ac:dyDescent="0.2">
      <c r="A137" s="4"/>
      <c r="B137" s="4"/>
      <c r="C137" s="6"/>
      <c r="D137" s="6"/>
      <c r="E137" s="6"/>
      <c r="F137" s="6"/>
      <c r="G137" s="6"/>
      <c r="H137" s="6"/>
    </row>
    <row r="138" spans="1:9" x14ac:dyDescent="0.2">
      <c r="A138" s="6" t="s">
        <v>36</v>
      </c>
      <c r="B138" s="4"/>
      <c r="C138" s="4"/>
      <c r="D138" s="4"/>
      <c r="E138" s="4"/>
      <c r="F138" s="4"/>
      <c r="G138" s="4"/>
      <c r="H138" s="4"/>
    </row>
    <row r="139" spans="1:9" ht="12.75" customHeight="1" x14ac:dyDescent="0.2">
      <c r="A139" s="40" t="s">
        <v>46</v>
      </c>
      <c r="B139" s="40"/>
      <c r="C139" s="40"/>
      <c r="D139" s="40"/>
      <c r="E139" s="40"/>
      <c r="F139" s="40"/>
      <c r="G139" s="40"/>
      <c r="H139" s="40"/>
      <c r="I139" s="8"/>
    </row>
    <row r="140" spans="1:9" ht="12.75" customHeight="1" x14ac:dyDescent="0.2">
      <c r="A140" s="40"/>
      <c r="B140" s="40"/>
      <c r="C140" s="40"/>
      <c r="D140" s="40"/>
      <c r="E140" s="40"/>
      <c r="F140" s="40"/>
      <c r="G140" s="40"/>
      <c r="H140" s="40"/>
    </row>
    <row r="141" spans="1:9" ht="12.75" customHeight="1" x14ac:dyDescent="0.2">
      <c r="A141" s="40"/>
      <c r="B141" s="40"/>
      <c r="C141" s="40"/>
      <c r="D141" s="40"/>
      <c r="E141" s="40"/>
      <c r="F141" s="40"/>
      <c r="G141" s="40"/>
      <c r="H141" s="40"/>
    </row>
    <row r="142" spans="1:9" ht="12.75" customHeight="1" x14ac:dyDescent="0.2">
      <c r="A142" s="40"/>
      <c r="B142" s="40"/>
      <c r="C142" s="40"/>
      <c r="D142" s="40"/>
      <c r="E142" s="40"/>
      <c r="F142" s="40"/>
      <c r="G142" s="40"/>
      <c r="H142" s="40"/>
    </row>
    <row r="143" spans="1:9" x14ac:dyDescent="0.2">
      <c r="A143" s="4"/>
      <c r="B143" s="4"/>
      <c r="C143" s="4"/>
      <c r="D143" s="4"/>
      <c r="E143" s="4"/>
      <c r="F143" s="4"/>
      <c r="G143" s="4"/>
      <c r="H143" s="4"/>
    </row>
    <row r="144" spans="1:9" s="8" customFormat="1" x14ac:dyDescent="0.2">
      <c r="A144" s="1" t="s">
        <v>19</v>
      </c>
      <c r="B144" s="1"/>
      <c r="C144" s="1"/>
      <c r="D144" s="1"/>
      <c r="E144" s="1"/>
      <c r="F144" s="1"/>
      <c r="G144" s="1"/>
      <c r="H144" s="1"/>
    </row>
    <row r="146" spans="1:5" x14ac:dyDescent="0.2">
      <c r="A146" s="3" t="s">
        <v>61</v>
      </c>
      <c r="C146" s="3">
        <v>1</v>
      </c>
      <c r="E146" s="3" t="s">
        <v>0</v>
      </c>
    </row>
    <row r="147" spans="1:5" x14ac:dyDescent="0.2">
      <c r="A147" s="3" t="s">
        <v>55</v>
      </c>
      <c r="C147" s="3">
        <v>2</v>
      </c>
      <c r="E147" s="3" t="s">
        <v>1</v>
      </c>
    </row>
    <row r="148" spans="1:5" x14ac:dyDescent="0.2">
      <c r="A148" s="3" t="s">
        <v>28</v>
      </c>
      <c r="C148" s="3">
        <v>3</v>
      </c>
      <c r="E148" s="3" t="s">
        <v>2</v>
      </c>
    </row>
    <row r="149" spans="1:5" x14ac:dyDescent="0.2">
      <c r="C149" s="3">
        <v>4</v>
      </c>
      <c r="E149" s="3" t="s">
        <v>3</v>
      </c>
    </row>
    <row r="150" spans="1:5" x14ac:dyDescent="0.2">
      <c r="A150" s="3" t="s">
        <v>15</v>
      </c>
      <c r="C150" s="3">
        <v>5</v>
      </c>
      <c r="E150" s="3" t="s">
        <v>4</v>
      </c>
    </row>
    <row r="151" spans="1:5" x14ac:dyDescent="0.2">
      <c r="A151" s="3" t="s">
        <v>16</v>
      </c>
      <c r="C151" s="3">
        <v>6</v>
      </c>
      <c r="E151" s="3" t="s">
        <v>5</v>
      </c>
    </row>
    <row r="152" spans="1:5" x14ac:dyDescent="0.2">
      <c r="C152" s="3">
        <v>7</v>
      </c>
      <c r="E152" s="3" t="s">
        <v>6</v>
      </c>
    </row>
    <row r="153" spans="1:5" x14ac:dyDescent="0.2">
      <c r="C153" s="3">
        <v>8</v>
      </c>
      <c r="E153" s="3" t="s">
        <v>20</v>
      </c>
    </row>
    <row r="154" spans="1:5" x14ac:dyDescent="0.2">
      <c r="C154" s="3">
        <v>9</v>
      </c>
      <c r="E154" s="3" t="s">
        <v>7</v>
      </c>
    </row>
    <row r="156" spans="1:5" x14ac:dyDescent="0.2">
      <c r="A156" s="44" t="s">
        <v>17</v>
      </c>
      <c r="B156" s="9" t="s">
        <v>23</v>
      </c>
      <c r="C156" s="9" t="s">
        <v>24</v>
      </c>
    </row>
    <row r="157" spans="1:5" x14ac:dyDescent="0.2">
      <c r="A157" s="44"/>
      <c r="B157" s="9" t="s">
        <v>22</v>
      </c>
      <c r="C157" s="9" t="s">
        <v>22</v>
      </c>
    </row>
    <row r="158" spans="1:5" x14ac:dyDescent="0.2">
      <c r="A158" s="9">
        <v>1</v>
      </c>
      <c r="B158" s="9" t="str">
        <f>IF($D$11&lt;A158,"",IF($D$11=A158,"Triangle","Circle"))</f>
        <v>Circle</v>
      </c>
      <c r="C158" s="9" t="str">
        <f t="shared" ref="C158:C166" si="0">IF($D$11&lt;A158,"","Triangle")</f>
        <v>Triangle</v>
      </c>
      <c r="D158" s="9"/>
      <c r="E158" s="9"/>
    </row>
    <row r="159" spans="1:5" x14ac:dyDescent="0.2">
      <c r="A159" s="9">
        <v>2</v>
      </c>
      <c r="B159" s="9" t="str">
        <f t="shared" ref="B159:B166" si="1">IF($D$11&lt;A159,"",IF($D$11=A159,"Triangle","Circle"))</f>
        <v>Circle</v>
      </c>
      <c r="C159" s="9" t="str">
        <f t="shared" si="0"/>
        <v>Triangle</v>
      </c>
      <c r="D159" s="9"/>
      <c r="E159" s="9"/>
    </row>
    <row r="160" spans="1:5" x14ac:dyDescent="0.2">
      <c r="A160" s="9">
        <v>3</v>
      </c>
      <c r="B160" s="9" t="str">
        <f t="shared" si="1"/>
        <v>Circle</v>
      </c>
      <c r="C160" s="9" t="str">
        <f t="shared" si="0"/>
        <v>Triangle</v>
      </c>
      <c r="D160" s="9"/>
      <c r="E160" s="9"/>
    </row>
    <row r="161" spans="1:5" x14ac:dyDescent="0.2">
      <c r="A161" s="9">
        <v>4</v>
      </c>
      <c r="B161" s="9" t="str">
        <f t="shared" si="1"/>
        <v>Circle</v>
      </c>
      <c r="C161" s="9" t="str">
        <f t="shared" si="0"/>
        <v>Triangle</v>
      </c>
      <c r="D161" s="9"/>
      <c r="E161" s="9"/>
    </row>
    <row r="162" spans="1:5" x14ac:dyDescent="0.2">
      <c r="A162" s="9">
        <v>5</v>
      </c>
      <c r="B162" s="9" t="str">
        <f t="shared" si="1"/>
        <v>Circle</v>
      </c>
      <c r="C162" s="9" t="str">
        <f t="shared" si="0"/>
        <v>Triangle</v>
      </c>
      <c r="D162" s="9"/>
      <c r="E162" s="9"/>
    </row>
    <row r="163" spans="1:5" x14ac:dyDescent="0.2">
      <c r="A163" s="9">
        <v>6</v>
      </c>
      <c r="B163" s="9" t="str">
        <f t="shared" si="1"/>
        <v>Triangle</v>
      </c>
      <c r="C163" s="9" t="str">
        <f t="shared" si="0"/>
        <v>Triangle</v>
      </c>
      <c r="D163" s="9"/>
      <c r="E163" s="9"/>
    </row>
    <row r="164" spans="1:5" x14ac:dyDescent="0.2">
      <c r="A164" s="9">
        <v>7</v>
      </c>
      <c r="B164" s="9" t="str">
        <f t="shared" si="1"/>
        <v/>
      </c>
      <c r="C164" s="9" t="str">
        <f t="shared" si="0"/>
        <v/>
      </c>
      <c r="D164" s="9"/>
      <c r="E164" s="9"/>
    </row>
    <row r="165" spans="1:5" x14ac:dyDescent="0.2">
      <c r="A165" s="9">
        <v>8</v>
      </c>
      <c r="B165" s="9" t="str">
        <f t="shared" si="1"/>
        <v/>
      </c>
      <c r="C165" s="9" t="str">
        <f t="shared" si="0"/>
        <v/>
      </c>
      <c r="D165" s="9"/>
      <c r="E165" s="9"/>
    </row>
    <row r="166" spans="1:5" x14ac:dyDescent="0.2">
      <c r="A166" s="9">
        <v>9</v>
      </c>
      <c r="B166" s="9" t="str">
        <f t="shared" si="1"/>
        <v/>
      </c>
      <c r="C166" s="9" t="str">
        <f t="shared" si="0"/>
        <v/>
      </c>
      <c r="D166" s="9"/>
      <c r="E166" s="9"/>
    </row>
    <row r="168" spans="1:5" x14ac:dyDescent="0.2">
      <c r="A168" s="9"/>
      <c r="B168" s="9" t="s">
        <v>48</v>
      </c>
      <c r="C168" s="9" t="s">
        <v>36</v>
      </c>
    </row>
    <row r="169" spans="1:5" x14ac:dyDescent="0.2">
      <c r="A169" s="9" t="s">
        <v>49</v>
      </c>
      <c r="B169" s="9">
        <v>75</v>
      </c>
      <c r="C169" s="9">
        <v>375</v>
      </c>
    </row>
  </sheetData>
  <mergeCells count="33">
    <mergeCell ref="A55:H58"/>
    <mergeCell ref="A66:H66"/>
    <mergeCell ref="A69:H72"/>
    <mergeCell ref="A80:H80"/>
    <mergeCell ref="A83:H86"/>
    <mergeCell ref="A63:H63"/>
    <mergeCell ref="A77:H77"/>
    <mergeCell ref="A91:H91"/>
    <mergeCell ref="A105:H105"/>
    <mergeCell ref="A156:A157"/>
    <mergeCell ref="A122:H122"/>
    <mergeCell ref="A125:H128"/>
    <mergeCell ref="A136:H136"/>
    <mergeCell ref="A139:H142"/>
    <mergeCell ref="A119:H119"/>
    <mergeCell ref="A133:H133"/>
    <mergeCell ref="A94:H94"/>
    <mergeCell ref="A97:H100"/>
    <mergeCell ref="A108:H108"/>
    <mergeCell ref="A111:H114"/>
    <mergeCell ref="A52:H52"/>
    <mergeCell ref="B1:D1"/>
    <mergeCell ref="B2:D2"/>
    <mergeCell ref="C3:H3"/>
    <mergeCell ref="A41:H44"/>
    <mergeCell ref="D9:E9"/>
    <mergeCell ref="A27:H30"/>
    <mergeCell ref="A24:H24"/>
    <mergeCell ref="A38:H38"/>
    <mergeCell ref="A21:H21"/>
    <mergeCell ref="A35:H35"/>
    <mergeCell ref="A49:H49"/>
    <mergeCell ref="G9:H9"/>
  </mergeCells>
  <conditionalFormatting sqref="F9:H9">
    <cfRule type="expression" dxfId="37" priority="67">
      <formula>$D$9="Seismic Hazard"</formula>
    </cfRule>
    <cfRule type="expression" dxfId="36" priority="68">
      <formula>$D$9="Hydrologic Hazard"</formula>
    </cfRule>
  </conditionalFormatting>
  <conditionalFormatting sqref="A32:H45">
    <cfRule type="expression" dxfId="35" priority="16" stopIfTrue="1">
      <formula>$D$11&lt;2</formula>
    </cfRule>
  </conditionalFormatting>
  <conditionalFormatting sqref="A110:H114 A138:H142 A40:H44 A54:H58 A68:H72 A82:H86 A96:H100 A124:H128 A26:H30">
    <cfRule type="expression" dxfId="34" priority="2" stopIfTrue="1">
      <formula>$D$14="No"</formula>
    </cfRule>
  </conditionalFormatting>
  <conditionalFormatting sqref="A46:H59">
    <cfRule type="expression" dxfId="33" priority="14" stopIfTrue="1">
      <formula>$D$11&lt;3</formula>
    </cfRule>
  </conditionalFormatting>
  <conditionalFormatting sqref="A60:H73">
    <cfRule type="expression" dxfId="32" priority="12" stopIfTrue="1">
      <formula>$D$11&lt;4</formula>
    </cfRule>
  </conditionalFormatting>
  <conditionalFormatting sqref="A74:H87">
    <cfRule type="expression" dxfId="31" priority="9" stopIfTrue="1">
      <formula>$D$11&lt;5</formula>
    </cfRule>
  </conditionalFormatting>
  <conditionalFormatting sqref="A88:H101">
    <cfRule type="expression" dxfId="30" priority="7" stopIfTrue="1">
      <formula>$D$11&lt;6</formula>
    </cfRule>
  </conditionalFormatting>
  <conditionalFormatting sqref="A102:H115">
    <cfRule type="expression" dxfId="29" priority="8" stopIfTrue="1">
      <formula>$D$11&lt;7</formula>
    </cfRule>
  </conditionalFormatting>
  <conditionalFormatting sqref="A116:H129">
    <cfRule type="expression" dxfId="28" priority="3" stopIfTrue="1">
      <formula>$D$11&lt;8</formula>
    </cfRule>
  </conditionalFormatting>
  <conditionalFormatting sqref="A130:H143">
    <cfRule type="expression" dxfId="27" priority="1" stopIfTrue="1">
      <formula>$D$11&lt;9</formula>
    </cfRule>
  </conditionalFormatting>
  <conditionalFormatting sqref="A20:H21 A34:H35 A48:H49 A62:H63 A76:H77 A90:H91 A104:H105 A118:H119 A132:H133">
    <cfRule type="expression" dxfId="26" priority="22">
      <formula>$D$13="No"</formula>
    </cfRule>
  </conditionalFormatting>
  <conditionalFormatting sqref="A27:H30">
    <cfRule type="expression" dxfId="25" priority="18" stopIfTrue="1">
      <formula>$D$11&lt;2</formula>
    </cfRule>
  </conditionalFormatting>
  <dataValidations count="3">
    <dataValidation type="list" allowBlank="1" showInputMessage="1" showErrorMessage="1" sqref="D11" xr:uid="{11CBF4A3-4ADB-48CF-A016-167A8F057629}">
      <formula1>$C$146:$C$154</formula1>
    </dataValidation>
    <dataValidation type="list" allowBlank="1" showInputMessage="1" showErrorMessage="1" sqref="D9:E9" xr:uid="{A1B3158B-AC72-43C1-B417-765C9D431084}">
      <formula1>$A$146:$A$148</formula1>
    </dataValidation>
    <dataValidation type="list" allowBlank="1" showInputMessage="1" showErrorMessage="1" sqref="D13:D14" xr:uid="{D0D72A24-EC89-4478-A7AC-24228165B458}">
      <formula1>$A$150:$A$151</formula1>
    </dataValidation>
  </dataValidations>
  <pageMargins left="0.7" right="0.7" top="0.75" bottom="0.75" header="0.3" footer="0.3"/>
  <pageSetup orientation="portrait" r:id="rId1"/>
  <headerFooter>
    <oddFooter>&amp;LRMC Event Tree Toolbox
&amp;A&amp;RVersion 3.0
Page &amp;P of &amp;N</oddFooter>
  </headerFooter>
  <rowBreaks count="2" manualBreakCount="2">
    <brk id="59" max="7" man="1"/>
    <brk id="115" max="7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showGridLines="0" zoomScaleNormal="100" workbookViewId="0">
      <selection sqref="A1:D1"/>
    </sheetView>
  </sheetViews>
  <sheetFormatPr defaultColWidth="11.28515625" defaultRowHeight="15" customHeight="1" x14ac:dyDescent="0.2"/>
  <cols>
    <col min="1" max="79" width="3" style="3" customWidth="1"/>
    <col min="80" max="16384" width="11.28515625" style="3"/>
  </cols>
  <sheetData>
    <row r="1" spans="1:80" ht="15" customHeight="1" x14ac:dyDescent="0.2">
      <c r="A1" s="49" t="s">
        <v>8</v>
      </c>
      <c r="B1" s="49"/>
      <c r="C1" s="49"/>
      <c r="D1" s="49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51" t="s">
        <v>9</v>
      </c>
      <c r="AG1" s="51"/>
      <c r="AH1" s="51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51" t="s">
        <v>10</v>
      </c>
      <c r="BE1" s="51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</row>
    <row r="2" spans="1:80" ht="15" customHeight="1" x14ac:dyDescent="0.2">
      <c r="A2" s="49" t="s">
        <v>11</v>
      </c>
      <c r="B2" s="49"/>
      <c r="C2" s="49"/>
      <c r="D2" s="49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  <c r="AB2" s="52"/>
      <c r="AC2" s="52"/>
      <c r="AD2" s="52"/>
      <c r="AE2" s="52"/>
      <c r="AF2" s="51" t="s">
        <v>9</v>
      </c>
      <c r="AG2" s="51"/>
      <c r="AH2" s="51"/>
      <c r="AI2" s="52"/>
      <c r="AJ2" s="52"/>
      <c r="AK2" s="52"/>
      <c r="AL2" s="52"/>
      <c r="AM2" s="52"/>
      <c r="AN2" s="52"/>
      <c r="AO2" s="52"/>
      <c r="AP2" s="52"/>
      <c r="AQ2" s="52"/>
      <c r="AR2" s="52"/>
      <c r="AS2" s="52"/>
      <c r="AT2" s="52"/>
      <c r="AU2" s="52"/>
      <c r="AV2" s="52"/>
      <c r="AW2" s="52"/>
      <c r="AX2" s="52"/>
      <c r="AY2" s="52"/>
      <c r="AZ2" s="52"/>
      <c r="BA2" s="52"/>
      <c r="BB2" s="52"/>
      <c r="BC2" s="52"/>
      <c r="BD2" s="51" t="s">
        <v>10</v>
      </c>
      <c r="BE2" s="51"/>
      <c r="BF2" s="52"/>
      <c r="BG2" s="52"/>
      <c r="BH2" s="52"/>
      <c r="BI2" s="52"/>
      <c r="BJ2" s="52"/>
      <c r="BK2" s="52"/>
      <c r="BL2" s="52"/>
      <c r="BM2" s="52"/>
      <c r="BN2" s="52"/>
      <c r="BO2" s="52"/>
      <c r="BP2" s="52"/>
      <c r="BQ2" s="52"/>
      <c r="BR2" s="52"/>
      <c r="BS2" s="52"/>
      <c r="BT2" s="52"/>
      <c r="BU2" s="52"/>
      <c r="BV2" s="52"/>
      <c r="BW2" s="52"/>
      <c r="BX2" s="52"/>
      <c r="BY2" s="52"/>
      <c r="BZ2" s="52"/>
      <c r="CA2" s="52"/>
    </row>
    <row r="3" spans="1:80" ht="15" customHeight="1" x14ac:dyDescent="0.2">
      <c r="A3" s="50" t="s">
        <v>12</v>
      </c>
      <c r="B3" s="50"/>
      <c r="C3" s="50"/>
      <c r="D3" s="50"/>
      <c r="E3" s="50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</row>
    <row r="4" spans="1:80" ht="15" customHeight="1" x14ac:dyDescent="0.2">
      <c r="A4" s="4"/>
      <c r="B4" s="4"/>
      <c r="C4" s="4"/>
      <c r="D4" s="4"/>
      <c r="E4" s="4"/>
      <c r="F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</row>
    <row r="5" spans="1:80" ht="15" customHeight="1" x14ac:dyDescent="0.2">
      <c r="A5" s="46" t="s">
        <v>25</v>
      </c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46"/>
      <c r="BF5" s="46"/>
      <c r="BG5" s="46"/>
      <c r="BH5" s="46"/>
      <c r="BI5" s="46"/>
      <c r="BJ5" s="46"/>
      <c r="BK5" s="46"/>
      <c r="BL5" s="46"/>
      <c r="BM5" s="46"/>
      <c r="BN5" s="46"/>
      <c r="BO5" s="46"/>
      <c r="BP5" s="46"/>
      <c r="BQ5" s="46"/>
      <c r="BR5" s="46"/>
      <c r="BS5" s="46"/>
      <c r="BT5" s="46"/>
      <c r="BU5" s="46"/>
      <c r="BV5" s="46"/>
      <c r="BW5" s="46"/>
      <c r="BX5" s="46"/>
      <c r="BY5" s="46"/>
      <c r="BZ5" s="46"/>
      <c r="CA5" s="46"/>
    </row>
    <row r="6" spans="1:80" ht="15" customHeight="1" x14ac:dyDescent="0.2"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</row>
    <row r="7" spans="1:80" ht="15" customHeight="1" x14ac:dyDescent="0.2"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8"/>
      <c r="AK7" s="8"/>
      <c r="AL7" s="8"/>
      <c r="AM7" s="8"/>
      <c r="AN7" s="8"/>
      <c r="AO7" s="8"/>
      <c r="AP7" s="8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9"/>
      <c r="BQ7" s="29"/>
      <c r="BR7" s="29"/>
      <c r="BS7" s="29"/>
      <c r="BT7" s="29"/>
      <c r="BU7" s="29"/>
      <c r="BV7" s="29"/>
      <c r="BW7" s="29"/>
      <c r="BX7" s="29"/>
      <c r="BY7" s="29"/>
      <c r="BZ7" s="29"/>
      <c r="CA7" s="28"/>
      <c r="CB7" s="8" t="s">
        <v>47</v>
      </c>
    </row>
    <row r="8" spans="1:80" ht="15" customHeight="1" x14ac:dyDescent="0.2"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8"/>
      <c r="AK8" s="8"/>
      <c r="AL8" s="8"/>
      <c r="AM8" s="8"/>
      <c r="AN8" s="8"/>
      <c r="AO8" s="8"/>
      <c r="AP8" s="8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8"/>
    </row>
    <row r="9" spans="1:80" ht="15" customHeight="1" x14ac:dyDescent="0.2"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8"/>
      <c r="AK9" s="8"/>
      <c r="AL9" s="8"/>
      <c r="AM9" s="8"/>
      <c r="AN9" s="8"/>
      <c r="AO9" s="8"/>
      <c r="AP9" s="8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9"/>
      <c r="BQ9" s="29"/>
      <c r="BR9" s="29"/>
      <c r="BS9" s="29"/>
      <c r="BT9" s="30"/>
      <c r="BU9" s="30"/>
      <c r="BV9" s="30"/>
      <c r="BW9" s="30"/>
      <c r="BX9" s="30"/>
      <c r="BY9" s="30"/>
      <c r="BZ9" s="30"/>
      <c r="CA9" s="28"/>
      <c r="CB9" s="8" t="s">
        <v>54</v>
      </c>
    </row>
    <row r="10" spans="1:80" ht="15" customHeight="1" x14ac:dyDescent="0.2"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8"/>
      <c r="AK10" s="8"/>
      <c r="AL10" s="8"/>
      <c r="AM10" s="8"/>
      <c r="AN10" s="8"/>
      <c r="AO10" s="8"/>
      <c r="AP10" s="8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9"/>
      <c r="BQ10" s="29"/>
      <c r="BR10" s="29"/>
      <c r="BS10" s="29"/>
      <c r="BT10" s="30"/>
      <c r="BU10" s="30"/>
      <c r="BV10" s="30"/>
      <c r="BW10" s="30"/>
      <c r="BX10" s="30"/>
      <c r="BY10" s="30"/>
      <c r="BZ10" s="30"/>
      <c r="CA10" s="28"/>
    </row>
    <row r="11" spans="1:80" ht="15" customHeight="1" x14ac:dyDescent="0.2">
      <c r="J11" s="14"/>
      <c r="K11" s="14"/>
      <c r="L11" s="14"/>
      <c r="M11" s="14"/>
      <c r="N11" s="14"/>
      <c r="O11" s="14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8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  <c r="BY11" s="29"/>
      <c r="BZ11" s="28"/>
      <c r="CA11" s="28"/>
      <c r="CB11" s="8" t="s">
        <v>53</v>
      </c>
    </row>
    <row r="12" spans="1:80" ht="15" customHeight="1" x14ac:dyDescent="0.2">
      <c r="J12" s="14"/>
      <c r="K12" s="14"/>
      <c r="L12" s="14"/>
      <c r="M12" s="14"/>
      <c r="N12" s="14"/>
      <c r="O12" s="14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G12" s="29"/>
      <c r="BH12" s="29"/>
      <c r="BI12" s="29"/>
      <c r="BJ12" s="29"/>
      <c r="BK12" s="29"/>
      <c r="BL12" s="29"/>
      <c r="BM12" s="30"/>
      <c r="BN12" s="30"/>
      <c r="BO12" s="30"/>
      <c r="BP12" s="30"/>
      <c r="BQ12" s="30"/>
      <c r="BR12" s="30"/>
      <c r="BS12" s="30"/>
    </row>
    <row r="13" spans="1:80" ht="15" customHeight="1" x14ac:dyDescent="0.2">
      <c r="J13" s="14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32"/>
      <c r="BG13" s="29"/>
      <c r="BH13" s="29"/>
      <c r="BI13" s="29"/>
      <c r="BJ13" s="29"/>
      <c r="BK13" s="29"/>
      <c r="BL13" s="29"/>
      <c r="BM13" s="30"/>
      <c r="BN13" s="30"/>
      <c r="BO13" s="30"/>
      <c r="BP13" s="30"/>
      <c r="BQ13" s="30"/>
      <c r="BR13" s="30"/>
      <c r="BS13" s="30"/>
      <c r="BT13" s="32"/>
      <c r="BU13" s="33"/>
      <c r="BV13" s="33"/>
      <c r="BW13" s="33"/>
      <c r="BX13" s="33"/>
      <c r="BY13" s="33"/>
      <c r="BZ13" s="33"/>
    </row>
    <row r="14" spans="1:80" ht="15" customHeight="1" x14ac:dyDescent="0.2">
      <c r="J14" s="14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  <c r="BA14" s="31"/>
      <c r="BB14" s="31"/>
      <c r="BC14" s="31"/>
      <c r="BF14" s="34"/>
      <c r="BG14" s="29"/>
      <c r="BH14" s="29"/>
      <c r="BI14" s="29"/>
      <c r="BJ14" s="29"/>
      <c r="BK14" s="29"/>
      <c r="BL14" s="29"/>
      <c r="BM14" s="29"/>
      <c r="BN14" s="29"/>
      <c r="BO14" s="29"/>
      <c r="BP14" s="29"/>
      <c r="BQ14" s="29"/>
      <c r="BR14" s="29"/>
      <c r="BT14" s="34"/>
      <c r="BU14" s="25"/>
      <c r="BV14" s="25"/>
      <c r="BW14" s="25"/>
      <c r="BX14" s="25"/>
      <c r="BY14" s="25"/>
      <c r="BZ14" s="25"/>
    </row>
    <row r="15" spans="1:80" ht="15" customHeight="1" x14ac:dyDescent="0.2">
      <c r="J15" s="14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25"/>
      <c r="AS15" s="25"/>
      <c r="AT15" s="25"/>
      <c r="AU15" s="25"/>
      <c r="AV15" s="25"/>
      <c r="AW15" s="25"/>
      <c r="AX15" s="25"/>
      <c r="BF15" s="34"/>
      <c r="BG15" s="30"/>
      <c r="BH15" s="30"/>
      <c r="BI15" s="30"/>
      <c r="BJ15" s="30"/>
      <c r="BK15" s="30"/>
      <c r="BL15" s="30"/>
      <c r="BT15" s="34"/>
      <c r="BU15" s="25"/>
      <c r="BV15" s="25"/>
      <c r="BW15" s="25"/>
      <c r="BX15" s="25"/>
      <c r="BY15" s="25"/>
      <c r="BZ15" s="25"/>
    </row>
    <row r="16" spans="1:80" ht="15" customHeight="1" x14ac:dyDescent="0.2"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25"/>
      <c r="AS16" s="25"/>
      <c r="AT16" s="25"/>
      <c r="AU16" s="25"/>
      <c r="AV16" s="25"/>
      <c r="AW16" s="25"/>
      <c r="AX16" s="25"/>
      <c r="AY16" s="32"/>
      <c r="AZ16" s="33"/>
      <c r="BA16" s="33"/>
      <c r="BB16" s="33"/>
      <c r="BC16" s="33"/>
      <c r="BD16" s="33"/>
      <c r="BE16" s="33"/>
      <c r="BF16" s="34"/>
      <c r="BG16" s="30"/>
      <c r="BH16" s="30"/>
      <c r="BI16" s="30"/>
      <c r="BJ16" s="30"/>
      <c r="BK16" s="30"/>
      <c r="BL16" s="30"/>
      <c r="BM16" s="32"/>
      <c r="BN16" s="33"/>
      <c r="BO16" s="33"/>
      <c r="BP16" s="33"/>
      <c r="BQ16" s="33"/>
      <c r="BR16" s="33"/>
      <c r="BS16" s="33"/>
      <c r="BT16" s="34"/>
      <c r="BU16" s="25"/>
      <c r="BV16" s="25"/>
      <c r="BW16" s="25"/>
      <c r="BX16" s="25"/>
      <c r="BY16" s="25"/>
      <c r="BZ16" s="25"/>
    </row>
    <row r="17" spans="2:79" ht="15" customHeight="1" x14ac:dyDescent="0.2"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Y17" s="34"/>
      <c r="AZ17" s="25"/>
      <c r="BA17" s="25"/>
      <c r="BB17" s="25"/>
      <c r="BC17" s="25"/>
      <c r="BD17" s="25"/>
      <c r="BE17" s="25"/>
      <c r="BF17" s="34"/>
      <c r="BG17" s="29"/>
      <c r="BH17" s="29"/>
      <c r="BI17" s="29"/>
      <c r="BJ17" s="29"/>
      <c r="BK17" s="29"/>
      <c r="BM17" s="34"/>
      <c r="BN17" s="25"/>
      <c r="BO17" s="25"/>
      <c r="BP17" s="25"/>
      <c r="BQ17" s="25"/>
      <c r="BR17" s="25"/>
      <c r="BS17" s="25"/>
      <c r="BT17" s="34"/>
      <c r="BU17" s="25"/>
      <c r="BV17" s="25"/>
      <c r="BW17" s="25"/>
      <c r="BX17" s="25"/>
      <c r="BY17" s="25"/>
      <c r="BZ17" s="25"/>
    </row>
    <row r="18" spans="2:79" ht="15" customHeight="1" x14ac:dyDescent="0.2"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25"/>
      <c r="AL18" s="25"/>
      <c r="AM18" s="25"/>
      <c r="AN18" s="25"/>
      <c r="AO18" s="25"/>
      <c r="AP18" s="25"/>
      <c r="AQ18" s="25"/>
      <c r="AY18" s="34"/>
      <c r="AZ18" s="25"/>
      <c r="BA18" s="25"/>
      <c r="BB18" s="25"/>
      <c r="BC18" s="25"/>
      <c r="BD18" s="25"/>
      <c r="BE18" s="25"/>
      <c r="BF18" s="35"/>
      <c r="BM18" s="34"/>
      <c r="BN18" s="25"/>
      <c r="BO18" s="25"/>
      <c r="BP18" s="25"/>
      <c r="BQ18" s="25"/>
      <c r="BR18" s="25"/>
      <c r="BS18" s="25"/>
      <c r="BT18" s="35"/>
      <c r="BU18" s="36"/>
      <c r="BV18" s="36"/>
      <c r="BW18" s="36"/>
      <c r="BX18" s="36"/>
      <c r="BY18" s="36"/>
      <c r="BZ18" s="36"/>
    </row>
    <row r="19" spans="2:79" ht="15" customHeight="1" x14ac:dyDescent="0.2"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K19" s="25"/>
      <c r="AL19" s="25"/>
      <c r="AM19" s="25"/>
      <c r="AN19" s="25"/>
      <c r="AO19" s="25"/>
      <c r="AP19" s="25"/>
      <c r="AQ19" s="25"/>
      <c r="AR19" s="32"/>
      <c r="AS19" s="33"/>
      <c r="AT19" s="33"/>
      <c r="AU19" s="33"/>
      <c r="AV19" s="33"/>
      <c r="AW19" s="33"/>
      <c r="AX19" s="33"/>
      <c r="AY19" s="34"/>
      <c r="AZ19" s="25"/>
      <c r="BA19" s="25"/>
      <c r="BB19" s="25"/>
      <c r="BC19" s="25"/>
      <c r="BD19" s="25"/>
      <c r="BE19" s="25"/>
      <c r="BG19" s="33"/>
      <c r="BH19" s="33"/>
      <c r="BI19" s="33"/>
      <c r="BJ19" s="33"/>
      <c r="BK19" s="33"/>
      <c r="BL19" s="33"/>
      <c r="BM19" s="34"/>
      <c r="BN19" s="25"/>
      <c r="BO19" s="25"/>
      <c r="BP19" s="25"/>
      <c r="BQ19" s="25"/>
      <c r="BR19" s="25"/>
      <c r="BS19" s="25"/>
    </row>
    <row r="20" spans="2:79" ht="15" customHeight="1" x14ac:dyDescent="0.2"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R20" s="34"/>
      <c r="AS20" s="25"/>
      <c r="AT20" s="25"/>
      <c r="AU20" s="25"/>
      <c r="AV20" s="25"/>
      <c r="AW20" s="25"/>
      <c r="AX20" s="25"/>
      <c r="AY20" s="34"/>
      <c r="AZ20" s="25"/>
      <c r="BA20" s="25"/>
      <c r="BB20" s="25"/>
      <c r="BC20" s="25"/>
      <c r="BD20" s="25"/>
      <c r="BE20" s="25"/>
      <c r="BG20" s="25"/>
      <c r="BH20" s="25"/>
      <c r="BI20" s="25"/>
      <c r="BJ20" s="25"/>
      <c r="BK20" s="25"/>
      <c r="BL20" s="25"/>
      <c r="BM20" s="34"/>
      <c r="BN20" s="25"/>
      <c r="BO20" s="25"/>
      <c r="BP20" s="25"/>
      <c r="BQ20" s="25"/>
      <c r="BR20" s="25"/>
      <c r="BS20" s="25"/>
    </row>
    <row r="21" spans="2:79" ht="15" customHeight="1" x14ac:dyDescent="0.2"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25"/>
      <c r="AE21" s="25"/>
      <c r="AF21" s="25"/>
      <c r="AG21" s="25"/>
      <c r="AH21" s="25"/>
      <c r="AI21" s="25"/>
      <c r="AJ21" s="25"/>
      <c r="AK21" s="37"/>
      <c r="AL21" s="37"/>
      <c r="AM21" s="37"/>
      <c r="AN21" s="37"/>
      <c r="AO21" s="37"/>
      <c r="AP21" s="37"/>
      <c r="AQ21" s="37"/>
      <c r="AR21" s="34"/>
      <c r="AS21" s="25"/>
      <c r="AT21" s="25"/>
      <c r="AU21" s="25"/>
      <c r="AV21" s="25"/>
      <c r="AW21" s="25"/>
      <c r="AX21" s="25"/>
      <c r="AY21" s="35"/>
      <c r="AZ21" s="36"/>
      <c r="BA21" s="36"/>
      <c r="BB21" s="36"/>
      <c r="BC21" s="36"/>
      <c r="BD21" s="36"/>
      <c r="BE21" s="36"/>
      <c r="BG21" s="25"/>
      <c r="BH21" s="25"/>
      <c r="BI21" s="25"/>
      <c r="BJ21" s="25"/>
      <c r="BK21" s="25"/>
      <c r="BL21" s="25"/>
      <c r="BM21" s="35"/>
      <c r="BN21" s="36"/>
      <c r="BO21" s="36"/>
      <c r="BP21" s="36"/>
      <c r="BQ21" s="36"/>
      <c r="BR21" s="36"/>
      <c r="BS21" s="36"/>
    </row>
    <row r="22" spans="2:79" ht="15" customHeight="1" x14ac:dyDescent="0.2"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25"/>
      <c r="AE22" s="25"/>
      <c r="AF22" s="25"/>
      <c r="AG22" s="25"/>
      <c r="AH22" s="25"/>
      <c r="AI22" s="25"/>
      <c r="AJ22" s="25"/>
      <c r="AK22" s="32"/>
      <c r="AL22" s="33"/>
      <c r="AM22" s="33"/>
      <c r="AN22" s="33"/>
      <c r="AO22" s="33"/>
      <c r="AP22" s="33"/>
      <c r="AQ22" s="33"/>
      <c r="AR22" s="34"/>
      <c r="AS22" s="25"/>
      <c r="AT22" s="25"/>
      <c r="AU22" s="25"/>
      <c r="AV22" s="25"/>
      <c r="AW22" s="25"/>
      <c r="AX22" s="25"/>
      <c r="BG22" s="25"/>
      <c r="BH22" s="25"/>
      <c r="BI22" s="25"/>
      <c r="BJ22" s="25"/>
      <c r="BK22" s="25"/>
      <c r="BL22" s="25"/>
    </row>
    <row r="23" spans="2:79" ht="15" customHeight="1" x14ac:dyDescent="0.2"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K23" s="34"/>
      <c r="AL23" s="25"/>
      <c r="AM23" s="25"/>
      <c r="AN23" s="25"/>
      <c r="AO23" s="25"/>
      <c r="AP23" s="25"/>
      <c r="AQ23" s="25"/>
      <c r="AR23" s="34"/>
      <c r="AS23" s="25"/>
      <c r="AT23" s="25"/>
      <c r="AU23" s="25"/>
      <c r="AV23" s="25"/>
      <c r="AW23" s="25"/>
      <c r="AX23" s="25"/>
      <c r="BG23" s="25"/>
      <c r="BH23" s="25"/>
      <c r="BI23" s="25"/>
      <c r="BJ23" s="25"/>
      <c r="BK23" s="25"/>
      <c r="BL23" s="25"/>
    </row>
    <row r="24" spans="2:79" ht="15" customHeight="1" x14ac:dyDescent="0.2"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25"/>
      <c r="X24" s="25"/>
      <c r="Y24" s="25"/>
      <c r="Z24" s="25"/>
      <c r="AA24" s="25"/>
      <c r="AB24" s="25"/>
      <c r="AC24" s="25"/>
      <c r="AK24" s="34"/>
      <c r="AL24" s="25"/>
      <c r="AM24" s="25"/>
      <c r="AN24" s="25"/>
      <c r="AO24" s="25"/>
      <c r="AP24" s="25"/>
      <c r="AQ24" s="25"/>
      <c r="AR24" s="35"/>
      <c r="AS24" s="36"/>
      <c r="AT24" s="36"/>
      <c r="AU24" s="36"/>
      <c r="AV24" s="36"/>
      <c r="AW24" s="36"/>
      <c r="AX24" s="36"/>
      <c r="BD24" s="14"/>
      <c r="BE24" s="14"/>
      <c r="BF24" s="14"/>
      <c r="BG24" s="36"/>
      <c r="BH24" s="36"/>
      <c r="BI24" s="36"/>
      <c r="BJ24" s="36"/>
      <c r="BK24" s="36"/>
      <c r="BL24" s="36"/>
      <c r="BR24" s="14"/>
      <c r="BS24" s="14"/>
      <c r="BT24" s="14"/>
      <c r="BU24" s="14"/>
      <c r="BV24" s="14"/>
      <c r="BW24" s="14"/>
      <c r="BX24" s="14"/>
      <c r="BY24" s="14"/>
      <c r="BZ24" s="14"/>
    </row>
    <row r="25" spans="2:79" ht="15" customHeight="1" x14ac:dyDescent="0.2"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25"/>
      <c r="X25" s="25"/>
      <c r="Y25" s="25"/>
      <c r="Z25" s="25"/>
      <c r="AA25" s="25"/>
      <c r="AB25" s="25"/>
      <c r="AC25" s="25"/>
      <c r="AD25" s="32"/>
      <c r="AE25" s="33"/>
      <c r="AF25" s="33"/>
      <c r="AG25" s="33"/>
      <c r="AH25" s="33"/>
      <c r="AI25" s="33"/>
      <c r="AJ25" s="33"/>
      <c r="AK25" s="34"/>
      <c r="AL25" s="25"/>
      <c r="AM25" s="25"/>
      <c r="AN25" s="25"/>
      <c r="AO25" s="25"/>
      <c r="AP25" s="25"/>
      <c r="AQ25" s="25"/>
      <c r="BC25" s="14"/>
      <c r="BD25" s="14"/>
      <c r="BE25" s="14"/>
      <c r="BF25" s="14"/>
      <c r="BQ25" s="14"/>
      <c r="BR25" s="14"/>
      <c r="BS25" s="14"/>
      <c r="BT25" s="14"/>
      <c r="BU25" s="14"/>
      <c r="BV25" s="14"/>
      <c r="BW25" s="14"/>
      <c r="BX25" s="14"/>
      <c r="BY25" s="14"/>
      <c r="BZ25" s="14"/>
    </row>
    <row r="26" spans="2:79" ht="15" customHeight="1" x14ac:dyDescent="0.2"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D26" s="34"/>
      <c r="AE26" s="25"/>
      <c r="AF26" s="25"/>
      <c r="AG26" s="25"/>
      <c r="AH26" s="25"/>
      <c r="AI26" s="25"/>
      <c r="AJ26" s="25"/>
      <c r="AK26" s="34"/>
      <c r="AL26" s="25"/>
      <c r="AM26" s="25"/>
      <c r="AN26" s="25"/>
      <c r="AO26" s="25"/>
      <c r="AP26" s="25"/>
      <c r="AQ26" s="25"/>
      <c r="BC26" s="14"/>
      <c r="BD26" s="14"/>
      <c r="BE26" s="14"/>
      <c r="BF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</row>
    <row r="27" spans="2:79" ht="15" customHeight="1" x14ac:dyDescent="0.2">
      <c r="P27" s="25"/>
      <c r="Q27" s="25"/>
      <c r="R27" s="25"/>
      <c r="S27" s="25"/>
      <c r="T27" s="25"/>
      <c r="U27" s="25"/>
      <c r="V27" s="25"/>
      <c r="AD27" s="34"/>
      <c r="AE27" s="25"/>
      <c r="AF27" s="25"/>
      <c r="AG27" s="25"/>
      <c r="AH27" s="25"/>
      <c r="AI27" s="25"/>
      <c r="AJ27" s="25"/>
      <c r="AK27" s="35"/>
      <c r="AL27" s="36"/>
      <c r="AM27" s="36"/>
      <c r="AN27" s="36"/>
      <c r="AO27" s="36"/>
      <c r="AP27" s="36"/>
      <c r="AQ27" s="36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</row>
    <row r="28" spans="2:79" ht="15" customHeight="1" x14ac:dyDescent="0.2">
      <c r="P28" s="25"/>
      <c r="Q28" s="25"/>
      <c r="R28" s="25"/>
      <c r="S28" s="25"/>
      <c r="T28" s="25"/>
      <c r="U28" s="25"/>
      <c r="V28" s="25"/>
      <c r="W28" s="32"/>
      <c r="X28" s="33"/>
      <c r="Y28" s="33"/>
      <c r="Z28" s="33"/>
      <c r="AA28" s="33"/>
      <c r="AB28" s="33"/>
      <c r="AC28" s="33"/>
      <c r="AD28" s="34"/>
      <c r="AE28" s="25"/>
      <c r="AF28" s="25"/>
      <c r="AG28" s="25"/>
      <c r="AH28" s="25"/>
      <c r="AI28" s="25"/>
      <c r="AJ28" s="25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</row>
    <row r="29" spans="2:79" ht="15" customHeight="1" x14ac:dyDescent="0.2">
      <c r="W29" s="34"/>
      <c r="X29" s="25"/>
      <c r="Y29" s="25"/>
      <c r="Z29" s="25"/>
      <c r="AA29" s="25"/>
      <c r="AB29" s="25"/>
      <c r="AC29" s="25"/>
      <c r="AD29" s="34"/>
      <c r="AE29" s="25"/>
      <c r="AF29" s="25"/>
      <c r="AG29" s="25"/>
      <c r="AH29" s="25"/>
      <c r="AI29" s="25"/>
      <c r="AJ29" s="25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</row>
    <row r="30" spans="2:79" ht="15" customHeight="1" x14ac:dyDescent="0.2">
      <c r="C30" s="26"/>
      <c r="D30" s="26"/>
      <c r="E30" s="26"/>
      <c r="F30" s="26"/>
      <c r="G30" s="26"/>
      <c r="H30" s="26"/>
      <c r="J30" s="26"/>
      <c r="K30" s="26"/>
      <c r="L30" s="26"/>
      <c r="M30" s="26"/>
      <c r="N30" s="26"/>
      <c r="O30" s="26"/>
      <c r="P30" s="38"/>
      <c r="Q30" s="39"/>
      <c r="R30" s="39"/>
      <c r="S30" s="39"/>
      <c r="T30" s="39"/>
      <c r="U30" s="39"/>
      <c r="W30" s="34"/>
      <c r="X30" s="25"/>
      <c r="Y30" s="25"/>
      <c r="Z30" s="25"/>
      <c r="AA30" s="25"/>
      <c r="AB30" s="25"/>
      <c r="AC30" s="25"/>
      <c r="AD30" s="35"/>
      <c r="AE30" s="36"/>
      <c r="AF30" s="36"/>
      <c r="AG30" s="36"/>
      <c r="AH30" s="36"/>
      <c r="AI30" s="36"/>
      <c r="AJ30" s="36"/>
      <c r="AM30" s="14"/>
      <c r="AN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</row>
    <row r="31" spans="2:79" ht="15" customHeight="1" x14ac:dyDescent="0.2">
      <c r="B31" s="26"/>
      <c r="C31" s="26"/>
      <c r="D31" s="26"/>
      <c r="F31" s="26"/>
      <c r="G31" s="26"/>
      <c r="H31" s="26"/>
      <c r="I31" s="26"/>
      <c r="J31" s="26"/>
      <c r="K31" s="26"/>
      <c r="M31" s="26"/>
      <c r="N31" s="26"/>
      <c r="O31" s="26"/>
      <c r="P31" s="37"/>
      <c r="Q31" s="36"/>
      <c r="R31" s="36"/>
      <c r="S31" s="36"/>
      <c r="T31" s="36"/>
      <c r="U31" s="36"/>
      <c r="V31" s="36"/>
      <c r="W31" s="34"/>
      <c r="X31" s="25"/>
      <c r="Y31" s="25"/>
      <c r="Z31" s="25"/>
      <c r="AA31" s="25"/>
      <c r="AB31" s="25"/>
      <c r="AC31" s="25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</row>
    <row r="32" spans="2:79" ht="15" customHeight="1" x14ac:dyDescent="0.2">
      <c r="P32" s="34"/>
      <c r="Q32" s="25"/>
      <c r="R32" s="25"/>
      <c r="S32" s="25"/>
      <c r="T32" s="25"/>
      <c r="U32" s="25"/>
      <c r="V32" s="25"/>
      <c r="W32" s="34"/>
      <c r="X32" s="25"/>
      <c r="Y32" s="25"/>
      <c r="Z32" s="25"/>
      <c r="AA32" s="25"/>
      <c r="AB32" s="25"/>
      <c r="AC32" s="25"/>
      <c r="AL32" s="3" t="s">
        <v>70</v>
      </c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</row>
    <row r="33" spans="5:78" ht="15" customHeight="1" x14ac:dyDescent="0.2">
      <c r="I33" s="31"/>
      <c r="P33" s="34"/>
      <c r="Q33" s="25"/>
      <c r="R33" s="25"/>
      <c r="S33" s="25"/>
      <c r="T33" s="25"/>
      <c r="U33" s="25"/>
      <c r="V33" s="25"/>
      <c r="W33" s="34"/>
      <c r="AC33" s="25"/>
      <c r="AD33" s="32"/>
      <c r="AE33" s="33"/>
      <c r="AF33" s="33"/>
      <c r="AG33" s="33"/>
      <c r="AH33" s="33"/>
      <c r="AI33" s="33"/>
      <c r="AJ33" s="33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</row>
    <row r="34" spans="5:78" ht="15" customHeight="1" x14ac:dyDescent="0.2">
      <c r="I34" s="31"/>
      <c r="P34" s="34"/>
      <c r="Q34" s="25"/>
      <c r="R34" s="25"/>
      <c r="S34" s="25"/>
      <c r="T34" s="25"/>
      <c r="U34" s="25"/>
      <c r="V34" s="25"/>
      <c r="W34" s="34"/>
      <c r="AD34" s="34"/>
      <c r="AE34" s="25"/>
      <c r="AF34" s="25"/>
      <c r="AG34" s="25"/>
      <c r="AH34" s="25"/>
      <c r="AI34" s="25"/>
      <c r="AJ34" s="25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</row>
    <row r="35" spans="5:78" ht="15" customHeight="1" x14ac:dyDescent="0.2">
      <c r="E35" s="26" t="str">
        <f>IF('Event Tree Input'!D9="Seismic Hazard","Seismic Hazard","")</f>
        <v>Seismic Hazard</v>
      </c>
      <c r="I35" s="31"/>
      <c r="J35" s="26"/>
      <c r="K35" s="26"/>
      <c r="L35" s="26" t="str">
        <f>IF('Event Tree Input'!D9="Hydrologic Hazard","Hydrologic Hazard",IF('Event Tree Input'!D9="Seismic Hazard","Coincident Stage",IF('Event Tree Input'!D9="Other",IF(ISBLANK('Event Tree Input'!G9),"",'Event Tree Input'!G9))))</f>
        <v>Coincident Stage</v>
      </c>
      <c r="M35" s="26"/>
      <c r="N35" s="26"/>
      <c r="O35" s="26"/>
      <c r="P35" s="34"/>
      <c r="Q35" s="25"/>
      <c r="R35" s="25"/>
      <c r="S35" s="25"/>
      <c r="T35" s="25"/>
      <c r="U35" s="25"/>
      <c r="V35" s="25"/>
      <c r="W35" s="35"/>
      <c r="X35" s="36"/>
      <c r="Y35" s="36"/>
      <c r="Z35" s="36"/>
      <c r="AA35" s="36"/>
      <c r="AB35" s="36"/>
      <c r="AD35" s="34"/>
      <c r="AE35" s="25"/>
      <c r="AF35" s="25"/>
      <c r="AG35" s="25"/>
      <c r="AH35" s="25"/>
      <c r="AI35" s="25"/>
      <c r="AJ35" s="25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</row>
    <row r="36" spans="5:78" ht="15" customHeight="1" x14ac:dyDescent="0.2">
      <c r="P36" s="34"/>
      <c r="Q36" s="25"/>
      <c r="R36" s="25"/>
      <c r="S36" s="25"/>
      <c r="T36" s="25"/>
      <c r="U36" s="25"/>
      <c r="V36" s="25"/>
      <c r="AA36" s="14"/>
      <c r="AB36" s="14"/>
      <c r="AC36" s="33"/>
      <c r="AD36" s="34"/>
      <c r="AE36" s="25"/>
      <c r="AF36" s="25"/>
      <c r="AG36" s="25"/>
      <c r="AH36" s="25"/>
      <c r="AI36" s="25"/>
      <c r="AJ36" s="25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</row>
    <row r="37" spans="5:78" ht="15" customHeight="1" x14ac:dyDescent="0.2">
      <c r="I37" s="37"/>
      <c r="J37" s="37"/>
      <c r="K37" s="37"/>
      <c r="L37" s="37"/>
      <c r="M37" s="37"/>
      <c r="N37" s="37"/>
      <c r="O37" s="37"/>
      <c r="P37" s="34"/>
      <c r="Y37" s="14"/>
      <c r="Z37" s="14"/>
      <c r="AA37" s="14"/>
      <c r="AB37" s="14"/>
      <c r="AC37" s="25"/>
      <c r="AD37" s="34"/>
      <c r="AE37" s="25"/>
      <c r="AF37" s="25"/>
      <c r="AG37" s="25"/>
      <c r="AH37" s="25"/>
      <c r="AI37" s="25"/>
      <c r="AJ37" s="25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</row>
    <row r="38" spans="5:78" ht="15" customHeight="1" x14ac:dyDescent="0.2">
      <c r="P38" s="3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25"/>
      <c r="AD38" s="35"/>
      <c r="AE38" s="36"/>
      <c r="AF38" s="36"/>
      <c r="AG38" s="36"/>
      <c r="AH38" s="36"/>
      <c r="AI38" s="36"/>
      <c r="AJ38" s="36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</row>
    <row r="39" spans="5:78" ht="15" customHeight="1" x14ac:dyDescent="0.2">
      <c r="P39" s="3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25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G39" s="14"/>
      <c r="BH39" s="14"/>
      <c r="BI39" s="14"/>
      <c r="BJ39" s="14"/>
      <c r="BK39" s="14"/>
      <c r="BL39" s="14"/>
      <c r="BM39" s="14"/>
      <c r="BN39" s="14"/>
    </row>
    <row r="40" spans="5:78" ht="15" customHeight="1" x14ac:dyDescent="0.2">
      <c r="P40" s="3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25"/>
      <c r="AL40" s="14" t="s">
        <v>70</v>
      </c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G40" s="14"/>
      <c r="BH40" s="14"/>
      <c r="BI40" s="14"/>
      <c r="BJ40" s="14"/>
      <c r="BK40" s="14"/>
      <c r="BL40" s="14"/>
      <c r="BM40" s="14"/>
      <c r="BN40" s="14"/>
    </row>
    <row r="41" spans="5:78" ht="15" customHeight="1" x14ac:dyDescent="0.2">
      <c r="P41" s="3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25"/>
      <c r="AD41" s="32"/>
      <c r="AE41" s="33"/>
      <c r="AF41" s="33"/>
      <c r="AG41" s="33"/>
      <c r="AH41" s="33"/>
      <c r="AI41" s="33"/>
      <c r="AJ41" s="33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BG41" s="14"/>
      <c r="BH41" s="14"/>
      <c r="BI41" s="14"/>
      <c r="BJ41" s="14"/>
      <c r="BK41" s="14"/>
      <c r="BL41" s="14"/>
      <c r="BM41" s="14"/>
      <c r="BN41" s="14"/>
    </row>
    <row r="42" spans="5:78" ht="15" customHeight="1" x14ac:dyDescent="0.2">
      <c r="P42" s="3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D42" s="34"/>
      <c r="AE42" s="25"/>
      <c r="AF42" s="25"/>
      <c r="AG42" s="25"/>
      <c r="AH42" s="25"/>
      <c r="AI42" s="25"/>
      <c r="AJ42" s="25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BG42" s="14"/>
      <c r="BH42" s="14"/>
      <c r="BI42" s="14"/>
      <c r="BJ42" s="14"/>
      <c r="BK42" s="14"/>
      <c r="BL42" s="14"/>
      <c r="BM42" s="14"/>
      <c r="BN42" s="14"/>
    </row>
    <row r="43" spans="5:78" ht="15" customHeight="1" x14ac:dyDescent="0.2">
      <c r="P43" s="35"/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D43" s="34"/>
      <c r="AE43" s="25"/>
      <c r="AF43" s="25"/>
      <c r="AG43" s="25"/>
      <c r="AH43" s="25"/>
      <c r="AI43" s="25"/>
      <c r="AJ43" s="25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</row>
    <row r="44" spans="5:78" ht="15" customHeight="1" x14ac:dyDescent="0.2"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33"/>
      <c r="AD44" s="34"/>
      <c r="AE44" s="25"/>
      <c r="AF44" s="25"/>
      <c r="AG44" s="25"/>
      <c r="AH44" s="25"/>
      <c r="AI44" s="25"/>
      <c r="AJ44" s="25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27"/>
      <c r="AW44" s="14"/>
      <c r="AX44" s="14"/>
      <c r="AY44" s="14"/>
    </row>
    <row r="45" spans="5:78" ht="15" customHeight="1" x14ac:dyDescent="0.2"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25"/>
      <c r="AD45" s="34"/>
      <c r="AE45" s="25"/>
      <c r="AF45" s="25"/>
      <c r="AG45" s="25"/>
      <c r="AH45" s="25"/>
      <c r="AI45" s="25"/>
      <c r="AJ45" s="25"/>
      <c r="AL45" s="14"/>
      <c r="AM45" s="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</row>
    <row r="46" spans="5:78" ht="15" customHeight="1" x14ac:dyDescent="0.2"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25"/>
      <c r="AD46" s="35"/>
      <c r="AE46" s="36"/>
      <c r="AF46" s="36"/>
      <c r="AG46" s="36"/>
      <c r="AH46" s="36"/>
      <c r="AI46" s="36"/>
      <c r="AJ46" s="36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</row>
    <row r="47" spans="5:78" ht="15" customHeight="1" x14ac:dyDescent="0.2"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25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</row>
    <row r="48" spans="5:78" ht="15" customHeight="1" x14ac:dyDescent="0.2"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</row>
    <row r="49" spans="1:79" ht="15" customHeight="1" x14ac:dyDescent="0.2"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</row>
    <row r="50" spans="1:79" ht="15" customHeight="1" x14ac:dyDescent="0.2"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27"/>
      <c r="AW50" s="14"/>
      <c r="AX50" s="14"/>
      <c r="AY50" s="14"/>
    </row>
    <row r="51" spans="1:79" ht="15" customHeight="1" x14ac:dyDescent="0.2"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</row>
    <row r="52" spans="1:79" ht="15" customHeight="1" x14ac:dyDescent="0.2"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</row>
    <row r="53" spans="1:79" s="8" customFormat="1" ht="15" customHeight="1" x14ac:dyDescent="0.2">
      <c r="A53" s="47" t="s">
        <v>19</v>
      </c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  <c r="AA53" s="47"/>
      <c r="AB53" s="47"/>
      <c r="AC53" s="47"/>
      <c r="AD53" s="47"/>
      <c r="AE53" s="47"/>
      <c r="AF53" s="47"/>
      <c r="AG53" s="47"/>
      <c r="AH53" s="47"/>
      <c r="AI53" s="47"/>
      <c r="AJ53" s="47"/>
      <c r="AK53" s="47"/>
      <c r="AL53" s="47"/>
      <c r="AM53" s="47"/>
      <c r="AN53" s="47"/>
      <c r="AO53" s="47"/>
      <c r="AP53" s="47"/>
      <c r="AQ53" s="47"/>
      <c r="AR53" s="47"/>
      <c r="AS53" s="47"/>
      <c r="AT53" s="47"/>
      <c r="AU53" s="47"/>
      <c r="AV53" s="47"/>
      <c r="AW53" s="47"/>
      <c r="AX53" s="47"/>
      <c r="AY53" s="47"/>
      <c r="AZ53" s="47"/>
      <c r="BA53" s="47"/>
      <c r="BB53" s="47"/>
      <c r="BC53" s="47"/>
      <c r="BD53" s="47"/>
      <c r="BE53" s="47"/>
      <c r="BF53" s="47"/>
      <c r="BG53" s="47"/>
      <c r="BH53" s="47"/>
      <c r="BI53" s="47"/>
      <c r="BJ53" s="47"/>
      <c r="BK53" s="47"/>
      <c r="BL53" s="47"/>
      <c r="BM53" s="47"/>
      <c r="BN53" s="47"/>
      <c r="BO53" s="47"/>
      <c r="BP53" s="47"/>
      <c r="BQ53" s="47"/>
      <c r="BR53" s="47"/>
      <c r="BS53" s="47"/>
      <c r="BT53" s="47"/>
      <c r="BU53" s="47"/>
      <c r="BV53" s="47"/>
      <c r="BW53" s="47"/>
      <c r="BX53" s="47"/>
      <c r="BY53" s="47"/>
      <c r="BZ53" s="47"/>
      <c r="CA53" s="47"/>
    </row>
    <row r="55" spans="1:79" ht="15" customHeight="1" x14ac:dyDescent="0.2">
      <c r="A55" s="48" t="s">
        <v>55</v>
      </c>
      <c r="B55" s="48"/>
      <c r="C55" s="48"/>
      <c r="D55" s="48"/>
      <c r="E55" s="48"/>
      <c r="F55" s="48" t="str">
        <f>IF('Event Tree Input'!D9="Seismic Hazard","Yes","No")</f>
        <v>Yes</v>
      </c>
      <c r="G55" s="48"/>
      <c r="I55" s="44" t="s">
        <v>17</v>
      </c>
      <c r="J55" s="44"/>
      <c r="K55" s="48" t="s">
        <v>23</v>
      </c>
      <c r="L55" s="48"/>
      <c r="M55" s="48"/>
      <c r="N55" s="48" t="s">
        <v>24</v>
      </c>
      <c r="O55" s="48"/>
      <c r="P55" s="48"/>
    </row>
    <row r="56" spans="1:79" ht="15" customHeight="1" x14ac:dyDescent="0.2">
      <c r="I56" s="44"/>
      <c r="J56" s="44"/>
      <c r="K56" s="48" t="s">
        <v>22</v>
      </c>
      <c r="L56" s="48"/>
      <c r="M56" s="48"/>
      <c r="N56" s="48" t="s">
        <v>22</v>
      </c>
      <c r="O56" s="48"/>
      <c r="P56" s="48"/>
      <c r="S56" s="48" t="s">
        <v>17</v>
      </c>
      <c r="T56" s="48"/>
      <c r="U56" s="48" t="s">
        <v>27</v>
      </c>
      <c r="V56" s="48"/>
      <c r="W56" s="48"/>
      <c r="X56" s="48" t="s">
        <v>29</v>
      </c>
      <c r="Y56" s="48"/>
      <c r="Z56" s="48"/>
    </row>
    <row r="57" spans="1:79" ht="15" customHeight="1" x14ac:dyDescent="0.2">
      <c r="I57" s="48">
        <v>1</v>
      </c>
      <c r="J57" s="48"/>
      <c r="K57" s="48" t="str">
        <f>'Event Tree Input'!B158</f>
        <v>Circle</v>
      </c>
      <c r="L57" s="48"/>
      <c r="M57" s="48"/>
      <c r="N57" s="48" t="str">
        <f>'Event Tree Input'!C158</f>
        <v>Triangle</v>
      </c>
      <c r="O57" s="48"/>
      <c r="P57" s="48"/>
      <c r="S57" s="48">
        <v>1</v>
      </c>
      <c r="T57" s="48"/>
      <c r="U57" s="48" t="str">
        <f>IF('Event Tree Input'!$D$14="No","No",IF(AND('Event Tree Input'!$D$14="Yes",'Event Tree Input'!$D$11&gt;=S57),"Yes","No"))</f>
        <v>No</v>
      </c>
      <c r="V57" s="48"/>
      <c r="W57" s="48"/>
      <c r="X57" s="48" t="str">
        <f>'Event Tree Input'!$D$13</f>
        <v>Yes</v>
      </c>
      <c r="Y57" s="48"/>
      <c r="Z57" s="48"/>
    </row>
    <row r="58" spans="1:79" ht="15" customHeight="1" x14ac:dyDescent="0.2">
      <c r="I58" s="48">
        <v>2</v>
      </c>
      <c r="J58" s="48"/>
      <c r="K58" s="48" t="str">
        <f>'Event Tree Input'!B159</f>
        <v>Circle</v>
      </c>
      <c r="L58" s="48"/>
      <c r="M58" s="48"/>
      <c r="N58" s="48" t="str">
        <f>'Event Tree Input'!C159</f>
        <v>Triangle</v>
      </c>
      <c r="O58" s="48"/>
      <c r="P58" s="48"/>
      <c r="S58" s="48">
        <v>2</v>
      </c>
      <c r="T58" s="48"/>
      <c r="U58" s="48" t="str">
        <f>IF('Event Tree Input'!$D$14="No","No",IF(AND('Event Tree Input'!$D$14="Yes",'Event Tree Input'!$D$11&gt;=S58),"Yes","No"))</f>
        <v>No</v>
      </c>
      <c r="V58" s="48"/>
      <c r="W58" s="48"/>
      <c r="X58" s="48" t="str">
        <f>'Event Tree Input'!$D$13</f>
        <v>Yes</v>
      </c>
      <c r="Y58" s="48"/>
      <c r="Z58" s="48"/>
    </row>
    <row r="59" spans="1:79" ht="15" customHeight="1" x14ac:dyDescent="0.2">
      <c r="I59" s="48">
        <v>3</v>
      </c>
      <c r="J59" s="48"/>
      <c r="K59" s="48" t="str">
        <f>'Event Tree Input'!B160</f>
        <v>Circle</v>
      </c>
      <c r="L59" s="48"/>
      <c r="M59" s="48"/>
      <c r="N59" s="48" t="str">
        <f>'Event Tree Input'!C160</f>
        <v>Triangle</v>
      </c>
      <c r="O59" s="48"/>
      <c r="P59" s="48"/>
      <c r="S59" s="48">
        <v>3</v>
      </c>
      <c r="T59" s="48"/>
      <c r="U59" s="48" t="str">
        <f>IF('Event Tree Input'!$D$14="No","No",IF(AND('Event Tree Input'!$D$14="Yes",'Event Tree Input'!$D$11&gt;=S59),"Yes","No"))</f>
        <v>No</v>
      </c>
      <c r="V59" s="48"/>
      <c r="W59" s="48"/>
      <c r="X59" s="48" t="str">
        <f>'Event Tree Input'!$D$13</f>
        <v>Yes</v>
      </c>
      <c r="Y59" s="48"/>
      <c r="Z59" s="48"/>
    </row>
    <row r="60" spans="1:79" ht="15" customHeight="1" x14ac:dyDescent="0.2">
      <c r="I60" s="48">
        <v>4</v>
      </c>
      <c r="J60" s="48"/>
      <c r="K60" s="48" t="str">
        <f>'Event Tree Input'!B161</f>
        <v>Circle</v>
      </c>
      <c r="L60" s="48"/>
      <c r="M60" s="48"/>
      <c r="N60" s="48" t="str">
        <f>'Event Tree Input'!C161</f>
        <v>Triangle</v>
      </c>
      <c r="O60" s="48"/>
      <c r="P60" s="48"/>
      <c r="S60" s="48">
        <v>4</v>
      </c>
      <c r="T60" s="48"/>
      <c r="U60" s="48" t="str">
        <f>IF('Event Tree Input'!$D$14="No","No",IF(AND('Event Tree Input'!$D$14="Yes",'Event Tree Input'!$D$11&gt;=S60),"Yes","No"))</f>
        <v>No</v>
      </c>
      <c r="V60" s="48"/>
      <c r="W60" s="48"/>
      <c r="X60" s="48" t="str">
        <f>'Event Tree Input'!$D$13</f>
        <v>Yes</v>
      </c>
      <c r="Y60" s="48"/>
      <c r="Z60" s="48"/>
    </row>
    <row r="61" spans="1:79" ht="15" customHeight="1" x14ac:dyDescent="0.2">
      <c r="I61" s="48">
        <v>5</v>
      </c>
      <c r="J61" s="48"/>
      <c r="K61" s="48" t="str">
        <f>'Event Tree Input'!B162</f>
        <v>Circle</v>
      </c>
      <c r="L61" s="48"/>
      <c r="M61" s="48"/>
      <c r="N61" s="48" t="str">
        <f>'Event Tree Input'!C162</f>
        <v>Triangle</v>
      </c>
      <c r="O61" s="48"/>
      <c r="P61" s="48"/>
      <c r="S61" s="48">
        <v>5</v>
      </c>
      <c r="T61" s="48"/>
      <c r="U61" s="48" t="str">
        <f>IF('Event Tree Input'!$D$14="No","No",IF(AND('Event Tree Input'!$D$14="Yes",'Event Tree Input'!$D$11&gt;=S61),"Yes","No"))</f>
        <v>No</v>
      </c>
      <c r="V61" s="48"/>
      <c r="W61" s="48"/>
      <c r="X61" s="48" t="str">
        <f>'Event Tree Input'!$D$13</f>
        <v>Yes</v>
      </c>
      <c r="Y61" s="48"/>
      <c r="Z61" s="48"/>
    </row>
    <row r="62" spans="1:79" ht="15" customHeight="1" x14ac:dyDescent="0.2">
      <c r="I62" s="48">
        <v>6</v>
      </c>
      <c r="J62" s="48"/>
      <c r="K62" s="48" t="str">
        <f>'Event Tree Input'!B163</f>
        <v>Triangle</v>
      </c>
      <c r="L62" s="48"/>
      <c r="M62" s="48"/>
      <c r="N62" s="48" t="str">
        <f>'Event Tree Input'!C163</f>
        <v>Triangle</v>
      </c>
      <c r="O62" s="48"/>
      <c r="P62" s="48"/>
      <c r="S62" s="48">
        <v>6</v>
      </c>
      <c r="T62" s="48"/>
      <c r="U62" s="48" t="str">
        <f>IF('Event Tree Input'!$D$14="No","No",IF(AND('Event Tree Input'!$D$14="Yes",'Event Tree Input'!$D$11&gt;=S62),"Yes","No"))</f>
        <v>No</v>
      </c>
      <c r="V62" s="48"/>
      <c r="W62" s="48"/>
      <c r="X62" s="48" t="str">
        <f>'Event Tree Input'!$D$13</f>
        <v>Yes</v>
      </c>
      <c r="Y62" s="48"/>
      <c r="Z62" s="48"/>
    </row>
    <row r="63" spans="1:79" ht="15" customHeight="1" x14ac:dyDescent="0.2">
      <c r="I63" s="48">
        <v>7</v>
      </c>
      <c r="J63" s="48"/>
      <c r="K63" s="48" t="str">
        <f>'Event Tree Input'!B164</f>
        <v/>
      </c>
      <c r="L63" s="48"/>
      <c r="M63" s="48"/>
      <c r="N63" s="48" t="str">
        <f>'Event Tree Input'!C164</f>
        <v/>
      </c>
      <c r="O63" s="48"/>
      <c r="P63" s="48"/>
      <c r="S63" s="48">
        <v>7</v>
      </c>
      <c r="T63" s="48"/>
      <c r="U63" s="48" t="str">
        <f>IF('Event Tree Input'!$D$14="No","No",IF(AND('Event Tree Input'!$D$14="Yes",'Event Tree Input'!$D$11&gt;=S63),"Yes","No"))</f>
        <v>No</v>
      </c>
      <c r="V63" s="48"/>
      <c r="W63" s="48"/>
      <c r="X63" s="48" t="str">
        <f>'Event Tree Input'!$D$13</f>
        <v>Yes</v>
      </c>
      <c r="Y63" s="48"/>
      <c r="Z63" s="48"/>
    </row>
    <row r="64" spans="1:79" ht="15" customHeight="1" x14ac:dyDescent="0.2">
      <c r="I64" s="48">
        <v>8</v>
      </c>
      <c r="J64" s="48"/>
      <c r="K64" s="48" t="str">
        <f>'Event Tree Input'!B165</f>
        <v/>
      </c>
      <c r="L64" s="48"/>
      <c r="M64" s="48"/>
      <c r="N64" s="48" t="str">
        <f>'Event Tree Input'!C165</f>
        <v/>
      </c>
      <c r="O64" s="48"/>
      <c r="P64" s="48"/>
      <c r="S64" s="48">
        <v>8</v>
      </c>
      <c r="T64" s="48"/>
      <c r="U64" s="48" t="str">
        <f>IF('Event Tree Input'!$D$14="No","No",IF(AND('Event Tree Input'!$D$14="Yes",'Event Tree Input'!$D$11&gt;=S64),"Yes","No"))</f>
        <v>No</v>
      </c>
      <c r="V64" s="48"/>
      <c r="W64" s="48"/>
      <c r="X64" s="48" t="str">
        <f>'Event Tree Input'!$D$13</f>
        <v>Yes</v>
      </c>
      <c r="Y64" s="48"/>
      <c r="Z64" s="48"/>
    </row>
    <row r="65" spans="2:26" ht="15" customHeight="1" x14ac:dyDescent="0.2">
      <c r="I65" s="48">
        <v>9</v>
      </c>
      <c r="J65" s="48"/>
      <c r="K65" s="48" t="str">
        <f>'Event Tree Input'!B166</f>
        <v/>
      </c>
      <c r="L65" s="48"/>
      <c r="M65" s="48"/>
      <c r="N65" s="48" t="str">
        <f>'Event Tree Input'!C166</f>
        <v/>
      </c>
      <c r="O65" s="48"/>
      <c r="P65" s="48"/>
      <c r="S65" s="48">
        <v>9</v>
      </c>
      <c r="T65" s="48"/>
      <c r="U65" s="48" t="str">
        <f>IF('Event Tree Input'!$D$14="No","No",IF(AND('Event Tree Input'!$D$14="Yes",'Event Tree Input'!$D$11&gt;=S65),"Yes","No"))</f>
        <v>No</v>
      </c>
      <c r="V65" s="48"/>
      <c r="W65" s="48"/>
      <c r="X65" s="48" t="str">
        <f>'Event Tree Input'!$D$13</f>
        <v>Yes</v>
      </c>
      <c r="Y65" s="48"/>
      <c r="Z65" s="48"/>
    </row>
    <row r="67" spans="2:26" ht="15" customHeight="1" x14ac:dyDescent="0.2">
      <c r="B67" s="3" t="s">
        <v>38</v>
      </c>
      <c r="M67" s="12"/>
      <c r="N67" s="12"/>
      <c r="O67" s="12"/>
    </row>
    <row r="68" spans="2:26" ht="15" customHeight="1" x14ac:dyDescent="0.2">
      <c r="B68" s="45" t="str">
        <f>'Event Tree Input'!A27</f>
        <v>Node 1 Callout</v>
      </c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14"/>
    </row>
    <row r="69" spans="2:26" ht="15" customHeight="1" x14ac:dyDescent="0.2"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14"/>
    </row>
    <row r="70" spans="2:26" ht="15" customHeight="1" x14ac:dyDescent="0.2"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14"/>
      <c r="X70" s="15"/>
      <c r="Y70" s="14"/>
    </row>
    <row r="71" spans="2:26" ht="15" customHeight="1" x14ac:dyDescent="0.2"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14"/>
      <c r="X71" s="15"/>
      <c r="Y71" s="14"/>
    </row>
    <row r="72" spans="2:26" ht="15" customHeight="1" x14ac:dyDescent="0.2"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14"/>
      <c r="X72" s="15"/>
      <c r="Y72" s="14"/>
    </row>
    <row r="73" spans="2:26" ht="15" customHeight="1" x14ac:dyDescent="0.2"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14"/>
      <c r="X73" s="15"/>
      <c r="Y73" s="14"/>
    </row>
    <row r="74" spans="2:26" ht="15" customHeight="1" x14ac:dyDescent="0.2"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5"/>
      <c r="Y74" s="14"/>
    </row>
    <row r="75" spans="2:26" ht="15" customHeight="1" x14ac:dyDescent="0.2">
      <c r="B75" s="3" t="s">
        <v>39</v>
      </c>
      <c r="M75" s="12"/>
      <c r="N75" s="12"/>
      <c r="O75" s="12"/>
      <c r="W75" s="14"/>
      <c r="X75" s="14"/>
      <c r="Y75" s="14"/>
    </row>
    <row r="76" spans="2:26" ht="15" customHeight="1" x14ac:dyDescent="0.2">
      <c r="B76" s="45" t="str">
        <f>'Event Tree Input'!A41</f>
        <v>Node 2 Callout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</row>
    <row r="77" spans="2:26" ht="15" customHeight="1" x14ac:dyDescent="0.2"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15"/>
      <c r="X77" s="15"/>
    </row>
    <row r="78" spans="2:26" ht="15" customHeight="1" x14ac:dyDescent="0.2"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15"/>
      <c r="X78" s="15"/>
    </row>
    <row r="79" spans="2:26" ht="15" customHeight="1" x14ac:dyDescent="0.2"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15"/>
      <c r="X79" s="15"/>
    </row>
    <row r="80" spans="2:26" ht="15" customHeight="1" x14ac:dyDescent="0.2"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15"/>
      <c r="X80" s="15"/>
    </row>
    <row r="81" spans="2:24" ht="15" customHeight="1" x14ac:dyDescent="0.2"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15"/>
      <c r="X81" s="15"/>
    </row>
    <row r="83" spans="2:24" ht="15" customHeight="1" x14ac:dyDescent="0.2">
      <c r="B83" s="3" t="s">
        <v>40</v>
      </c>
      <c r="M83" s="12"/>
      <c r="N83" s="12"/>
      <c r="O83" s="12"/>
    </row>
    <row r="84" spans="2:24" ht="15" customHeight="1" x14ac:dyDescent="0.2">
      <c r="B84" s="45" t="str">
        <f>'Event Tree Input'!A55</f>
        <v>Node 3 Callout</v>
      </c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</row>
    <row r="85" spans="2:24" ht="15" customHeight="1" x14ac:dyDescent="0.2"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</row>
    <row r="86" spans="2:24" ht="15" customHeight="1" x14ac:dyDescent="0.2"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</row>
    <row r="87" spans="2:24" ht="15" customHeight="1" x14ac:dyDescent="0.2"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</row>
    <row r="88" spans="2:24" ht="15" customHeight="1" x14ac:dyDescent="0.2"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</row>
    <row r="89" spans="2:24" ht="15" customHeight="1" x14ac:dyDescent="0.2"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</row>
    <row r="91" spans="2:24" ht="15" customHeight="1" x14ac:dyDescent="0.2">
      <c r="B91" s="3" t="s">
        <v>41</v>
      </c>
      <c r="M91" s="12"/>
      <c r="N91" s="12"/>
      <c r="O91" s="12"/>
    </row>
    <row r="92" spans="2:24" ht="15" customHeight="1" x14ac:dyDescent="0.2">
      <c r="B92" s="45" t="str">
        <f>'Event Tree Input'!A69</f>
        <v>Node 4 Callout</v>
      </c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</row>
    <row r="93" spans="2:24" ht="15" customHeight="1" x14ac:dyDescent="0.2"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</row>
    <row r="94" spans="2:24" ht="15" customHeight="1" x14ac:dyDescent="0.2"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</row>
    <row r="95" spans="2:24" ht="15" customHeight="1" x14ac:dyDescent="0.2"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</row>
    <row r="96" spans="2:24" ht="15" customHeight="1" x14ac:dyDescent="0.2"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</row>
    <row r="97" spans="2:22" ht="15" customHeight="1" x14ac:dyDescent="0.2"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</row>
    <row r="99" spans="2:22" ht="15" customHeight="1" x14ac:dyDescent="0.2">
      <c r="B99" s="3" t="s">
        <v>42</v>
      </c>
      <c r="M99" s="12"/>
      <c r="N99" s="12"/>
      <c r="O99" s="12"/>
    </row>
    <row r="100" spans="2:22" ht="15" customHeight="1" x14ac:dyDescent="0.2">
      <c r="B100" s="45" t="str">
        <f>'Event Tree Input'!A83</f>
        <v>Node 5 Callout</v>
      </c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</row>
    <row r="101" spans="2:22" ht="15" customHeight="1" x14ac:dyDescent="0.2"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</row>
    <row r="102" spans="2:22" ht="15" customHeight="1" x14ac:dyDescent="0.2"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</row>
    <row r="103" spans="2:22" ht="15" customHeight="1" x14ac:dyDescent="0.2"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</row>
    <row r="104" spans="2:22" ht="15" customHeight="1" x14ac:dyDescent="0.2"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</row>
    <row r="105" spans="2:22" ht="15" customHeight="1" x14ac:dyDescent="0.2"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</row>
    <row r="107" spans="2:22" ht="15" customHeight="1" x14ac:dyDescent="0.2">
      <c r="B107" s="3" t="s">
        <v>43</v>
      </c>
      <c r="M107" s="12"/>
      <c r="N107" s="12"/>
      <c r="O107" s="12"/>
    </row>
    <row r="108" spans="2:22" ht="15" customHeight="1" x14ac:dyDescent="0.2">
      <c r="B108" s="45" t="str">
        <f>'Event Tree Input'!A97</f>
        <v>Node 6 Callout</v>
      </c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</row>
    <row r="109" spans="2:22" ht="15" customHeight="1" x14ac:dyDescent="0.2"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</row>
    <row r="110" spans="2:22" ht="15" customHeight="1" x14ac:dyDescent="0.2"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</row>
    <row r="111" spans="2:22" ht="15" customHeight="1" x14ac:dyDescent="0.2"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</row>
    <row r="112" spans="2:22" ht="15" customHeight="1" x14ac:dyDescent="0.2"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</row>
    <row r="113" spans="2:22" ht="15" customHeight="1" x14ac:dyDescent="0.2"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</row>
    <row r="115" spans="2:22" ht="15" customHeight="1" x14ac:dyDescent="0.2">
      <c r="B115" s="3" t="s">
        <v>44</v>
      </c>
      <c r="M115" s="12"/>
      <c r="N115" s="12"/>
      <c r="O115" s="12"/>
    </row>
    <row r="116" spans="2:22" ht="15" customHeight="1" x14ac:dyDescent="0.2">
      <c r="B116" s="45" t="str">
        <f>'Event Tree Input'!A111</f>
        <v>Node 7 Callout</v>
      </c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</row>
    <row r="117" spans="2:22" ht="15" customHeight="1" x14ac:dyDescent="0.2"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</row>
    <row r="118" spans="2:22" ht="15" customHeight="1" x14ac:dyDescent="0.2"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</row>
    <row r="119" spans="2:22" ht="15" customHeight="1" x14ac:dyDescent="0.2"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</row>
    <row r="120" spans="2:22" ht="15" customHeight="1" x14ac:dyDescent="0.2"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</row>
    <row r="121" spans="2:22" ht="15" customHeight="1" x14ac:dyDescent="0.2"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</row>
    <row r="123" spans="2:22" ht="15" customHeight="1" x14ac:dyDescent="0.2">
      <c r="B123" s="3" t="s">
        <v>45</v>
      </c>
      <c r="M123" s="12"/>
      <c r="N123" s="12"/>
      <c r="O123" s="12"/>
    </row>
    <row r="124" spans="2:22" ht="15" customHeight="1" x14ac:dyDescent="0.2">
      <c r="B124" s="45" t="str">
        <f>'Event Tree Input'!A125</f>
        <v>Node 8 Callout</v>
      </c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</row>
    <row r="125" spans="2:22" ht="15" customHeight="1" x14ac:dyDescent="0.2"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</row>
    <row r="126" spans="2:22" ht="15" customHeight="1" x14ac:dyDescent="0.2"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</row>
    <row r="127" spans="2:22" ht="15" customHeight="1" x14ac:dyDescent="0.2"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</row>
    <row r="128" spans="2:22" ht="15" customHeight="1" x14ac:dyDescent="0.2"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</row>
    <row r="129" spans="2:22" ht="15" customHeight="1" x14ac:dyDescent="0.2"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</row>
    <row r="131" spans="2:22" ht="15" customHeight="1" x14ac:dyDescent="0.2">
      <c r="B131" s="3" t="s">
        <v>46</v>
      </c>
      <c r="M131" s="12"/>
      <c r="N131" s="12"/>
      <c r="O131" s="12"/>
    </row>
    <row r="132" spans="2:22" ht="15" customHeight="1" x14ac:dyDescent="0.2">
      <c r="B132" s="45" t="str">
        <f>'Event Tree Input'!A139</f>
        <v>Node 9 Callout</v>
      </c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</row>
    <row r="133" spans="2:22" ht="15" customHeight="1" x14ac:dyDescent="0.2"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</row>
    <row r="134" spans="2:22" ht="15" customHeight="1" x14ac:dyDescent="0.2"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</row>
    <row r="135" spans="2:22" ht="15" customHeight="1" x14ac:dyDescent="0.2"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</row>
    <row r="136" spans="2:22" ht="15" customHeight="1" x14ac:dyDescent="0.2"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</row>
    <row r="137" spans="2:22" ht="15" customHeight="1" x14ac:dyDescent="0.2"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</row>
  </sheetData>
  <mergeCells count="89"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S65:T65"/>
    <mergeCell ref="U65:W65"/>
    <mergeCell ref="N65:P65"/>
    <mergeCell ref="N62:P62"/>
    <mergeCell ref="N63:P63"/>
    <mergeCell ref="N64:P64"/>
    <mergeCell ref="X62:Z62"/>
    <mergeCell ref="U62:W62"/>
    <mergeCell ref="X63:Z63"/>
    <mergeCell ref="X64:Z64"/>
    <mergeCell ref="X65:Z65"/>
    <mergeCell ref="U63:W63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S57:T57"/>
    <mergeCell ref="K58:M58"/>
    <mergeCell ref="I55:J56"/>
    <mergeCell ref="N58:P58"/>
    <mergeCell ref="S56:T56"/>
    <mergeCell ref="I65:J65"/>
    <mergeCell ref="K65:M65"/>
    <mergeCell ref="K62:M62"/>
    <mergeCell ref="K63:M63"/>
    <mergeCell ref="K64:M64"/>
    <mergeCell ref="I62:J62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</mergeCells>
  <pageMargins left="0.7" right="0.7" top="0.75" bottom="0.75" header="0.3" footer="0.3"/>
  <pageSetup scale="51" orientation="landscape" r:id="rId1"/>
  <headerFooter>
    <oddFooter>&amp;LRMC Event Tree Toolbox
&amp;A&amp;RVersion 3.0
Page &amp;P of &amp;N</oddFooter>
  </headerFooter>
  <colBreaks count="1" manualBreakCount="1">
    <brk id="7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06.Transparent_ET_Background">
                <anchor moveWithCells="1" sizeWithCells="1">
                  <from>
                    <xdr:col>79</xdr:col>
                    <xdr:colOff>38100</xdr:colOff>
                    <xdr:row>11</xdr:row>
                    <xdr:rowOff>180975</xdr:rowOff>
                  </from>
                  <to>
                    <xdr:col>80</xdr:col>
                    <xdr:colOff>619125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heet06.White_ET_Background">
                <anchor moveWithCells="1" sizeWithCells="1">
                  <from>
                    <xdr:col>79</xdr:col>
                    <xdr:colOff>38100</xdr:colOff>
                    <xdr:row>15</xdr:row>
                    <xdr:rowOff>9525</xdr:rowOff>
                  </from>
                  <to>
                    <xdr:col>80</xdr:col>
                    <xdr:colOff>619125</xdr:colOff>
                    <xdr:row>17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8" id="{2D9AB60F-178B-442E-95B0-3E8070E32E69}">
            <xm:f>'Event Tree Input'!$D$11&lt;9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27" id="{95993CE9-E0BC-4C66-ADF2-5585FC697679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26" id="{471E27D4-AA9E-4E48-A209-383647B92C70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BG18:BL18 BG25:BL25 BG19 BF12:BF19</xm:sqref>
        </x14:conditionalFormatting>
        <x14:conditionalFormatting xmlns:xm="http://schemas.microsoft.com/office/excel/2006/main">
          <x14:cfRule type="expression" priority="25" id="{86118574-C779-4D54-A418-76053363427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AY15:BE15 AY22:BE22 AY16:AZ16 AY17:AY21</xm:sqref>
        </x14:conditionalFormatting>
        <x14:conditionalFormatting xmlns:xm="http://schemas.microsoft.com/office/excel/2006/main">
          <x14:cfRule type="expression" priority="24" id="{DDE9C9C1-D1BA-40B4-B77B-5CBED1EB305D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AR18:AX18 AR25:AX25 AR19:AS19 AR20:AR24</xm:sqref>
        </x14:conditionalFormatting>
        <x14:conditionalFormatting xmlns:xm="http://schemas.microsoft.com/office/excel/2006/main">
          <x14:cfRule type="expression" priority="23" id="{7747D35C-F5F4-4212-A851-AB1C2710FACD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AK21:AQ21 AK28:AQ28 AK22:AL22 AK23:AK27</xm:sqref>
        </x14:conditionalFormatting>
        <x14:conditionalFormatting xmlns:xm="http://schemas.microsoft.com/office/excel/2006/main">
          <x14:cfRule type="expression" priority="22" id="{C28095E2-94F4-4F41-81FD-EA8881CF7778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AD24:AJ24 AD31:AJ31 AD25:AE25 AD26:AD30</xm:sqref>
        </x14:conditionalFormatting>
        <x14:conditionalFormatting xmlns:xm="http://schemas.microsoft.com/office/excel/2006/main">
          <x14:cfRule type="expression" priority="21" id="{B6CAEA3F-0270-48EB-9D71-422032B374F1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W27:AC27 X34:AB34 W28:X28 W35 W29:W32</xm:sqref>
        </x14:conditionalFormatting>
        <x14:conditionalFormatting xmlns:xm="http://schemas.microsoft.com/office/excel/2006/main">
          <x14:cfRule type="expression" priority="19" id="{7F465748-E42C-460C-B40C-7DAFD55F5964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AK32:AK36</xm:sqref>
        </x14:conditionalFormatting>
        <x14:conditionalFormatting xmlns:xm="http://schemas.microsoft.com/office/excel/2006/main">
          <x14:cfRule type="expression" priority="18" id="{DD202EA2-417E-4715-A42B-CD71432BC38D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AD32:AJ32 AD39:AJ39 AD33:AE33 AD34:AD38</xm:sqref>
        </x14:conditionalFormatting>
        <x14:conditionalFormatting xmlns:xm="http://schemas.microsoft.com/office/excel/2006/main">
          <x14:cfRule type="expression" priority="17" id="{A0BEF937-F49B-467B-88CC-4646AD8A80D7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AC35</xm:sqref>
        </x14:conditionalFormatting>
        <x14:conditionalFormatting xmlns:xm="http://schemas.microsoft.com/office/excel/2006/main">
          <x14:cfRule type="expression" priority="16" id="{5BDE1E34-6DC3-4230-9F8E-0027687ABA9F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AK40:AK44</xm:sqref>
        </x14:conditionalFormatting>
        <x14:conditionalFormatting xmlns:xm="http://schemas.microsoft.com/office/excel/2006/main">
          <x14:cfRule type="expression" priority="15" id="{0B9782FC-41DB-4402-8D01-A3B39C3464CE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AD40:AJ40 AD47:AJ47 AD41:AE41 AD42:AD46</xm:sqref>
        </x14:conditionalFormatting>
        <x14:conditionalFormatting xmlns:xm="http://schemas.microsoft.com/office/excel/2006/main">
          <x14:cfRule type="expression" priority="14" id="{CA1695D5-24B2-42D4-868D-5252A3AD5103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AC43</xm:sqref>
        </x14:conditionalFormatting>
        <x14:conditionalFormatting xmlns:xm="http://schemas.microsoft.com/office/excel/2006/main">
          <x14:cfRule type="expression" priority="13" id="{6885CC61-A1CD-4625-BB6F-05EC69766FDD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X33:AB33</xm:sqref>
        </x14:conditionalFormatting>
        <x14:conditionalFormatting xmlns:xm="http://schemas.microsoft.com/office/excel/2006/main">
          <x14:cfRule type="expression" priority="12" id="{0891C474-B811-4E65-A7CC-E0D2A29C01DB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W33:W34</xm:sqref>
        </x14:conditionalFormatting>
        <x14:conditionalFormatting xmlns:xm="http://schemas.microsoft.com/office/excel/2006/main">
          <x14:cfRule type="expression" priority="11" id="{38A34696-4ACF-4389-94CF-4401A00F2AD4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P43</xm:sqref>
        </x14:conditionalFormatting>
        <x14:conditionalFormatting xmlns:xm="http://schemas.microsoft.com/office/excel/2006/main">
          <x14:cfRule type="expression" priority="10" id="{35CA894B-F22C-49C9-A955-1BF5E46151FE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P36:P37</xm:sqref>
        </x14:conditionalFormatting>
        <x14:conditionalFormatting xmlns:xm="http://schemas.microsoft.com/office/excel/2006/main">
          <x14:cfRule type="expression" priority="9" id="{2218A756-2D81-4747-9232-484FBDB5FDA1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P38</xm:sqref>
        </x14:conditionalFormatting>
        <x14:conditionalFormatting xmlns:xm="http://schemas.microsoft.com/office/excel/2006/main">
          <x14:cfRule type="expression" priority="8" id="{ADA2585D-2680-47A4-BFCE-705D67789BEE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P39</xm:sqref>
        </x14:conditionalFormatting>
        <x14:conditionalFormatting xmlns:xm="http://schemas.microsoft.com/office/excel/2006/main">
          <x14:cfRule type="expression" priority="6" id="{1DB2960D-A75C-460A-8549-6E3C4444B17D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P40</xm:sqref>
        </x14:conditionalFormatting>
        <x14:conditionalFormatting xmlns:xm="http://schemas.microsoft.com/office/excel/2006/main">
          <x14:cfRule type="expression" priority="5" id="{F22FD40F-2FA3-4C59-B136-617A4AEC05AE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P41:P42</xm:sqref>
        </x14:conditionalFormatting>
        <x14:conditionalFormatting xmlns:xm="http://schemas.microsoft.com/office/excel/2006/main">
          <x14:cfRule type="expression" priority="4" id="{C294DC94-4ABB-41D3-9DD7-700B20D5D1EE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P30:P31</xm:sqref>
        </x14:conditionalFormatting>
        <x14:conditionalFormatting xmlns:xm="http://schemas.microsoft.com/office/excel/2006/main">
          <x14:cfRule type="expression" priority="2" id="{FF6B135D-D975-4AD8-8541-120B00DF6FDE}">
            <xm:f>'Event Tree Input'!$D$9="Seismic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B37:H37</xm:sqref>
        </x14:conditionalFormatting>
        <x14:conditionalFormatting xmlns:xm="http://schemas.microsoft.com/office/excel/2006/main">
          <x14:cfRule type="expression" priority="1" id="{16205249-2BCF-4730-94BE-0C20F41D462B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P34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E850D3C5-893A-4961-8422-6D378C2811D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0CB3453-D9F3-4F94-89DF-6F3481AE13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EE2F3AC-FF9F-48DE-B5CA-9538EEA31E3F}">
  <ds:schemaRefs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f254aa9d-3c64-433e-b325-d6b94ca3f691"/>
    <ds:schemaRef ds:uri="http://www.w3.org/XML/1998/namespace"/>
    <ds:schemaRef ds:uri="http://schemas.microsoft.com/office/infopath/2007/PartnerControls"/>
    <ds:schemaRef ds:uri="http://schemas.microsoft.com/office/2006/metadata/properties"/>
    <ds:schemaRef ds:uri="a8f80ecd-cddb-46c8-b263-c25672b580c6"/>
    <ds:schemaRef ds:uri="http://purl.org/dc/terms/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2023-12-07T21:31:15Z</cp:lastPrinted>
  <dcterms:created xsi:type="dcterms:W3CDTF">2016-11-03T19:42:04Z</dcterms:created>
  <dcterms:modified xsi:type="dcterms:W3CDTF">2025-09-03T01:54:23Z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  <property fmtid="{D5CDD505-2E9C-101B-9397-08002B2CF9AE}" pid="3" name="Folder_Number">
    <vt:lpwstr/>
  </property>
  <property fmtid="{D5CDD505-2E9C-101B-9397-08002B2CF9AE}" pid="4" name="Folder_Code">
    <vt:lpwstr/>
  </property>
  <property fmtid="{D5CDD505-2E9C-101B-9397-08002B2CF9AE}" pid="5" name="Folder_Name">
    <vt:lpwstr/>
  </property>
  <property fmtid="{D5CDD505-2E9C-101B-9397-08002B2CF9AE}" pid="6" name="Folder_Description">
    <vt:lpwstr/>
  </property>
  <property fmtid="{D5CDD505-2E9C-101B-9397-08002B2CF9AE}" pid="7" name="/Folder_Name/">
    <vt:lpwstr/>
  </property>
  <property fmtid="{D5CDD505-2E9C-101B-9397-08002B2CF9AE}" pid="8" name="/Folder_Description/">
    <vt:lpwstr/>
  </property>
  <property fmtid="{D5CDD505-2E9C-101B-9397-08002B2CF9AE}" pid="9" name="Folder_Version">
    <vt:lpwstr/>
  </property>
  <property fmtid="{D5CDD505-2E9C-101B-9397-08002B2CF9AE}" pid="10" name="Folder_VersionSeq">
    <vt:lpwstr/>
  </property>
  <property fmtid="{D5CDD505-2E9C-101B-9397-08002B2CF9AE}" pid="11" name="Folder_Manager">
    <vt:lpwstr/>
  </property>
  <property fmtid="{D5CDD505-2E9C-101B-9397-08002B2CF9AE}" pid="12" name="Folder_ManagerDesc">
    <vt:lpwstr/>
  </property>
  <property fmtid="{D5CDD505-2E9C-101B-9397-08002B2CF9AE}" pid="13" name="Folder_Storage">
    <vt:lpwstr/>
  </property>
  <property fmtid="{D5CDD505-2E9C-101B-9397-08002B2CF9AE}" pid="14" name="Folder_StorageDesc">
    <vt:lpwstr/>
  </property>
  <property fmtid="{D5CDD505-2E9C-101B-9397-08002B2CF9AE}" pid="15" name="Folder_Creator">
    <vt:lpwstr/>
  </property>
  <property fmtid="{D5CDD505-2E9C-101B-9397-08002B2CF9AE}" pid="16" name="Folder_CreatorDesc">
    <vt:lpwstr/>
  </property>
  <property fmtid="{D5CDD505-2E9C-101B-9397-08002B2CF9AE}" pid="17" name="Folder_CreateDate">
    <vt:lpwstr/>
  </property>
  <property fmtid="{D5CDD505-2E9C-101B-9397-08002B2CF9AE}" pid="18" name="Folder_Updater">
    <vt:lpwstr/>
  </property>
  <property fmtid="{D5CDD505-2E9C-101B-9397-08002B2CF9AE}" pid="19" name="Folder_UpdaterDesc">
    <vt:lpwstr/>
  </property>
  <property fmtid="{D5CDD505-2E9C-101B-9397-08002B2CF9AE}" pid="20" name="Folder_UpdateDate">
    <vt:lpwstr/>
  </property>
  <property fmtid="{D5CDD505-2E9C-101B-9397-08002B2CF9AE}" pid="21" name="Document_Number">
    <vt:lpwstr/>
  </property>
  <property fmtid="{D5CDD505-2E9C-101B-9397-08002B2CF9AE}" pid="22" name="Document_Name">
    <vt:lpwstr/>
  </property>
  <property fmtid="{D5CDD505-2E9C-101B-9397-08002B2CF9AE}" pid="23" name="Document_FileName">
    <vt:lpwstr/>
  </property>
  <property fmtid="{D5CDD505-2E9C-101B-9397-08002B2CF9AE}" pid="24" name="Document_Version">
    <vt:lpwstr/>
  </property>
  <property fmtid="{D5CDD505-2E9C-101B-9397-08002B2CF9AE}" pid="25" name="Document_VersionSeq">
    <vt:lpwstr/>
  </property>
  <property fmtid="{D5CDD505-2E9C-101B-9397-08002B2CF9AE}" pid="26" name="Document_Creator">
    <vt:lpwstr/>
  </property>
  <property fmtid="{D5CDD505-2E9C-101B-9397-08002B2CF9AE}" pid="27" name="Document_CreatorDesc">
    <vt:lpwstr/>
  </property>
  <property fmtid="{D5CDD505-2E9C-101B-9397-08002B2CF9AE}" pid="28" name="Document_CreateDate">
    <vt:lpwstr/>
  </property>
  <property fmtid="{D5CDD505-2E9C-101B-9397-08002B2CF9AE}" pid="29" name="Document_Updater">
    <vt:lpwstr/>
  </property>
  <property fmtid="{D5CDD505-2E9C-101B-9397-08002B2CF9AE}" pid="30" name="Document_UpdaterDesc">
    <vt:lpwstr/>
  </property>
  <property fmtid="{D5CDD505-2E9C-101B-9397-08002B2CF9AE}" pid="31" name="Document_UpdateDate">
    <vt:lpwstr/>
  </property>
  <property fmtid="{D5CDD505-2E9C-101B-9397-08002B2CF9AE}" pid="32" name="Document_Size">
    <vt:lpwstr/>
  </property>
  <property fmtid="{D5CDD505-2E9C-101B-9397-08002B2CF9AE}" pid="33" name="Document_Storage">
    <vt:lpwstr/>
  </property>
  <property fmtid="{D5CDD505-2E9C-101B-9397-08002B2CF9AE}" pid="34" name="Document_StorageDesc">
    <vt:lpwstr/>
  </property>
  <property fmtid="{D5CDD505-2E9C-101B-9397-08002B2CF9AE}" pid="35" name="Document_Department">
    <vt:lpwstr/>
  </property>
  <property fmtid="{D5CDD505-2E9C-101B-9397-08002B2CF9AE}" pid="36" name="Document_DepartmentDesc">
    <vt:lpwstr/>
  </property>
  <property fmtid="{D5CDD505-2E9C-101B-9397-08002B2CF9AE}" pid="37" name="MediaServiceImageTags">
    <vt:lpwstr/>
  </property>
</Properties>
</file>