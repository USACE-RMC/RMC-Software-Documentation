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493D8586-BC11-4EB2-940C-9FAA103333EA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<sst xmlns="http://schemas.openxmlformats.org/spreadsheetml/2006/main" count="130" uniqueCount="63">
  <si>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</si>
  <si>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</si>
  <si>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</si>
  <si>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</si>
  <si>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</si>
  <si>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</si>
  <si>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</si>
  <si>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</si>
  <si>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</si>
  <si>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</si>
  <si>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</si>
  <si>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</si>
  <si>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</si>
  <si>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</si>
  <si>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</si>
  <si>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</si>
  <si>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</si>
  <si>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</si>
  <si>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</si>
  <si>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</si>
  <si>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</si>
  <si>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</si>
  <si>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</si>
  <si>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</si>
  <si>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</si>
  <si>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</si>
  <si>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</si>
  <si>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</si>
  <si>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</si>
  <si>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</si>
  <si>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</si>
  <si>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</si>
  <si>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</si>
  <si>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</si>
  <si>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</si>
  <si>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</si>
  <si>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</si>
  <si>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</si>
  <si>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</si>
  <si>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</si>
  <si>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</si>
  <si>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</si>
  <si>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</si>
  <si>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</si>
  <si>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</si>
  <si>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</si>
  <si>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</si>
  <si>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</si>
  <si>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</si>
  <si>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</si>
  <si>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</si>
  <si>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</si>
  <si>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</si>
  <si>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</si>
  <si>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</si>
  <si>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</si>
  <si>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</si>
  <si>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</si>
  <si>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</si>
  <si>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head difference occurs across the wall creating a driving lateral force to the wall?</t>
  </si>
  <si>
    <t>The driving lateral force exceeds the sliding resistance along the critical plane at the base of the wall?</t>
  </si>
  <si>
    <t>The wall continues to displace leading to a full breach?</t>
  </si>
  <si>
    <t>The wall slides and displaces enough to provide an opening at a monolith joint?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</si>
</sst>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head difference occurs across the wall creating a driving lateral force to the wall?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driving lateral force exceeds the sliding resistance along the critical plane at the base of the wall?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wall slides and displaces enough to provide an opening at a monolith joint?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wall continues to displace leading to a full breach?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1"/>
      <c r="C1" s="41"/>
      <c r="D1" s="41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1"/>
      <c r="C2" s="41"/>
      <c r="D2" s="41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58</v>
      </c>
      <c r="E9" s="43"/>
      <c r="F9" s="24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5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57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59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60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62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56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61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/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/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51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52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58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Triangle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0" t="s">
        <v>8</v>
      </c>
      <c r="B1" s="50"/>
      <c r="C1" s="50"/>
      <c r="D1" s="5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2" t="s">
        <v>9</v>
      </c>
      <c r="AG1" s="52"/>
      <c r="AH1" s="52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2" t="s">
        <v>10</v>
      </c>
      <c r="BE1" s="52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50" t="s">
        <v>11</v>
      </c>
      <c r="B2" s="50"/>
      <c r="C2" s="50"/>
      <c r="D2" s="50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2" t="s">
        <v>9</v>
      </c>
      <c r="AG2" s="52"/>
      <c r="AH2" s="5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2" t="s">
        <v>10</v>
      </c>
      <c r="BE2" s="52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</row>
    <row r="3" spans="1:80" ht="15" customHeight="1" x14ac:dyDescent="0.2">
      <c r="A3" s="51" t="s">
        <v>12</v>
      </c>
      <c r="B3" s="51"/>
      <c r="C3" s="51"/>
      <c r="D3" s="51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54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53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9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9"/>
      <c r="K36" s="49"/>
      <c r="L36" s="49"/>
      <c r="M36" s="49"/>
      <c r="N36" s="49"/>
      <c r="O36" s="49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49"/>
      <c r="J37" s="49"/>
      <c r="K37" s="49"/>
      <c r="L37" s="49"/>
      <c r="M37" s="49"/>
      <c r="N37" s="49"/>
      <c r="O37" s="49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55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Triangle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/>
      </c>
      <c r="L62" s="48"/>
      <c r="M62" s="48"/>
      <c r="N62" s="48" t="str">
        <f>'Event Tree Input'!C163</f>
        <v/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/>
      </c>
      <c r="L63" s="48"/>
      <c r="M63" s="48"/>
      <c r="N63" s="48" t="str">
        <f>'Event Tree Input'!C164</f>
        <v/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5" t="str">
        <f>'Event Tree Input'!A27</f>
        <v>Node 1 Callout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29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29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29"/>
      <c r="X70" s="30"/>
      <c r="Y70" s="29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29"/>
      <c r="X71" s="30"/>
      <c r="Y71" s="29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29"/>
      <c r="X72" s="30"/>
      <c r="Y72" s="29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5" t="str">
        <f>'Event Tree Input'!A41</f>
        <v>Node 2 Callout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30"/>
      <c r="X77" s="30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30"/>
      <c r="X78" s="30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30"/>
      <c r="X79" s="30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30"/>
      <c r="X80" s="30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5" t="str">
        <f>'Event Tree Input'!A55</f>
        <v>Node 3 Callout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5" t="str">
        <f>'Event Tree Input'!A69</f>
        <v>Node 4 Callout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5" t="str">
        <f>'Event Tree Input'!A83</f>
        <v>Node 5 Callout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5" t="str">
        <f>'Event Tree Input'!A97</f>
        <v>Node 6 Callout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5" t="str">
        <f>'Event Tree Input'!A111</f>
        <v>Node 7 Callout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5" t="str">
        <f>'Event Tree Input'!A125</f>
        <v>Node 8 Callout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5" t="str">
        <f>'Event Tree Input'!A139</f>
        <v>Node 9 Callout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AC424BE-BBDF-4B8A-90F3-2E12054CCBD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C984813-68F7-415E-AE58-E4B36252E419}">
  <ds:schemaRefs>
    <ds:schemaRef ds:uri="f254aa9d-3c64-433e-b325-d6b94ca3f691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  <ds:schemaRef ds:uri="http://purl.org/dc/terms/"/>
    <ds:schemaRef ds:uri="http://schemas.microsoft.com/office/infopath/2007/PartnerControls"/>
    <ds:schemaRef ds:uri="a8f80ecd-cddb-46c8-b263-c25672b580c6"/>
  </ds:schemaRefs>
</ds:datastoreItem>
</file>

<file path=customXml/itemProps3.xml><?xml version="1.0" encoding="utf-8"?>
<ds:datastoreItem xmlns:ds="http://schemas.openxmlformats.org/officeDocument/2006/customXml" ds:itemID="{F90CB0E5-5146-46FD-A27D-40139473976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