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660CE108-2C37-4773-9228-4499726FC3E7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<sst xmlns="http://schemas.openxmlformats.org/spreadsheetml/2006/main" count="139" uniqueCount="72">
  <si>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</si>
  <si>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</si>
  <si>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</si>
  <si>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</si>
  <si>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</si>
  <si>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</si>
  <si>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</si>
  <si>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</si>
  <si>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</si>
  <si>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</si>
  <si>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</si>
  <si>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</si>
  <si>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</si>
  <si>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</si>
  <si>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</si>
  <si>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</si>
  <si>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</si>
  <si>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</si>
  <si>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</si>
  <si>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</si>
  <si>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</si>
  <si>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</si>
  <si>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</si>
  <si>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</si>
  <si>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</si>
  <si>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</si>
  <si>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</si>
  <si>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</si>
  <si>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</si>
  <si>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</si>
  <si>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</si>
  <si>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</si>
  <si>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</si>
  <si>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</si>
  <si>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</si>
  <si>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</si>
  <si>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</si>
  <si>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</si>
  <si>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</si>
  <si>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</si>
  <si>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</si>
  <si>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</si>
  <si>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</si>
  <si>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</si>
  <si>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</si>
  <si>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</si>
  <si>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</si>
  <si>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</si>
  <si>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</si>
  <si>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</si>
  <si>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</si>
  <si>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</si>
  <si>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</si>
  <si>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</si>
  <si>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</si>
  <si>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</si>
  <si>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Progression: Mechanical Condition</t>
  </si>
  <si>
    <t>Progression: Hydraulic Condition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</si>
  <si>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</si>
  <si>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</si>
  <si>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</si>
  <si>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</si>
  <si>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</si>
  <si>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</si>
  <si>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Continuous Path</t>
  </si>
  <si>
    <t>A continuous path of fine to medium, uniform sand exists?</t>
  </si>
  <si>
    <t>Flaw: Unfiltered Exit</t>
  </si>
  <si>
    <t>Initiation</t>
  </si>
  <si>
    <t>Sufficient exit gradient exists to initiate backward erosion piping at the unfiltered seepage exit?</t>
  </si>
  <si>
    <t>A continuous stable roof forms over the developing pipe?</t>
  </si>
  <si>
    <t>An unfiltered seepage exit exists?</t>
  </si>
  <si>
    <t>Sufficient flow exists to advance the pipe toward the impounded water?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</si>
</sst>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  <xf numFmtId="0" fontId="4" fillId="0" borderId="0" xfId="0" applyFont="1" applyAlignment="1">
      <alignment horizontal="center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4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Continuous Path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Unfiltered Exit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Mechanical Condition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Hydraulic Condition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path of fine to medium, uniform sand exists?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exit gradient exists to initiate backward erosion piping at the unfiltered seepage exit?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continuous stable roof forms over the developing pipe?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flow exists to advance the pipe toward the impounded water?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0"/>
      <c r="C1" s="40"/>
      <c r="D1" s="40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0"/>
      <c r="C2" s="40"/>
      <c r="D2" s="40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1"/>
      <c r="D3" s="41"/>
      <c r="E3" s="41"/>
      <c r="F3" s="41"/>
      <c r="G3" s="41"/>
      <c r="H3" s="41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2" t="s">
        <v>63</v>
      </c>
      <c r="E9" s="42"/>
      <c r="F9" s="11" t="s">
        <v>28</v>
      </c>
      <c r="G9" s="42"/>
      <c r="H9" s="42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64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65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66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70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67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68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56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69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57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71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3" t="s">
        <v>17</v>
      </c>
      <c r="B156" s="9" t="s">
        <v>23</v>
      </c>
      <c r="C156" s="9" t="s">
        <v>24</v>
      </c>
    </row>
    <row r="157" spans="1:5" x14ac:dyDescent="0.2">
      <c r="A157" s="43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5:H58"/>
    <mergeCell ref="A66:H66"/>
    <mergeCell ref="A69:H72"/>
    <mergeCell ref="A80:H80"/>
    <mergeCell ref="A83:H86"/>
    <mergeCell ref="A63:H63"/>
    <mergeCell ref="A77:H77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</mergeCells>
  <conditionalFormatting sqref="F9:H9">
    <cfRule type="expression" dxfId="23" priority="73">
      <formula>$D$9="Seismic Hazard"</formula>
    </cfRule>
    <cfRule type="expression" dxfId="22" priority="74">
      <formula>$D$9="Hydrologic Hazard"</formula>
    </cfRule>
  </conditionalFormatting>
  <conditionalFormatting sqref="A32:H34 A36:H45">
    <cfRule type="expression" dxfId="21" priority="22" stopIfTrue="1">
      <formula>$D$11&lt;2</formula>
    </cfRule>
  </conditionalFormatting>
  <conditionalFormatting sqref="A110:H114 A138:H142 A40:H44 A54:H58 A68:H72 A82:H86 A96:H100 A124:H128 A26:H30">
    <cfRule type="expression" dxfId="20" priority="8" stopIfTrue="1">
      <formula>$D$14="No"</formula>
    </cfRule>
  </conditionalFormatting>
  <conditionalFormatting sqref="A46:H59">
    <cfRule type="expression" dxfId="19" priority="20" stopIfTrue="1">
      <formula>$D$11&lt;3</formula>
    </cfRule>
  </conditionalFormatting>
  <conditionalFormatting sqref="A60:H73">
    <cfRule type="expression" dxfId="18" priority="18" stopIfTrue="1">
      <formula>$D$11&lt;4</formula>
    </cfRule>
  </conditionalFormatting>
  <conditionalFormatting sqref="A74:H87">
    <cfRule type="expression" dxfId="17" priority="15" stopIfTrue="1">
      <formula>$D$11&lt;5</formula>
    </cfRule>
  </conditionalFormatting>
  <conditionalFormatting sqref="A88:H101">
    <cfRule type="expression" dxfId="16" priority="13" stopIfTrue="1">
      <formula>$D$11&lt;6</formula>
    </cfRule>
  </conditionalFormatting>
  <conditionalFormatting sqref="A102:H115">
    <cfRule type="expression" dxfId="15" priority="14" stopIfTrue="1">
      <formula>$D$11&lt;7</formula>
    </cfRule>
  </conditionalFormatting>
  <conditionalFormatting sqref="A116:H129">
    <cfRule type="expression" dxfId="14" priority="9" stopIfTrue="1">
      <formula>$D$11&lt;8</formula>
    </cfRule>
  </conditionalFormatting>
  <conditionalFormatting sqref="A130:H143">
    <cfRule type="expression" dxfId="13" priority="7" stopIfTrue="1">
      <formula>$D$11&lt;9</formula>
    </cfRule>
  </conditionalFormatting>
  <conditionalFormatting sqref="A20:H20 A34:H34 A48:H49 A62:H63 A76:H77 A90:H91 A104:H105 A118:H119 A132:H133">
    <cfRule type="expression" dxfId="12" priority="28">
      <formula>$D$13="No"</formula>
    </cfRule>
  </conditionalFormatting>
  <conditionalFormatting sqref="A27:H30">
    <cfRule type="expression" dxfId="11" priority="24" stopIfTrue="1">
      <formula>$D$11&lt;2</formula>
    </cfRule>
  </conditionalFormatting>
  <conditionalFormatting sqref="A21:H21">
    <cfRule type="expression" dxfId="10" priority="6">
      <formula>$D$31="No"</formula>
    </cfRule>
  </conditionalFormatting>
  <conditionalFormatting sqref="A35:H35">
    <cfRule type="expression" dxfId="9" priority="1">
      <formula>$D$31="No"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8" t="s">
        <v>8</v>
      </c>
      <c r="B1" s="48"/>
      <c r="C1" s="48"/>
      <c r="D1" s="48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50" t="s">
        <v>9</v>
      </c>
      <c r="AG1" s="50"/>
      <c r="AH1" s="5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50" t="s">
        <v>10</v>
      </c>
      <c r="BE1" s="5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</row>
    <row r="2" spans="1:80" ht="15" customHeight="1" x14ac:dyDescent="0.2">
      <c r="A2" s="48" t="s">
        <v>11</v>
      </c>
      <c r="B2" s="48"/>
      <c r="C2" s="48"/>
      <c r="D2" s="48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0" t="s">
        <v>9</v>
      </c>
      <c r="AG2" s="50"/>
      <c r="AH2" s="50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0" t="s">
        <v>10</v>
      </c>
      <c r="BE2" s="50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</row>
    <row r="3" spans="1:80" ht="15" customHeight="1" x14ac:dyDescent="0.2">
      <c r="A3" s="49" t="s">
        <v>12</v>
      </c>
      <c r="B3" s="49"/>
      <c r="C3" s="49"/>
      <c r="D3" s="49"/>
      <c r="E3" s="49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45" t="s">
        <v>25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3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3"/>
      <c r="K36" s="43"/>
      <c r="L36" s="43"/>
      <c r="M36" s="43"/>
      <c r="N36" s="43"/>
      <c r="O36" s="43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3"/>
      <c r="J37" s="43"/>
      <c r="K37" s="43"/>
      <c r="L37" s="43"/>
      <c r="M37" s="43"/>
      <c r="N37" s="43"/>
      <c r="O37" s="43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46" t="s">
        <v>19</v>
      </c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</row>
    <row r="55" spans="1:79" ht="15" customHeight="1" x14ac:dyDescent="0.2">
      <c r="A55" s="47" t="s">
        <v>55</v>
      </c>
      <c r="B55" s="47"/>
      <c r="C55" s="47"/>
      <c r="D55" s="47"/>
      <c r="E55" s="47"/>
      <c r="F55" s="47" t="str">
        <f>IF('Event Tree Input'!D9="Seismic Hazard","Yes","No")</f>
        <v>No</v>
      </c>
      <c r="G55" s="47"/>
      <c r="I55" s="43" t="s">
        <v>17</v>
      </c>
      <c r="J55" s="43"/>
      <c r="K55" s="47" t="s">
        <v>23</v>
      </c>
      <c r="L55" s="47"/>
      <c r="M55" s="47"/>
      <c r="N55" s="47" t="s">
        <v>24</v>
      </c>
      <c r="O55" s="47"/>
      <c r="P55" s="47"/>
    </row>
    <row r="56" spans="1:79" ht="15" customHeight="1" x14ac:dyDescent="0.2">
      <c r="I56" s="43"/>
      <c r="J56" s="43"/>
      <c r="K56" s="47" t="s">
        <v>22</v>
      </c>
      <c r="L56" s="47"/>
      <c r="M56" s="47"/>
      <c r="N56" s="47" t="s">
        <v>22</v>
      </c>
      <c r="O56" s="47"/>
      <c r="P56" s="47"/>
      <c r="S56" s="47" t="s">
        <v>17</v>
      </c>
      <c r="T56" s="47"/>
      <c r="U56" s="47" t="s">
        <v>27</v>
      </c>
      <c r="V56" s="47"/>
      <c r="W56" s="47"/>
      <c r="X56" s="47" t="s">
        <v>29</v>
      </c>
      <c r="Y56" s="47"/>
      <c r="Z56" s="47"/>
    </row>
    <row r="57" spans="1:79" ht="15" customHeight="1" x14ac:dyDescent="0.2">
      <c r="I57" s="47">
        <v>1</v>
      </c>
      <c r="J57" s="47"/>
      <c r="K57" s="47" t="str">
        <f>'Event Tree Input'!B158</f>
        <v>Circle</v>
      </c>
      <c r="L57" s="47"/>
      <c r="M57" s="47"/>
      <c r="N57" s="47" t="str">
        <f>'Event Tree Input'!C158</f>
        <v>Triangle</v>
      </c>
      <c r="O57" s="47"/>
      <c r="P57" s="47"/>
      <c r="S57" s="47">
        <v>1</v>
      </c>
      <c r="T57" s="47"/>
      <c r="U57" s="47" t="str">
        <f>IF('Event Tree Input'!$D$14="No","No",IF(AND('Event Tree Input'!$D$14="Yes",'Event Tree Input'!$D$11&gt;=S57),"Yes","No"))</f>
        <v>No</v>
      </c>
      <c r="V57" s="47"/>
      <c r="W57" s="47"/>
      <c r="X57" s="47" t="str">
        <f>'Event Tree Input'!$D$13</f>
        <v>Yes</v>
      </c>
      <c r="Y57" s="47"/>
      <c r="Z57" s="47"/>
    </row>
    <row r="58" spans="1:79" ht="15" customHeight="1" x14ac:dyDescent="0.2">
      <c r="I58" s="47">
        <v>2</v>
      </c>
      <c r="J58" s="47"/>
      <c r="K58" s="47" t="str">
        <f>'Event Tree Input'!B159</f>
        <v>Circle</v>
      </c>
      <c r="L58" s="47"/>
      <c r="M58" s="47"/>
      <c r="N58" s="47" t="str">
        <f>'Event Tree Input'!C159</f>
        <v>Triangle</v>
      </c>
      <c r="O58" s="47"/>
      <c r="P58" s="47"/>
      <c r="S58" s="47">
        <v>2</v>
      </c>
      <c r="T58" s="47"/>
      <c r="U58" s="47" t="str">
        <f>IF('Event Tree Input'!$D$14="No","No",IF(AND('Event Tree Input'!$D$14="Yes",'Event Tree Input'!$D$11&gt;=S58),"Yes","No"))</f>
        <v>No</v>
      </c>
      <c r="V58" s="47"/>
      <c r="W58" s="47"/>
      <c r="X58" s="47" t="str">
        <f>'Event Tree Input'!$D$13</f>
        <v>Yes</v>
      </c>
      <c r="Y58" s="47"/>
      <c r="Z58" s="47"/>
    </row>
    <row r="59" spans="1:79" ht="15" customHeight="1" x14ac:dyDescent="0.2">
      <c r="I59" s="47">
        <v>3</v>
      </c>
      <c r="J59" s="47"/>
      <c r="K59" s="47" t="str">
        <f>'Event Tree Input'!B160</f>
        <v>Circle</v>
      </c>
      <c r="L59" s="47"/>
      <c r="M59" s="47"/>
      <c r="N59" s="47" t="str">
        <f>'Event Tree Input'!C160</f>
        <v>Triangle</v>
      </c>
      <c r="O59" s="47"/>
      <c r="P59" s="47"/>
      <c r="S59" s="47">
        <v>3</v>
      </c>
      <c r="T59" s="47"/>
      <c r="U59" s="47" t="str">
        <f>IF('Event Tree Input'!$D$14="No","No",IF(AND('Event Tree Input'!$D$14="Yes",'Event Tree Input'!$D$11&gt;=S59),"Yes","No"))</f>
        <v>No</v>
      </c>
      <c r="V59" s="47"/>
      <c r="W59" s="47"/>
      <c r="X59" s="47" t="str">
        <f>'Event Tree Input'!$D$13</f>
        <v>Yes</v>
      </c>
      <c r="Y59" s="47"/>
      <c r="Z59" s="47"/>
    </row>
    <row r="60" spans="1:79" ht="15" customHeight="1" x14ac:dyDescent="0.2">
      <c r="I60" s="47">
        <v>4</v>
      </c>
      <c r="J60" s="47"/>
      <c r="K60" s="47" t="str">
        <f>'Event Tree Input'!B161</f>
        <v>Circle</v>
      </c>
      <c r="L60" s="47"/>
      <c r="M60" s="47"/>
      <c r="N60" s="47" t="str">
        <f>'Event Tree Input'!C161</f>
        <v>Triangle</v>
      </c>
      <c r="O60" s="47"/>
      <c r="P60" s="47"/>
      <c r="S60" s="47">
        <v>4</v>
      </c>
      <c r="T60" s="47"/>
      <c r="U60" s="47" t="str">
        <f>IF('Event Tree Input'!$D$14="No","No",IF(AND('Event Tree Input'!$D$14="Yes",'Event Tree Input'!$D$11&gt;=S60),"Yes","No"))</f>
        <v>No</v>
      </c>
      <c r="V60" s="47"/>
      <c r="W60" s="47"/>
      <c r="X60" s="47" t="str">
        <f>'Event Tree Input'!$D$13</f>
        <v>Yes</v>
      </c>
      <c r="Y60" s="47"/>
      <c r="Z60" s="47"/>
    </row>
    <row r="61" spans="1:79" ht="15" customHeight="1" x14ac:dyDescent="0.2">
      <c r="I61" s="47">
        <v>5</v>
      </c>
      <c r="J61" s="47"/>
      <c r="K61" s="47" t="str">
        <f>'Event Tree Input'!B162</f>
        <v>Circle</v>
      </c>
      <c r="L61" s="47"/>
      <c r="M61" s="47"/>
      <c r="N61" s="47" t="str">
        <f>'Event Tree Input'!C162</f>
        <v>Triangle</v>
      </c>
      <c r="O61" s="47"/>
      <c r="P61" s="47"/>
      <c r="S61" s="47">
        <v>5</v>
      </c>
      <c r="T61" s="47"/>
      <c r="U61" s="47" t="str">
        <f>IF('Event Tree Input'!$D$14="No","No",IF(AND('Event Tree Input'!$D$14="Yes",'Event Tree Input'!$D$11&gt;=S61),"Yes","No"))</f>
        <v>No</v>
      </c>
      <c r="V61" s="47"/>
      <c r="W61" s="47"/>
      <c r="X61" s="47" t="str">
        <f>'Event Tree Input'!$D$13</f>
        <v>Yes</v>
      </c>
      <c r="Y61" s="47"/>
      <c r="Z61" s="47"/>
    </row>
    <row r="62" spans="1:79" ht="15" customHeight="1" x14ac:dyDescent="0.2">
      <c r="I62" s="47">
        <v>6</v>
      </c>
      <c r="J62" s="47"/>
      <c r="K62" s="47" t="str">
        <f>'Event Tree Input'!B163</f>
        <v>Circle</v>
      </c>
      <c r="L62" s="47"/>
      <c r="M62" s="47"/>
      <c r="N62" s="47" t="str">
        <f>'Event Tree Input'!C163</f>
        <v>Triangle</v>
      </c>
      <c r="O62" s="47"/>
      <c r="P62" s="47"/>
      <c r="S62" s="47">
        <v>6</v>
      </c>
      <c r="T62" s="47"/>
      <c r="U62" s="47" t="str">
        <f>IF('Event Tree Input'!$D$14="No","No",IF(AND('Event Tree Input'!$D$14="Yes",'Event Tree Input'!$D$11&gt;=S62),"Yes","No"))</f>
        <v>No</v>
      </c>
      <c r="V62" s="47"/>
      <c r="W62" s="47"/>
      <c r="X62" s="47" t="str">
        <f>'Event Tree Input'!$D$13</f>
        <v>Yes</v>
      </c>
      <c r="Y62" s="47"/>
      <c r="Z62" s="47"/>
    </row>
    <row r="63" spans="1:79" ht="15" customHeight="1" x14ac:dyDescent="0.2">
      <c r="I63" s="47">
        <v>7</v>
      </c>
      <c r="J63" s="47"/>
      <c r="K63" s="47" t="str">
        <f>'Event Tree Input'!B164</f>
        <v>Triangle</v>
      </c>
      <c r="L63" s="47"/>
      <c r="M63" s="47"/>
      <c r="N63" s="47" t="str">
        <f>'Event Tree Input'!C164</f>
        <v>Triangle</v>
      </c>
      <c r="O63" s="47"/>
      <c r="P63" s="47"/>
      <c r="S63" s="47">
        <v>7</v>
      </c>
      <c r="T63" s="47"/>
      <c r="U63" s="47" t="str">
        <f>IF('Event Tree Input'!$D$14="No","No",IF(AND('Event Tree Input'!$D$14="Yes",'Event Tree Input'!$D$11&gt;=S63),"Yes","No"))</f>
        <v>No</v>
      </c>
      <c r="V63" s="47"/>
      <c r="W63" s="47"/>
      <c r="X63" s="47" t="str">
        <f>'Event Tree Input'!$D$13</f>
        <v>Yes</v>
      </c>
      <c r="Y63" s="47"/>
      <c r="Z63" s="47"/>
    </row>
    <row r="64" spans="1:79" ht="15" customHeight="1" x14ac:dyDescent="0.2">
      <c r="I64" s="47">
        <v>8</v>
      </c>
      <c r="J64" s="47"/>
      <c r="K64" s="47" t="str">
        <f>'Event Tree Input'!B165</f>
        <v/>
      </c>
      <c r="L64" s="47"/>
      <c r="M64" s="47"/>
      <c r="N64" s="47" t="str">
        <f>'Event Tree Input'!C165</f>
        <v/>
      </c>
      <c r="O64" s="47"/>
      <c r="P64" s="47"/>
      <c r="S64" s="47">
        <v>8</v>
      </c>
      <c r="T64" s="47"/>
      <c r="U64" s="47" t="str">
        <f>IF('Event Tree Input'!$D$14="No","No",IF(AND('Event Tree Input'!$D$14="Yes",'Event Tree Input'!$D$11&gt;=S64),"Yes","No"))</f>
        <v>No</v>
      </c>
      <c r="V64" s="47"/>
      <c r="W64" s="47"/>
      <c r="X64" s="47" t="str">
        <f>'Event Tree Input'!$D$13</f>
        <v>Yes</v>
      </c>
      <c r="Y64" s="47"/>
      <c r="Z64" s="47"/>
    </row>
    <row r="65" spans="2:26" ht="15" customHeight="1" x14ac:dyDescent="0.2">
      <c r="I65" s="47">
        <v>9</v>
      </c>
      <c r="J65" s="47"/>
      <c r="K65" s="47" t="str">
        <f>'Event Tree Input'!B166</f>
        <v/>
      </c>
      <c r="L65" s="47"/>
      <c r="M65" s="47"/>
      <c r="N65" s="47" t="str">
        <f>'Event Tree Input'!C166</f>
        <v/>
      </c>
      <c r="O65" s="47"/>
      <c r="P65" s="47"/>
      <c r="S65" s="47">
        <v>9</v>
      </c>
      <c r="T65" s="47"/>
      <c r="U65" s="47" t="str">
        <f>IF('Event Tree Input'!$D$14="No","No",IF(AND('Event Tree Input'!$D$14="Yes",'Event Tree Input'!$D$11&gt;=S65),"Yes","No"))</f>
        <v>No</v>
      </c>
      <c r="V65" s="47"/>
      <c r="W65" s="47"/>
      <c r="X65" s="47" t="str">
        <f>'Event Tree Input'!$D$13</f>
        <v>Yes</v>
      </c>
      <c r="Y65" s="47"/>
      <c r="Z65" s="47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4" t="str">
        <f>'Event Tree Input'!A27</f>
        <v>Node 1 Callout</v>
      </c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14"/>
    </row>
    <row r="69" spans="2:26" ht="15" customHeight="1" x14ac:dyDescent="0.2"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14"/>
    </row>
    <row r="70" spans="2:26" ht="15" customHeight="1" x14ac:dyDescent="0.2"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14"/>
      <c r="X70" s="15"/>
      <c r="Y70" s="14"/>
    </row>
    <row r="71" spans="2:26" ht="15" customHeight="1" x14ac:dyDescent="0.2"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14"/>
      <c r="X71" s="15"/>
      <c r="Y71" s="14"/>
    </row>
    <row r="72" spans="2:26" ht="15" customHeight="1" x14ac:dyDescent="0.2"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14"/>
      <c r="X72" s="15"/>
      <c r="Y72" s="14"/>
    </row>
    <row r="73" spans="2:26" ht="15" customHeight="1" x14ac:dyDescent="0.2"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4" t="str">
        <f>'Event Tree Input'!A41</f>
        <v>Node 2 Callout</v>
      </c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</row>
    <row r="77" spans="2:26" ht="15" customHeight="1" x14ac:dyDescent="0.2"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15"/>
      <c r="X77" s="15"/>
    </row>
    <row r="78" spans="2:26" ht="15" customHeight="1" x14ac:dyDescent="0.2"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15"/>
      <c r="X78" s="15"/>
    </row>
    <row r="79" spans="2:26" ht="15" customHeight="1" x14ac:dyDescent="0.2"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15"/>
      <c r="X79" s="15"/>
    </row>
    <row r="80" spans="2:26" ht="15" customHeight="1" x14ac:dyDescent="0.2"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15"/>
      <c r="X80" s="15"/>
    </row>
    <row r="81" spans="2:24" ht="15" customHeight="1" x14ac:dyDescent="0.2"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4" t="str">
        <f>'Event Tree Input'!A55</f>
        <v>Node 3 Callout</v>
      </c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</row>
    <row r="85" spans="2:24" ht="15" customHeight="1" x14ac:dyDescent="0.2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</row>
    <row r="86" spans="2:24" ht="15" customHeight="1" x14ac:dyDescent="0.2"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</row>
    <row r="87" spans="2:24" ht="15" customHeight="1" x14ac:dyDescent="0.2"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</row>
    <row r="88" spans="2:24" ht="15" customHeight="1" x14ac:dyDescent="0.2"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</row>
    <row r="89" spans="2:24" ht="15" customHeight="1" x14ac:dyDescent="0.2"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4" t="str">
        <f>'Event Tree Input'!A69</f>
        <v>Node 4 Callout</v>
      </c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</row>
    <row r="93" spans="2:24" ht="15" customHeight="1" x14ac:dyDescent="0.2"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</row>
    <row r="94" spans="2:24" ht="15" customHeight="1" x14ac:dyDescent="0.2"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</row>
    <row r="95" spans="2:24" ht="15" customHeight="1" x14ac:dyDescent="0.2"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</row>
    <row r="96" spans="2:24" ht="15" customHeight="1" x14ac:dyDescent="0.2"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</row>
    <row r="97" spans="2:22" ht="15" customHeight="1" x14ac:dyDescent="0.2"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4" t="str">
        <f>'Event Tree Input'!A83</f>
        <v>Node 5 Callout</v>
      </c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</row>
    <row r="101" spans="2:22" ht="15" customHeight="1" x14ac:dyDescent="0.2"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</row>
    <row r="102" spans="2:22" ht="15" customHeight="1" x14ac:dyDescent="0.2"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</row>
    <row r="103" spans="2:22" ht="15" customHeight="1" x14ac:dyDescent="0.2"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</row>
    <row r="104" spans="2:22" ht="15" customHeight="1" x14ac:dyDescent="0.2"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</row>
    <row r="105" spans="2:22" ht="15" customHeight="1" x14ac:dyDescent="0.2"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4" t="str">
        <f>'Event Tree Input'!A97</f>
        <v>Node 6 Callout</v>
      </c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</row>
    <row r="109" spans="2:22" ht="15" customHeight="1" x14ac:dyDescent="0.2"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</row>
    <row r="110" spans="2:22" ht="15" customHeight="1" x14ac:dyDescent="0.2"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</row>
    <row r="111" spans="2:22" ht="15" customHeight="1" x14ac:dyDescent="0.2"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</row>
    <row r="112" spans="2:22" ht="15" customHeight="1" x14ac:dyDescent="0.2"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</row>
    <row r="113" spans="2:22" ht="15" customHeight="1" x14ac:dyDescent="0.2"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4" t="str">
        <f>'Event Tree Input'!A111</f>
        <v>Node 7 Callout</v>
      </c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</row>
    <row r="117" spans="2:22" ht="15" customHeight="1" x14ac:dyDescent="0.2"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</row>
    <row r="118" spans="2:22" ht="15" customHeight="1" x14ac:dyDescent="0.2"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</row>
    <row r="119" spans="2:22" ht="15" customHeight="1" x14ac:dyDescent="0.2"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</row>
    <row r="120" spans="2:22" ht="15" customHeight="1" x14ac:dyDescent="0.2"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</row>
    <row r="121" spans="2:22" ht="15" customHeight="1" x14ac:dyDescent="0.2"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4" t="str">
        <f>'Event Tree Input'!A125</f>
        <v>Node 8 Callout</v>
      </c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</row>
    <row r="125" spans="2:22" ht="15" customHeight="1" x14ac:dyDescent="0.2"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</row>
    <row r="126" spans="2:22" ht="15" customHeight="1" x14ac:dyDescent="0.2"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</row>
    <row r="127" spans="2:22" ht="15" customHeight="1" x14ac:dyDescent="0.2"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</row>
    <row r="128" spans="2:22" ht="15" customHeight="1" x14ac:dyDescent="0.2"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</row>
    <row r="129" spans="2:22" ht="15" customHeight="1" x14ac:dyDescent="0.2"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4" t="str">
        <f>'Event Tree Input'!A139</f>
        <v>Node 9 Callout</v>
      </c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</row>
    <row r="133" spans="2:22" ht="15" customHeight="1" x14ac:dyDescent="0.2"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</row>
    <row r="134" spans="2:22" ht="15" customHeight="1" x14ac:dyDescent="0.2"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</row>
    <row r="135" spans="2:22" ht="15" customHeight="1" x14ac:dyDescent="0.2"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</row>
    <row r="136" spans="2:22" ht="15" customHeight="1" x14ac:dyDescent="0.2"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</row>
    <row r="137" spans="2:22" ht="15" customHeight="1" x14ac:dyDescent="0.2"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</row>
  </sheetData>
  <mergeCells count="90"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S65:T65"/>
    <mergeCell ref="U65:W65"/>
    <mergeCell ref="N65:P65"/>
    <mergeCell ref="N62:P62"/>
    <mergeCell ref="N63:P63"/>
    <mergeCell ref="N64:P64"/>
    <mergeCell ref="X62:Z62"/>
    <mergeCell ref="U62:W62"/>
    <mergeCell ref="X63:Z63"/>
    <mergeCell ref="X64:Z64"/>
    <mergeCell ref="X65:Z65"/>
    <mergeCell ref="U63:W63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S57:T57"/>
    <mergeCell ref="I36:O37"/>
    <mergeCell ref="K58:M58"/>
    <mergeCell ref="I55:J56"/>
    <mergeCell ref="N58:P58"/>
    <mergeCell ref="S56:T56"/>
    <mergeCell ref="I65:J65"/>
    <mergeCell ref="K65:M65"/>
    <mergeCell ref="K62:M62"/>
    <mergeCell ref="K63:M63"/>
    <mergeCell ref="K64:M64"/>
    <mergeCell ref="I62:J62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120043-DCF1-4402-947C-B87039C743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DE40D89-6DFD-45C7-BCE0-3995571072C0}">
  <ds:schemaRefs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f254aa9d-3c64-433e-b325-d6b94ca3f691"/>
    <ds:schemaRef ds:uri="a8f80ecd-cddb-46c8-b263-c25672b580c6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DEACC831-2708-4865-85A5-D74C45DEC3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