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4BC8592-0A53-48C8-AEAE-A63FA4D04F30}" xr6:coauthVersionLast="47" xr6:coauthVersionMax="47" xr10:uidLastSave="{00000000-0000-0000-0000-000000000000}"/>
  <bookViews>
    <workbookView xWindow="-120" yWindow="-120" windowWidth="38640" windowHeight="21120" xr2:uid="{56B68278-A1A1-4B48-99ED-A4E7E2423F6B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t_Reference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Input'!$A$1:$H$161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76" i="2" l="1"/>
  <c r="C177" i="2" l="1"/>
  <c r="C178" i="2"/>
  <c r="C179" i="2"/>
  <c r="C180" i="2"/>
  <c r="C181" i="2"/>
  <c r="C182" i="2"/>
  <c r="C183" i="2"/>
  <c r="C184" i="2"/>
  <c r="C176" i="2"/>
  <c r="B177" i="2"/>
  <c r="B178" i="2"/>
  <c r="B179" i="2"/>
  <c r="B180" i="2"/>
  <c r="B181" i="2"/>
  <c r="B182" i="2"/>
  <c r="B183" i="2"/>
  <c r="B184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<sst xmlns="http://schemas.openxmlformats.org/spreadsheetml/2006/main" count="155" uniqueCount="87">
  <si>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</si>
  <si>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</si>
  <si>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</si>
  <si>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</si>
  <si>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</si>
  <si>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</si>
  <si>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</si>
  <si>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</si>
  <si>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</si>
  <si>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</si>
  <si>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</si>
  <si>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</si>
  <si>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</si>
  <si>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</si>
  <si>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</si>
  <si>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</si>
  <si>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</si>
  <si>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</si>
  <si>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</si>
  <si>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</si>
  <si>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</si>
  <si>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</si>
  <si>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</si>
  <si>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</si>
  <si>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</si>
  <si>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</si>
  <si>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</si>
  <si>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</si>
  <si>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</si>
  <si>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Flood Loading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</si>
  <si>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</si>
  <si>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</si>
  <si>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</si>
  <si>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</si>
  <si>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</si>
  <si>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</si>
  <si>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</si>
  <si>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</si>
  <si>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</si>
  <si>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</si>
  <si>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</si>
  <si>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</si>
  <si>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</si>
  <si>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</si>
  <si>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</si>
  <si>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</si>
  <si>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</si>
  <si>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</si>
  <si>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</si>
  <si>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</si>
  <si>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</si>
  <si>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</si>
  <si>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</si>
  <si>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</si>
  <si>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Directions for use</t>
  </si>
  <si>
    <t>1) Characterize the event tree in Step 1.</t>
  </si>
  <si>
    <t>2) Define node-specific information in Step 2.</t>
  </si>
  <si>
    <t>3) Select the 'Event Tree' worksheet and make adjustments to the event tree callout arrows and callout</t>
  </si>
  <si>
    <t xml:space="preserve">4) In the 'Event Tree' worksheet, select a range of cells that completely encompasses the event tree nodes </t>
  </si>
  <si>
    <t>and text boxes. Right click and select "Copy".</t>
  </si>
  <si>
    <t xml:space="preserve">5) In a Word document or PowerPoint presentation, open the 'Paste Special' dialogue box (Ctrl + Alt + v) </t>
  </si>
  <si>
    <t>and paste the event tree as an enhanced metafile.</t>
  </si>
  <si>
    <t>Limitations for use</t>
  </si>
  <si>
    <t>failure nodes.</t>
  </si>
  <si>
    <t>not to print an editable event tree from the worksheet.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</si>
  <si>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</si>
  <si>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</si>
  <si>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</si>
  <si>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Mechanical Condition</t>
  </si>
  <si>
    <t>Continuous stable roof or sidewalls are maintained along seepage or leakage path?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</si>
  <si>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</si>
  <si>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</si>
  <si>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</si>
  <si>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</si>
  <si>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</si>
  <si>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</si>
  <si>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1) This worksheet constructs an event tree that is a single-linear progression to breach without multiple</t>
  </si>
  <si>
    <t xml:space="preserve">2) The intent of this worksheet is to copy and paste the event tree as an image into a report or presentation, </t>
  </si>
  <si>
    <t>◄ If using copy/paste, paste values only to preserve conditional formatting.</t>
  </si>
  <si>
    <t xml:space="preserve">    a) To make the background of the figure transparent, change the fill color of the project event tree cells to</t>
  </si>
  <si>
    <t xml:space="preserve">       "no fill" and uncheck the "Gridlines" box under View -&gt; Show in the Ribbon.</t>
  </si>
  <si>
    <t>boxes as necessary. If D32 of this worksheet is "No", this step is skipped.</t>
  </si>
  <si>
    <t>Anchor Bar Yielding</t>
  </si>
  <si>
    <t>Anchorage rods yield and lead to load redistribution?</t>
  </si>
  <si>
    <t>Anchor Bar Rupture</t>
  </si>
  <si>
    <t>Yielded bars rupture and remaining bars take on additional load?</t>
  </si>
  <si>
    <t>Damaged anchor group fails and leads to uncontrolled release of impounded water?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</si>
</sst>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u/>
      <sz val="10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2">
    <xf numFmtId="0" fontId="0" fillId="0" borderId="0" xfId="0"/>
    <xf numFmtId="0" fontId="2" fillId="3" borderId="0" xfId="2" applyFont="1" applyFill="1"/>
    <xf numFmtId="0" fontId="1" fillId="4" borderId="0" xfId="8" applyFont="1" applyFill="1"/>
    <xf numFmtId="0" fontId="1" fillId="4" borderId="0" xfId="8" applyFont="1" applyFill="1" applyAlignment="1">
      <alignment horizontal="right"/>
    </xf>
    <xf numFmtId="0" fontId="1" fillId="2" borderId="0" xfId="8" applyFont="1" applyFill="1" applyAlignment="1">
      <alignment horizontal="right"/>
    </xf>
    <xf numFmtId="0" fontId="1" fillId="2" borderId="0" xfId="0" applyFont="1" applyFill="1"/>
    <xf numFmtId="0" fontId="6" fillId="0" borderId="0" xfId="0" applyFont="1"/>
    <xf numFmtId="0" fontId="4" fillId="5" borderId="2" xfId="8" applyFill="1" applyBorder="1" applyAlignment="1" applyProtection="1">
      <alignment horizontal="left"/>
      <protection locked="0"/>
    </xf>
    <xf numFmtId="164" fontId="4" fillId="5" borderId="2" xfId="8" applyNumberFormat="1" applyFill="1" applyBorder="1" applyAlignment="1" applyProtection="1">
      <alignment horizontal="left"/>
      <protection locked="0"/>
    </xf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7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8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5" fillId="2" borderId="0" xfId="2" applyFont="1" applyFill="1"/>
    <xf numFmtId="0" fontId="1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0" xfId="8" applyFont="1" applyFill="1" applyAlignment="1">
      <alignment horizontal="right"/>
    </xf>
    <xf numFmtId="0" fontId="4" fillId="5" borderId="2" xfId="8" applyFill="1" applyBorder="1" applyAlignment="1" applyProtection="1">
      <alignment horizontal="left" vertical="top"/>
      <protection locked="0"/>
    </xf>
    <xf numFmtId="0" fontId="4" fillId="5" borderId="6" xfId="8" applyFill="1" applyBorder="1" applyAlignment="1" applyProtection="1">
      <alignment horizontal="left" vertical="top"/>
      <protection locked="0"/>
    </xf>
    <xf numFmtId="0" fontId="4" fillId="5" borderId="2" xfId="0" applyFont="1" applyFill="1" applyBorder="1" applyAlignment="1" applyProtection="1">
      <alignment horizontal="left" vertical="top"/>
      <protection locked="0"/>
    </xf>
    <xf numFmtId="14" fontId="4" fillId="5" borderId="2" xfId="8" applyNumberFormat="1" applyFill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00B050"/>
      <color rgb="FFFFFFCC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39">
      <xdr:nvSpPr>
        <xdr:cNvPr id="41" name="N1Title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Anchor Bar Yielding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53">
      <xdr:nvSpPr>
        <xdr:cNvPr id="77" name="N2Title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Anchor Bar Rupture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67">
      <xdr:nvSpPr>
        <xdr:cNvPr id="79" name="N3Title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36</xdr:col>
      <xdr:colOff>28575</xdr:colOff>
      <xdr:row>22</xdr:row>
      <xdr:rowOff>152399</xdr:rowOff>
    </xdr:from>
    <xdr:to>
      <xdr:col>42</xdr:col>
      <xdr:colOff>161925</xdr:colOff>
      <xdr:row>25</xdr:row>
      <xdr:rowOff>76199</xdr:rowOff>
    </xdr:to>
    <xdr:sp macro="" textlink="'Event Tree Input'!A81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229475" y="39242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95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109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23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37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51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42">
      <xdr:nvSpPr>
        <xdr:cNvPr id="14" name="N1Desc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Anchorage rods yield and lead to load redistribution?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56">
      <xdr:nvSpPr>
        <xdr:cNvPr id="58" name="N2Descr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Yielded bars rupture and remaining bars take on additional load?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70">
      <xdr:nvSpPr>
        <xdr:cNvPr id="59" name="N3Descr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Damaged anchor group fails and leads to uncontrolled release of impounded water?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84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or sidewalls are maintained along seepage or leakage path?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98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112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26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40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54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87"/>
  <sheetViews>
    <sheetView tabSelected="1" zoomScaleNormal="100" zoomScalePageLayoutView="40" workbookViewId="0"/>
  </sheetViews>
  <sheetFormatPr defaultColWidth="9.140625" defaultRowHeight="12.75" x14ac:dyDescent="0.2"/>
  <cols>
    <col min="1" max="33" width="11.28515625" style="9" customWidth="1"/>
    <col min="34" max="16384" width="9.140625" style="9"/>
  </cols>
  <sheetData>
    <row r="1" spans="1:8" ht="12.75" customHeight="1" x14ac:dyDescent="0.2">
      <c r="A1" s="2" t="s">
        <v>8</v>
      </c>
      <c r="B1" s="50"/>
      <c r="C1" s="50"/>
      <c r="D1" s="50"/>
      <c r="E1" s="3" t="s">
        <v>9</v>
      </c>
      <c r="F1" s="7"/>
      <c r="G1" s="4" t="s">
        <v>10</v>
      </c>
      <c r="H1" s="8"/>
    </row>
    <row r="2" spans="1:8" x14ac:dyDescent="0.2">
      <c r="A2" s="2" t="s">
        <v>11</v>
      </c>
      <c r="B2" s="50"/>
      <c r="C2" s="50"/>
      <c r="D2" s="50"/>
      <c r="E2" s="3" t="s">
        <v>9</v>
      </c>
      <c r="F2" s="7"/>
      <c r="G2" s="4" t="s">
        <v>10</v>
      </c>
      <c r="H2" s="8"/>
    </row>
    <row r="3" spans="1:8" x14ac:dyDescent="0.2">
      <c r="A3" s="5" t="s">
        <v>12</v>
      </c>
      <c r="B3" s="10"/>
      <c r="C3" s="51"/>
      <c r="D3" s="51"/>
      <c r="E3" s="51"/>
      <c r="F3" s="51"/>
      <c r="G3" s="51"/>
      <c r="H3" s="51"/>
    </row>
    <row r="4" spans="1:8" x14ac:dyDescent="0.2">
      <c r="A4" s="10"/>
      <c r="B4" s="10"/>
      <c r="C4" s="10"/>
      <c r="D4" s="10"/>
      <c r="E4" s="10"/>
      <c r="F4" s="10"/>
      <c r="G4" s="10"/>
      <c r="H4" s="10"/>
    </row>
    <row r="5" spans="1:8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8" x14ac:dyDescent="0.2">
      <c r="A6" s="24"/>
      <c r="B6" s="36"/>
      <c r="C6" s="36"/>
      <c r="D6" s="36"/>
      <c r="E6" s="36"/>
      <c r="F6" s="36"/>
      <c r="G6" s="36"/>
      <c r="H6" s="36"/>
    </row>
    <row r="7" spans="1:8" x14ac:dyDescent="0.2">
      <c r="A7" s="37" t="s">
        <v>62</v>
      </c>
      <c r="B7" s="36"/>
      <c r="C7" s="36"/>
      <c r="D7" s="36"/>
      <c r="E7" s="36"/>
      <c r="F7" s="36"/>
      <c r="G7" s="36"/>
      <c r="H7" s="36"/>
    </row>
    <row r="8" spans="1:8" x14ac:dyDescent="0.2">
      <c r="A8" s="24" t="s">
        <v>76</v>
      </c>
      <c r="B8" s="36"/>
      <c r="C8" s="36"/>
      <c r="D8" s="36"/>
      <c r="E8" s="36"/>
      <c r="F8" s="36"/>
      <c r="G8" s="36"/>
      <c r="H8" s="36"/>
    </row>
    <row r="9" spans="1:8" x14ac:dyDescent="0.2">
      <c r="A9" s="24" t="s">
        <v>63</v>
      </c>
      <c r="B9" s="36"/>
      <c r="C9" s="36"/>
      <c r="D9" s="36"/>
      <c r="E9" s="36"/>
      <c r="F9" s="36"/>
      <c r="G9" s="36"/>
      <c r="H9" s="36"/>
    </row>
    <row r="10" spans="1:8" x14ac:dyDescent="0.2">
      <c r="A10" s="24" t="s">
        <v>77</v>
      </c>
      <c r="B10" s="36"/>
      <c r="C10" s="36"/>
      <c r="D10" s="36"/>
      <c r="E10" s="36"/>
      <c r="F10" s="36"/>
      <c r="G10" s="36"/>
      <c r="H10" s="36"/>
    </row>
    <row r="11" spans="1:8" x14ac:dyDescent="0.2">
      <c r="A11" s="24" t="s">
        <v>64</v>
      </c>
      <c r="B11" s="36"/>
      <c r="C11" s="36"/>
      <c r="D11" s="36"/>
      <c r="E11" s="36"/>
      <c r="F11" s="36"/>
      <c r="G11" s="36"/>
      <c r="H11" s="36"/>
    </row>
    <row r="12" spans="1:8" x14ac:dyDescent="0.2">
      <c r="A12" s="24"/>
      <c r="B12" s="36"/>
      <c r="C12" s="36"/>
      <c r="D12" s="36"/>
      <c r="E12" s="36"/>
      <c r="F12" s="36"/>
      <c r="G12" s="36"/>
      <c r="H12" s="36"/>
    </row>
    <row r="13" spans="1:8" x14ac:dyDescent="0.2">
      <c r="A13" s="37" t="s">
        <v>54</v>
      </c>
      <c r="B13" s="36"/>
      <c r="C13" s="36"/>
      <c r="D13" s="36"/>
      <c r="E13" s="36"/>
      <c r="F13" s="36"/>
      <c r="G13" s="36"/>
      <c r="H13" s="36"/>
    </row>
    <row r="14" spans="1:8" x14ac:dyDescent="0.2">
      <c r="A14" s="24" t="s">
        <v>55</v>
      </c>
      <c r="B14" s="36"/>
      <c r="C14" s="36"/>
      <c r="D14" s="36"/>
      <c r="E14" s="36"/>
      <c r="F14" s="36"/>
      <c r="G14" s="36"/>
      <c r="H14" s="36"/>
    </row>
    <row r="15" spans="1:8" x14ac:dyDescent="0.2">
      <c r="A15" s="24" t="s">
        <v>56</v>
      </c>
      <c r="B15" s="36"/>
      <c r="C15" s="36"/>
      <c r="D15" s="36"/>
      <c r="E15" s="36"/>
      <c r="F15" s="36"/>
      <c r="G15" s="36"/>
      <c r="H15" s="36"/>
    </row>
    <row r="16" spans="1:8" x14ac:dyDescent="0.2">
      <c r="A16" s="24" t="s">
        <v>57</v>
      </c>
      <c r="B16" s="36"/>
      <c r="C16" s="36"/>
      <c r="D16" s="36"/>
      <c r="E16" s="36"/>
      <c r="F16" s="36"/>
      <c r="G16" s="36"/>
      <c r="H16" s="36"/>
    </row>
    <row r="17" spans="1:9" x14ac:dyDescent="0.2">
      <c r="A17" s="24" t="s">
        <v>81</v>
      </c>
      <c r="B17" s="36"/>
      <c r="C17" s="36"/>
      <c r="D17" s="36"/>
      <c r="E17" s="36"/>
      <c r="F17" s="36"/>
      <c r="G17" s="36"/>
      <c r="H17" s="36"/>
    </row>
    <row r="18" spans="1:9" x14ac:dyDescent="0.2">
      <c r="A18" s="24" t="s">
        <v>58</v>
      </c>
      <c r="B18" s="36"/>
      <c r="C18" s="36"/>
      <c r="D18" s="36"/>
      <c r="E18" s="36"/>
      <c r="F18" s="36"/>
      <c r="G18" s="36"/>
      <c r="H18" s="36"/>
    </row>
    <row r="19" spans="1:9" x14ac:dyDescent="0.2">
      <c r="A19" s="24" t="s">
        <v>59</v>
      </c>
      <c r="B19" s="36"/>
      <c r="C19" s="36"/>
      <c r="D19" s="36"/>
      <c r="E19" s="36"/>
      <c r="F19" s="36"/>
      <c r="G19" s="36"/>
      <c r="H19" s="36"/>
    </row>
    <row r="20" spans="1:9" x14ac:dyDescent="0.2">
      <c r="A20" s="24" t="s">
        <v>79</v>
      </c>
      <c r="B20" s="36"/>
      <c r="C20" s="36"/>
      <c r="D20" s="36"/>
      <c r="E20" s="36"/>
      <c r="F20" s="36"/>
      <c r="G20" s="36"/>
      <c r="H20" s="36"/>
    </row>
    <row r="21" spans="1:9" x14ac:dyDescent="0.2">
      <c r="A21" s="24" t="s">
        <v>80</v>
      </c>
      <c r="B21" s="36"/>
      <c r="C21" s="36"/>
      <c r="D21" s="36"/>
      <c r="E21" s="36"/>
      <c r="F21" s="36"/>
      <c r="G21" s="36"/>
      <c r="H21" s="36"/>
    </row>
    <row r="22" spans="1:9" x14ac:dyDescent="0.2">
      <c r="A22" s="24" t="s">
        <v>60</v>
      </c>
      <c r="B22" s="36"/>
      <c r="C22" s="36"/>
      <c r="D22" s="36"/>
      <c r="E22" s="36"/>
      <c r="F22" s="36"/>
      <c r="G22" s="36"/>
      <c r="H22" s="36"/>
    </row>
    <row r="23" spans="1:9" x14ac:dyDescent="0.2">
      <c r="A23" s="24" t="s">
        <v>61</v>
      </c>
      <c r="B23" s="36"/>
      <c r="C23" s="36"/>
      <c r="D23" s="36"/>
      <c r="E23" s="36"/>
      <c r="F23" s="36"/>
      <c r="G23" s="36"/>
      <c r="H23" s="36"/>
    </row>
    <row r="24" spans="1:9" x14ac:dyDescent="0.2">
      <c r="A24" s="5"/>
      <c r="B24" s="10"/>
      <c r="C24" s="10"/>
      <c r="D24" s="10"/>
      <c r="E24" s="10"/>
      <c r="F24" s="10"/>
      <c r="G24" s="10"/>
      <c r="H24" s="10"/>
    </row>
    <row r="25" spans="1:9" x14ac:dyDescent="0.2">
      <c r="A25" s="1" t="s">
        <v>32</v>
      </c>
      <c r="B25" s="1"/>
      <c r="C25" s="1"/>
      <c r="D25" s="1"/>
      <c r="E25" s="1"/>
      <c r="F25" s="1"/>
      <c r="G25" s="1"/>
      <c r="H25" s="1"/>
    </row>
    <row r="26" spans="1:9" x14ac:dyDescent="0.2">
      <c r="A26" s="10"/>
      <c r="B26" s="10"/>
      <c r="C26" s="10"/>
      <c r="D26" s="10"/>
      <c r="E26" s="10"/>
      <c r="F26" s="10"/>
      <c r="G26" s="10"/>
      <c r="H26" s="10"/>
    </row>
    <row r="27" spans="1:9" x14ac:dyDescent="0.2">
      <c r="A27" s="10" t="s">
        <v>21</v>
      </c>
      <c r="B27" s="10"/>
      <c r="C27" s="10"/>
      <c r="D27" s="51" t="s">
        <v>67</v>
      </c>
      <c r="E27" s="51"/>
      <c r="F27" s="29" t="s">
        <v>28</v>
      </c>
      <c r="G27" s="51"/>
      <c r="H27" s="51"/>
      <c r="I27" s="6" t="s">
        <v>14</v>
      </c>
    </row>
    <row r="28" spans="1:9" x14ac:dyDescent="0.2">
      <c r="A28" s="10"/>
      <c r="B28" s="10"/>
      <c r="C28" s="10"/>
      <c r="D28" s="10"/>
      <c r="E28" s="10"/>
      <c r="F28" s="10"/>
      <c r="G28" s="10"/>
      <c r="H28" s="10"/>
    </row>
    <row r="29" spans="1:9" x14ac:dyDescent="0.2">
      <c r="A29" s="10" t="s">
        <v>13</v>
      </c>
      <c r="B29" s="10"/>
      <c r="C29" s="10"/>
      <c r="D29" s="11">
        <v>3</v>
      </c>
      <c r="E29" s="10"/>
      <c r="F29" s="10"/>
      <c r="G29" s="10"/>
      <c r="H29" s="10"/>
      <c r="I29" s="6" t="s">
        <v>14</v>
      </c>
    </row>
    <row r="30" spans="1:9" x14ac:dyDescent="0.2">
      <c r="A30" s="10"/>
      <c r="B30" s="10"/>
      <c r="C30" s="10"/>
      <c r="D30" s="10"/>
      <c r="E30" s="10"/>
      <c r="F30" s="10"/>
      <c r="G30" s="10"/>
      <c r="H30" s="10"/>
    </row>
    <row r="31" spans="1:9" x14ac:dyDescent="0.2">
      <c r="A31" s="10" t="s">
        <v>38</v>
      </c>
      <c r="B31" s="10"/>
      <c r="C31" s="10"/>
      <c r="D31" s="11" t="s">
        <v>15</v>
      </c>
      <c r="E31" s="10"/>
      <c r="F31" s="10"/>
      <c r="G31" s="10"/>
      <c r="H31" s="10"/>
      <c r="I31" s="6" t="s">
        <v>14</v>
      </c>
    </row>
    <row r="32" spans="1:9" x14ac:dyDescent="0.2">
      <c r="A32" s="10" t="s">
        <v>26</v>
      </c>
      <c r="B32" s="10"/>
      <c r="C32" s="10"/>
      <c r="D32" s="11" t="s">
        <v>16</v>
      </c>
      <c r="E32" s="10"/>
      <c r="F32" s="10"/>
      <c r="G32" s="10"/>
      <c r="H32" s="10"/>
      <c r="I32" s="6" t="s">
        <v>14</v>
      </c>
    </row>
    <row r="33" spans="1:9" x14ac:dyDescent="0.2">
      <c r="A33" s="10"/>
      <c r="B33" s="10"/>
      <c r="C33" s="10"/>
      <c r="D33" s="10"/>
      <c r="E33" s="10"/>
      <c r="F33" s="10"/>
      <c r="G33" s="10"/>
      <c r="H33" s="10"/>
    </row>
    <row r="34" spans="1:9" x14ac:dyDescent="0.2">
      <c r="A34" s="1" t="s">
        <v>31</v>
      </c>
      <c r="B34" s="1"/>
      <c r="C34" s="1"/>
      <c r="D34" s="1"/>
      <c r="E34" s="1"/>
      <c r="F34" s="1"/>
      <c r="G34" s="1"/>
      <c r="H34" s="1"/>
      <c r="I34" s="38" t="s">
        <v>78</v>
      </c>
    </row>
    <row r="35" spans="1:9" x14ac:dyDescent="0.2">
      <c r="A35" s="10"/>
      <c r="B35" s="10"/>
      <c r="C35" s="10"/>
      <c r="D35" s="10"/>
      <c r="E35" s="10"/>
      <c r="F35" s="10"/>
      <c r="G35" s="10"/>
      <c r="H35" s="10"/>
    </row>
    <row r="36" spans="1:9" x14ac:dyDescent="0.2">
      <c r="A36" s="13" t="s">
        <v>0</v>
      </c>
      <c r="B36" s="10"/>
      <c r="C36" s="10"/>
      <c r="D36" s="10"/>
      <c r="E36" s="10"/>
      <c r="F36" s="10"/>
      <c r="G36" s="10"/>
      <c r="H36" s="10"/>
    </row>
    <row r="37" spans="1:9" ht="8.1" customHeight="1" x14ac:dyDescent="0.2">
      <c r="A37" s="13"/>
      <c r="B37" s="10"/>
      <c r="C37" s="10"/>
      <c r="D37" s="10"/>
      <c r="E37" s="10"/>
      <c r="F37" s="10"/>
      <c r="G37" s="10"/>
      <c r="H37" s="10"/>
    </row>
    <row r="38" spans="1:9" ht="12.75" customHeight="1" x14ac:dyDescent="0.2">
      <c r="A38" s="10" t="s">
        <v>35</v>
      </c>
      <c r="B38" s="10"/>
      <c r="C38" s="10"/>
      <c r="D38" s="10"/>
      <c r="E38" s="10"/>
      <c r="F38" s="10"/>
      <c r="G38" s="10"/>
      <c r="H38" s="10"/>
    </row>
    <row r="39" spans="1:9" ht="12.75" customHeight="1" x14ac:dyDescent="0.2">
      <c r="A39" s="48" t="s">
        <v>82</v>
      </c>
      <c r="B39" s="48"/>
      <c r="C39" s="48"/>
      <c r="D39" s="48"/>
      <c r="E39" s="48"/>
      <c r="F39" s="48"/>
      <c r="G39" s="48"/>
      <c r="H39" s="48"/>
    </row>
    <row r="40" spans="1:9" ht="8.1" customHeight="1" x14ac:dyDescent="0.2">
      <c r="A40" s="26"/>
      <c r="B40" s="26"/>
      <c r="C40" s="26"/>
      <c r="D40" s="26"/>
      <c r="E40" s="26"/>
      <c r="F40" s="26"/>
      <c r="G40" s="26"/>
      <c r="H40" s="26"/>
    </row>
    <row r="41" spans="1:9" x14ac:dyDescent="0.2">
      <c r="A41" s="12" t="s">
        <v>34</v>
      </c>
      <c r="B41" s="12"/>
      <c r="C41" s="12"/>
      <c r="D41" s="12"/>
      <c r="E41" s="12"/>
      <c r="F41" s="12"/>
      <c r="G41" s="12"/>
      <c r="H41" s="12"/>
    </row>
    <row r="42" spans="1:9" ht="12.75" customHeight="1" x14ac:dyDescent="0.2">
      <c r="A42" s="48" t="s">
        <v>83</v>
      </c>
      <c r="B42" s="48"/>
      <c r="C42" s="48"/>
      <c r="D42" s="48"/>
      <c r="E42" s="48"/>
      <c r="F42" s="48"/>
      <c r="G42" s="48"/>
      <c r="H42" s="48"/>
      <c r="I42" s="14"/>
    </row>
    <row r="43" spans="1:9" ht="8.1" customHeight="1" x14ac:dyDescent="0.2">
      <c r="A43" s="10"/>
      <c r="B43" s="10"/>
      <c r="C43" s="12"/>
      <c r="D43" s="12"/>
      <c r="E43" s="12"/>
      <c r="F43" s="12"/>
      <c r="G43" s="12"/>
      <c r="H43" s="12"/>
    </row>
    <row r="44" spans="1:9" x14ac:dyDescent="0.2">
      <c r="A44" s="12" t="s">
        <v>37</v>
      </c>
      <c r="B44" s="10"/>
      <c r="C44" s="10"/>
      <c r="D44" s="10"/>
      <c r="E44" s="10"/>
      <c r="F44" s="10"/>
      <c r="G44" s="10"/>
      <c r="H44" s="10"/>
    </row>
    <row r="45" spans="1:9" ht="12.75" customHeight="1" x14ac:dyDescent="0.2">
      <c r="A45" s="48" t="s">
        <v>39</v>
      </c>
      <c r="B45" s="48"/>
      <c r="C45" s="48"/>
      <c r="D45" s="48"/>
      <c r="E45" s="48"/>
      <c r="F45" s="48"/>
      <c r="G45" s="48"/>
      <c r="H45" s="48"/>
      <c r="I45" s="14"/>
    </row>
    <row r="46" spans="1:9" ht="12.75" customHeight="1" x14ac:dyDescent="0.2">
      <c r="A46" s="48"/>
      <c r="B46" s="48"/>
      <c r="C46" s="48"/>
      <c r="D46" s="48"/>
      <c r="E46" s="48"/>
      <c r="F46" s="48"/>
      <c r="G46" s="48"/>
      <c r="H46" s="48"/>
    </row>
    <row r="47" spans="1:9" ht="12.75" customHeight="1" x14ac:dyDescent="0.2">
      <c r="A47" s="48"/>
      <c r="B47" s="48"/>
      <c r="C47" s="48"/>
      <c r="D47" s="48"/>
      <c r="E47" s="48"/>
      <c r="F47" s="48"/>
      <c r="G47" s="48"/>
      <c r="H47" s="48"/>
    </row>
    <row r="48" spans="1:9" ht="12.75" customHeight="1" x14ac:dyDescent="0.2">
      <c r="A48" s="48"/>
      <c r="B48" s="48"/>
      <c r="C48" s="48"/>
      <c r="D48" s="48"/>
      <c r="E48" s="48"/>
      <c r="F48" s="48"/>
      <c r="G48" s="48"/>
      <c r="H48" s="48"/>
    </row>
    <row r="49" spans="1:9" x14ac:dyDescent="0.2">
      <c r="A49" s="10"/>
      <c r="B49" s="10"/>
      <c r="C49" s="10"/>
      <c r="D49" s="10"/>
      <c r="E49" s="10"/>
      <c r="F49" s="10"/>
      <c r="G49" s="10"/>
      <c r="H49" s="10"/>
    </row>
    <row r="50" spans="1:9" x14ac:dyDescent="0.2">
      <c r="A50" s="13" t="s">
        <v>1</v>
      </c>
      <c r="B50" s="10"/>
      <c r="C50" s="10"/>
      <c r="D50" s="10"/>
      <c r="E50" s="10"/>
      <c r="F50" s="10"/>
      <c r="G50" s="10"/>
      <c r="H50" s="10"/>
    </row>
    <row r="51" spans="1:9" ht="8.1" customHeight="1" x14ac:dyDescent="0.2">
      <c r="A51" s="13"/>
      <c r="B51" s="10"/>
      <c r="C51" s="10"/>
      <c r="D51" s="10"/>
      <c r="E51" s="10"/>
      <c r="F51" s="10"/>
      <c r="G51" s="10"/>
      <c r="H51" s="10"/>
    </row>
    <row r="52" spans="1:9" x14ac:dyDescent="0.2">
      <c r="A52" s="10" t="s">
        <v>35</v>
      </c>
      <c r="B52" s="10"/>
      <c r="C52" s="10"/>
      <c r="D52" s="10"/>
      <c r="E52" s="10"/>
      <c r="F52" s="10"/>
      <c r="G52" s="10"/>
      <c r="H52" s="10"/>
    </row>
    <row r="53" spans="1:9" ht="12.75" customHeight="1" x14ac:dyDescent="0.2">
      <c r="A53" s="48" t="s">
        <v>84</v>
      </c>
      <c r="B53" s="48"/>
      <c r="C53" s="48"/>
      <c r="D53" s="48"/>
      <c r="E53" s="48"/>
      <c r="F53" s="48"/>
      <c r="G53" s="48"/>
      <c r="H53" s="48"/>
    </row>
    <row r="54" spans="1:9" ht="8.1" customHeight="1" x14ac:dyDescent="0.2">
      <c r="A54" s="26"/>
      <c r="B54" s="26"/>
      <c r="C54" s="26"/>
      <c r="D54" s="26"/>
      <c r="E54" s="26"/>
      <c r="F54" s="26"/>
      <c r="G54" s="26"/>
      <c r="H54" s="26"/>
    </row>
    <row r="55" spans="1:9" x14ac:dyDescent="0.2">
      <c r="A55" s="12" t="s">
        <v>34</v>
      </c>
      <c r="B55" s="12"/>
      <c r="C55" s="12"/>
      <c r="D55" s="12"/>
      <c r="E55" s="12"/>
      <c r="F55" s="12"/>
      <c r="G55" s="12"/>
      <c r="H55" s="12"/>
    </row>
    <row r="56" spans="1:9" ht="12.75" customHeight="1" x14ac:dyDescent="0.2">
      <c r="A56" s="48" t="s">
        <v>85</v>
      </c>
      <c r="B56" s="48"/>
      <c r="C56" s="48"/>
      <c r="D56" s="48"/>
      <c r="E56" s="48"/>
      <c r="F56" s="48"/>
      <c r="G56" s="48"/>
      <c r="H56" s="48"/>
      <c r="I56" s="14"/>
    </row>
    <row r="57" spans="1:9" ht="8.1" customHeight="1" x14ac:dyDescent="0.2">
      <c r="A57" s="10"/>
      <c r="B57" s="10"/>
      <c r="C57" s="12"/>
      <c r="D57" s="12"/>
      <c r="E57" s="12"/>
      <c r="F57" s="12"/>
      <c r="G57" s="12"/>
      <c r="H57" s="12"/>
    </row>
    <row r="58" spans="1:9" x14ac:dyDescent="0.2">
      <c r="A58" s="12" t="s">
        <v>37</v>
      </c>
      <c r="B58" s="10"/>
      <c r="C58" s="10"/>
      <c r="D58" s="10"/>
      <c r="E58" s="10"/>
      <c r="F58" s="10"/>
      <c r="G58" s="10"/>
      <c r="H58" s="10"/>
    </row>
    <row r="59" spans="1:9" ht="12.75" customHeight="1" x14ac:dyDescent="0.2">
      <c r="A59" s="48" t="s">
        <v>40</v>
      </c>
      <c r="B59" s="48"/>
      <c r="C59" s="48"/>
      <c r="D59" s="48"/>
      <c r="E59" s="48"/>
      <c r="F59" s="48"/>
      <c r="G59" s="48"/>
      <c r="H59" s="48"/>
      <c r="I59" s="14"/>
    </row>
    <row r="60" spans="1:9" ht="12.75" customHeight="1" x14ac:dyDescent="0.2">
      <c r="A60" s="48"/>
      <c r="B60" s="48"/>
      <c r="C60" s="48"/>
      <c r="D60" s="48"/>
      <c r="E60" s="48"/>
      <c r="F60" s="48"/>
      <c r="G60" s="48"/>
      <c r="H60" s="48"/>
    </row>
    <row r="61" spans="1:9" ht="12.75" customHeight="1" x14ac:dyDescent="0.2">
      <c r="A61" s="48"/>
      <c r="B61" s="48"/>
      <c r="C61" s="48"/>
      <c r="D61" s="48"/>
      <c r="E61" s="48"/>
      <c r="F61" s="48"/>
      <c r="G61" s="48"/>
      <c r="H61" s="48"/>
    </row>
    <row r="62" spans="1:9" ht="12.75" customHeight="1" x14ac:dyDescent="0.2">
      <c r="A62" s="48"/>
      <c r="B62" s="48"/>
      <c r="C62" s="48"/>
      <c r="D62" s="48"/>
      <c r="E62" s="48"/>
      <c r="F62" s="48"/>
      <c r="G62" s="48"/>
      <c r="H62" s="48"/>
    </row>
    <row r="63" spans="1:9" x14ac:dyDescent="0.2">
      <c r="A63" s="10"/>
      <c r="B63" s="10"/>
      <c r="C63" s="10"/>
      <c r="D63" s="10"/>
      <c r="E63" s="10"/>
      <c r="F63" s="10"/>
      <c r="G63" s="10"/>
      <c r="H63" s="10"/>
    </row>
    <row r="64" spans="1:9" x14ac:dyDescent="0.2">
      <c r="A64" s="13" t="s">
        <v>2</v>
      </c>
      <c r="B64" s="10"/>
      <c r="C64" s="10"/>
      <c r="D64" s="10"/>
      <c r="E64" s="10"/>
      <c r="F64" s="10"/>
      <c r="G64" s="10"/>
      <c r="H64" s="10"/>
    </row>
    <row r="65" spans="1:9" ht="8.1" customHeight="1" x14ac:dyDescent="0.2">
      <c r="A65" s="13"/>
      <c r="B65" s="10"/>
      <c r="C65" s="10"/>
      <c r="D65" s="10"/>
      <c r="E65" s="10"/>
      <c r="F65" s="10"/>
      <c r="G65" s="10"/>
      <c r="H65" s="10"/>
    </row>
    <row r="66" spans="1:9" x14ac:dyDescent="0.2">
      <c r="A66" s="10" t="s">
        <v>35</v>
      </c>
      <c r="B66" s="10"/>
      <c r="C66" s="10"/>
      <c r="D66" s="10"/>
      <c r="E66" s="10"/>
      <c r="F66" s="10"/>
      <c r="G66" s="10"/>
      <c r="H66" s="10"/>
    </row>
    <row r="67" spans="1:9" ht="12.75" customHeight="1" x14ac:dyDescent="0.2">
      <c r="A67" s="48" t="s">
        <v>74</v>
      </c>
      <c r="B67" s="48"/>
      <c r="C67" s="48"/>
      <c r="D67" s="48"/>
      <c r="E67" s="48"/>
      <c r="F67" s="48"/>
      <c r="G67" s="48"/>
      <c r="H67" s="48"/>
    </row>
    <row r="68" spans="1:9" ht="8.1" customHeight="1" x14ac:dyDescent="0.2">
      <c r="A68" s="26"/>
      <c r="B68" s="26"/>
      <c r="C68" s="26"/>
      <c r="D68" s="26"/>
      <c r="E68" s="26"/>
      <c r="F68" s="26"/>
      <c r="G68" s="26"/>
      <c r="H68" s="26"/>
    </row>
    <row r="69" spans="1:9" x14ac:dyDescent="0.2">
      <c r="A69" s="12" t="s">
        <v>34</v>
      </c>
      <c r="B69" s="12"/>
      <c r="C69" s="12"/>
      <c r="D69" s="12"/>
      <c r="E69" s="12"/>
      <c r="F69" s="12"/>
      <c r="G69" s="12"/>
      <c r="H69" s="12"/>
    </row>
    <row r="70" spans="1:9" ht="12.75" customHeight="1" x14ac:dyDescent="0.2">
      <c r="A70" s="48" t="s">
        <v>86</v>
      </c>
      <c r="B70" s="48"/>
      <c r="C70" s="48"/>
      <c r="D70" s="48"/>
      <c r="E70" s="48"/>
      <c r="F70" s="48"/>
      <c r="G70" s="48"/>
      <c r="H70" s="48"/>
      <c r="I70" s="14"/>
    </row>
    <row r="71" spans="1:9" ht="8.1" customHeight="1" x14ac:dyDescent="0.2">
      <c r="A71" s="10"/>
      <c r="B71" s="10"/>
      <c r="C71" s="12"/>
      <c r="D71" s="12"/>
      <c r="E71" s="12"/>
      <c r="F71" s="12"/>
      <c r="G71" s="12"/>
      <c r="H71" s="12"/>
    </row>
    <row r="72" spans="1:9" x14ac:dyDescent="0.2">
      <c r="A72" s="12" t="s">
        <v>37</v>
      </c>
      <c r="B72" s="10"/>
      <c r="C72" s="10"/>
      <c r="D72" s="10"/>
      <c r="E72" s="10"/>
      <c r="F72" s="10"/>
      <c r="G72" s="10"/>
      <c r="H72" s="10"/>
    </row>
    <row r="73" spans="1:9" ht="12.75" customHeight="1" x14ac:dyDescent="0.2">
      <c r="A73" s="48" t="s">
        <v>41</v>
      </c>
      <c r="B73" s="48"/>
      <c r="C73" s="48"/>
      <c r="D73" s="48"/>
      <c r="E73" s="48"/>
      <c r="F73" s="48"/>
      <c r="G73" s="48"/>
      <c r="H73" s="48"/>
      <c r="I73" s="14"/>
    </row>
    <row r="74" spans="1:9" ht="12.75" customHeight="1" x14ac:dyDescent="0.2">
      <c r="A74" s="48"/>
      <c r="B74" s="48"/>
      <c r="C74" s="48"/>
      <c r="D74" s="48"/>
      <c r="E74" s="48"/>
      <c r="F74" s="48"/>
      <c r="G74" s="48"/>
      <c r="H74" s="48"/>
    </row>
    <row r="75" spans="1:9" ht="12.75" customHeight="1" x14ac:dyDescent="0.2">
      <c r="A75" s="48"/>
      <c r="B75" s="48"/>
      <c r="C75" s="48"/>
      <c r="D75" s="48"/>
      <c r="E75" s="48"/>
      <c r="F75" s="48"/>
      <c r="G75" s="48"/>
      <c r="H75" s="48"/>
    </row>
    <row r="76" spans="1:9" ht="12.75" customHeight="1" x14ac:dyDescent="0.2">
      <c r="A76" s="48"/>
      <c r="B76" s="48"/>
      <c r="C76" s="48"/>
      <c r="D76" s="48"/>
      <c r="E76" s="48"/>
      <c r="F76" s="48"/>
      <c r="G76" s="48"/>
      <c r="H76" s="48"/>
    </row>
    <row r="77" spans="1:9" x14ac:dyDescent="0.2">
      <c r="A77" s="10"/>
      <c r="B77" s="10"/>
      <c r="C77" s="10"/>
      <c r="D77" s="10"/>
      <c r="E77" s="10"/>
      <c r="F77" s="10"/>
      <c r="G77" s="10"/>
      <c r="H77" s="10"/>
    </row>
    <row r="78" spans="1:9" x14ac:dyDescent="0.2">
      <c r="A78" s="13" t="s">
        <v>3</v>
      </c>
      <c r="B78" s="10"/>
      <c r="C78" s="10"/>
      <c r="D78" s="10"/>
      <c r="E78" s="10"/>
      <c r="F78" s="10"/>
      <c r="G78" s="10"/>
      <c r="H78" s="10"/>
    </row>
    <row r="79" spans="1:9" ht="8.1" customHeight="1" x14ac:dyDescent="0.2">
      <c r="A79" s="13"/>
      <c r="B79" s="10"/>
      <c r="C79" s="10"/>
      <c r="D79" s="10"/>
      <c r="E79" s="10"/>
      <c r="F79" s="10"/>
      <c r="G79" s="10"/>
      <c r="H79" s="10"/>
    </row>
    <row r="80" spans="1:9" x14ac:dyDescent="0.2">
      <c r="A80" s="10" t="s">
        <v>35</v>
      </c>
      <c r="B80" s="10"/>
      <c r="C80" s="10"/>
      <c r="D80" s="10"/>
      <c r="E80" s="10"/>
      <c r="F80" s="10"/>
      <c r="G80" s="10"/>
      <c r="H80" s="10"/>
    </row>
    <row r="81" spans="1:9" ht="12.75" customHeight="1" x14ac:dyDescent="0.2">
      <c r="A81" s="48" t="s">
        <v>68</v>
      </c>
      <c r="B81" s="48"/>
      <c r="C81" s="48"/>
      <c r="D81" s="48"/>
      <c r="E81" s="48"/>
      <c r="F81" s="48"/>
      <c r="G81" s="48"/>
      <c r="H81" s="48"/>
    </row>
    <row r="82" spans="1:9" ht="8.1" customHeight="1" x14ac:dyDescent="0.2">
      <c r="A82" s="26"/>
      <c r="B82" s="26"/>
      <c r="C82" s="26"/>
      <c r="D82" s="26"/>
      <c r="E82" s="26"/>
      <c r="F82" s="26"/>
      <c r="G82" s="26"/>
      <c r="H82" s="26"/>
    </row>
    <row r="83" spans="1:9" x14ac:dyDescent="0.2">
      <c r="A83" s="12" t="s">
        <v>34</v>
      </c>
      <c r="B83" s="12"/>
      <c r="C83" s="12"/>
      <c r="D83" s="12"/>
      <c r="E83" s="12"/>
      <c r="F83" s="12"/>
      <c r="G83" s="12"/>
      <c r="H83" s="12"/>
    </row>
    <row r="84" spans="1:9" ht="12.75" customHeight="1" x14ac:dyDescent="0.2">
      <c r="A84" s="48" t="s">
        <v>69</v>
      </c>
      <c r="B84" s="48"/>
      <c r="C84" s="48"/>
      <c r="D84" s="48"/>
      <c r="E84" s="48"/>
      <c r="F84" s="48"/>
      <c r="G84" s="48"/>
      <c r="H84" s="48"/>
      <c r="I84" s="14"/>
    </row>
    <row r="85" spans="1:9" ht="8.1" customHeight="1" x14ac:dyDescent="0.2">
      <c r="A85" s="10"/>
      <c r="B85" s="10"/>
      <c r="C85" s="12"/>
      <c r="D85" s="12"/>
      <c r="E85" s="12"/>
      <c r="F85" s="12"/>
      <c r="G85" s="12"/>
      <c r="H85" s="12"/>
    </row>
    <row r="86" spans="1:9" x14ac:dyDescent="0.2">
      <c r="A86" s="12" t="s">
        <v>37</v>
      </c>
      <c r="B86" s="10"/>
      <c r="C86" s="10"/>
      <c r="D86" s="10"/>
      <c r="E86" s="10"/>
      <c r="F86" s="10"/>
      <c r="G86" s="10"/>
      <c r="H86" s="10"/>
    </row>
    <row r="87" spans="1:9" ht="12.75" customHeight="1" x14ac:dyDescent="0.2">
      <c r="A87" s="48" t="s">
        <v>42</v>
      </c>
      <c r="B87" s="48"/>
      <c r="C87" s="48"/>
      <c r="D87" s="48"/>
      <c r="E87" s="48"/>
      <c r="F87" s="48"/>
      <c r="G87" s="48"/>
      <c r="H87" s="48"/>
      <c r="I87" s="14"/>
    </row>
    <row r="88" spans="1:9" ht="12.75" customHeight="1" x14ac:dyDescent="0.2">
      <c r="A88" s="48"/>
      <c r="B88" s="48"/>
      <c r="C88" s="48"/>
      <c r="D88" s="48"/>
      <c r="E88" s="48"/>
      <c r="F88" s="48"/>
      <c r="G88" s="48"/>
      <c r="H88" s="48"/>
    </row>
    <row r="89" spans="1:9" ht="12.75" customHeight="1" x14ac:dyDescent="0.2">
      <c r="A89" s="48"/>
      <c r="B89" s="48"/>
      <c r="C89" s="48"/>
      <c r="D89" s="48"/>
      <c r="E89" s="48"/>
      <c r="F89" s="48"/>
      <c r="G89" s="48"/>
      <c r="H89" s="48"/>
    </row>
    <row r="90" spans="1:9" ht="12.75" customHeight="1" x14ac:dyDescent="0.2">
      <c r="A90" s="48"/>
      <c r="B90" s="48"/>
      <c r="C90" s="48"/>
      <c r="D90" s="48"/>
      <c r="E90" s="48"/>
      <c r="F90" s="48"/>
      <c r="G90" s="48"/>
      <c r="H90" s="48"/>
    </row>
    <row r="91" spans="1:9" x14ac:dyDescent="0.2">
      <c r="A91" s="10"/>
      <c r="B91" s="10"/>
      <c r="C91" s="10"/>
      <c r="D91" s="10"/>
      <c r="E91" s="10"/>
      <c r="F91" s="10"/>
      <c r="G91" s="10"/>
      <c r="H91" s="10"/>
    </row>
    <row r="92" spans="1:9" x14ac:dyDescent="0.2">
      <c r="A92" s="13" t="s">
        <v>4</v>
      </c>
      <c r="B92" s="10"/>
      <c r="C92" s="10"/>
      <c r="D92" s="10"/>
      <c r="E92" s="10"/>
      <c r="F92" s="10"/>
      <c r="G92" s="10"/>
      <c r="H92" s="10"/>
    </row>
    <row r="93" spans="1:9" ht="8.1" customHeight="1" x14ac:dyDescent="0.2">
      <c r="A93" s="13"/>
      <c r="B93" s="10"/>
      <c r="C93" s="10"/>
      <c r="D93" s="10"/>
      <c r="E93" s="10"/>
      <c r="F93" s="10"/>
      <c r="G93" s="10"/>
      <c r="H93" s="10"/>
    </row>
    <row r="94" spans="1:9" x14ac:dyDescent="0.2">
      <c r="A94" s="10" t="s">
        <v>35</v>
      </c>
      <c r="B94" s="10"/>
      <c r="C94" s="10"/>
      <c r="D94" s="10"/>
      <c r="E94" s="10"/>
      <c r="F94" s="10"/>
      <c r="G94" s="10"/>
      <c r="H94" s="10"/>
    </row>
    <row r="95" spans="1:9" ht="12.75" customHeight="1" x14ac:dyDescent="0.2">
      <c r="A95" s="48" t="s">
        <v>70</v>
      </c>
      <c r="B95" s="48"/>
      <c r="C95" s="48"/>
      <c r="D95" s="48"/>
      <c r="E95" s="48"/>
      <c r="F95" s="48"/>
      <c r="G95" s="48"/>
      <c r="H95" s="48"/>
    </row>
    <row r="96" spans="1:9" ht="8.1" customHeight="1" x14ac:dyDescent="0.2">
      <c r="A96" s="26"/>
      <c r="B96" s="26"/>
      <c r="C96" s="26"/>
      <c r="D96" s="26"/>
      <c r="E96" s="26"/>
      <c r="F96" s="26"/>
      <c r="G96" s="26"/>
      <c r="H96" s="26"/>
    </row>
    <row r="97" spans="1:9" x14ac:dyDescent="0.2">
      <c r="A97" s="12" t="s">
        <v>34</v>
      </c>
      <c r="B97" s="12"/>
      <c r="C97" s="12"/>
      <c r="D97" s="12"/>
      <c r="E97" s="12"/>
      <c r="F97" s="12"/>
      <c r="G97" s="12"/>
      <c r="H97" s="12"/>
    </row>
    <row r="98" spans="1:9" ht="12.75" customHeight="1" x14ac:dyDescent="0.2">
      <c r="A98" s="48" t="s">
        <v>71</v>
      </c>
      <c r="B98" s="48"/>
      <c r="C98" s="48"/>
      <c r="D98" s="48"/>
      <c r="E98" s="48"/>
      <c r="F98" s="48"/>
      <c r="G98" s="48"/>
      <c r="H98" s="48"/>
      <c r="I98" s="14"/>
    </row>
    <row r="99" spans="1:9" ht="8.1" customHeight="1" x14ac:dyDescent="0.2">
      <c r="A99" s="10"/>
      <c r="B99" s="10"/>
      <c r="C99" s="12"/>
      <c r="D99" s="12"/>
      <c r="E99" s="12"/>
      <c r="F99" s="12"/>
      <c r="G99" s="12"/>
      <c r="H99" s="12"/>
    </row>
    <row r="100" spans="1:9" x14ac:dyDescent="0.2">
      <c r="A100" s="12" t="s">
        <v>37</v>
      </c>
      <c r="B100" s="10"/>
      <c r="C100" s="10"/>
      <c r="D100" s="10"/>
      <c r="E100" s="10"/>
      <c r="F100" s="10"/>
      <c r="G100" s="10"/>
      <c r="H100" s="10"/>
    </row>
    <row r="101" spans="1:9" ht="12.75" customHeight="1" x14ac:dyDescent="0.2">
      <c r="A101" s="48" t="s">
        <v>43</v>
      </c>
      <c r="B101" s="48"/>
      <c r="C101" s="48"/>
      <c r="D101" s="48"/>
      <c r="E101" s="48"/>
      <c r="F101" s="48"/>
      <c r="G101" s="48"/>
      <c r="H101" s="48"/>
      <c r="I101" s="14"/>
    </row>
    <row r="102" spans="1:9" ht="12.75" customHeight="1" x14ac:dyDescent="0.2">
      <c r="A102" s="48"/>
      <c r="B102" s="48"/>
      <c r="C102" s="48"/>
      <c r="D102" s="48"/>
      <c r="E102" s="48"/>
      <c r="F102" s="48"/>
      <c r="G102" s="48"/>
      <c r="H102" s="48"/>
    </row>
    <row r="103" spans="1:9" ht="12.75" customHeight="1" x14ac:dyDescent="0.2">
      <c r="A103" s="48"/>
      <c r="B103" s="48"/>
      <c r="C103" s="48"/>
      <c r="D103" s="48"/>
      <c r="E103" s="48"/>
      <c r="F103" s="48"/>
      <c r="G103" s="48"/>
      <c r="H103" s="48"/>
    </row>
    <row r="104" spans="1:9" ht="12.75" customHeight="1" x14ac:dyDescent="0.2">
      <c r="A104" s="48"/>
      <c r="B104" s="48"/>
      <c r="C104" s="48"/>
      <c r="D104" s="48"/>
      <c r="E104" s="48"/>
      <c r="F104" s="48"/>
      <c r="G104" s="48"/>
      <c r="H104" s="48"/>
    </row>
    <row r="105" spans="1:9" x14ac:dyDescent="0.2">
      <c r="A105" s="10"/>
      <c r="B105" s="10"/>
      <c r="C105" s="10"/>
      <c r="D105" s="10"/>
      <c r="E105" s="10"/>
      <c r="F105" s="10"/>
      <c r="G105" s="10"/>
      <c r="H105" s="10"/>
    </row>
    <row r="106" spans="1:9" x14ac:dyDescent="0.2">
      <c r="A106" s="13" t="s">
        <v>5</v>
      </c>
      <c r="B106" s="10"/>
      <c r="C106" s="10"/>
      <c r="D106" s="10"/>
      <c r="E106" s="10"/>
      <c r="F106" s="10"/>
      <c r="G106" s="10"/>
      <c r="H106" s="10"/>
    </row>
    <row r="107" spans="1:9" ht="8.1" customHeight="1" x14ac:dyDescent="0.2">
      <c r="A107" s="13"/>
      <c r="B107" s="10"/>
      <c r="C107" s="10"/>
      <c r="D107" s="10"/>
      <c r="E107" s="10"/>
      <c r="F107" s="10"/>
      <c r="G107" s="10"/>
      <c r="H107" s="10"/>
    </row>
    <row r="108" spans="1:9" x14ac:dyDescent="0.2">
      <c r="A108" s="10" t="s">
        <v>35</v>
      </c>
      <c r="B108" s="10"/>
      <c r="C108" s="10"/>
      <c r="D108" s="10"/>
      <c r="E108" s="10"/>
      <c r="F108" s="10"/>
      <c r="G108" s="10"/>
      <c r="H108" s="10"/>
    </row>
    <row r="109" spans="1:9" ht="12.75" customHeight="1" x14ac:dyDescent="0.2">
      <c r="A109" s="48" t="s">
        <v>72</v>
      </c>
      <c r="B109" s="48"/>
      <c r="C109" s="48"/>
      <c r="D109" s="48"/>
      <c r="E109" s="48"/>
      <c r="F109" s="48"/>
      <c r="G109" s="48"/>
      <c r="H109" s="48"/>
    </row>
    <row r="110" spans="1:9" ht="8.1" customHeight="1" x14ac:dyDescent="0.2">
      <c r="A110" s="26"/>
      <c r="B110" s="26"/>
      <c r="C110" s="26"/>
      <c r="D110" s="26"/>
      <c r="E110" s="26"/>
      <c r="F110" s="26"/>
      <c r="G110" s="26"/>
      <c r="H110" s="26"/>
    </row>
    <row r="111" spans="1:9" x14ac:dyDescent="0.2">
      <c r="A111" s="12" t="s">
        <v>34</v>
      </c>
      <c r="B111" s="12"/>
      <c r="C111" s="12"/>
      <c r="D111" s="12"/>
      <c r="E111" s="12"/>
      <c r="F111" s="12"/>
      <c r="G111" s="12"/>
      <c r="H111" s="12"/>
    </row>
    <row r="112" spans="1:9" ht="12.75" customHeight="1" x14ac:dyDescent="0.2">
      <c r="A112" s="48" t="s">
        <v>73</v>
      </c>
      <c r="B112" s="48"/>
      <c r="C112" s="48"/>
      <c r="D112" s="48"/>
      <c r="E112" s="48"/>
      <c r="F112" s="48"/>
      <c r="G112" s="48"/>
      <c r="H112" s="48"/>
      <c r="I112" s="14"/>
    </row>
    <row r="113" spans="1:9" ht="8.1" customHeight="1" x14ac:dyDescent="0.2">
      <c r="A113" s="10"/>
      <c r="B113" s="10"/>
      <c r="C113" s="12"/>
      <c r="D113" s="12"/>
      <c r="E113" s="12"/>
      <c r="F113" s="12"/>
      <c r="G113" s="12"/>
      <c r="H113" s="12"/>
    </row>
    <row r="114" spans="1:9" x14ac:dyDescent="0.2">
      <c r="A114" s="12" t="s">
        <v>37</v>
      </c>
      <c r="B114" s="10"/>
      <c r="C114" s="10"/>
      <c r="D114" s="10"/>
      <c r="E114" s="10"/>
      <c r="F114" s="10"/>
      <c r="G114" s="10"/>
      <c r="H114" s="10"/>
    </row>
    <row r="115" spans="1:9" ht="12.75" customHeight="1" x14ac:dyDescent="0.2">
      <c r="A115" s="48" t="s">
        <v>44</v>
      </c>
      <c r="B115" s="48"/>
      <c r="C115" s="48"/>
      <c r="D115" s="48"/>
      <c r="E115" s="48"/>
      <c r="F115" s="48"/>
      <c r="G115" s="48"/>
      <c r="H115" s="48"/>
      <c r="I115" s="14"/>
    </row>
    <row r="116" spans="1:9" ht="12.75" customHeight="1" x14ac:dyDescent="0.2">
      <c r="A116" s="48"/>
      <c r="B116" s="48"/>
      <c r="C116" s="48"/>
      <c r="D116" s="48"/>
      <c r="E116" s="48"/>
      <c r="F116" s="48"/>
      <c r="G116" s="48"/>
      <c r="H116" s="48"/>
    </row>
    <row r="117" spans="1:9" ht="12.75" customHeight="1" x14ac:dyDescent="0.2">
      <c r="A117" s="48"/>
      <c r="B117" s="48"/>
      <c r="C117" s="48"/>
      <c r="D117" s="48"/>
      <c r="E117" s="48"/>
      <c r="F117" s="48"/>
      <c r="G117" s="48"/>
      <c r="H117" s="48"/>
    </row>
    <row r="118" spans="1:9" ht="12.75" customHeight="1" x14ac:dyDescent="0.2">
      <c r="A118" s="48"/>
      <c r="B118" s="48"/>
      <c r="C118" s="48"/>
      <c r="D118" s="48"/>
      <c r="E118" s="48"/>
      <c r="F118" s="48"/>
      <c r="G118" s="48"/>
      <c r="H118" s="48"/>
    </row>
    <row r="119" spans="1:9" x14ac:dyDescent="0.2">
      <c r="A119" s="10"/>
      <c r="B119" s="10"/>
      <c r="C119" s="10"/>
      <c r="D119" s="10"/>
      <c r="E119" s="10"/>
      <c r="F119" s="10"/>
      <c r="G119" s="10"/>
      <c r="H119" s="10"/>
    </row>
    <row r="120" spans="1:9" x14ac:dyDescent="0.2">
      <c r="A120" s="13" t="s">
        <v>6</v>
      </c>
      <c r="B120" s="10"/>
      <c r="C120" s="10"/>
      <c r="D120" s="10"/>
      <c r="E120" s="10"/>
      <c r="F120" s="10"/>
      <c r="G120" s="10"/>
      <c r="H120" s="10"/>
    </row>
    <row r="121" spans="1:9" ht="8.1" customHeight="1" x14ac:dyDescent="0.2">
      <c r="A121" s="13"/>
      <c r="B121" s="10"/>
      <c r="C121" s="10"/>
      <c r="D121" s="10"/>
      <c r="E121" s="10"/>
      <c r="F121" s="10"/>
      <c r="G121" s="10"/>
      <c r="H121" s="10"/>
    </row>
    <row r="122" spans="1:9" x14ac:dyDescent="0.2">
      <c r="A122" s="10" t="s">
        <v>35</v>
      </c>
      <c r="B122" s="10"/>
      <c r="C122" s="10"/>
      <c r="D122" s="10"/>
      <c r="E122" s="10"/>
      <c r="F122" s="10"/>
      <c r="G122" s="10"/>
      <c r="H122" s="10"/>
    </row>
    <row r="123" spans="1:9" ht="12.75" customHeight="1" x14ac:dyDescent="0.2">
      <c r="A123" s="48" t="s">
        <v>74</v>
      </c>
      <c r="B123" s="48"/>
      <c r="C123" s="48"/>
      <c r="D123" s="48"/>
      <c r="E123" s="48"/>
      <c r="F123" s="48"/>
      <c r="G123" s="48"/>
      <c r="H123" s="48"/>
    </row>
    <row r="124" spans="1:9" ht="8.1" customHeight="1" x14ac:dyDescent="0.2">
      <c r="A124" s="26"/>
      <c r="B124" s="26"/>
      <c r="C124" s="26"/>
      <c r="D124" s="26"/>
      <c r="E124" s="26"/>
      <c r="F124" s="26"/>
      <c r="G124" s="26"/>
      <c r="H124" s="26"/>
    </row>
    <row r="125" spans="1:9" x14ac:dyDescent="0.2">
      <c r="A125" s="12" t="s">
        <v>34</v>
      </c>
      <c r="B125" s="12"/>
      <c r="C125" s="12"/>
      <c r="D125" s="12"/>
      <c r="E125" s="12"/>
      <c r="F125" s="12"/>
      <c r="G125" s="12"/>
      <c r="H125" s="12"/>
    </row>
    <row r="126" spans="1:9" ht="12.75" customHeight="1" x14ac:dyDescent="0.2">
      <c r="A126" s="48" t="s">
        <v>75</v>
      </c>
      <c r="B126" s="48"/>
      <c r="C126" s="48"/>
      <c r="D126" s="48"/>
      <c r="E126" s="48"/>
      <c r="F126" s="48"/>
      <c r="G126" s="48"/>
      <c r="H126" s="48"/>
      <c r="I126" s="14"/>
    </row>
    <row r="127" spans="1:9" ht="8.1" customHeight="1" x14ac:dyDescent="0.2">
      <c r="A127" s="10"/>
      <c r="B127" s="10"/>
      <c r="C127" s="12"/>
      <c r="D127" s="12"/>
      <c r="E127" s="12"/>
      <c r="F127" s="12"/>
      <c r="G127" s="12"/>
      <c r="H127" s="12"/>
    </row>
    <row r="128" spans="1:9" x14ac:dyDescent="0.2">
      <c r="A128" s="12" t="s">
        <v>37</v>
      </c>
      <c r="B128" s="10"/>
      <c r="C128" s="10"/>
      <c r="D128" s="10"/>
      <c r="E128" s="10"/>
      <c r="F128" s="10"/>
      <c r="G128" s="10"/>
      <c r="H128" s="10"/>
    </row>
    <row r="129" spans="1:15" ht="12.75" customHeight="1" x14ac:dyDescent="0.25">
      <c r="A129" s="48" t="s">
        <v>45</v>
      </c>
      <c r="B129" s="48"/>
      <c r="C129" s="48"/>
      <c r="D129" s="48"/>
      <c r="E129" s="48"/>
      <c r="F129" s="48"/>
      <c r="G129" s="48"/>
      <c r="H129" s="48"/>
      <c r="I129" s="14"/>
      <c r="O129" s="33"/>
    </row>
    <row r="130" spans="1:15" ht="12.75" customHeight="1" x14ac:dyDescent="0.2">
      <c r="A130" s="48"/>
      <c r="B130" s="48"/>
      <c r="C130" s="48"/>
      <c r="D130" s="48"/>
      <c r="E130" s="48"/>
      <c r="F130" s="48"/>
      <c r="G130" s="48"/>
      <c r="H130" s="48"/>
    </row>
    <row r="131" spans="1:15" ht="12.75" customHeight="1" x14ac:dyDescent="0.2">
      <c r="A131" s="48"/>
      <c r="B131" s="48"/>
      <c r="C131" s="48"/>
      <c r="D131" s="48"/>
      <c r="E131" s="48"/>
      <c r="F131" s="48"/>
      <c r="G131" s="48"/>
      <c r="H131" s="48"/>
    </row>
    <row r="132" spans="1:15" ht="12.75" customHeight="1" x14ac:dyDescent="0.2">
      <c r="A132" s="48"/>
      <c r="B132" s="48"/>
      <c r="C132" s="48"/>
      <c r="D132" s="48"/>
      <c r="E132" s="48"/>
      <c r="F132" s="48"/>
      <c r="G132" s="48"/>
      <c r="H132" s="48"/>
    </row>
    <row r="133" spans="1:15" ht="12.75" customHeight="1" x14ac:dyDescent="0.2">
      <c r="A133" s="10"/>
      <c r="B133" s="10"/>
      <c r="C133" s="10"/>
      <c r="D133" s="10"/>
      <c r="E133" s="10"/>
      <c r="F133" s="10"/>
      <c r="G133" s="10"/>
      <c r="H133" s="10"/>
    </row>
    <row r="134" spans="1:15" x14ac:dyDescent="0.2">
      <c r="A134" s="13" t="s">
        <v>33</v>
      </c>
      <c r="B134" s="10"/>
      <c r="C134" s="10"/>
      <c r="D134" s="10"/>
      <c r="E134" s="10"/>
      <c r="F134" s="10"/>
      <c r="G134" s="10"/>
      <c r="H134" s="10"/>
    </row>
    <row r="135" spans="1:15" ht="8.1" customHeight="1" x14ac:dyDescent="0.2">
      <c r="A135" s="13"/>
      <c r="B135" s="10"/>
      <c r="C135" s="10"/>
      <c r="D135" s="10"/>
      <c r="E135" s="10"/>
      <c r="F135" s="10"/>
      <c r="G135" s="10"/>
      <c r="H135" s="10"/>
    </row>
    <row r="136" spans="1:15" x14ac:dyDescent="0.2">
      <c r="A136" s="10" t="s">
        <v>35</v>
      </c>
      <c r="B136" s="10"/>
      <c r="C136" s="10"/>
      <c r="D136" s="10"/>
      <c r="E136" s="10"/>
      <c r="F136" s="10"/>
      <c r="G136" s="10"/>
      <c r="H136" s="10"/>
    </row>
    <row r="137" spans="1:15" ht="12.75" customHeight="1" x14ac:dyDescent="0.2">
      <c r="A137" s="48" t="s">
        <v>51</v>
      </c>
      <c r="B137" s="48"/>
      <c r="C137" s="48"/>
      <c r="D137" s="48"/>
      <c r="E137" s="48"/>
      <c r="F137" s="48"/>
      <c r="G137" s="48"/>
      <c r="H137" s="48"/>
    </row>
    <row r="138" spans="1:15" ht="8.1" customHeight="1" x14ac:dyDescent="0.2">
      <c r="A138" s="26"/>
      <c r="B138" s="26"/>
      <c r="C138" s="26"/>
      <c r="D138" s="26"/>
      <c r="E138" s="26"/>
      <c r="F138" s="26"/>
      <c r="G138" s="26"/>
      <c r="H138" s="26"/>
    </row>
    <row r="139" spans="1:15" x14ac:dyDescent="0.2">
      <c r="A139" s="12" t="s">
        <v>34</v>
      </c>
      <c r="B139" s="12"/>
      <c r="C139" s="12"/>
      <c r="D139" s="12"/>
      <c r="E139" s="12"/>
      <c r="F139" s="12"/>
      <c r="G139" s="12"/>
      <c r="H139" s="12"/>
    </row>
    <row r="140" spans="1:15" ht="12.75" customHeight="1" x14ac:dyDescent="0.2">
      <c r="A140" s="48" t="s">
        <v>52</v>
      </c>
      <c r="B140" s="48"/>
      <c r="C140" s="48"/>
      <c r="D140" s="48"/>
      <c r="E140" s="48"/>
      <c r="F140" s="48"/>
      <c r="G140" s="48"/>
      <c r="H140" s="48"/>
      <c r="I140" s="14"/>
    </row>
    <row r="141" spans="1:15" ht="8.1" customHeight="1" x14ac:dyDescent="0.2">
      <c r="A141" s="10"/>
      <c r="B141" s="10"/>
      <c r="C141" s="12"/>
      <c r="D141" s="12"/>
      <c r="E141" s="12"/>
      <c r="F141" s="12"/>
      <c r="G141" s="12"/>
      <c r="H141" s="12"/>
    </row>
    <row r="142" spans="1:15" x14ac:dyDescent="0.2">
      <c r="A142" s="12" t="s">
        <v>37</v>
      </c>
      <c r="B142" s="10"/>
      <c r="C142" s="10"/>
      <c r="D142" s="10"/>
      <c r="E142" s="10"/>
      <c r="F142" s="10"/>
      <c r="G142" s="10"/>
      <c r="H142" s="10"/>
    </row>
    <row r="143" spans="1:15" ht="12.75" customHeight="1" x14ac:dyDescent="0.2">
      <c r="A143" s="48" t="s">
        <v>46</v>
      </c>
      <c r="B143" s="48"/>
      <c r="C143" s="48"/>
      <c r="D143" s="48"/>
      <c r="E143" s="48"/>
      <c r="F143" s="48"/>
      <c r="G143" s="48"/>
      <c r="H143" s="48"/>
      <c r="I143" s="14"/>
    </row>
    <row r="144" spans="1:15" ht="12.75" customHeight="1" x14ac:dyDescent="0.2">
      <c r="A144" s="48"/>
      <c r="B144" s="48"/>
      <c r="C144" s="48"/>
      <c r="D144" s="48"/>
      <c r="E144" s="48"/>
      <c r="F144" s="48"/>
      <c r="G144" s="48"/>
      <c r="H144" s="48"/>
    </row>
    <row r="145" spans="1:9" ht="12.75" customHeight="1" x14ac:dyDescent="0.2">
      <c r="A145" s="48"/>
      <c r="B145" s="48"/>
      <c r="C145" s="48"/>
      <c r="D145" s="48"/>
      <c r="E145" s="48"/>
      <c r="F145" s="48"/>
      <c r="G145" s="48"/>
      <c r="H145" s="48"/>
    </row>
    <row r="146" spans="1:9" ht="12.75" customHeight="1" x14ac:dyDescent="0.2">
      <c r="A146" s="48"/>
      <c r="B146" s="48"/>
      <c r="C146" s="48"/>
      <c r="D146" s="48"/>
      <c r="E146" s="48"/>
      <c r="F146" s="48"/>
      <c r="G146" s="48"/>
      <c r="H146" s="48"/>
    </row>
    <row r="147" spans="1:9" x14ac:dyDescent="0.2">
      <c r="A147" s="10"/>
      <c r="B147" s="10"/>
      <c r="C147" s="10"/>
      <c r="D147" s="10"/>
      <c r="E147" s="10"/>
      <c r="F147" s="10"/>
      <c r="G147" s="10"/>
      <c r="H147" s="10"/>
    </row>
    <row r="148" spans="1:9" x14ac:dyDescent="0.2">
      <c r="A148" s="13" t="s">
        <v>7</v>
      </c>
      <c r="B148" s="10"/>
      <c r="C148" s="10"/>
      <c r="D148" s="10"/>
      <c r="E148" s="10"/>
      <c r="F148" s="10"/>
      <c r="G148" s="10"/>
      <c r="H148" s="10"/>
    </row>
    <row r="149" spans="1:9" ht="8.1" customHeight="1" x14ac:dyDescent="0.2">
      <c r="A149" s="13"/>
      <c r="B149" s="10"/>
      <c r="C149" s="10"/>
      <c r="D149" s="10"/>
      <c r="E149" s="10"/>
      <c r="F149" s="10"/>
      <c r="G149" s="10"/>
      <c r="H149" s="10"/>
    </row>
    <row r="150" spans="1:9" x14ac:dyDescent="0.2">
      <c r="A150" s="10" t="s">
        <v>35</v>
      </c>
      <c r="B150" s="10"/>
      <c r="C150" s="10"/>
      <c r="D150" s="10"/>
      <c r="E150" s="10"/>
      <c r="F150" s="10"/>
      <c r="G150" s="10"/>
      <c r="H150" s="10"/>
    </row>
    <row r="151" spans="1:9" ht="12.75" customHeight="1" x14ac:dyDescent="0.2">
      <c r="A151" s="48" t="s">
        <v>36</v>
      </c>
      <c r="B151" s="48"/>
      <c r="C151" s="48"/>
      <c r="D151" s="48"/>
      <c r="E151" s="48"/>
      <c r="F151" s="48"/>
      <c r="G151" s="48"/>
      <c r="H151" s="48"/>
    </row>
    <row r="152" spans="1:9" ht="8.1" customHeight="1" x14ac:dyDescent="0.2">
      <c r="A152" s="26"/>
      <c r="B152" s="26"/>
      <c r="C152" s="26"/>
      <c r="D152" s="26"/>
      <c r="E152" s="26"/>
      <c r="F152" s="26"/>
      <c r="G152" s="26"/>
      <c r="H152" s="26"/>
    </row>
    <row r="153" spans="1:9" x14ac:dyDescent="0.2">
      <c r="A153" s="12" t="s">
        <v>34</v>
      </c>
      <c r="B153" s="12"/>
      <c r="C153" s="12"/>
      <c r="D153" s="12"/>
      <c r="E153" s="12"/>
      <c r="F153" s="12"/>
      <c r="G153" s="12"/>
      <c r="H153" s="12"/>
    </row>
    <row r="154" spans="1:9" ht="12.75" customHeight="1" x14ac:dyDescent="0.2">
      <c r="A154" s="48" t="s">
        <v>53</v>
      </c>
      <c r="B154" s="48"/>
      <c r="C154" s="48"/>
      <c r="D154" s="48"/>
      <c r="E154" s="48"/>
      <c r="F154" s="48"/>
      <c r="G154" s="48"/>
      <c r="H154" s="48"/>
      <c r="I154" s="14"/>
    </row>
    <row r="155" spans="1:9" ht="8.1" customHeight="1" x14ac:dyDescent="0.2">
      <c r="A155" s="10"/>
      <c r="B155" s="10"/>
      <c r="C155" s="12"/>
      <c r="D155" s="12"/>
      <c r="E155" s="12"/>
      <c r="F155" s="12"/>
      <c r="G155" s="12"/>
      <c r="H155" s="12"/>
    </row>
    <row r="156" spans="1:9" x14ac:dyDescent="0.2">
      <c r="A156" s="12" t="s">
        <v>37</v>
      </c>
      <c r="B156" s="10"/>
      <c r="C156" s="10"/>
      <c r="D156" s="10"/>
      <c r="E156" s="10"/>
      <c r="F156" s="10"/>
      <c r="G156" s="10"/>
      <c r="H156" s="10"/>
    </row>
    <row r="157" spans="1:9" ht="12.75" customHeight="1" x14ac:dyDescent="0.2">
      <c r="A157" s="48" t="s">
        <v>47</v>
      </c>
      <c r="B157" s="48"/>
      <c r="C157" s="48"/>
      <c r="D157" s="48"/>
      <c r="E157" s="48"/>
      <c r="F157" s="48"/>
      <c r="G157" s="48"/>
      <c r="H157" s="48"/>
      <c r="I157" s="14"/>
    </row>
    <row r="158" spans="1:9" ht="12.75" customHeight="1" x14ac:dyDescent="0.2">
      <c r="A158" s="48"/>
      <c r="B158" s="48"/>
      <c r="C158" s="48"/>
      <c r="D158" s="48"/>
      <c r="E158" s="48"/>
      <c r="F158" s="48"/>
      <c r="G158" s="48"/>
      <c r="H158" s="48"/>
    </row>
    <row r="159" spans="1:9" ht="12.75" customHeight="1" x14ac:dyDescent="0.2">
      <c r="A159" s="48"/>
      <c r="B159" s="48"/>
      <c r="C159" s="48"/>
      <c r="D159" s="48"/>
      <c r="E159" s="48"/>
      <c r="F159" s="48"/>
      <c r="G159" s="48"/>
      <c r="H159" s="48"/>
    </row>
    <row r="160" spans="1:9" ht="12.75" customHeight="1" x14ac:dyDescent="0.2">
      <c r="A160" s="48"/>
      <c r="B160" s="48"/>
      <c r="C160" s="48"/>
      <c r="D160" s="48"/>
      <c r="E160" s="48"/>
      <c r="F160" s="48"/>
      <c r="G160" s="48"/>
      <c r="H160" s="48"/>
    </row>
    <row r="161" spans="1:8" x14ac:dyDescent="0.2">
      <c r="A161" s="10"/>
      <c r="B161" s="10"/>
      <c r="C161" s="10"/>
      <c r="D161" s="10"/>
      <c r="E161" s="10"/>
      <c r="F161" s="10"/>
      <c r="G161" s="10"/>
      <c r="H161" s="10"/>
    </row>
    <row r="162" spans="1:8" s="14" customFormat="1" x14ac:dyDescent="0.2">
      <c r="A162" s="1" t="s">
        <v>19</v>
      </c>
      <c r="B162" s="1"/>
      <c r="C162" s="1"/>
      <c r="D162" s="1"/>
      <c r="E162" s="1"/>
      <c r="F162" s="1"/>
      <c r="G162" s="1"/>
      <c r="H162" s="1"/>
    </row>
    <row r="164" spans="1:8" x14ac:dyDescent="0.2">
      <c r="A164" s="9" t="s">
        <v>29</v>
      </c>
      <c r="C164" s="9">
        <v>1</v>
      </c>
      <c r="E164" s="9" t="s">
        <v>0</v>
      </c>
    </row>
    <row r="165" spans="1:8" x14ac:dyDescent="0.2">
      <c r="A165" s="9" t="s">
        <v>67</v>
      </c>
      <c r="C165" s="9">
        <v>2</v>
      </c>
      <c r="E165" s="9" t="s">
        <v>1</v>
      </c>
    </row>
    <row r="166" spans="1:8" x14ac:dyDescent="0.2">
      <c r="A166" s="9" t="s">
        <v>28</v>
      </c>
      <c r="C166" s="9">
        <v>3</v>
      </c>
      <c r="E166" s="9" t="s">
        <v>2</v>
      </c>
    </row>
    <row r="167" spans="1:8" x14ac:dyDescent="0.2">
      <c r="C167" s="9">
        <v>4</v>
      </c>
      <c r="E167" s="9" t="s">
        <v>3</v>
      </c>
    </row>
    <row r="168" spans="1:8" x14ac:dyDescent="0.2">
      <c r="A168" s="9" t="s">
        <v>15</v>
      </c>
      <c r="C168" s="9">
        <v>5</v>
      </c>
      <c r="E168" s="9" t="s">
        <v>4</v>
      </c>
    </row>
    <row r="169" spans="1:8" x14ac:dyDescent="0.2">
      <c r="A169" s="9" t="s">
        <v>16</v>
      </c>
      <c r="C169" s="9">
        <v>6</v>
      </c>
      <c r="E169" s="9" t="s">
        <v>5</v>
      </c>
    </row>
    <row r="170" spans="1:8" x14ac:dyDescent="0.2">
      <c r="C170" s="9">
        <v>7</v>
      </c>
      <c r="E170" s="9" t="s">
        <v>6</v>
      </c>
    </row>
    <row r="171" spans="1:8" x14ac:dyDescent="0.2">
      <c r="C171" s="9">
        <v>8</v>
      </c>
      <c r="E171" s="9" t="s">
        <v>20</v>
      </c>
    </row>
    <row r="172" spans="1:8" x14ac:dyDescent="0.2">
      <c r="C172" s="9">
        <v>9</v>
      </c>
      <c r="E172" s="9" t="s">
        <v>7</v>
      </c>
    </row>
    <row r="174" spans="1:8" x14ac:dyDescent="0.2">
      <c r="A174" s="49" t="s">
        <v>17</v>
      </c>
      <c r="B174" s="15" t="s">
        <v>23</v>
      </c>
      <c r="C174" s="15" t="s">
        <v>24</v>
      </c>
    </row>
    <row r="175" spans="1:8" x14ac:dyDescent="0.2">
      <c r="A175" s="49"/>
      <c r="B175" s="15" t="s">
        <v>22</v>
      </c>
      <c r="C175" s="15" t="s">
        <v>22</v>
      </c>
    </row>
    <row r="176" spans="1:8" x14ac:dyDescent="0.2">
      <c r="A176" s="15">
        <v>1</v>
      </c>
      <c r="B176" s="15" t="str">
        <f>IF($D$29&lt;A176,"",IF($D$29=A176,"Triangle","Circle"))</f>
        <v>Circle</v>
      </c>
      <c r="C176" s="15" t="str">
        <f t="shared" ref="C176:C184" si="0">IF($D$29&lt;A176,"","Triangle")</f>
        <v>Triangle</v>
      </c>
      <c r="D176" s="15"/>
      <c r="E176" s="15"/>
    </row>
    <row r="177" spans="1:5" x14ac:dyDescent="0.2">
      <c r="A177" s="15">
        <v>2</v>
      </c>
      <c r="B177" s="15" t="str">
        <f t="shared" ref="B177:B184" si="1">IF($D$29&lt;A177,"",IF($D$29=A177,"Triangle","Circle"))</f>
        <v>Circle</v>
      </c>
      <c r="C177" s="15" t="str">
        <f t="shared" si="0"/>
        <v>Triangle</v>
      </c>
      <c r="D177" s="15"/>
      <c r="E177" s="15"/>
    </row>
    <row r="178" spans="1:5" x14ac:dyDescent="0.2">
      <c r="A178" s="15">
        <v>3</v>
      </c>
      <c r="B178" s="15" t="str">
        <f t="shared" si="1"/>
        <v>Triangle</v>
      </c>
      <c r="C178" s="15" t="str">
        <f t="shared" si="0"/>
        <v>Triangle</v>
      </c>
      <c r="D178" s="15"/>
      <c r="E178" s="15"/>
    </row>
    <row r="179" spans="1:5" x14ac:dyDescent="0.2">
      <c r="A179" s="15">
        <v>4</v>
      </c>
      <c r="B179" s="15" t="str">
        <f t="shared" si="1"/>
        <v/>
      </c>
      <c r="C179" s="15" t="str">
        <f t="shared" si="0"/>
        <v/>
      </c>
      <c r="D179" s="15"/>
      <c r="E179" s="15"/>
    </row>
    <row r="180" spans="1:5" x14ac:dyDescent="0.2">
      <c r="A180" s="15">
        <v>5</v>
      </c>
      <c r="B180" s="15" t="str">
        <f t="shared" si="1"/>
        <v/>
      </c>
      <c r="C180" s="15" t="str">
        <f t="shared" si="0"/>
        <v/>
      </c>
      <c r="D180" s="15"/>
      <c r="E180" s="15"/>
    </row>
    <row r="181" spans="1:5" x14ac:dyDescent="0.2">
      <c r="A181" s="15">
        <v>6</v>
      </c>
      <c r="B181" s="15" t="str">
        <f t="shared" si="1"/>
        <v/>
      </c>
      <c r="C181" s="15" t="str">
        <f t="shared" si="0"/>
        <v/>
      </c>
      <c r="D181" s="15"/>
      <c r="E181" s="15"/>
    </row>
    <row r="182" spans="1:5" x14ac:dyDescent="0.2">
      <c r="A182" s="15">
        <v>7</v>
      </c>
      <c r="B182" s="15" t="str">
        <f t="shared" si="1"/>
        <v/>
      </c>
      <c r="C182" s="15" t="str">
        <f t="shared" si="0"/>
        <v/>
      </c>
      <c r="D182" s="15"/>
      <c r="E182" s="15"/>
    </row>
    <row r="183" spans="1:5" x14ac:dyDescent="0.2">
      <c r="A183" s="15">
        <v>8</v>
      </c>
      <c r="B183" s="15" t="str">
        <f t="shared" si="1"/>
        <v/>
      </c>
      <c r="C183" s="15" t="str">
        <f t="shared" si="0"/>
        <v/>
      </c>
      <c r="D183" s="15"/>
      <c r="E183" s="15"/>
    </row>
    <row r="184" spans="1:5" x14ac:dyDescent="0.2">
      <c r="A184" s="15">
        <v>9</v>
      </c>
      <c r="B184" s="15" t="str">
        <f t="shared" si="1"/>
        <v/>
      </c>
      <c r="C184" s="15" t="str">
        <f t="shared" si="0"/>
        <v/>
      </c>
      <c r="D184" s="15"/>
      <c r="E184" s="15"/>
    </row>
    <row r="186" spans="1:5" x14ac:dyDescent="0.2">
      <c r="A186" s="15"/>
      <c r="B186" s="15" t="s">
        <v>49</v>
      </c>
      <c r="C186" s="15" t="s">
        <v>37</v>
      </c>
    </row>
    <row r="187" spans="1:5" x14ac:dyDescent="0.2">
      <c r="A187" s="15" t="s">
        <v>50</v>
      </c>
      <c r="B187" s="15">
        <v>75</v>
      </c>
      <c r="C187" s="15">
        <v>375</v>
      </c>
    </row>
  </sheetData>
  <mergeCells count="33">
    <mergeCell ref="A70:H70"/>
    <mergeCell ref="B1:D1"/>
    <mergeCell ref="B2:D2"/>
    <mergeCell ref="C3:H3"/>
    <mergeCell ref="A59:H62"/>
    <mergeCell ref="D27:E27"/>
    <mergeCell ref="A45:H48"/>
    <mergeCell ref="A42:H42"/>
    <mergeCell ref="A56:H56"/>
    <mergeCell ref="A39:H39"/>
    <mergeCell ref="A53:H53"/>
    <mergeCell ref="A67:H67"/>
    <mergeCell ref="G27:H27"/>
    <mergeCell ref="A109:H109"/>
    <mergeCell ref="A123:H123"/>
    <mergeCell ref="A174:A175"/>
    <mergeCell ref="A140:H140"/>
    <mergeCell ref="A143:H146"/>
    <mergeCell ref="A154:H154"/>
    <mergeCell ref="A157:H160"/>
    <mergeCell ref="A137:H137"/>
    <mergeCell ref="A151:H151"/>
    <mergeCell ref="A112:H112"/>
    <mergeCell ref="A115:H118"/>
    <mergeCell ref="A126:H126"/>
    <mergeCell ref="A129:H132"/>
    <mergeCell ref="A73:H76"/>
    <mergeCell ref="A84:H84"/>
    <mergeCell ref="A87:H90"/>
    <mergeCell ref="A98:H98"/>
    <mergeCell ref="A101:H104"/>
    <mergeCell ref="A81:H81"/>
    <mergeCell ref="A95:H95"/>
  </mergeCells>
  <conditionalFormatting sqref="F27:H27">
    <cfRule type="expression" dxfId="21" priority="67">
      <formula>$D$27="Seismic Hazard"</formula>
    </cfRule>
    <cfRule type="expression" dxfId="20" priority="68">
      <formula>$D$27="Flood Loading"</formula>
    </cfRule>
  </conditionalFormatting>
  <conditionalFormatting sqref="A50:H63">
    <cfRule type="expression" dxfId="19" priority="16" stopIfTrue="1">
      <formula>$D$29&lt;2</formula>
    </cfRule>
  </conditionalFormatting>
  <conditionalFormatting sqref="A128:H132 A156:H160 A58:H62 A72:H76 A86:H90 A100:H104 A114:H118 A142:H146 A44:H48">
    <cfRule type="expression" dxfId="18" priority="2" stopIfTrue="1">
      <formula>$D$32="No"</formula>
    </cfRule>
  </conditionalFormatting>
  <conditionalFormatting sqref="A64:H77">
    <cfRule type="expression" dxfId="17" priority="14" stopIfTrue="1">
      <formula>$D$29&lt;3</formula>
    </cfRule>
  </conditionalFormatting>
  <conditionalFormatting sqref="A78:H91">
    <cfRule type="expression" dxfId="16" priority="12" stopIfTrue="1">
      <formula>$D$29&lt;4</formula>
    </cfRule>
  </conditionalFormatting>
  <conditionalFormatting sqref="A92:H105">
    <cfRule type="expression" dxfId="15" priority="9" stopIfTrue="1">
      <formula>$D$29&lt;5</formula>
    </cfRule>
  </conditionalFormatting>
  <conditionalFormatting sqref="A106:H119">
    <cfRule type="expression" dxfId="14" priority="7" stopIfTrue="1">
      <formula>$D$29&lt;6</formula>
    </cfRule>
  </conditionalFormatting>
  <conditionalFormatting sqref="A120:H133">
    <cfRule type="expression" dxfId="13" priority="8" stopIfTrue="1">
      <formula>$D$29&lt;7</formula>
    </cfRule>
  </conditionalFormatting>
  <conditionalFormatting sqref="A134:H147">
    <cfRule type="expression" dxfId="12" priority="3" stopIfTrue="1">
      <formula>$D$29&lt;8</formula>
    </cfRule>
  </conditionalFormatting>
  <conditionalFormatting sqref="A148:H161">
    <cfRule type="expression" dxfId="11" priority="1" stopIfTrue="1">
      <formula>$D$29&lt;9</formula>
    </cfRule>
  </conditionalFormatting>
  <conditionalFormatting sqref="A38:H39 A52:H53 A66:H67 A80:H81 A94:H95 A108:H109 A122:H123 A136:H137 A150:H151">
    <cfRule type="expression" dxfId="10" priority="22">
      <formula>$D$31="No"</formula>
    </cfRule>
  </conditionalFormatting>
  <conditionalFormatting sqref="A45:H48">
    <cfRule type="expression" dxfId="9" priority="18" stopIfTrue="1">
      <formula>$D$29&lt;2</formula>
    </cfRule>
  </conditionalFormatting>
  <dataValidations count="3">
    <dataValidation type="list" allowBlank="1" showInputMessage="1" showErrorMessage="1" sqref="D29" xr:uid="{11CBF4A3-4ADB-48CF-A016-167A8F057629}">
      <formula1>$C$164:$C$172</formula1>
    </dataValidation>
    <dataValidation type="list" allowBlank="1" showInputMessage="1" showErrorMessage="1" sqref="D27:E27" xr:uid="{A1B3158B-AC72-43C1-B417-765C9D431084}">
      <formula1>$A$164:$A$166</formula1>
    </dataValidation>
    <dataValidation type="list" allowBlank="1" showInputMessage="1" showErrorMessage="1" sqref="D31:D32" xr:uid="{D0D72A24-EC89-4478-A7AC-24228165B458}">
      <formula1>$A$168:$A$169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49" max="16383" man="1"/>
    <brk id="10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9" customWidth="1"/>
    <col min="80" max="16384" width="11.28515625" style="9"/>
  </cols>
  <sheetData>
    <row r="1" spans="1:80" ht="15" customHeight="1" x14ac:dyDescent="0.2">
      <c r="A1" s="52" t="s">
        <v>8</v>
      </c>
      <c r="B1" s="52"/>
      <c r="C1" s="52"/>
      <c r="D1" s="52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4" t="s">
        <v>9</v>
      </c>
      <c r="AG1" s="54"/>
      <c r="AH1" s="54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4" t="s">
        <v>10</v>
      </c>
      <c r="BE1" s="54"/>
      <c r="BF1" s="58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</row>
    <row r="2" spans="1:80" ht="15" customHeight="1" x14ac:dyDescent="0.2">
      <c r="A2" s="52" t="s">
        <v>11</v>
      </c>
      <c r="B2" s="52"/>
      <c r="C2" s="52"/>
      <c r="D2" s="52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4" t="s">
        <v>9</v>
      </c>
      <c r="AG2" s="54"/>
      <c r="AH2" s="54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4" t="s">
        <v>10</v>
      </c>
      <c r="BE2" s="54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</row>
    <row r="3" spans="1:80" ht="15" customHeight="1" x14ac:dyDescent="0.2">
      <c r="A3" s="53" t="s">
        <v>12</v>
      </c>
      <c r="B3" s="53"/>
      <c r="C3" s="53"/>
      <c r="D3" s="53"/>
      <c r="E3" s="53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</row>
    <row r="4" spans="1:80" ht="15" customHeight="1" x14ac:dyDescent="0.2">
      <c r="A4" s="10"/>
      <c r="B4" s="10"/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</row>
    <row r="5" spans="1:80" ht="15" customHeight="1" x14ac:dyDescent="0.2">
      <c r="A5" s="61" t="s">
        <v>25</v>
      </c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</row>
    <row r="6" spans="1:80" ht="15" customHeight="1" x14ac:dyDescent="0.2">
      <c r="A6" s="10"/>
      <c r="B6" s="10"/>
      <c r="C6" s="10"/>
      <c r="D6" s="10"/>
      <c r="E6" s="10"/>
      <c r="F6" s="10"/>
      <c r="G6" s="10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</row>
    <row r="7" spans="1:80" ht="15" customHeight="1" x14ac:dyDescent="0.2">
      <c r="A7" s="10"/>
      <c r="B7" s="10"/>
      <c r="C7" s="10"/>
      <c r="D7" s="10"/>
      <c r="E7" s="10"/>
      <c r="F7" s="10"/>
      <c r="G7" s="10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24"/>
      <c r="AK7" s="24"/>
      <c r="AL7" s="24"/>
      <c r="AM7" s="24"/>
      <c r="AN7" s="24"/>
      <c r="AO7" s="24"/>
      <c r="AP7" s="24"/>
      <c r="AQ7" s="10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6"/>
      <c r="CB7" s="14" t="s">
        <v>48</v>
      </c>
    </row>
    <row r="8" spans="1:80" ht="15" customHeight="1" x14ac:dyDescent="0.2">
      <c r="A8" s="10"/>
      <c r="B8" s="10"/>
      <c r="C8" s="10"/>
      <c r="D8" s="10"/>
      <c r="E8" s="10"/>
      <c r="F8" s="10"/>
      <c r="G8" s="10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24"/>
      <c r="AK8" s="24"/>
      <c r="AL8" s="24"/>
      <c r="AM8" s="24"/>
      <c r="AN8" s="24"/>
      <c r="AO8" s="24"/>
      <c r="AP8" s="24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6"/>
    </row>
    <row r="9" spans="1:80" ht="15" customHeight="1" x14ac:dyDescent="0.2">
      <c r="A9" s="10"/>
      <c r="B9" s="10"/>
      <c r="C9" s="10"/>
      <c r="D9" s="10"/>
      <c r="E9" s="10"/>
      <c r="F9" s="10"/>
      <c r="G9" s="10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24"/>
      <c r="AK9" s="24"/>
      <c r="AL9" s="24"/>
      <c r="AM9" s="24"/>
      <c r="AN9" s="24"/>
      <c r="AO9" s="24"/>
      <c r="AP9" s="24"/>
      <c r="AQ9" s="10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28"/>
      <c r="BU9" s="28"/>
      <c r="BV9" s="28"/>
      <c r="BW9" s="28"/>
      <c r="BX9" s="28"/>
      <c r="BY9" s="28"/>
      <c r="BZ9" s="28"/>
      <c r="CA9" s="16"/>
      <c r="CB9" s="14" t="s">
        <v>66</v>
      </c>
    </row>
    <row r="10" spans="1:80" ht="15" customHeight="1" x14ac:dyDescent="0.2">
      <c r="A10" s="10"/>
      <c r="B10" s="10"/>
      <c r="C10" s="10"/>
      <c r="D10" s="10"/>
      <c r="E10" s="10"/>
      <c r="F10" s="10"/>
      <c r="G10" s="10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24"/>
      <c r="AK10" s="24"/>
      <c r="AL10" s="24"/>
      <c r="AM10" s="24"/>
      <c r="AN10" s="24"/>
      <c r="AO10" s="24"/>
      <c r="AP10" s="24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28"/>
      <c r="BU10" s="28"/>
      <c r="BV10" s="28"/>
      <c r="BW10" s="28"/>
      <c r="BX10" s="28"/>
      <c r="BY10" s="28"/>
      <c r="BZ10" s="28"/>
      <c r="CA10" s="16"/>
    </row>
    <row r="11" spans="1:80" ht="15" customHeight="1" x14ac:dyDescent="0.2">
      <c r="A11" s="10"/>
      <c r="B11" s="10"/>
      <c r="C11" s="10"/>
      <c r="D11" s="10"/>
      <c r="E11" s="10"/>
      <c r="F11" s="10"/>
      <c r="G11" s="10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24"/>
      <c r="AK11" s="24"/>
      <c r="AL11" s="24"/>
      <c r="AM11" s="24"/>
      <c r="AN11" s="24"/>
      <c r="AO11" s="24"/>
      <c r="AP11" s="24"/>
      <c r="AQ11" s="10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24"/>
      <c r="BF11" s="24"/>
      <c r="BG11" s="24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6"/>
      <c r="CA11" s="16"/>
      <c r="CB11" s="14" t="s">
        <v>65</v>
      </c>
    </row>
    <row r="12" spans="1:80" ht="15" customHeight="1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28"/>
      <c r="BN12" s="28"/>
      <c r="BO12" s="28"/>
      <c r="BP12" s="28"/>
      <c r="BQ12" s="28"/>
      <c r="BR12" s="28"/>
      <c r="BS12" s="28"/>
      <c r="BT12" s="10"/>
      <c r="BU12" s="10"/>
      <c r="BV12" s="10"/>
      <c r="BW12" s="10"/>
      <c r="BX12" s="10"/>
      <c r="BY12" s="10"/>
      <c r="BZ12" s="10"/>
      <c r="CA12" s="10"/>
    </row>
    <row r="13" spans="1:80" ht="15" customHeight="1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8"/>
      <c r="M13" s="18"/>
      <c r="N13" s="18"/>
      <c r="O13" s="18"/>
      <c r="P13" s="10"/>
      <c r="Q13" s="10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28"/>
      <c r="BN13" s="28"/>
      <c r="BO13" s="28"/>
      <c r="BP13" s="28"/>
      <c r="BQ13" s="28"/>
      <c r="BR13" s="28"/>
      <c r="BS13" s="28"/>
      <c r="BT13" s="19"/>
      <c r="BU13" s="31"/>
      <c r="BV13" s="31"/>
      <c r="BW13" s="31"/>
      <c r="BX13" s="31"/>
      <c r="BY13" s="31"/>
      <c r="BZ13" s="31"/>
      <c r="CA13" s="10"/>
    </row>
    <row r="14" spans="1:80" ht="15" customHeight="1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0"/>
      <c r="BT14" s="20"/>
      <c r="BU14" s="27"/>
      <c r="BV14" s="27"/>
      <c r="BW14" s="27"/>
      <c r="BX14" s="27"/>
      <c r="BY14" s="27"/>
      <c r="BZ14" s="27"/>
      <c r="CA14" s="10"/>
    </row>
    <row r="15" spans="1:80" ht="15" customHeight="1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28"/>
      <c r="BG15" s="28"/>
      <c r="BH15" s="28"/>
      <c r="BI15" s="28"/>
      <c r="BJ15" s="28"/>
      <c r="BK15" s="28"/>
      <c r="BL15" s="28"/>
      <c r="BM15" s="10"/>
      <c r="BN15" s="10"/>
      <c r="BO15" s="10"/>
      <c r="BP15" s="10"/>
      <c r="BQ15" s="10"/>
      <c r="BR15" s="10"/>
      <c r="BS15" s="10"/>
      <c r="BT15" s="20"/>
      <c r="BU15" s="27"/>
      <c r="BV15" s="27"/>
      <c r="BW15" s="27"/>
      <c r="BX15" s="27"/>
      <c r="BY15" s="27"/>
      <c r="BZ15" s="27"/>
      <c r="CA15" s="10"/>
    </row>
    <row r="16" spans="1:80" ht="15" customHeight="1" x14ac:dyDescent="0.2">
      <c r="A16" s="10"/>
      <c r="B16" s="10"/>
      <c r="C16" s="10"/>
      <c r="D16" s="10"/>
      <c r="E16" s="10"/>
      <c r="F16" s="10"/>
      <c r="G16" s="10"/>
      <c r="H16" s="10"/>
      <c r="I16" s="10"/>
      <c r="J16" s="21"/>
      <c r="K16" s="21"/>
      <c r="L16" s="21"/>
      <c r="M16" s="21"/>
      <c r="N16" s="21"/>
      <c r="O16" s="21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7"/>
      <c r="AR16" s="17"/>
      <c r="AS16" s="17"/>
      <c r="AT16" s="17"/>
      <c r="AU16" s="17"/>
      <c r="AV16" s="17"/>
      <c r="AW16" s="17"/>
      <c r="AY16" s="17"/>
      <c r="AZ16" s="17"/>
      <c r="BA16" s="17"/>
      <c r="BB16" s="17"/>
      <c r="BC16" s="17"/>
      <c r="BD16" s="17"/>
      <c r="BE16" s="17"/>
      <c r="BF16" s="28"/>
      <c r="BG16" s="28"/>
      <c r="BH16" s="28"/>
      <c r="BI16" s="28"/>
      <c r="BJ16" s="28"/>
      <c r="BK16" s="28"/>
      <c r="BL16" s="28"/>
      <c r="BM16" s="19"/>
      <c r="BN16" s="31"/>
      <c r="BO16" s="31"/>
      <c r="BP16" s="31"/>
      <c r="BQ16" s="31"/>
      <c r="BR16" s="31"/>
      <c r="BS16" s="31"/>
      <c r="BT16" s="20"/>
      <c r="BU16" s="27"/>
      <c r="BV16" s="27"/>
      <c r="BW16" s="27"/>
      <c r="BX16" s="27"/>
      <c r="BY16" s="27"/>
      <c r="BZ16" s="27"/>
      <c r="CA16" s="10"/>
    </row>
    <row r="17" spans="1:79" ht="15" customHeight="1" x14ac:dyDescent="0.2">
      <c r="A17" s="10"/>
      <c r="B17" s="10"/>
      <c r="C17" s="10"/>
      <c r="D17" s="10"/>
      <c r="E17" s="10"/>
      <c r="F17" s="10"/>
      <c r="G17" s="10"/>
      <c r="H17" s="10"/>
      <c r="I17" s="10"/>
      <c r="J17" s="21"/>
      <c r="K17" s="21"/>
      <c r="L17" s="21"/>
      <c r="M17" s="21"/>
      <c r="N17" s="21"/>
      <c r="O17" s="21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0"/>
      <c r="BM17" s="20"/>
      <c r="BN17" s="27"/>
      <c r="BO17" s="27"/>
      <c r="BP17" s="27"/>
      <c r="BQ17" s="27"/>
      <c r="BR17" s="27"/>
      <c r="BS17" s="27"/>
      <c r="BT17" s="20"/>
      <c r="BU17" s="27"/>
      <c r="BV17" s="27"/>
      <c r="BW17" s="27"/>
      <c r="BX17" s="27"/>
      <c r="BY17" s="27"/>
      <c r="BZ17" s="27"/>
      <c r="CA17" s="10"/>
    </row>
    <row r="18" spans="1:79" ht="15" customHeight="1" x14ac:dyDescent="0.2">
      <c r="A18" s="10"/>
      <c r="B18" s="10"/>
      <c r="C18" s="10"/>
      <c r="D18" s="10"/>
      <c r="E18" s="10"/>
      <c r="F18" s="10"/>
      <c r="G18" s="10"/>
      <c r="H18" s="10"/>
      <c r="I18" s="10"/>
      <c r="J18" s="21"/>
      <c r="K18" s="21"/>
      <c r="L18" s="21"/>
      <c r="M18" s="21"/>
      <c r="N18" s="21"/>
      <c r="O18" s="21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0"/>
      <c r="BG18" s="10"/>
      <c r="BH18" s="10"/>
      <c r="BI18" s="10"/>
      <c r="BJ18" s="10"/>
      <c r="BK18" s="10"/>
      <c r="BL18" s="10"/>
      <c r="BM18" s="20"/>
      <c r="BN18" s="27"/>
      <c r="BO18" s="27"/>
      <c r="BP18" s="27"/>
      <c r="BQ18" s="27"/>
      <c r="BR18" s="27"/>
      <c r="BS18" s="27"/>
      <c r="BT18" s="22"/>
      <c r="BU18" s="32"/>
      <c r="BV18" s="32"/>
      <c r="BW18" s="32"/>
      <c r="BX18" s="32"/>
      <c r="BY18" s="32"/>
      <c r="BZ18" s="32"/>
      <c r="CA18" s="10"/>
    </row>
    <row r="19" spans="1:79" ht="15" customHeight="1" x14ac:dyDescent="0.2">
      <c r="A19" s="10"/>
      <c r="B19" s="10"/>
      <c r="C19" s="10"/>
      <c r="D19" s="10"/>
      <c r="E19" s="10"/>
      <c r="F19" s="10"/>
      <c r="G19" s="10"/>
      <c r="H19" s="10"/>
      <c r="I19" s="10"/>
      <c r="J19" s="21"/>
      <c r="K19" s="10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9"/>
      <c r="BG19" s="31"/>
      <c r="BH19" s="31"/>
      <c r="BI19" s="31"/>
      <c r="BJ19" s="31"/>
      <c r="BK19" s="31"/>
      <c r="BL19" s="31"/>
      <c r="BM19" s="20"/>
      <c r="BN19" s="27"/>
      <c r="BO19" s="27"/>
      <c r="BP19" s="27"/>
      <c r="BQ19" s="27"/>
      <c r="BR19" s="27"/>
      <c r="BS19" s="27"/>
      <c r="BT19" s="10"/>
      <c r="BU19" s="10"/>
      <c r="BV19" s="10"/>
      <c r="BW19" s="10"/>
      <c r="BX19" s="10"/>
      <c r="BY19" s="10"/>
      <c r="BZ19" s="10"/>
      <c r="CA19" s="10"/>
    </row>
    <row r="20" spans="1:79" ht="15" customHeight="1" x14ac:dyDescent="0.2">
      <c r="A20" s="10"/>
      <c r="B20" s="10"/>
      <c r="C20" s="10"/>
      <c r="D20" s="10"/>
      <c r="E20" s="10"/>
      <c r="F20" s="10"/>
      <c r="G20" s="10"/>
      <c r="H20" s="10"/>
      <c r="I20" s="10"/>
      <c r="J20" s="21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0"/>
      <c r="BE20" s="10"/>
      <c r="BF20" s="20"/>
      <c r="BG20" s="27"/>
      <c r="BH20" s="27"/>
      <c r="BI20" s="27"/>
      <c r="BJ20" s="27"/>
      <c r="BK20" s="27"/>
      <c r="BL20" s="27"/>
      <c r="BM20" s="20"/>
      <c r="BN20" s="27"/>
      <c r="BO20" s="27"/>
      <c r="BP20" s="27"/>
      <c r="BQ20" s="27"/>
      <c r="BR20" s="27"/>
      <c r="BS20" s="27"/>
      <c r="BT20" s="10"/>
      <c r="BU20" s="10"/>
      <c r="BV20" s="10"/>
      <c r="BW20" s="10"/>
      <c r="BX20" s="10"/>
      <c r="BY20" s="10"/>
      <c r="BZ20" s="10"/>
      <c r="CA20" s="10"/>
    </row>
    <row r="21" spans="1:79" ht="15" customHeight="1" x14ac:dyDescent="0.2">
      <c r="A21" s="10"/>
      <c r="B21" s="10"/>
      <c r="C21" s="10"/>
      <c r="D21" s="10"/>
      <c r="E21" s="10"/>
      <c r="F21" s="10"/>
      <c r="G21" s="10"/>
      <c r="H21" s="10"/>
      <c r="I21" s="10"/>
      <c r="J21" s="21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27"/>
      <c r="AS21" s="27"/>
      <c r="AT21" s="27"/>
      <c r="AU21" s="27"/>
      <c r="AV21" s="27"/>
      <c r="AW21" s="27"/>
      <c r="AX21" s="27"/>
      <c r="AY21" s="10"/>
      <c r="AZ21" s="10"/>
      <c r="BA21" s="10"/>
      <c r="BB21" s="10"/>
      <c r="BC21" s="10"/>
      <c r="BD21" s="10"/>
      <c r="BE21" s="10"/>
      <c r="BF21" s="20"/>
      <c r="BG21" s="27"/>
      <c r="BH21" s="27"/>
      <c r="BI21" s="27"/>
      <c r="BJ21" s="27"/>
      <c r="BK21" s="27"/>
      <c r="BL21" s="27"/>
      <c r="BM21" s="22"/>
      <c r="BN21" s="32"/>
      <c r="BO21" s="32"/>
      <c r="BP21" s="32"/>
      <c r="BQ21" s="32"/>
      <c r="BR21" s="32"/>
      <c r="BS21" s="32"/>
      <c r="BT21" s="10"/>
      <c r="BU21" s="10"/>
      <c r="BV21" s="10"/>
      <c r="BW21" s="10"/>
      <c r="BX21" s="10"/>
      <c r="BY21" s="10"/>
      <c r="BZ21" s="10"/>
      <c r="CA21" s="10"/>
    </row>
    <row r="22" spans="1:79" ht="15" customHeight="1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27"/>
      <c r="AS22" s="27"/>
      <c r="AT22" s="27"/>
      <c r="AU22" s="27"/>
      <c r="AV22" s="27"/>
      <c r="AW22" s="27"/>
      <c r="AX22" s="27"/>
      <c r="AY22" s="19"/>
      <c r="AZ22" s="31"/>
      <c r="BA22" s="31"/>
      <c r="BB22" s="31"/>
      <c r="BC22" s="31"/>
      <c r="BD22" s="31"/>
      <c r="BE22" s="31"/>
      <c r="BF22" s="20"/>
      <c r="BG22" s="27"/>
      <c r="BH22" s="27"/>
      <c r="BI22" s="27"/>
      <c r="BJ22" s="27"/>
      <c r="BK22" s="27"/>
      <c r="BL22" s="27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</row>
    <row r="23" spans="1:79" ht="15" customHeight="1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0"/>
      <c r="AW23" s="10"/>
      <c r="AX23" s="10"/>
      <c r="AY23" s="20"/>
      <c r="AZ23" s="27"/>
      <c r="BA23" s="27"/>
      <c r="BB23" s="27"/>
      <c r="BC23" s="27"/>
      <c r="BD23" s="27"/>
      <c r="BE23" s="27"/>
      <c r="BF23" s="20"/>
      <c r="BG23" s="27"/>
      <c r="BH23" s="27"/>
      <c r="BI23" s="27"/>
      <c r="BJ23" s="27"/>
      <c r="BK23" s="27"/>
      <c r="BL23" s="27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</row>
    <row r="24" spans="1:79" ht="15" customHeight="1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27"/>
      <c r="AL24" s="27"/>
      <c r="AM24" s="27"/>
      <c r="AN24" s="27"/>
      <c r="AO24" s="27"/>
      <c r="AP24" s="27"/>
      <c r="AQ24" s="27"/>
      <c r="AR24" s="10"/>
      <c r="AS24" s="10"/>
      <c r="AT24" s="10"/>
      <c r="AU24" s="10"/>
      <c r="AV24" s="10"/>
      <c r="AW24" s="10"/>
      <c r="AX24" s="10"/>
      <c r="AY24" s="20"/>
      <c r="AZ24" s="27"/>
      <c r="BA24" s="27"/>
      <c r="BB24" s="27"/>
      <c r="BC24" s="27"/>
      <c r="BD24" s="27"/>
      <c r="BE24" s="27"/>
      <c r="BF24" s="22"/>
      <c r="BG24" s="32"/>
      <c r="BH24" s="32"/>
      <c r="BI24" s="32"/>
      <c r="BJ24" s="32"/>
      <c r="BK24" s="32"/>
      <c r="BL24" s="32"/>
      <c r="BM24" s="10"/>
      <c r="BN24" s="10"/>
      <c r="BO24" s="10"/>
      <c r="BP24" s="10"/>
      <c r="BQ24" s="10"/>
      <c r="BR24" s="21"/>
      <c r="BS24" s="21"/>
      <c r="BT24" s="21"/>
      <c r="BU24" s="21"/>
      <c r="BV24" s="21"/>
      <c r="BW24" s="21"/>
      <c r="BX24" s="21"/>
      <c r="BY24" s="21"/>
      <c r="BZ24" s="21"/>
      <c r="CA24" s="10"/>
    </row>
    <row r="25" spans="1:79" ht="15" customHeight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0"/>
      <c r="AJ25" s="10"/>
      <c r="AK25" s="27"/>
      <c r="AL25" s="27"/>
      <c r="AM25" s="27"/>
      <c r="AN25" s="27"/>
      <c r="AO25" s="27"/>
      <c r="AP25" s="27"/>
      <c r="AQ25" s="27"/>
      <c r="AR25" s="19"/>
      <c r="AS25" s="31"/>
      <c r="AT25" s="31"/>
      <c r="AU25" s="31"/>
      <c r="AV25" s="31"/>
      <c r="AW25" s="31"/>
      <c r="AX25" s="31"/>
      <c r="AY25" s="20"/>
      <c r="AZ25" s="27"/>
      <c r="BA25" s="27"/>
      <c r="BB25" s="27"/>
      <c r="BC25" s="27"/>
      <c r="BD25" s="27"/>
      <c r="BE25" s="27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10"/>
    </row>
    <row r="26" spans="1:79" ht="15" customHeight="1" x14ac:dyDescent="0.2"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N26" s="10"/>
      <c r="AO26" s="10"/>
      <c r="AP26" s="10"/>
      <c r="AQ26" s="10"/>
      <c r="AR26" s="20"/>
      <c r="AS26" s="27"/>
      <c r="AT26" s="27"/>
      <c r="AU26" s="27"/>
      <c r="AV26" s="27"/>
      <c r="AW26" s="27"/>
      <c r="AX26" s="27"/>
      <c r="AY26" s="20"/>
      <c r="AZ26" s="27"/>
      <c r="BA26" s="27"/>
      <c r="BB26" s="27"/>
      <c r="BC26" s="27"/>
      <c r="BD26" s="27"/>
      <c r="BE26" s="27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10"/>
    </row>
    <row r="27" spans="1:79" ht="15" customHeight="1" x14ac:dyDescent="0.2"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/>
      <c r="AE27" s="40"/>
      <c r="AF27" s="40"/>
      <c r="AG27" s="40"/>
      <c r="AH27" s="40"/>
      <c r="AI27" s="40"/>
      <c r="AJ27" s="40"/>
      <c r="AK27" s="46"/>
      <c r="AL27" s="46"/>
      <c r="AM27" s="46"/>
      <c r="AN27" s="23"/>
      <c r="AO27" s="23"/>
      <c r="AP27" s="23"/>
      <c r="AQ27" s="23"/>
      <c r="AR27" s="20"/>
      <c r="AS27" s="27"/>
      <c r="AT27" s="27"/>
      <c r="AU27" s="27"/>
      <c r="AV27" s="27"/>
      <c r="AW27" s="27"/>
      <c r="AX27" s="27"/>
      <c r="AY27" s="22"/>
      <c r="AZ27" s="32"/>
      <c r="BA27" s="32"/>
      <c r="BB27" s="32"/>
      <c r="BC27" s="32"/>
      <c r="BD27" s="32"/>
      <c r="BE27" s="32"/>
      <c r="BF27" s="10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</row>
    <row r="28" spans="1:79" ht="15" customHeight="1" x14ac:dyDescent="0.2"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/>
      <c r="AE28" s="40"/>
      <c r="AF28" s="40"/>
      <c r="AG28" s="40"/>
      <c r="AH28" s="40"/>
      <c r="AI28" s="40"/>
      <c r="AJ28" s="40"/>
      <c r="AK28" s="41"/>
      <c r="AL28" s="42"/>
      <c r="AM28" s="42"/>
      <c r="AN28" s="31"/>
      <c r="AO28" s="31"/>
      <c r="AP28" s="31"/>
      <c r="AQ28" s="31"/>
      <c r="AR28" s="20"/>
      <c r="AS28" s="27"/>
      <c r="AT28" s="27"/>
      <c r="AU28" s="27"/>
      <c r="AV28" s="27"/>
      <c r="AW28" s="27"/>
      <c r="AX28" s="27"/>
      <c r="AY28" s="10"/>
      <c r="AZ28" s="10"/>
      <c r="BA28" s="10"/>
      <c r="BB28" s="10"/>
      <c r="BC28" s="10"/>
      <c r="BD28" s="10"/>
      <c r="BE28" s="10"/>
      <c r="BF28" s="10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</row>
    <row r="29" spans="1:79" ht="15" customHeight="1" x14ac:dyDescent="0.2"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K29" s="43"/>
      <c r="AL29" s="40"/>
      <c r="AM29" s="40"/>
      <c r="AN29" s="27"/>
      <c r="AO29" s="27"/>
      <c r="AP29" s="27"/>
      <c r="AQ29" s="27"/>
      <c r="AR29" s="20"/>
      <c r="AS29" s="27"/>
      <c r="AT29" s="27"/>
      <c r="AU29" s="27"/>
      <c r="AV29" s="27"/>
      <c r="AW29" s="27"/>
      <c r="AX29" s="27"/>
      <c r="AY29" s="10"/>
      <c r="AZ29" s="10"/>
      <c r="BA29" s="10"/>
      <c r="BB29" s="10"/>
      <c r="BC29" s="10"/>
      <c r="BD29" s="10"/>
      <c r="BE29" s="10"/>
      <c r="BF29" s="10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</row>
    <row r="30" spans="1:79" ht="15" customHeight="1" x14ac:dyDescent="0.2"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40"/>
      <c r="X30" s="40"/>
      <c r="Y30" s="40"/>
      <c r="Z30" s="40"/>
      <c r="AA30" s="40"/>
      <c r="AB30" s="40"/>
      <c r="AC30" s="40"/>
      <c r="AK30" s="43"/>
      <c r="AL30" s="40"/>
      <c r="AM30" s="40"/>
      <c r="AN30" s="27"/>
      <c r="AO30" s="27"/>
      <c r="AP30" s="27"/>
      <c r="AQ30" s="27"/>
      <c r="AR30" s="22"/>
      <c r="AS30" s="32"/>
      <c r="AT30" s="32"/>
      <c r="AU30" s="32"/>
      <c r="AV30" s="32"/>
      <c r="AW30" s="32"/>
      <c r="AX30" s="32"/>
      <c r="AY30" s="10"/>
      <c r="AZ30" s="10"/>
      <c r="BA30" s="10"/>
      <c r="BB30" s="10"/>
      <c r="BC30" s="10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</row>
    <row r="31" spans="1:79" ht="15" customHeight="1" x14ac:dyDescent="0.2"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40"/>
      <c r="X31" s="40"/>
      <c r="Y31" s="40"/>
      <c r="Z31" s="40"/>
      <c r="AA31" s="40"/>
      <c r="AB31" s="40"/>
      <c r="AC31" s="40"/>
      <c r="AD31" s="41"/>
      <c r="AE31" s="42"/>
      <c r="AF31" s="42"/>
      <c r="AG31" s="42"/>
      <c r="AH31" s="42"/>
      <c r="AI31" s="42"/>
      <c r="AJ31" s="42"/>
      <c r="AK31" s="43"/>
      <c r="AL31" s="40"/>
      <c r="AM31" s="40"/>
      <c r="AN31" s="27"/>
      <c r="AO31" s="27"/>
      <c r="AP31" s="27"/>
      <c r="AQ31" s="27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</row>
    <row r="32" spans="1:79" ht="15" customHeight="1" x14ac:dyDescent="0.2"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D32" s="43"/>
      <c r="AE32" s="40"/>
      <c r="AF32" s="40"/>
      <c r="AG32" s="40"/>
      <c r="AH32" s="40"/>
      <c r="AI32" s="40"/>
      <c r="AJ32" s="40"/>
      <c r="AK32" s="43"/>
      <c r="AL32" s="40"/>
      <c r="AM32" s="40"/>
      <c r="AN32" s="27"/>
      <c r="AO32" s="27"/>
      <c r="AP32" s="27"/>
      <c r="AQ32" s="27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</row>
    <row r="33" spans="1:79" ht="15" customHeight="1" x14ac:dyDescent="0.2">
      <c r="P33" s="40"/>
      <c r="Q33" s="40"/>
      <c r="R33" s="40"/>
      <c r="S33" s="40"/>
      <c r="T33" s="40"/>
      <c r="U33" s="40"/>
      <c r="V33" s="40"/>
      <c r="AD33" s="43"/>
      <c r="AE33" s="40"/>
      <c r="AF33" s="40"/>
      <c r="AG33" s="40"/>
      <c r="AH33" s="40"/>
      <c r="AI33" s="40"/>
      <c r="AJ33" s="40"/>
      <c r="AK33" s="44"/>
      <c r="AL33" s="45"/>
      <c r="AM33" s="45"/>
      <c r="AN33" s="32"/>
      <c r="AO33" s="32"/>
      <c r="AP33" s="32"/>
      <c r="AQ33" s="32"/>
      <c r="AR33" s="10"/>
      <c r="AS33" s="10"/>
      <c r="AT33" s="10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10"/>
      <c r="BP33" s="10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10"/>
    </row>
    <row r="34" spans="1:79" ht="15" customHeight="1" x14ac:dyDescent="0.2">
      <c r="P34" s="40"/>
      <c r="Q34" s="40"/>
      <c r="R34" s="40"/>
      <c r="S34" s="40"/>
      <c r="T34" s="40"/>
      <c r="U34" s="40"/>
      <c r="V34" s="40"/>
      <c r="W34" s="41"/>
      <c r="X34" s="42"/>
      <c r="Y34" s="42"/>
      <c r="Z34" s="42"/>
      <c r="AA34" s="42"/>
      <c r="AB34" s="42"/>
      <c r="AC34" s="42"/>
      <c r="AD34" s="43"/>
      <c r="AE34" s="40"/>
      <c r="AF34" s="40"/>
      <c r="AG34" s="40"/>
      <c r="AH34" s="40"/>
      <c r="AI34" s="40"/>
      <c r="AJ34" s="40"/>
      <c r="AN34" s="10"/>
      <c r="AO34" s="10"/>
      <c r="AP34" s="10"/>
      <c r="AQ34" s="10"/>
      <c r="AR34" s="10"/>
      <c r="AS34" s="10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10"/>
    </row>
    <row r="35" spans="1:79" ht="15" customHeight="1" x14ac:dyDescent="0.2">
      <c r="W35" s="43"/>
      <c r="X35" s="40"/>
      <c r="Y35" s="40"/>
      <c r="Z35" s="40"/>
      <c r="AA35" s="40"/>
      <c r="AB35" s="40"/>
      <c r="AC35" s="40"/>
      <c r="AD35" s="43"/>
      <c r="AE35" s="40"/>
      <c r="AF35" s="40"/>
      <c r="AG35" s="40"/>
      <c r="AH35" s="40"/>
      <c r="AI35" s="40"/>
      <c r="AJ35" s="40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10"/>
    </row>
    <row r="36" spans="1:79" ht="15" customHeight="1" x14ac:dyDescent="0.2">
      <c r="B36" s="49" t="str">
        <f>IF('Event Tree Input'!D27="Seismic Hazard","Seismic Hazard","")</f>
        <v>Seismic Hazard</v>
      </c>
      <c r="C36" s="49"/>
      <c r="D36" s="49"/>
      <c r="E36" s="49"/>
      <c r="F36" s="49"/>
      <c r="G36" s="49"/>
      <c r="H36" s="49"/>
      <c r="I36" s="49" t="str">
        <f>IF('Event Tree Input'!D27="Flood Loading","Flood Loading",IF('Event Tree Input'!D27="Seismic Hazard","Coincident Stage",IF('Event Tree Input'!D27="Other",IF(ISBLANK('Event Tree Input'!G27),"",'Event Tree Input'!G27))))</f>
        <v>Coincident Stage</v>
      </c>
      <c r="J36" s="49"/>
      <c r="K36" s="49"/>
      <c r="L36" s="49"/>
      <c r="M36" s="49"/>
      <c r="N36" s="49"/>
      <c r="O36" s="49"/>
      <c r="W36" s="43"/>
      <c r="X36" s="40"/>
      <c r="Y36" s="40"/>
      <c r="Z36" s="40"/>
      <c r="AA36" s="40"/>
      <c r="AB36" s="40"/>
      <c r="AC36" s="40"/>
      <c r="AD36" s="44"/>
      <c r="AE36" s="45"/>
      <c r="AF36" s="45"/>
      <c r="AG36" s="45"/>
      <c r="AH36" s="45"/>
      <c r="AI36" s="45"/>
      <c r="AJ36" s="45"/>
      <c r="AM36" s="34"/>
      <c r="AN36" s="21"/>
      <c r="AO36" s="10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10"/>
    </row>
    <row r="37" spans="1:79" ht="15" customHeight="1" x14ac:dyDescent="0.2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1"/>
      <c r="Q37" s="42"/>
      <c r="R37" s="42"/>
      <c r="S37" s="42"/>
      <c r="T37" s="42"/>
      <c r="U37" s="42"/>
      <c r="V37" s="42"/>
      <c r="W37" s="43"/>
      <c r="X37" s="40"/>
      <c r="Y37" s="40"/>
      <c r="Z37" s="40"/>
      <c r="AA37" s="40"/>
      <c r="AB37" s="40"/>
      <c r="AC37" s="40"/>
      <c r="AM37" s="34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10"/>
      <c r="BU37" s="10"/>
      <c r="BV37" s="10"/>
      <c r="BW37" s="10"/>
      <c r="BX37" s="10"/>
      <c r="BY37" s="10"/>
      <c r="BZ37" s="10"/>
      <c r="CA37" s="10"/>
    </row>
    <row r="38" spans="1:79" ht="15" customHeight="1" x14ac:dyDescent="0.2">
      <c r="P38" s="43"/>
      <c r="Q38" s="40"/>
      <c r="R38" s="40"/>
      <c r="S38" s="40"/>
      <c r="T38" s="40"/>
      <c r="U38" s="40"/>
      <c r="V38" s="40"/>
      <c r="W38" s="43"/>
      <c r="X38" s="40"/>
      <c r="Y38" s="40"/>
      <c r="Z38" s="40"/>
      <c r="AA38" s="40"/>
      <c r="AB38" s="40"/>
      <c r="AC38" s="40"/>
      <c r="AM38" s="34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10"/>
      <c r="BU38" s="10"/>
      <c r="BV38" s="10"/>
      <c r="BW38" s="10"/>
      <c r="BX38" s="10"/>
      <c r="BY38" s="10"/>
      <c r="BZ38" s="10"/>
      <c r="CA38" s="10"/>
    </row>
    <row r="39" spans="1:79" ht="15" customHeight="1" x14ac:dyDescent="0.2">
      <c r="I39" s="46"/>
      <c r="J39" s="46"/>
      <c r="K39" s="46"/>
      <c r="L39" s="46"/>
      <c r="M39" s="46"/>
      <c r="N39" s="46"/>
      <c r="O39" s="46"/>
      <c r="P39" s="43"/>
      <c r="Q39" s="40"/>
      <c r="R39" s="40"/>
      <c r="S39" s="40"/>
      <c r="T39" s="40"/>
      <c r="U39" s="40"/>
      <c r="V39" s="40"/>
      <c r="W39" s="44"/>
      <c r="X39" s="45"/>
      <c r="Y39" s="45"/>
      <c r="Z39" s="45"/>
      <c r="AA39" s="45"/>
      <c r="AB39" s="45"/>
      <c r="AC39" s="45"/>
      <c r="AM39" s="34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</row>
    <row r="40" spans="1:79" ht="15" customHeight="1" x14ac:dyDescent="0.2">
      <c r="P40" s="43"/>
      <c r="Q40" s="40"/>
      <c r="R40" s="40"/>
      <c r="S40" s="40"/>
      <c r="T40" s="40"/>
      <c r="U40" s="40"/>
      <c r="V40" s="40"/>
      <c r="AF40" s="34"/>
      <c r="AG40" s="34"/>
      <c r="AH40" s="34"/>
      <c r="AI40" s="34"/>
      <c r="AJ40" s="34"/>
      <c r="AK40" s="34"/>
      <c r="AL40" s="34"/>
      <c r="AM40" s="34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</row>
    <row r="41" spans="1:79" ht="15" customHeight="1" x14ac:dyDescent="0.2">
      <c r="P41" s="43"/>
      <c r="Q41" s="40"/>
      <c r="R41" s="40"/>
      <c r="S41" s="40"/>
      <c r="T41" s="40"/>
      <c r="U41" s="40"/>
      <c r="V41" s="40"/>
      <c r="AF41" s="34"/>
      <c r="AG41" s="34"/>
      <c r="AH41" s="34"/>
      <c r="AI41" s="34"/>
      <c r="AJ41" s="34"/>
      <c r="AK41" s="34"/>
      <c r="AL41" s="34"/>
      <c r="AM41" s="34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</row>
    <row r="42" spans="1:79" ht="15" customHeight="1" x14ac:dyDescent="0.2">
      <c r="P42" s="44"/>
      <c r="Q42" s="45"/>
      <c r="R42" s="45"/>
      <c r="S42" s="45"/>
      <c r="T42" s="45"/>
      <c r="U42" s="45"/>
      <c r="V42" s="45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</row>
    <row r="43" spans="1:79" ht="15" customHeight="1" x14ac:dyDescent="0.2">
      <c r="V43" s="47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</row>
    <row r="44" spans="1:79" ht="15" customHeight="1" x14ac:dyDescent="0.2"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</row>
    <row r="45" spans="1:79" ht="15" customHeight="1" x14ac:dyDescent="0.2"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</row>
    <row r="46" spans="1:79" ht="15" customHeight="1" x14ac:dyDescent="0.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</row>
    <row r="47" spans="1:79" ht="15" customHeight="1" x14ac:dyDescent="0.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</row>
    <row r="48" spans="1:79" ht="15" customHeight="1" x14ac:dyDescent="0.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</row>
    <row r="49" spans="1:79" ht="15" customHeight="1" x14ac:dyDescent="0.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</row>
    <row r="50" spans="1:79" ht="15" customHeight="1" x14ac:dyDescent="0.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5"/>
      <c r="AW50" s="21"/>
      <c r="AX50" s="21"/>
      <c r="AY50" s="21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</row>
    <row r="51" spans="1:79" ht="15" customHeight="1" x14ac:dyDescent="0.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</row>
    <row r="52" spans="1:79" ht="15" customHeight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</row>
    <row r="53" spans="1:79" s="14" customFormat="1" ht="15" customHeight="1" x14ac:dyDescent="0.2">
      <c r="A53" s="61" t="s">
        <v>19</v>
      </c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</row>
    <row r="55" spans="1:79" ht="15" customHeight="1" x14ac:dyDescent="0.2">
      <c r="A55" s="60" t="s">
        <v>67</v>
      </c>
      <c r="B55" s="60"/>
      <c r="C55" s="60"/>
      <c r="D55" s="60"/>
      <c r="E55" s="60"/>
      <c r="F55" s="60" t="str">
        <f>IF('Event Tree Input'!D27="Seismic Hazard","Yes","No")</f>
        <v>Yes</v>
      </c>
      <c r="G55" s="60"/>
      <c r="I55" s="49" t="s">
        <v>17</v>
      </c>
      <c r="J55" s="49"/>
      <c r="K55" s="60" t="s">
        <v>23</v>
      </c>
      <c r="L55" s="60"/>
      <c r="M55" s="60"/>
      <c r="N55" s="60" t="s">
        <v>24</v>
      </c>
      <c r="O55" s="60"/>
      <c r="P55" s="60"/>
    </row>
    <row r="56" spans="1:79" ht="15" customHeight="1" x14ac:dyDescent="0.2">
      <c r="I56" s="49"/>
      <c r="J56" s="49"/>
      <c r="K56" s="60" t="s">
        <v>22</v>
      </c>
      <c r="L56" s="60"/>
      <c r="M56" s="60"/>
      <c r="N56" s="60" t="s">
        <v>22</v>
      </c>
      <c r="O56" s="60"/>
      <c r="P56" s="60"/>
      <c r="S56" s="60" t="s">
        <v>17</v>
      </c>
      <c r="T56" s="60"/>
      <c r="U56" s="60" t="s">
        <v>27</v>
      </c>
      <c r="V56" s="60"/>
      <c r="W56" s="60"/>
      <c r="X56" s="60" t="s">
        <v>30</v>
      </c>
      <c r="Y56" s="60"/>
      <c r="Z56" s="60"/>
    </row>
    <row r="57" spans="1:79" ht="15" customHeight="1" x14ac:dyDescent="0.2">
      <c r="I57" s="60">
        <v>1</v>
      </c>
      <c r="J57" s="60"/>
      <c r="K57" s="60" t="str">
        <f>'Event Tree Input'!B176</f>
        <v>Circle</v>
      </c>
      <c r="L57" s="60"/>
      <c r="M57" s="60"/>
      <c r="N57" s="60" t="str">
        <f>'Event Tree Input'!C176</f>
        <v>Triangle</v>
      </c>
      <c r="O57" s="60"/>
      <c r="P57" s="60"/>
      <c r="S57" s="60">
        <v>1</v>
      </c>
      <c r="T57" s="60"/>
      <c r="U57" s="60" t="str">
        <f>IF('Event Tree Input'!$D$32="No","No",IF(AND('Event Tree Input'!$D$32="Yes",'Event Tree Input'!$D$29&gt;=S57),"Yes","No"))</f>
        <v>No</v>
      </c>
      <c r="V57" s="60"/>
      <c r="W57" s="60"/>
      <c r="X57" s="60" t="str">
        <f>'Event Tree Input'!$D$31</f>
        <v>Yes</v>
      </c>
      <c r="Y57" s="60"/>
      <c r="Z57" s="60"/>
    </row>
    <row r="58" spans="1:79" ht="15" customHeight="1" x14ac:dyDescent="0.2">
      <c r="I58" s="60">
        <v>2</v>
      </c>
      <c r="J58" s="60"/>
      <c r="K58" s="60" t="str">
        <f>'Event Tree Input'!B177</f>
        <v>Circle</v>
      </c>
      <c r="L58" s="60"/>
      <c r="M58" s="60"/>
      <c r="N58" s="60" t="str">
        <f>'Event Tree Input'!C177</f>
        <v>Triangle</v>
      </c>
      <c r="O58" s="60"/>
      <c r="P58" s="60"/>
      <c r="S58" s="60">
        <v>2</v>
      </c>
      <c r="T58" s="60"/>
      <c r="U58" s="60" t="str">
        <f>IF('Event Tree Input'!$D$32="No","No",IF(AND('Event Tree Input'!$D$32="Yes",'Event Tree Input'!$D$29&gt;=S58),"Yes","No"))</f>
        <v>No</v>
      </c>
      <c r="V58" s="60"/>
      <c r="W58" s="60"/>
      <c r="X58" s="60" t="str">
        <f>'Event Tree Input'!$D$31</f>
        <v>Yes</v>
      </c>
      <c r="Y58" s="60"/>
      <c r="Z58" s="60"/>
    </row>
    <row r="59" spans="1:79" ht="15" customHeight="1" x14ac:dyDescent="0.2">
      <c r="I59" s="60">
        <v>3</v>
      </c>
      <c r="J59" s="60"/>
      <c r="K59" s="60" t="str">
        <f>'Event Tree Input'!B178</f>
        <v>Triangle</v>
      </c>
      <c r="L59" s="60"/>
      <c r="M59" s="60"/>
      <c r="N59" s="60" t="str">
        <f>'Event Tree Input'!C178</f>
        <v>Triangle</v>
      </c>
      <c r="O59" s="60"/>
      <c r="P59" s="60"/>
      <c r="S59" s="60">
        <v>3</v>
      </c>
      <c r="T59" s="60"/>
      <c r="U59" s="60" t="str">
        <f>IF('Event Tree Input'!$D$32="No","No",IF(AND('Event Tree Input'!$D$32="Yes",'Event Tree Input'!$D$29&gt;=S59),"Yes","No"))</f>
        <v>No</v>
      </c>
      <c r="V59" s="60"/>
      <c r="W59" s="60"/>
      <c r="X59" s="60" t="str">
        <f>'Event Tree Input'!$D$31</f>
        <v>Yes</v>
      </c>
      <c r="Y59" s="60"/>
      <c r="Z59" s="60"/>
    </row>
    <row r="60" spans="1:79" ht="15" customHeight="1" x14ac:dyDescent="0.2">
      <c r="I60" s="60">
        <v>4</v>
      </c>
      <c r="J60" s="60"/>
      <c r="K60" s="60" t="str">
        <f>'Event Tree Input'!B179</f>
        <v/>
      </c>
      <c r="L60" s="60"/>
      <c r="M60" s="60"/>
      <c r="N60" s="60" t="str">
        <f>'Event Tree Input'!C179</f>
        <v/>
      </c>
      <c r="O60" s="60"/>
      <c r="P60" s="60"/>
      <c r="S60" s="60">
        <v>4</v>
      </c>
      <c r="T60" s="60"/>
      <c r="U60" s="60" t="str">
        <f>IF('Event Tree Input'!$D$32="No","No",IF(AND('Event Tree Input'!$D$32="Yes",'Event Tree Input'!$D$29&gt;=S60),"Yes","No"))</f>
        <v>No</v>
      </c>
      <c r="V60" s="60"/>
      <c r="W60" s="60"/>
      <c r="X60" s="60" t="str">
        <f>'Event Tree Input'!$D$31</f>
        <v>Yes</v>
      </c>
      <c r="Y60" s="60"/>
      <c r="Z60" s="60"/>
    </row>
    <row r="61" spans="1:79" ht="15" customHeight="1" x14ac:dyDescent="0.2">
      <c r="I61" s="60">
        <v>5</v>
      </c>
      <c r="J61" s="60"/>
      <c r="K61" s="60" t="str">
        <f>'Event Tree Input'!B180</f>
        <v/>
      </c>
      <c r="L61" s="60"/>
      <c r="M61" s="60"/>
      <c r="N61" s="60" t="str">
        <f>'Event Tree Input'!C180</f>
        <v/>
      </c>
      <c r="O61" s="60"/>
      <c r="P61" s="60"/>
      <c r="S61" s="60">
        <v>5</v>
      </c>
      <c r="T61" s="60"/>
      <c r="U61" s="60" t="str">
        <f>IF('Event Tree Input'!$D$32="No","No",IF(AND('Event Tree Input'!$D$32="Yes",'Event Tree Input'!$D$29&gt;=S61),"Yes","No"))</f>
        <v>No</v>
      </c>
      <c r="V61" s="60"/>
      <c r="W61" s="60"/>
      <c r="X61" s="60" t="str">
        <f>'Event Tree Input'!$D$31</f>
        <v>Yes</v>
      </c>
      <c r="Y61" s="60"/>
      <c r="Z61" s="60"/>
    </row>
    <row r="62" spans="1:79" ht="15" customHeight="1" x14ac:dyDescent="0.2">
      <c r="I62" s="60">
        <v>6</v>
      </c>
      <c r="J62" s="60"/>
      <c r="K62" s="60" t="str">
        <f>'Event Tree Input'!B181</f>
        <v/>
      </c>
      <c r="L62" s="60"/>
      <c r="M62" s="60"/>
      <c r="N62" s="60" t="str">
        <f>'Event Tree Input'!C181</f>
        <v/>
      </c>
      <c r="O62" s="60"/>
      <c r="P62" s="60"/>
      <c r="S62" s="60">
        <v>6</v>
      </c>
      <c r="T62" s="60"/>
      <c r="U62" s="60" t="str">
        <f>IF('Event Tree Input'!$D$32="No","No",IF(AND('Event Tree Input'!$D$32="Yes",'Event Tree Input'!$D$29&gt;=S62),"Yes","No"))</f>
        <v>No</v>
      </c>
      <c r="V62" s="60"/>
      <c r="W62" s="60"/>
      <c r="X62" s="60" t="str">
        <f>'Event Tree Input'!$D$31</f>
        <v>Yes</v>
      </c>
      <c r="Y62" s="60"/>
      <c r="Z62" s="60"/>
    </row>
    <row r="63" spans="1:79" ht="15" customHeight="1" x14ac:dyDescent="0.2">
      <c r="I63" s="60">
        <v>7</v>
      </c>
      <c r="J63" s="60"/>
      <c r="K63" s="60" t="str">
        <f>'Event Tree Input'!B182</f>
        <v/>
      </c>
      <c r="L63" s="60"/>
      <c r="M63" s="60"/>
      <c r="N63" s="60" t="str">
        <f>'Event Tree Input'!C182</f>
        <v/>
      </c>
      <c r="O63" s="60"/>
      <c r="P63" s="60"/>
      <c r="S63" s="60">
        <v>7</v>
      </c>
      <c r="T63" s="60"/>
      <c r="U63" s="60" t="str">
        <f>IF('Event Tree Input'!$D$32="No","No",IF(AND('Event Tree Input'!$D$32="Yes",'Event Tree Input'!$D$29&gt;=S63),"Yes","No"))</f>
        <v>No</v>
      </c>
      <c r="V63" s="60"/>
      <c r="W63" s="60"/>
      <c r="X63" s="60" t="str">
        <f>'Event Tree Input'!$D$31</f>
        <v>Yes</v>
      </c>
      <c r="Y63" s="60"/>
      <c r="Z63" s="60"/>
    </row>
    <row r="64" spans="1:79" ht="15" customHeight="1" x14ac:dyDescent="0.2">
      <c r="I64" s="60">
        <v>8</v>
      </c>
      <c r="J64" s="60"/>
      <c r="K64" s="60" t="str">
        <f>'Event Tree Input'!B183</f>
        <v/>
      </c>
      <c r="L64" s="60"/>
      <c r="M64" s="60"/>
      <c r="N64" s="60" t="str">
        <f>'Event Tree Input'!C183</f>
        <v/>
      </c>
      <c r="O64" s="60"/>
      <c r="P64" s="60"/>
      <c r="S64" s="60">
        <v>8</v>
      </c>
      <c r="T64" s="60"/>
      <c r="U64" s="60" t="str">
        <f>IF('Event Tree Input'!$D$32="No","No",IF(AND('Event Tree Input'!$D$32="Yes",'Event Tree Input'!$D$29&gt;=S64),"Yes","No"))</f>
        <v>No</v>
      </c>
      <c r="V64" s="60"/>
      <c r="W64" s="60"/>
      <c r="X64" s="60" t="str">
        <f>'Event Tree Input'!$D$31</f>
        <v>Yes</v>
      </c>
      <c r="Y64" s="60"/>
      <c r="Z64" s="60"/>
    </row>
    <row r="65" spans="2:26" ht="15" customHeight="1" x14ac:dyDescent="0.2">
      <c r="I65" s="60">
        <v>9</v>
      </c>
      <c r="J65" s="60"/>
      <c r="K65" s="60" t="str">
        <f>'Event Tree Input'!B184</f>
        <v/>
      </c>
      <c r="L65" s="60"/>
      <c r="M65" s="60"/>
      <c r="N65" s="60" t="str">
        <f>'Event Tree Input'!C184</f>
        <v/>
      </c>
      <c r="O65" s="60"/>
      <c r="P65" s="60"/>
      <c r="S65" s="60">
        <v>9</v>
      </c>
      <c r="T65" s="60"/>
      <c r="U65" s="60" t="str">
        <f>IF('Event Tree Input'!$D$32="No","No",IF(AND('Event Tree Input'!$D$32="Yes",'Event Tree Input'!$D$29&gt;=S65),"Yes","No"))</f>
        <v>No</v>
      </c>
      <c r="V65" s="60"/>
      <c r="W65" s="60"/>
      <c r="X65" s="60" t="str">
        <f>'Event Tree Input'!$D$31</f>
        <v>Yes</v>
      </c>
      <c r="Y65" s="60"/>
      <c r="Z65" s="60"/>
    </row>
    <row r="67" spans="2:26" ht="15" customHeight="1" x14ac:dyDescent="0.2">
      <c r="B67" s="9" t="s">
        <v>39</v>
      </c>
      <c r="M67" s="30"/>
      <c r="N67" s="30"/>
      <c r="O67" s="30"/>
    </row>
    <row r="68" spans="2:26" ht="15" customHeight="1" x14ac:dyDescent="0.2">
      <c r="B68" s="59" t="str">
        <f>'Event Tree Input'!A45</f>
        <v>Node 1 Callout</v>
      </c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34"/>
    </row>
    <row r="69" spans="2:26" ht="15" customHeight="1" x14ac:dyDescent="0.2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34"/>
    </row>
    <row r="70" spans="2:26" ht="15" customHeight="1" x14ac:dyDescent="0.2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34"/>
      <c r="X70" s="35"/>
      <c r="Y70" s="34"/>
    </row>
    <row r="71" spans="2:26" ht="15" customHeight="1" x14ac:dyDescent="0.2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34"/>
      <c r="X71" s="35"/>
      <c r="Y71" s="34"/>
    </row>
    <row r="72" spans="2:26" ht="15" customHeight="1" x14ac:dyDescent="0.2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34"/>
      <c r="X72" s="35"/>
      <c r="Y72" s="34"/>
    </row>
    <row r="73" spans="2:26" ht="15" customHeight="1" x14ac:dyDescent="0.2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34"/>
      <c r="X73" s="35"/>
      <c r="Y73" s="34"/>
    </row>
    <row r="74" spans="2:26" ht="15" customHeight="1" x14ac:dyDescent="0.2"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5"/>
      <c r="Y74" s="34"/>
    </row>
    <row r="75" spans="2:26" ht="15" customHeight="1" x14ac:dyDescent="0.2">
      <c r="B75" s="9" t="s">
        <v>40</v>
      </c>
      <c r="M75" s="30"/>
      <c r="N75" s="30"/>
      <c r="O75" s="30"/>
      <c r="W75" s="34"/>
      <c r="X75" s="34"/>
      <c r="Y75" s="34"/>
    </row>
    <row r="76" spans="2:26" ht="15" customHeight="1" x14ac:dyDescent="0.2">
      <c r="B76" s="59" t="str">
        <f>'Event Tree Input'!A59</f>
        <v>Node 2 Callout</v>
      </c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</row>
    <row r="77" spans="2:26" ht="15" customHeight="1" x14ac:dyDescent="0.2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35"/>
      <c r="X77" s="35"/>
    </row>
    <row r="78" spans="2:26" ht="15" customHeight="1" x14ac:dyDescent="0.2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35"/>
      <c r="X78" s="35"/>
    </row>
    <row r="79" spans="2:26" ht="15" customHeight="1" x14ac:dyDescent="0.2"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35"/>
      <c r="X79" s="35"/>
    </row>
    <row r="80" spans="2:26" ht="15" customHeight="1" x14ac:dyDescent="0.2"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35"/>
      <c r="X80" s="35"/>
    </row>
    <row r="81" spans="2:24" ht="15" customHeight="1" x14ac:dyDescent="0.2"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35"/>
      <c r="X81" s="35"/>
    </row>
    <row r="83" spans="2:24" ht="15" customHeight="1" x14ac:dyDescent="0.2">
      <c r="B83" s="9" t="s">
        <v>41</v>
      </c>
      <c r="M83" s="30"/>
      <c r="N83" s="30"/>
      <c r="O83" s="30"/>
    </row>
    <row r="84" spans="2:24" ht="15" customHeight="1" x14ac:dyDescent="0.2">
      <c r="B84" s="59" t="str">
        <f>'Event Tree Input'!A73</f>
        <v>Node 3 Callout</v>
      </c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</row>
    <row r="85" spans="2:24" ht="15" customHeight="1" x14ac:dyDescent="0.2"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</row>
    <row r="86" spans="2:24" ht="15" customHeight="1" x14ac:dyDescent="0.2"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</row>
    <row r="87" spans="2:24" ht="15" customHeight="1" x14ac:dyDescent="0.2"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</row>
    <row r="88" spans="2:24" ht="15" customHeight="1" x14ac:dyDescent="0.2"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</row>
    <row r="89" spans="2:24" ht="15" customHeight="1" x14ac:dyDescent="0.2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</row>
    <row r="91" spans="2:24" ht="15" customHeight="1" x14ac:dyDescent="0.2">
      <c r="B91" s="9" t="s">
        <v>42</v>
      </c>
      <c r="M91" s="30"/>
      <c r="N91" s="30"/>
      <c r="O91" s="30"/>
    </row>
    <row r="92" spans="2:24" ht="15" customHeight="1" x14ac:dyDescent="0.2">
      <c r="B92" s="59" t="str">
        <f>'Event Tree Input'!A87</f>
        <v>Node 4 Callout</v>
      </c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</row>
    <row r="93" spans="2:24" ht="15" customHeight="1" x14ac:dyDescent="0.2"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</row>
    <row r="94" spans="2:24" ht="15" customHeight="1" x14ac:dyDescent="0.2"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</row>
    <row r="95" spans="2:24" ht="15" customHeight="1" x14ac:dyDescent="0.2"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</row>
    <row r="96" spans="2:24" ht="15" customHeight="1" x14ac:dyDescent="0.2"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</row>
    <row r="97" spans="2:22" ht="15" customHeight="1" x14ac:dyDescent="0.2"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</row>
    <row r="99" spans="2:22" ht="15" customHeight="1" x14ac:dyDescent="0.2">
      <c r="B99" s="9" t="s">
        <v>43</v>
      </c>
      <c r="M99" s="30"/>
      <c r="N99" s="30"/>
      <c r="O99" s="30"/>
    </row>
    <row r="100" spans="2:22" ht="15" customHeight="1" x14ac:dyDescent="0.2">
      <c r="B100" s="59" t="str">
        <f>'Event Tree Input'!A101</f>
        <v>Node 5 Callout</v>
      </c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</row>
    <row r="101" spans="2:22" ht="15" customHeight="1" x14ac:dyDescent="0.2"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</row>
    <row r="102" spans="2:22" ht="15" customHeight="1" x14ac:dyDescent="0.2"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</row>
    <row r="103" spans="2:22" ht="15" customHeight="1" x14ac:dyDescent="0.2"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</row>
    <row r="104" spans="2:22" ht="15" customHeight="1" x14ac:dyDescent="0.2"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</row>
    <row r="105" spans="2:22" ht="15" customHeight="1" x14ac:dyDescent="0.2"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</row>
    <row r="107" spans="2:22" ht="15" customHeight="1" x14ac:dyDescent="0.2">
      <c r="B107" s="9" t="s">
        <v>44</v>
      </c>
      <c r="M107" s="30"/>
      <c r="N107" s="30"/>
      <c r="O107" s="30"/>
    </row>
    <row r="108" spans="2:22" ht="15" customHeight="1" x14ac:dyDescent="0.2">
      <c r="B108" s="59" t="str">
        <f>'Event Tree Input'!A115</f>
        <v>Node 6 Callout</v>
      </c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</row>
    <row r="109" spans="2:22" ht="15" customHeight="1" x14ac:dyDescent="0.2"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</row>
    <row r="110" spans="2:22" ht="15" customHeight="1" x14ac:dyDescent="0.2"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</row>
    <row r="111" spans="2:22" ht="15" customHeight="1" x14ac:dyDescent="0.2"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</row>
    <row r="112" spans="2:22" ht="15" customHeight="1" x14ac:dyDescent="0.2"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</row>
    <row r="113" spans="2:22" ht="15" customHeight="1" x14ac:dyDescent="0.2"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</row>
    <row r="115" spans="2:22" ht="15" customHeight="1" x14ac:dyDescent="0.2">
      <c r="B115" s="9" t="s">
        <v>45</v>
      </c>
      <c r="M115" s="30"/>
      <c r="N115" s="30"/>
      <c r="O115" s="30"/>
    </row>
    <row r="116" spans="2:22" ht="15" customHeight="1" x14ac:dyDescent="0.2">
      <c r="B116" s="59" t="str">
        <f>'Event Tree Input'!A129</f>
        <v>Node 7 Callout</v>
      </c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</row>
    <row r="117" spans="2:22" ht="15" customHeight="1" x14ac:dyDescent="0.2"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</row>
    <row r="118" spans="2:22" ht="15" customHeight="1" x14ac:dyDescent="0.2"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</row>
    <row r="119" spans="2:22" ht="15" customHeight="1" x14ac:dyDescent="0.2"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</row>
    <row r="120" spans="2:22" ht="15" customHeight="1" x14ac:dyDescent="0.2"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</row>
    <row r="121" spans="2:22" ht="15" customHeight="1" x14ac:dyDescent="0.2"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</row>
    <row r="123" spans="2:22" ht="15" customHeight="1" x14ac:dyDescent="0.2">
      <c r="B123" s="9" t="s">
        <v>46</v>
      </c>
      <c r="M123" s="30"/>
      <c r="N123" s="30"/>
      <c r="O123" s="30"/>
    </row>
    <row r="124" spans="2:22" ht="15" customHeight="1" x14ac:dyDescent="0.2">
      <c r="B124" s="59" t="str">
        <f>'Event Tree Input'!A143</f>
        <v>Node 8 Callout</v>
      </c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</row>
    <row r="125" spans="2:22" ht="15" customHeight="1" x14ac:dyDescent="0.2"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</row>
    <row r="126" spans="2:22" ht="15" customHeight="1" x14ac:dyDescent="0.2"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</row>
    <row r="127" spans="2:22" ht="15" customHeight="1" x14ac:dyDescent="0.2"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</row>
    <row r="128" spans="2:22" ht="15" customHeight="1" x14ac:dyDescent="0.2"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</row>
    <row r="129" spans="2:22" ht="15" customHeight="1" x14ac:dyDescent="0.2"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</row>
    <row r="131" spans="2:22" ht="15" customHeight="1" x14ac:dyDescent="0.2">
      <c r="B131" s="9" t="s">
        <v>47</v>
      </c>
      <c r="M131" s="30"/>
      <c r="N131" s="30"/>
      <c r="O131" s="30"/>
    </row>
    <row r="132" spans="2:22" ht="15" customHeight="1" x14ac:dyDescent="0.2">
      <c r="B132" s="59" t="str">
        <f>'Event Tree Input'!A157</f>
        <v>Node 9 Callout</v>
      </c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</row>
    <row r="133" spans="2:22" ht="15" customHeight="1" x14ac:dyDescent="0.2"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</row>
    <row r="134" spans="2:22" ht="15" customHeight="1" x14ac:dyDescent="0.2"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</row>
    <row r="135" spans="2:22" ht="15" customHeight="1" x14ac:dyDescent="0.2"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</row>
    <row r="136" spans="2:22" ht="15" customHeight="1" x14ac:dyDescent="0.2"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</row>
    <row r="137" spans="2:22" ht="15" customHeight="1" x14ac:dyDescent="0.2"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B36:H37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2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Input'!$D$29&lt;9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Input'!$D$29&lt;8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Input'!$D$29&lt;7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Input'!$D$29&lt;6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Input'!$D$29&lt;5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Input'!$D$29&lt;4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Input'!$D$29&lt;3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Input'!$D$29&lt;2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Input'!$D$27="Seismic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DEA96F-17B2-430B-A700-606F7C0A8B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8A2A1C-0D85-49C2-A462-ABCF02EBE237}">
  <ds:schemaRefs>
    <ds:schemaRef ds:uri="http://schemas.microsoft.com/office/2006/documentManagement/types"/>
    <ds:schemaRef ds:uri="f254aa9d-3c64-433e-b325-d6b94ca3f691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a8f80ecd-cddb-46c8-b263-c25672b580c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E7F61F5-1A2C-4E84-8853-244CC51048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2023-01-25T18:53:47Z</cp:lastPrinted>
  <dcterms:created xsi:type="dcterms:W3CDTF">2016-11-03T19:42:04Z</dcterms:created>
  <dcterms:modified xsi:type="dcterms:W3CDTF">2025-09-03T01:54:11Z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