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RMC-Software-Documentation\static\event-trees\spreadsheets\"/>
    </mc:Choice>
  </mc:AlternateContent>
  <xr:revisionPtr revIDLastSave="0" documentId="13_ncr:1_{73523872-2628-4D17-A352-70AD0C3BB606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Tree'!$V$63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Tree'!$K$65</definedName>
    <definedName name="N1B2Shape">'Event Tree'!$N$65</definedName>
    <definedName name="N1Call">'Event Tree'!$U$65</definedName>
    <definedName name="N1CallText">'Event Tree'!$B$76</definedName>
    <definedName name="N1Name">'Event Tree'!$X$65</definedName>
    <definedName name="N2B1Shape">'Event Tree'!$K$66</definedName>
    <definedName name="N2B2Shape">'Event Tree'!$N$66</definedName>
    <definedName name="N2Call">'Event Tree'!$U$66</definedName>
    <definedName name="N2CallText">'Event Tree'!$B$84</definedName>
    <definedName name="N2Name">'Event Tree'!$X$66</definedName>
    <definedName name="N3B1Shape">'Event Tree'!$K$67</definedName>
    <definedName name="N3B2Shape">'Event Tree'!$N$67</definedName>
    <definedName name="N3Call">'Event Tree'!$U$67</definedName>
    <definedName name="N3CallText">'Event Tree'!$B$92</definedName>
    <definedName name="N3Name">'Event Tree'!$X$67</definedName>
    <definedName name="N4B1Shape">'Event Tree'!$K$68</definedName>
    <definedName name="N4B2Shape">'Event Tree'!$N$68</definedName>
    <definedName name="N4Call">'Event Tree'!$U$68</definedName>
    <definedName name="N4CallText">'Event Tree'!$B$100</definedName>
    <definedName name="N4Name">'Event Tree'!$X$68</definedName>
    <definedName name="N5B1Shape">'Event Tree'!$K$69</definedName>
    <definedName name="N5B2Shape">'Event Tree'!$N$69</definedName>
    <definedName name="N5Call">'Event Tree'!$U$69</definedName>
    <definedName name="N5CallText">'Event Tree'!$B$108</definedName>
    <definedName name="N5Name">'Event Tree'!$X$69</definedName>
    <definedName name="N6B1Shape">'Event Tree'!$K$70</definedName>
    <definedName name="N6B2Shape">'Event Tree'!$N$70</definedName>
    <definedName name="N6Call">'Event Tree'!$U$70</definedName>
    <definedName name="N6CallText">'Event Tree'!$B$116</definedName>
    <definedName name="N6Name">'Event Tree'!$X$70</definedName>
    <definedName name="N7B1Shape">'Event Tree'!$K$71</definedName>
    <definedName name="N7B2Shape">'Event Tree'!$N$71</definedName>
    <definedName name="N7Call">'Event Tree'!$U$71</definedName>
    <definedName name="N7CallText">'Event Tree'!$B$124</definedName>
    <definedName name="N7Name">'Event Tree'!$X$71</definedName>
    <definedName name="N8B1Shape">'Event Tree'!$K$72</definedName>
    <definedName name="N8B2Shape">'Event Tree'!$N$72</definedName>
    <definedName name="N8Call">'Event Tree'!$U$72</definedName>
    <definedName name="N8CallText">'Event Tree'!$B$132</definedName>
    <definedName name="N8Name">'Event Tree'!$X$72</definedName>
    <definedName name="N9B1Shape">'Event Tree'!$K$73</definedName>
    <definedName name="N9B2Shape">'Event Tree'!$N$73</definedName>
    <definedName name="N9Call">'Event Tree'!$U$73</definedName>
    <definedName name="N9CallText">'Event Tree'!$B$140</definedName>
    <definedName name="N9Name">'Event Tree'!$X$73</definedName>
    <definedName name="Oval_Reference">#REF!</definedName>
    <definedName name="Pal_Workbook_GUID" hidden="1">"BP4PZSBBT3IIB14AVDRCTAYA"</definedName>
    <definedName name="_xlnm.Print_Area" localSheetId="1">'Event Tree'!$A$1:$CA$61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Tree'!$F$63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0" i="14" l="1"/>
  <c r="B40" i="14" l="1"/>
  <c r="F63" i="14"/>
  <c r="B140" i="14" l="1"/>
  <c r="B132" i="14"/>
  <c r="B124" i="14"/>
  <c r="B116" i="14"/>
  <c r="B108" i="14"/>
  <c r="B100" i="14"/>
  <c r="B92" i="14"/>
  <c r="B84" i="14"/>
  <c r="B76" i="14" l="1"/>
  <c r="X66" i="14" l="1"/>
  <c r="X67" i="14"/>
  <c r="X68" i="14"/>
  <c r="X69" i="14"/>
  <c r="X70" i="14"/>
  <c r="X71" i="14"/>
  <c r="X72" i="14"/>
  <c r="X73" i="14"/>
  <c r="X65" i="14"/>
  <c r="U66" i="14" l="1"/>
  <c r="U67" i="14"/>
  <c r="U68" i="14"/>
  <c r="U69" i="14"/>
  <c r="U70" i="14"/>
  <c r="U71" i="14"/>
  <c r="U72" i="14"/>
  <c r="U73" i="14"/>
  <c r="U65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72" i="14" l="1"/>
  <c r="N73" i="14"/>
  <c r="K71" i="14"/>
  <c r="N72" i="14"/>
  <c r="K70" i="14"/>
  <c r="N71" i="14"/>
  <c r="K69" i="14"/>
  <c r="N70" i="14"/>
  <c r="K68" i="14"/>
  <c r="N69" i="14"/>
  <c r="K67" i="14"/>
  <c r="N68" i="14"/>
  <c r="K65" i="14"/>
  <c r="K66" i="14"/>
  <c r="N67" i="14"/>
  <c r="K73" i="14"/>
  <c r="N65" i="14"/>
  <c r="N66" i="14"/>
</calcChain>
</file>

<file path=xl/sharedStrings.xml><?xml version="1.0" encoding="utf-8"?>
<sst xmlns="http://schemas.openxmlformats.org/spreadsheetml/2006/main" count="141" uniqueCount="73">
  <si>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</si>
  <si>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</si>
  <si>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</si>
  <si>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</si>
  <si>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</si>
  <si>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</si>
  <si>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</si>
  <si>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</si>
  <si>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</si>
  <si>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</si>
  <si>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</si>
  <si>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</si>
  <si>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</si>
  <si>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</si>
  <si>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</si>
  <si>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</si>
  <si>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</si>
  <si>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</si>
  <si>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</si>
  <si>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</si>
  <si>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</si>
  <si>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</si>
  <si>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</si>
  <si>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</si>
  <si>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</si>
  <si>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</si>
  <si>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</si>
  <si>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</si>
  <si>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</si>
  <si>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</si>
  <si>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</si>
  <si>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</si>
  <si>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</si>
  <si>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</si>
  <si>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</si>
  <si>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</si>
  <si>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</si>
  <si>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</si>
  <si>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</si>
  <si>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</si>
  <si>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</si>
  <si>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</si>
  <si>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</si>
  <si>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</si>
  <si>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</si>
  <si>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</si>
  <si>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</si>
  <si>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</si>
  <si>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</si>
  <si>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</si>
  <si>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</si>
  <si>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</si>
  <si>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</si>
  <si>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</si>
  <si>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</si>
  <si>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</si>
  <si>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Continuation</t>
  </si>
  <si>
    <t>Unsuccessful Intervention</t>
  </si>
  <si>
    <t>Detection and intervention are unsuccessful?</t>
  </si>
  <si>
    <t>Breach</t>
  </si>
  <si>
    <t>◄ If using copy/paste, paste values only to preserve conditional formatting.</t>
  </si>
  <si>
    <t>Hydrologic Hazard</t>
  </si>
  <si>
    <t>Liquefiable Zone</t>
  </si>
  <si>
    <t>A zone of material susceptible to liquefaction or cyclic softening exists in the embankment or foundation with sufficient extent?</t>
  </si>
  <si>
    <t>Liquefaction</t>
  </si>
  <si>
    <t>Liquefaction or cyclic softening of embankment or foundation soils occurs?</t>
  </si>
  <si>
    <t>Instability</t>
  </si>
  <si>
    <t>Flow slide occurs due to (reduced) residual shear strength?</t>
  </si>
  <si>
    <t>Initial Failure Severity</t>
  </si>
  <si>
    <t>Initial failure lowers the crest and uncontrolled release of impounded water occurs?</t>
  </si>
  <si>
    <t>No higher shear strength zone exists to arrest retrogressive instability?</t>
  </si>
  <si>
    <t>Retrogressive instability advances through the crest and uncontrolled release of impounded water occurs?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</si>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</sst>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4" xfId="0" applyFont="1" applyFill="1" applyBorder="1" applyAlignment="1">
      <alignment vertical="center" wrapText="1"/>
    </xf>
    <xf numFmtId="0" fontId="4" fillId="2" borderId="1" xfId="0" applyFont="1" applyFill="1" applyBorder="1"/>
    <xf numFmtId="0" fontId="4" fillId="2" borderId="5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/>
    <xf numFmtId="0" fontId="4" fillId="2" borderId="0" xfId="0" applyFont="1" applyFill="1" applyAlignment="1">
      <alignment horizontal="center" vertical="center"/>
    </xf>
    <xf numFmtId="0" fontId="4" fillId="2" borderId="4" xfId="0" applyFont="1" applyFill="1" applyBorder="1"/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35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Liquefiable Zone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26</xdr:row>
      <xdr:rowOff>28574</xdr:rowOff>
    </xdr:from>
    <xdr:to>
      <xdr:col>28</xdr:col>
      <xdr:colOff>161925</xdr:colOff>
      <xdr:row>28</xdr:row>
      <xdr:rowOff>142493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4981574"/>
          <a:ext cx="1333500" cy="4949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Liquefaction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23</xdr:row>
      <xdr:rowOff>28574</xdr:rowOff>
    </xdr:from>
    <xdr:to>
      <xdr:col>35</xdr:col>
      <xdr:colOff>171450</xdr:colOff>
      <xdr:row>25</xdr:row>
      <xdr:rowOff>142493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10074"/>
          <a:ext cx="1333500" cy="4949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Instability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17</xdr:row>
      <xdr:rowOff>133349</xdr:rowOff>
    </xdr:from>
    <xdr:to>
      <xdr:col>43</xdr:col>
      <xdr:colOff>0</xdr:colOff>
      <xdr:row>20</xdr:row>
      <xdr:rowOff>171451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3371849"/>
          <a:ext cx="1390651" cy="6096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Initial Failure Severity</a:t>
          </a:fld>
          <a:endParaRPr lang="en-US" sz="1100"/>
        </a:p>
      </xdr:txBody>
    </xdr:sp>
    <xdr:clientData/>
  </xdr:twoCellAnchor>
  <xdr:twoCellAnchor>
    <xdr:from>
      <xdr:col>44</xdr:col>
      <xdr:colOff>28575</xdr:colOff>
      <xdr:row>17</xdr:row>
      <xdr:rowOff>104774</xdr:rowOff>
    </xdr:from>
    <xdr:to>
      <xdr:col>50</xdr:col>
      <xdr:colOff>161925</xdr:colOff>
      <xdr:row>20</xdr:row>
      <xdr:rowOff>28574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829675" y="3343274"/>
          <a:ext cx="1333500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51</xdr:col>
      <xdr:colOff>28575</xdr:colOff>
      <xdr:row>17</xdr:row>
      <xdr:rowOff>66674</xdr:rowOff>
    </xdr:from>
    <xdr:to>
      <xdr:col>57</xdr:col>
      <xdr:colOff>161925</xdr:colOff>
      <xdr:row>19</xdr:row>
      <xdr:rowOff>180974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229850" y="3305174"/>
          <a:ext cx="1333500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58</xdr:col>
      <xdr:colOff>28575</xdr:colOff>
      <xdr:row>17</xdr:row>
      <xdr:rowOff>19049</xdr:rowOff>
    </xdr:from>
    <xdr:to>
      <xdr:col>64</xdr:col>
      <xdr:colOff>161925</xdr:colOff>
      <xdr:row>19</xdr:row>
      <xdr:rowOff>133349</xdr:rowOff>
    </xdr:to>
    <xdr:sp macro="" textlink="'Event Tree Input'!A105">
      <xdr:nvSpPr>
        <xdr:cNvPr id="91" name="N7Title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630025" y="3257549"/>
          <a:ext cx="1333500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26</xdr:row>
      <xdr:rowOff>142876</xdr:rowOff>
    </xdr:from>
    <xdr:to>
      <xdr:col>61</xdr:col>
      <xdr:colOff>142875</xdr:colOff>
      <xdr:row>28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52</xdr:row>
      <xdr:rowOff>83344</xdr:rowOff>
    </xdr:from>
    <xdr:to>
      <xdr:col>26</xdr:col>
      <xdr:colOff>23813</xdr:colOff>
      <xdr:row>54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41</xdr:row>
      <xdr:rowOff>147490</xdr:rowOff>
    </xdr:from>
    <xdr:to>
      <xdr:col>12</xdr:col>
      <xdr:colOff>27104</xdr:colOff>
      <xdr:row>44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42</xdr:row>
      <xdr:rowOff>42715</xdr:rowOff>
    </xdr:from>
    <xdr:to>
      <xdr:col>15</xdr:col>
      <xdr:colOff>138518</xdr:colOff>
      <xdr:row>43</xdr:row>
      <xdr:rowOff>126537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2864570" y="804371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28</xdr:col>
      <xdr:colOff>64220</xdr:colOff>
      <xdr:row>30</xdr:row>
      <xdr:rowOff>52240</xdr:rowOff>
    </xdr:from>
    <xdr:to>
      <xdr:col>29</xdr:col>
      <xdr:colOff>138518</xdr:colOff>
      <xdr:row>31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5664920" y="5767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35</xdr:col>
      <xdr:colOff>64220</xdr:colOff>
      <xdr:row>26</xdr:row>
      <xdr:rowOff>61765</xdr:rowOff>
    </xdr:from>
    <xdr:to>
      <xdr:col>36</xdr:col>
      <xdr:colOff>138518</xdr:colOff>
      <xdr:row>27</xdr:row>
      <xdr:rowOff>145587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7065095" y="501476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43</xdr:col>
      <xdr:colOff>64220</xdr:colOff>
      <xdr:row>32</xdr:row>
      <xdr:rowOff>52240</xdr:rowOff>
    </xdr:from>
    <xdr:to>
      <xdr:col>44</xdr:col>
      <xdr:colOff>138518</xdr:colOff>
      <xdr:row>33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50</xdr:col>
      <xdr:colOff>64220</xdr:colOff>
      <xdr:row>29</xdr:row>
      <xdr:rowOff>52240</xdr:rowOff>
    </xdr:from>
    <xdr:to>
      <xdr:col>51</xdr:col>
      <xdr:colOff>138518</xdr:colOff>
      <xdr:row>30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57</xdr:col>
      <xdr:colOff>64220</xdr:colOff>
      <xdr:row>26</xdr:row>
      <xdr:rowOff>52240</xdr:rowOff>
    </xdr:from>
    <xdr:to>
      <xdr:col>58</xdr:col>
      <xdr:colOff>138518</xdr:colOff>
      <xdr:row>27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64</xdr:col>
      <xdr:colOff>64220</xdr:colOff>
      <xdr:row>23</xdr:row>
      <xdr:rowOff>52240</xdr:rowOff>
    </xdr:from>
    <xdr:to>
      <xdr:col>65</xdr:col>
      <xdr:colOff>138518</xdr:colOff>
      <xdr:row>24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34</xdr:row>
      <xdr:rowOff>54695</xdr:rowOff>
    </xdr:from>
    <xdr:to>
      <xdr:col>36</xdr:col>
      <xdr:colOff>96889</xdr:colOff>
      <xdr:row>35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66675</xdr:colOff>
      <xdr:row>35</xdr:row>
      <xdr:rowOff>54695</xdr:rowOff>
    </xdr:from>
    <xdr:to>
      <xdr:col>51</xdr:col>
      <xdr:colOff>87364</xdr:colOff>
      <xdr:row>36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57</xdr:col>
      <xdr:colOff>66675</xdr:colOff>
      <xdr:row>32</xdr:row>
      <xdr:rowOff>54695</xdr:rowOff>
    </xdr:from>
    <xdr:to>
      <xdr:col>58</xdr:col>
      <xdr:colOff>87364</xdr:colOff>
      <xdr:row>33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64</xdr:col>
      <xdr:colOff>66675</xdr:colOff>
      <xdr:row>29</xdr:row>
      <xdr:rowOff>54695</xdr:rowOff>
    </xdr:from>
    <xdr:to>
      <xdr:col>65</xdr:col>
      <xdr:colOff>87364</xdr:colOff>
      <xdr:row>30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31</xdr:row>
      <xdr:rowOff>55150</xdr:rowOff>
    </xdr:from>
    <xdr:to>
      <xdr:col>29</xdr:col>
      <xdr:colOff>97957</xdr:colOff>
      <xdr:row>32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77270</xdr:colOff>
      <xdr:row>32</xdr:row>
      <xdr:rowOff>55130</xdr:rowOff>
    </xdr:from>
    <xdr:to>
      <xdr:col>44</xdr:col>
      <xdr:colOff>97959</xdr:colOff>
      <xdr:row>33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67746</xdr:colOff>
      <xdr:row>29</xdr:row>
      <xdr:rowOff>55117</xdr:rowOff>
    </xdr:from>
    <xdr:to>
      <xdr:col>51</xdr:col>
      <xdr:colOff>88435</xdr:colOff>
      <xdr:row>30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57</xdr:col>
      <xdr:colOff>67747</xdr:colOff>
      <xdr:row>26</xdr:row>
      <xdr:rowOff>55101</xdr:rowOff>
    </xdr:from>
    <xdr:to>
      <xdr:col>58</xdr:col>
      <xdr:colOff>88436</xdr:colOff>
      <xdr:row>27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64</xdr:col>
      <xdr:colOff>67748</xdr:colOff>
      <xdr:row>23</xdr:row>
      <xdr:rowOff>55085</xdr:rowOff>
    </xdr:from>
    <xdr:to>
      <xdr:col>65</xdr:col>
      <xdr:colOff>88437</xdr:colOff>
      <xdr:row>24</xdr:row>
      <xdr:rowOff>130139</xdr:rowOff>
    </xdr:to>
    <xdr:sp macro="" textlink="">
      <xdr:nvSpPr>
        <xdr:cNvPr id="29" name="N7B1Tri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187154</xdr:colOff>
      <xdr:row>39</xdr:row>
      <xdr:rowOff>57150</xdr:rowOff>
    </xdr:from>
    <xdr:to>
      <xdr:col>21</xdr:col>
      <xdr:colOff>115073</xdr:colOff>
      <xdr:row>45</xdr:row>
      <xdr:rowOff>95250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7529" y="7486650"/>
          <a:ext cx="1128069" cy="1181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zone of material susceptible to liquefaction or cyclic softening exists in the embankment or foundation with sufficient extent?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Liquefaction or cyclic softening of embankment or foundation soils occurs?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28</xdr:row>
      <xdr:rowOff>76200</xdr:rowOff>
    </xdr:from>
    <xdr:to>
      <xdr:col>35</xdr:col>
      <xdr:colOff>100775</xdr:colOff>
      <xdr:row>34</xdr:row>
      <xdr:rowOff>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4102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Flow slide occurs due to (reduced) residual shear strength?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24</xdr:row>
      <xdr:rowOff>57150</xdr:rowOff>
    </xdr:from>
    <xdr:to>
      <xdr:col>42</xdr:col>
      <xdr:colOff>100774</xdr:colOff>
      <xdr:row>29</xdr:row>
      <xdr:rowOff>171450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462915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Initial failure lowers the crest and uncontrolled release of impounded water occurs?</a:t>
          </a:fld>
          <a:endParaRPr lang="en-US" sz="1100"/>
        </a:p>
      </xdr:txBody>
    </xdr:sp>
    <xdr:clientData/>
  </xdr:twoCellAnchor>
  <xdr:twoCellAnchor>
    <xdr:from>
      <xdr:col>44</xdr:col>
      <xdr:colOff>178594</xdr:colOff>
      <xdr:row>30</xdr:row>
      <xdr:rowOff>38100</xdr:rowOff>
    </xdr:from>
    <xdr:to>
      <xdr:col>50</xdr:col>
      <xdr:colOff>103156</xdr:colOff>
      <xdr:row>35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 higher shear strength zone exists to arrest retrogressive instability?</a:t>
          </a:fld>
          <a:endParaRPr lang="en-US" sz="1100"/>
        </a:p>
      </xdr:txBody>
    </xdr:sp>
    <xdr:clientData/>
  </xdr:twoCellAnchor>
  <xdr:twoCellAnchor>
    <xdr:from>
      <xdr:col>51</xdr:col>
      <xdr:colOff>176212</xdr:colOff>
      <xdr:row>27</xdr:row>
      <xdr:rowOff>38100</xdr:rowOff>
    </xdr:from>
    <xdr:to>
      <xdr:col>57</xdr:col>
      <xdr:colOff>100774</xdr:colOff>
      <xdr:row>32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58</xdr:col>
      <xdr:colOff>178593</xdr:colOff>
      <xdr:row>24</xdr:row>
      <xdr:rowOff>38100</xdr:rowOff>
    </xdr:from>
    <xdr:to>
      <xdr:col>64</xdr:col>
      <xdr:colOff>123824</xdr:colOff>
      <xdr:row>29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780043" y="4610100"/>
          <a:ext cx="1145381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Retrogressive instability advances through the crest and 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41</xdr:row>
      <xdr:rowOff>146803</xdr:rowOff>
    </xdr:from>
    <xdr:to>
      <xdr:col>4</xdr:col>
      <xdr:colOff>197400</xdr:colOff>
      <xdr:row>44</xdr:row>
      <xdr:rowOff>37255</xdr:rowOff>
    </xdr:to>
    <xdr:sp macro="" textlink="">
      <xdr:nvSpPr>
        <xdr:cNvPr id="67" name="Load2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53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47</xdr:col>
      <xdr:colOff>95251</xdr:colOff>
      <xdr:row>17</xdr:row>
      <xdr:rowOff>104774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796339" y="2643188"/>
          <a:ext cx="188117" cy="1212056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23</xdr:row>
      <xdr:rowOff>28574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6082308" y="3986807"/>
          <a:ext cx="141684" cy="704850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21</xdr:row>
      <xdr:rowOff>30161</xdr:rowOff>
    </xdr:from>
    <xdr:to>
      <xdr:col>55</xdr:col>
      <xdr:colOff>142873</xdr:colOff>
      <xdr:row>27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95251</xdr:colOff>
      <xdr:row>26</xdr:row>
      <xdr:rowOff>28573</xdr:rowOff>
    </xdr:from>
    <xdr:to>
      <xdr:col>25</xdr:col>
      <xdr:colOff>95250</xdr:colOff>
      <xdr:row>26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H="1" flipV="1">
          <a:off x="4438650" y="4438649"/>
          <a:ext cx="114301" cy="1200149"/>
        </a:xfrm>
        <a:prstGeom prst="bentConnector4">
          <a:avLst>
            <a:gd name="adj1" fmla="val -199998"/>
            <a:gd name="adj2" fmla="val 77778"/>
          </a:avLst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166688</xdr:colOff>
      <xdr:row>11</xdr:row>
      <xdr:rowOff>59531</xdr:rowOff>
    </xdr:from>
    <xdr:to>
      <xdr:col>61</xdr:col>
      <xdr:colOff>95250</xdr:colOff>
      <xdr:row>17</xdr:row>
      <xdr:rowOff>19049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281173" y="2241946"/>
          <a:ext cx="1102518" cy="9286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2" name="N1Callout" hidden="1">
          <a:extLst>
            <a:ext uri="{FF2B5EF4-FFF2-40B4-BE49-F238E27FC236}">
              <a16:creationId xmlns:a16="http://schemas.microsoft.com/office/drawing/2014/main" id="{104B2D66-EC80-4070-A70A-F5645308AF94}"/>
            </a:ext>
          </a:extLst>
        </xdr:cNvPr>
        <xdr:cNvSpPr txBox="1"/>
      </xdr:nvSpPr>
      <xdr:spPr>
        <a:xfrm>
          <a:off x="3990976" y="9989344"/>
          <a:ext cx="1233487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28</xdr:col>
      <xdr:colOff>64220</xdr:colOff>
      <xdr:row>40</xdr:row>
      <xdr:rowOff>52240</xdr:rowOff>
    </xdr:from>
    <xdr:to>
      <xdr:col>29</xdr:col>
      <xdr:colOff>138518</xdr:colOff>
      <xdr:row>41</xdr:row>
      <xdr:rowOff>136062</xdr:rowOff>
    </xdr:to>
    <xdr:sp macro="" textlink="">
      <xdr:nvSpPr>
        <xdr:cNvPr id="34" name="N3Num">
          <a:extLst>
            <a:ext uri="{FF2B5EF4-FFF2-40B4-BE49-F238E27FC236}">
              <a16:creationId xmlns:a16="http://schemas.microsoft.com/office/drawing/2014/main" id="{132507A6-90F1-42B0-A79A-92230D52518A}"/>
            </a:ext>
          </a:extLst>
        </xdr:cNvPr>
        <xdr:cNvSpPr>
          <a:spLocks noChangeAspect="1"/>
        </xdr:cNvSpPr>
      </xdr:nvSpPr>
      <xdr:spPr>
        <a:xfrm>
          <a:off x="5664920" y="6148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35</xdr:col>
      <xdr:colOff>64220</xdr:colOff>
      <xdr:row>37</xdr:row>
      <xdr:rowOff>52240</xdr:rowOff>
    </xdr:from>
    <xdr:to>
      <xdr:col>36</xdr:col>
      <xdr:colOff>138518</xdr:colOff>
      <xdr:row>38</xdr:row>
      <xdr:rowOff>136062</xdr:rowOff>
    </xdr:to>
    <xdr:sp macro="" textlink="">
      <xdr:nvSpPr>
        <xdr:cNvPr id="35" name="N4Num">
          <a:extLst>
            <a:ext uri="{FF2B5EF4-FFF2-40B4-BE49-F238E27FC236}">
              <a16:creationId xmlns:a16="http://schemas.microsoft.com/office/drawing/2014/main" id="{B8134E7A-6935-4B23-B634-CE2EAF574018}"/>
            </a:ext>
          </a:extLst>
        </xdr:cNvPr>
        <xdr:cNvSpPr>
          <a:spLocks noChangeAspect="1"/>
        </xdr:cNvSpPr>
      </xdr:nvSpPr>
      <xdr:spPr>
        <a:xfrm>
          <a:off x="7065095" y="557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35</xdr:col>
      <xdr:colOff>76200</xdr:colOff>
      <xdr:row>43</xdr:row>
      <xdr:rowOff>54695</xdr:rowOff>
    </xdr:from>
    <xdr:to>
      <xdr:col>36</xdr:col>
      <xdr:colOff>96889</xdr:colOff>
      <xdr:row>44</xdr:row>
      <xdr:rowOff>129748</xdr:rowOff>
    </xdr:to>
    <xdr:sp macro="" textlink="">
      <xdr:nvSpPr>
        <xdr:cNvPr id="36" name="N3B2Tri">
          <a:extLst>
            <a:ext uri="{FF2B5EF4-FFF2-40B4-BE49-F238E27FC236}">
              <a16:creationId xmlns:a16="http://schemas.microsoft.com/office/drawing/2014/main" id="{ED03B07D-B6EC-445B-903D-02951761A5DF}"/>
            </a:ext>
          </a:extLst>
        </xdr:cNvPr>
        <xdr:cNvSpPr/>
      </xdr:nvSpPr>
      <xdr:spPr>
        <a:xfrm rot="16200000">
          <a:off x="7054655" y="6744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40</xdr:row>
      <xdr:rowOff>55150</xdr:rowOff>
    </xdr:from>
    <xdr:to>
      <xdr:col>29</xdr:col>
      <xdr:colOff>97957</xdr:colOff>
      <xdr:row>41</xdr:row>
      <xdr:rowOff>130204</xdr:rowOff>
    </xdr:to>
    <xdr:sp macro="" textlink="">
      <xdr:nvSpPr>
        <xdr:cNvPr id="37" name="N2B1Tri" hidden="1">
          <a:extLst>
            <a:ext uri="{FF2B5EF4-FFF2-40B4-BE49-F238E27FC236}">
              <a16:creationId xmlns:a16="http://schemas.microsoft.com/office/drawing/2014/main" id="{65B0A6AB-8942-41B4-B2B2-23A608293A97}"/>
            </a:ext>
          </a:extLst>
        </xdr:cNvPr>
        <xdr:cNvSpPr/>
      </xdr:nvSpPr>
      <xdr:spPr>
        <a:xfrm rot="16200000">
          <a:off x="5655548" y="6173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37</xdr:row>
      <xdr:rowOff>55140</xdr:rowOff>
    </xdr:from>
    <xdr:to>
      <xdr:col>36</xdr:col>
      <xdr:colOff>97958</xdr:colOff>
      <xdr:row>38</xdr:row>
      <xdr:rowOff>130194</xdr:rowOff>
    </xdr:to>
    <xdr:sp macro="" textlink="">
      <xdr:nvSpPr>
        <xdr:cNvPr id="38" name="N3B1Tri" hidden="1">
          <a:extLst>
            <a:ext uri="{FF2B5EF4-FFF2-40B4-BE49-F238E27FC236}">
              <a16:creationId xmlns:a16="http://schemas.microsoft.com/office/drawing/2014/main" id="{B2F194CA-E3F9-4BE9-8401-8B67ADBF016E}"/>
            </a:ext>
          </a:extLst>
        </xdr:cNvPr>
        <xdr:cNvSpPr/>
      </xdr:nvSpPr>
      <xdr:spPr>
        <a:xfrm rot="16200000">
          <a:off x="7055724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48</xdr:row>
      <xdr:rowOff>52240</xdr:rowOff>
    </xdr:from>
    <xdr:to>
      <xdr:col>29</xdr:col>
      <xdr:colOff>138518</xdr:colOff>
      <xdr:row>49</xdr:row>
      <xdr:rowOff>136062</xdr:rowOff>
    </xdr:to>
    <xdr:sp macro="" textlink="">
      <xdr:nvSpPr>
        <xdr:cNvPr id="40" name="N3Num">
          <a:extLst>
            <a:ext uri="{FF2B5EF4-FFF2-40B4-BE49-F238E27FC236}">
              <a16:creationId xmlns:a16="http://schemas.microsoft.com/office/drawing/2014/main" id="{BA3ACE21-64F6-4245-B3A9-82F34D3AB3C2}"/>
            </a:ext>
          </a:extLst>
        </xdr:cNvPr>
        <xdr:cNvSpPr>
          <a:spLocks noChangeAspect="1"/>
        </xdr:cNvSpPr>
      </xdr:nvSpPr>
      <xdr:spPr>
        <a:xfrm>
          <a:off x="5664920" y="6148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35</xdr:col>
      <xdr:colOff>64220</xdr:colOff>
      <xdr:row>45</xdr:row>
      <xdr:rowOff>52240</xdr:rowOff>
    </xdr:from>
    <xdr:to>
      <xdr:col>36</xdr:col>
      <xdr:colOff>138518</xdr:colOff>
      <xdr:row>46</xdr:row>
      <xdr:rowOff>136062</xdr:rowOff>
    </xdr:to>
    <xdr:sp macro="" textlink="">
      <xdr:nvSpPr>
        <xdr:cNvPr id="42" name="N4Num">
          <a:extLst>
            <a:ext uri="{FF2B5EF4-FFF2-40B4-BE49-F238E27FC236}">
              <a16:creationId xmlns:a16="http://schemas.microsoft.com/office/drawing/2014/main" id="{6826D75B-5937-46C2-927B-698FDE0C148B}"/>
            </a:ext>
          </a:extLst>
        </xdr:cNvPr>
        <xdr:cNvSpPr>
          <a:spLocks noChangeAspect="1"/>
        </xdr:cNvSpPr>
      </xdr:nvSpPr>
      <xdr:spPr>
        <a:xfrm>
          <a:off x="7065095" y="557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35</xdr:col>
      <xdr:colOff>76200</xdr:colOff>
      <xdr:row>51</xdr:row>
      <xdr:rowOff>54695</xdr:rowOff>
    </xdr:from>
    <xdr:to>
      <xdr:col>36</xdr:col>
      <xdr:colOff>96889</xdr:colOff>
      <xdr:row>52</xdr:row>
      <xdr:rowOff>129748</xdr:rowOff>
    </xdr:to>
    <xdr:sp macro="" textlink="">
      <xdr:nvSpPr>
        <xdr:cNvPr id="44" name="N3B2Tri">
          <a:extLst>
            <a:ext uri="{FF2B5EF4-FFF2-40B4-BE49-F238E27FC236}">
              <a16:creationId xmlns:a16="http://schemas.microsoft.com/office/drawing/2014/main" id="{FC425BDD-A051-4F4C-A267-01464C214F1E}"/>
            </a:ext>
          </a:extLst>
        </xdr:cNvPr>
        <xdr:cNvSpPr/>
      </xdr:nvSpPr>
      <xdr:spPr>
        <a:xfrm rot="16200000">
          <a:off x="7054655" y="6744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48</xdr:row>
      <xdr:rowOff>55150</xdr:rowOff>
    </xdr:from>
    <xdr:to>
      <xdr:col>29</xdr:col>
      <xdr:colOff>97957</xdr:colOff>
      <xdr:row>49</xdr:row>
      <xdr:rowOff>130204</xdr:rowOff>
    </xdr:to>
    <xdr:sp macro="" textlink="">
      <xdr:nvSpPr>
        <xdr:cNvPr id="45" name="N2B1Tri" hidden="1">
          <a:extLst>
            <a:ext uri="{FF2B5EF4-FFF2-40B4-BE49-F238E27FC236}">
              <a16:creationId xmlns:a16="http://schemas.microsoft.com/office/drawing/2014/main" id="{455AD09B-2393-448A-8835-8E06BC4B1318}"/>
            </a:ext>
          </a:extLst>
        </xdr:cNvPr>
        <xdr:cNvSpPr/>
      </xdr:nvSpPr>
      <xdr:spPr>
        <a:xfrm rot="16200000">
          <a:off x="5655548" y="6173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45</xdr:row>
      <xdr:rowOff>55140</xdr:rowOff>
    </xdr:from>
    <xdr:to>
      <xdr:col>36</xdr:col>
      <xdr:colOff>97958</xdr:colOff>
      <xdr:row>46</xdr:row>
      <xdr:rowOff>130194</xdr:rowOff>
    </xdr:to>
    <xdr:sp macro="" textlink="">
      <xdr:nvSpPr>
        <xdr:cNvPr id="46" name="N3B1Tri" hidden="1">
          <a:extLst>
            <a:ext uri="{FF2B5EF4-FFF2-40B4-BE49-F238E27FC236}">
              <a16:creationId xmlns:a16="http://schemas.microsoft.com/office/drawing/2014/main" id="{A9D0B50B-768B-4FEA-AABC-55E16C3F7D22}"/>
            </a:ext>
          </a:extLst>
        </xdr:cNvPr>
        <xdr:cNvSpPr/>
      </xdr:nvSpPr>
      <xdr:spPr>
        <a:xfrm rot="16200000">
          <a:off x="7055724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29</xdr:col>
      <xdr:colOff>176213</xdr:colOff>
      <xdr:row>46</xdr:row>
      <xdr:rowOff>38100</xdr:rowOff>
    </xdr:from>
    <xdr:to>
      <xdr:col>35</xdr:col>
      <xdr:colOff>100775</xdr:colOff>
      <xdr:row>51</xdr:row>
      <xdr:rowOff>152400</xdr:rowOff>
    </xdr:to>
    <xdr:sp macro="" textlink="'Event Tree Input'!A52">
      <xdr:nvSpPr>
        <xdr:cNvPr id="47" name="N3Descr">
          <a:extLst>
            <a:ext uri="{FF2B5EF4-FFF2-40B4-BE49-F238E27FC236}">
              <a16:creationId xmlns:a16="http://schemas.microsoft.com/office/drawing/2014/main" id="{2218ADB9-9CB9-43D2-9C71-F465D380874E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t>Newmark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sliding occurs due to inertia forces exceeding the yield resistance?</a:t>
          </a:r>
          <a:endParaRPr lang="en-US" sz="1100"/>
        </a:p>
      </xdr:txBody>
    </xdr:sp>
    <xdr:clientData/>
  </xdr:twoCellAnchor>
  <xdr:twoCellAnchor>
    <xdr:from>
      <xdr:col>29</xdr:col>
      <xdr:colOff>157163</xdr:colOff>
      <xdr:row>38</xdr:row>
      <xdr:rowOff>38100</xdr:rowOff>
    </xdr:from>
    <xdr:to>
      <xdr:col>35</xdr:col>
      <xdr:colOff>81725</xdr:colOff>
      <xdr:row>43</xdr:row>
      <xdr:rowOff>152400</xdr:rowOff>
    </xdr:to>
    <xdr:sp macro="" textlink="'Event Tree Input'!A52">
      <xdr:nvSpPr>
        <xdr:cNvPr id="48" name="N3Descr">
          <a:extLst>
            <a:ext uri="{FF2B5EF4-FFF2-40B4-BE49-F238E27FC236}">
              <a16:creationId xmlns:a16="http://schemas.microsoft.com/office/drawing/2014/main" id="{1FB7076E-75F6-4C4C-8A73-7B32EA5E09D0}"/>
            </a:ext>
          </a:extLst>
        </xdr:cNvPr>
        <xdr:cNvSpPr txBox="1"/>
      </xdr:nvSpPr>
      <xdr:spPr>
        <a:xfrm>
          <a:off x="5957888" y="727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t>Newmark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sliding occurs due to inertia forces exceeding the yield resistance?</a:t>
          </a:r>
          <a:endParaRPr lang="en-US" sz="1100"/>
        </a:p>
      </xdr:txBody>
    </xdr:sp>
    <xdr:clientData/>
  </xdr:twoCellAnchor>
  <xdr:twoCellAnchor>
    <xdr:from>
      <xdr:col>51</xdr:col>
      <xdr:colOff>142874</xdr:colOff>
      <xdr:row>21</xdr:row>
      <xdr:rowOff>107155</xdr:rowOff>
    </xdr:from>
    <xdr:to>
      <xdr:col>58</xdr:col>
      <xdr:colOff>0</xdr:colOff>
      <xdr:row>23</xdr:row>
      <xdr:rowOff>47624</xdr:rowOff>
    </xdr:to>
    <xdr:sp macro="" textlink="">
      <xdr:nvSpPr>
        <xdr:cNvPr id="49" name="N3Callout" hidden="1">
          <a:extLst>
            <a:ext uri="{FF2B5EF4-FFF2-40B4-BE49-F238E27FC236}">
              <a16:creationId xmlns:a16="http://schemas.microsoft.com/office/drawing/2014/main" id="{A80E6E66-AD3D-42F0-BD41-B7271B1CACB5}"/>
            </a:ext>
          </a:extLst>
        </xdr:cNvPr>
        <xdr:cNvSpPr txBox="1"/>
      </xdr:nvSpPr>
      <xdr:spPr>
        <a:xfrm>
          <a:off x="4543424" y="4107655"/>
          <a:ext cx="125730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64</xdr:col>
      <xdr:colOff>64220</xdr:colOff>
      <xdr:row>20</xdr:row>
      <xdr:rowOff>52240</xdr:rowOff>
    </xdr:from>
    <xdr:to>
      <xdr:col>65</xdr:col>
      <xdr:colOff>138518</xdr:colOff>
      <xdr:row>21</xdr:row>
      <xdr:rowOff>136062</xdr:rowOff>
    </xdr:to>
    <xdr:sp macro="" textlink="">
      <xdr:nvSpPr>
        <xdr:cNvPr id="50" name="N8Num" hidden="1">
          <a:extLst>
            <a:ext uri="{FF2B5EF4-FFF2-40B4-BE49-F238E27FC236}">
              <a16:creationId xmlns:a16="http://schemas.microsoft.com/office/drawing/2014/main" id="{FEE69B1F-5E24-49A0-ACAA-471BD28E8BDE}"/>
            </a:ext>
          </a:extLst>
        </xdr:cNvPr>
        <xdr:cNvSpPr>
          <a:spLocks noChangeAspect="1"/>
        </xdr:cNvSpPr>
      </xdr:nvSpPr>
      <xdr:spPr>
        <a:xfrm>
          <a:off x="12865820" y="4433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64</xdr:col>
      <xdr:colOff>67748</xdr:colOff>
      <xdr:row>20</xdr:row>
      <xdr:rowOff>55085</xdr:rowOff>
    </xdr:from>
    <xdr:to>
      <xdr:col>65</xdr:col>
      <xdr:colOff>88437</xdr:colOff>
      <xdr:row>21</xdr:row>
      <xdr:rowOff>130139</xdr:rowOff>
    </xdr:to>
    <xdr:sp macro="" textlink="">
      <xdr:nvSpPr>
        <xdr:cNvPr id="51" name="N7B1Tri">
          <a:extLst>
            <a:ext uri="{FF2B5EF4-FFF2-40B4-BE49-F238E27FC236}">
              <a16:creationId xmlns:a16="http://schemas.microsoft.com/office/drawing/2014/main" id="{72E42A03-A946-4DB4-B69C-47908CA371A8}"/>
            </a:ext>
          </a:extLst>
        </xdr:cNvPr>
        <xdr:cNvSpPr/>
      </xdr:nvSpPr>
      <xdr:spPr>
        <a:xfrm rot="16200000">
          <a:off x="12846928" y="4459005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26</xdr:row>
      <xdr:rowOff>55140</xdr:rowOff>
    </xdr:from>
    <xdr:to>
      <xdr:col>36</xdr:col>
      <xdr:colOff>97958</xdr:colOff>
      <xdr:row>27</xdr:row>
      <xdr:rowOff>130194</xdr:rowOff>
    </xdr:to>
    <xdr:sp macro="" textlink="">
      <xdr:nvSpPr>
        <xdr:cNvPr id="53" name="N3B1Tri" hidden="1">
          <a:extLst>
            <a:ext uri="{FF2B5EF4-FFF2-40B4-BE49-F238E27FC236}">
              <a16:creationId xmlns:a16="http://schemas.microsoft.com/office/drawing/2014/main" id="{64E9E6A7-9400-45AC-BE0E-933D6E902F47}"/>
            </a:ext>
          </a:extLst>
        </xdr:cNvPr>
        <xdr:cNvSpPr/>
      </xdr:nvSpPr>
      <xdr:spPr>
        <a:xfrm rot="16200000">
          <a:off x="7055724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30</xdr:row>
      <xdr:rowOff>55150</xdr:rowOff>
    </xdr:from>
    <xdr:to>
      <xdr:col>29</xdr:col>
      <xdr:colOff>97957</xdr:colOff>
      <xdr:row>31</xdr:row>
      <xdr:rowOff>130204</xdr:rowOff>
    </xdr:to>
    <xdr:sp macro="" textlink="">
      <xdr:nvSpPr>
        <xdr:cNvPr id="5" name="N2B1Tri" hidden="1">
          <a:extLst>
            <a:ext uri="{FF2B5EF4-FFF2-40B4-BE49-F238E27FC236}">
              <a16:creationId xmlns:a16="http://schemas.microsoft.com/office/drawing/2014/main" id="{417A4AF1-7F31-42C8-8FF6-5379879D7A54}"/>
            </a:ext>
          </a:extLst>
        </xdr:cNvPr>
        <xdr:cNvSpPr/>
      </xdr:nvSpPr>
      <xdr:spPr>
        <a:xfrm rot="16200000">
          <a:off x="5655548" y="6173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41</xdr:row>
      <xdr:rowOff>55150</xdr:rowOff>
    </xdr:from>
    <xdr:to>
      <xdr:col>29</xdr:col>
      <xdr:colOff>97957</xdr:colOff>
      <xdr:row>42</xdr:row>
      <xdr:rowOff>130204</xdr:rowOff>
    </xdr:to>
    <xdr:sp macro="" textlink="">
      <xdr:nvSpPr>
        <xdr:cNvPr id="16" name="N2B1Tri" hidden="1">
          <a:extLst>
            <a:ext uri="{FF2B5EF4-FFF2-40B4-BE49-F238E27FC236}">
              <a16:creationId xmlns:a16="http://schemas.microsoft.com/office/drawing/2014/main" id="{77D8FD6B-5DE7-4138-B15B-7496AD61276B}"/>
            </a:ext>
          </a:extLst>
        </xdr:cNvPr>
        <xdr:cNvSpPr/>
      </xdr:nvSpPr>
      <xdr:spPr>
        <a:xfrm rot="16200000">
          <a:off x="5655548" y="7697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21" t="s">
        <v>8</v>
      </c>
      <c r="B1" s="29"/>
      <c r="C1" s="29"/>
      <c r="D1" s="29"/>
      <c r="E1" s="22" t="s">
        <v>9</v>
      </c>
      <c r="F1" s="23"/>
      <c r="G1" s="24" t="s">
        <v>10</v>
      </c>
      <c r="H1" s="25"/>
    </row>
    <row r="2" spans="1:9" x14ac:dyDescent="0.2">
      <c r="A2" s="21" t="s">
        <v>11</v>
      </c>
      <c r="B2" s="29"/>
      <c r="C2" s="29"/>
      <c r="D2" s="29"/>
      <c r="E2" s="22" t="s">
        <v>9</v>
      </c>
      <c r="F2" s="23"/>
      <c r="G2" s="24" t="s">
        <v>10</v>
      </c>
      <c r="H2" s="25"/>
    </row>
    <row r="3" spans="1:9" x14ac:dyDescent="0.2">
      <c r="A3" s="26" t="s">
        <v>12</v>
      </c>
      <c r="B3" s="6"/>
      <c r="C3" s="30"/>
      <c r="D3" s="30"/>
      <c r="E3" s="30"/>
      <c r="F3" s="30"/>
      <c r="G3" s="30"/>
      <c r="H3" s="30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18"/>
      <c r="C6" s="18"/>
      <c r="D6" s="18"/>
      <c r="E6" s="18"/>
      <c r="F6" s="18"/>
      <c r="G6" s="18"/>
      <c r="H6" s="18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31" t="s">
        <v>55</v>
      </c>
      <c r="E9" s="31"/>
      <c r="F9" s="12" t="s">
        <v>28</v>
      </c>
      <c r="G9" s="31"/>
      <c r="H9" s="31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7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20" t="s">
        <v>60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27" t="s">
        <v>62</v>
      </c>
      <c r="B21" s="27"/>
      <c r="C21" s="27"/>
      <c r="D21" s="27"/>
      <c r="E21" s="27"/>
      <c r="F21" s="27"/>
      <c r="G21" s="27"/>
      <c r="H21" s="27"/>
    </row>
    <row r="22" spans="1:9" ht="8.1" customHeight="1" x14ac:dyDescent="0.2">
      <c r="A22" s="11"/>
      <c r="B22" s="11"/>
      <c r="C22" s="11"/>
      <c r="D22" s="11"/>
      <c r="E22" s="11"/>
      <c r="F22" s="11"/>
      <c r="G22" s="11"/>
      <c r="H22" s="1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27" t="s">
        <v>63</v>
      </c>
      <c r="B24" s="27"/>
      <c r="C24" s="27"/>
      <c r="D24" s="27"/>
      <c r="E24" s="27"/>
      <c r="F24" s="27"/>
      <c r="G24" s="27"/>
      <c r="H24" s="27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27" t="s">
        <v>38</v>
      </c>
      <c r="B27" s="27"/>
      <c r="C27" s="27"/>
      <c r="D27" s="27"/>
      <c r="E27" s="27"/>
      <c r="F27" s="27"/>
      <c r="G27" s="27"/>
      <c r="H27" s="27"/>
      <c r="I27" s="8"/>
    </row>
    <row r="28" spans="1:9" ht="12.75" customHeight="1" x14ac:dyDescent="0.2">
      <c r="A28" s="27"/>
      <c r="B28" s="27"/>
      <c r="C28" s="27"/>
      <c r="D28" s="27"/>
      <c r="E28" s="27"/>
      <c r="F28" s="27"/>
      <c r="G28" s="27"/>
      <c r="H28" s="27"/>
    </row>
    <row r="29" spans="1:9" ht="12.75" customHeight="1" x14ac:dyDescent="0.2">
      <c r="A29" s="27"/>
      <c r="B29" s="27"/>
      <c r="C29" s="27"/>
      <c r="D29" s="27"/>
      <c r="E29" s="27"/>
      <c r="F29" s="27"/>
      <c r="G29" s="27"/>
      <c r="H29" s="27"/>
    </row>
    <row r="30" spans="1:9" ht="12.75" customHeight="1" x14ac:dyDescent="0.2">
      <c r="A30" s="27"/>
      <c r="B30" s="27"/>
      <c r="C30" s="27"/>
      <c r="D30" s="27"/>
      <c r="E30" s="27"/>
      <c r="F30" s="27"/>
      <c r="G30" s="27"/>
      <c r="H30" s="27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27" t="s">
        <v>64</v>
      </c>
      <c r="B35" s="27"/>
      <c r="C35" s="27"/>
      <c r="D35" s="27"/>
      <c r="E35" s="27"/>
      <c r="F35" s="27"/>
      <c r="G35" s="27"/>
      <c r="H35" s="27"/>
    </row>
    <row r="36" spans="1:9" ht="8.1" customHeight="1" x14ac:dyDescent="0.2">
      <c r="A36" s="11"/>
      <c r="B36" s="11"/>
      <c r="C36" s="11"/>
      <c r="D36" s="11"/>
      <c r="E36" s="11"/>
      <c r="F36" s="11"/>
      <c r="G36" s="11"/>
      <c r="H36" s="1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27" t="s">
        <v>65</v>
      </c>
      <c r="B38" s="27"/>
      <c r="C38" s="27"/>
      <c r="D38" s="27"/>
      <c r="E38" s="27"/>
      <c r="F38" s="27"/>
      <c r="G38" s="27"/>
      <c r="H38" s="27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27" t="s">
        <v>39</v>
      </c>
      <c r="B41" s="27"/>
      <c r="C41" s="27"/>
      <c r="D41" s="27"/>
      <c r="E41" s="27"/>
      <c r="F41" s="27"/>
      <c r="G41" s="27"/>
      <c r="H41" s="27"/>
      <c r="I41" s="8"/>
    </row>
    <row r="42" spans="1:9" ht="12.75" customHeight="1" x14ac:dyDescent="0.2">
      <c r="A42" s="27"/>
      <c r="B42" s="27"/>
      <c r="C42" s="27"/>
      <c r="D42" s="27"/>
      <c r="E42" s="27"/>
      <c r="F42" s="27"/>
      <c r="G42" s="27"/>
      <c r="H42" s="27"/>
    </row>
    <row r="43" spans="1:9" ht="12.75" customHeight="1" x14ac:dyDescent="0.2">
      <c r="A43" s="27"/>
      <c r="B43" s="27"/>
      <c r="C43" s="27"/>
      <c r="D43" s="27"/>
      <c r="E43" s="27"/>
      <c r="F43" s="27"/>
      <c r="G43" s="27"/>
      <c r="H43" s="27"/>
    </row>
    <row r="44" spans="1:9" ht="12.75" customHeight="1" x14ac:dyDescent="0.2">
      <c r="A44" s="27"/>
      <c r="B44" s="27"/>
      <c r="C44" s="27"/>
      <c r="D44" s="27"/>
      <c r="E44" s="27"/>
      <c r="F44" s="27"/>
      <c r="G44" s="27"/>
      <c r="H44" s="27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27" t="s">
        <v>66</v>
      </c>
      <c r="B49" s="27"/>
      <c r="C49" s="27"/>
      <c r="D49" s="27"/>
      <c r="E49" s="27"/>
      <c r="F49" s="27"/>
      <c r="G49" s="27"/>
      <c r="H49" s="27"/>
    </row>
    <row r="50" spans="1:9" ht="8.1" customHeight="1" x14ac:dyDescent="0.2">
      <c r="A50" s="11"/>
      <c r="B50" s="11"/>
      <c r="C50" s="11"/>
      <c r="D50" s="11"/>
      <c r="E50" s="11"/>
      <c r="F50" s="11"/>
      <c r="G50" s="11"/>
      <c r="H50" s="1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27" t="s">
        <v>67</v>
      </c>
      <c r="B52" s="27"/>
      <c r="C52" s="27"/>
      <c r="D52" s="27"/>
      <c r="E52" s="27"/>
      <c r="F52" s="27"/>
      <c r="G52" s="27"/>
      <c r="H52" s="27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27" t="s">
        <v>40</v>
      </c>
      <c r="B55" s="27"/>
      <c r="C55" s="27"/>
      <c r="D55" s="27"/>
      <c r="E55" s="27"/>
      <c r="F55" s="27"/>
      <c r="G55" s="27"/>
      <c r="H55" s="27"/>
      <c r="I55" s="8"/>
    </row>
    <row r="56" spans="1:9" ht="12.75" customHeight="1" x14ac:dyDescent="0.2">
      <c r="A56" s="27"/>
      <c r="B56" s="27"/>
      <c r="C56" s="27"/>
      <c r="D56" s="27"/>
      <c r="E56" s="27"/>
      <c r="F56" s="27"/>
      <c r="G56" s="27"/>
      <c r="H56" s="27"/>
    </row>
    <row r="57" spans="1:9" ht="12.75" customHeight="1" x14ac:dyDescent="0.2">
      <c r="A57" s="27"/>
      <c r="B57" s="27"/>
      <c r="C57" s="27"/>
      <c r="D57" s="27"/>
      <c r="E57" s="27"/>
      <c r="F57" s="27"/>
      <c r="G57" s="27"/>
      <c r="H57" s="27"/>
    </row>
    <row r="58" spans="1:9" ht="12.75" customHeight="1" x14ac:dyDescent="0.2">
      <c r="A58" s="27"/>
      <c r="B58" s="27"/>
      <c r="C58" s="27"/>
      <c r="D58" s="27"/>
      <c r="E58" s="27"/>
      <c r="F58" s="27"/>
      <c r="G58" s="27"/>
      <c r="H58" s="27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27" t="s">
        <v>68</v>
      </c>
      <c r="B63" s="27"/>
      <c r="C63" s="27"/>
      <c r="D63" s="27"/>
      <c r="E63" s="27"/>
      <c r="F63" s="27"/>
      <c r="G63" s="27"/>
      <c r="H63" s="27"/>
    </row>
    <row r="64" spans="1:9" ht="8.1" customHeight="1" x14ac:dyDescent="0.2">
      <c r="A64" s="11"/>
      <c r="B64" s="11"/>
      <c r="C64" s="11"/>
      <c r="D64" s="11"/>
      <c r="E64" s="11"/>
      <c r="F64" s="11"/>
      <c r="G64" s="11"/>
      <c r="H64" s="1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27" t="s">
        <v>69</v>
      </c>
      <c r="B66" s="27"/>
      <c r="C66" s="27"/>
      <c r="D66" s="27"/>
      <c r="E66" s="27"/>
      <c r="F66" s="27"/>
      <c r="G66" s="27"/>
      <c r="H66" s="27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27" t="s">
        <v>41</v>
      </c>
      <c r="B69" s="27"/>
      <c r="C69" s="27"/>
      <c r="D69" s="27"/>
      <c r="E69" s="27"/>
      <c r="F69" s="27"/>
      <c r="G69" s="27"/>
      <c r="H69" s="27"/>
      <c r="I69" s="8"/>
    </row>
    <row r="70" spans="1:9" ht="12.75" customHeight="1" x14ac:dyDescent="0.2">
      <c r="A70" s="27"/>
      <c r="B70" s="27"/>
      <c r="C70" s="27"/>
      <c r="D70" s="27"/>
      <c r="E70" s="27"/>
      <c r="F70" s="27"/>
      <c r="G70" s="27"/>
      <c r="H70" s="27"/>
    </row>
    <row r="71" spans="1:9" ht="12.75" customHeight="1" x14ac:dyDescent="0.2">
      <c r="A71" s="27"/>
      <c r="B71" s="27"/>
      <c r="C71" s="27"/>
      <c r="D71" s="27"/>
      <c r="E71" s="27"/>
      <c r="F71" s="27"/>
      <c r="G71" s="27"/>
      <c r="H71" s="27"/>
    </row>
    <row r="72" spans="1:9" ht="12.75" customHeight="1" x14ac:dyDescent="0.2">
      <c r="A72" s="27"/>
      <c r="B72" s="27"/>
      <c r="C72" s="27"/>
      <c r="D72" s="27"/>
      <c r="E72" s="27"/>
      <c r="F72" s="27"/>
      <c r="G72" s="27"/>
      <c r="H72" s="27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27" t="s">
        <v>56</v>
      </c>
      <c r="B77" s="27"/>
      <c r="C77" s="27"/>
      <c r="D77" s="27"/>
      <c r="E77" s="27"/>
      <c r="F77" s="27"/>
      <c r="G77" s="27"/>
      <c r="H77" s="27"/>
    </row>
    <row r="78" spans="1:9" ht="8.1" customHeight="1" x14ac:dyDescent="0.2">
      <c r="A78" s="11"/>
      <c r="B78" s="11"/>
      <c r="C78" s="11"/>
      <c r="D78" s="11"/>
      <c r="E78" s="11"/>
      <c r="F78" s="11"/>
      <c r="G78" s="11"/>
      <c r="H78" s="1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27" t="s">
        <v>70</v>
      </c>
      <c r="B80" s="27"/>
      <c r="C80" s="27"/>
      <c r="D80" s="27"/>
      <c r="E80" s="27"/>
      <c r="F80" s="27"/>
      <c r="G80" s="27"/>
      <c r="H80" s="27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27" t="s">
        <v>42</v>
      </c>
      <c r="B83" s="27"/>
      <c r="C83" s="27"/>
      <c r="D83" s="27"/>
      <c r="E83" s="27"/>
      <c r="F83" s="27"/>
      <c r="G83" s="27"/>
      <c r="H83" s="27"/>
      <c r="I83" s="8"/>
    </row>
    <row r="84" spans="1:9" ht="12.75" customHeight="1" x14ac:dyDescent="0.2">
      <c r="A84" s="27"/>
      <c r="B84" s="27"/>
      <c r="C84" s="27"/>
      <c r="D84" s="27"/>
      <c r="E84" s="27"/>
      <c r="F84" s="27"/>
      <c r="G84" s="27"/>
      <c r="H84" s="27"/>
    </row>
    <row r="85" spans="1:9" ht="12.75" customHeight="1" x14ac:dyDescent="0.2">
      <c r="A85" s="27"/>
      <c r="B85" s="27"/>
      <c r="C85" s="27"/>
      <c r="D85" s="27"/>
      <c r="E85" s="27"/>
      <c r="F85" s="27"/>
      <c r="G85" s="27"/>
      <c r="H85" s="27"/>
    </row>
    <row r="86" spans="1:9" ht="12.75" customHeight="1" x14ac:dyDescent="0.2">
      <c r="A86" s="27"/>
      <c r="B86" s="27"/>
      <c r="C86" s="27"/>
      <c r="D86" s="27"/>
      <c r="E86" s="27"/>
      <c r="F86" s="27"/>
      <c r="G86" s="27"/>
      <c r="H86" s="27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27" t="s">
        <v>57</v>
      </c>
      <c r="B91" s="27"/>
      <c r="C91" s="27"/>
      <c r="D91" s="27"/>
      <c r="E91" s="27"/>
      <c r="F91" s="27"/>
      <c r="G91" s="27"/>
      <c r="H91" s="27"/>
    </row>
    <row r="92" spans="1:9" ht="8.1" customHeight="1" x14ac:dyDescent="0.2">
      <c r="A92" s="11"/>
      <c r="B92" s="11"/>
      <c r="C92" s="11"/>
      <c r="D92" s="11"/>
      <c r="E92" s="11"/>
      <c r="F92" s="11"/>
      <c r="G92" s="11"/>
      <c r="H92" s="1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27" t="s">
        <v>58</v>
      </c>
      <c r="B94" s="27"/>
      <c r="C94" s="27"/>
      <c r="D94" s="27"/>
      <c r="E94" s="27"/>
      <c r="F94" s="27"/>
      <c r="G94" s="27"/>
      <c r="H94" s="27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27" t="s">
        <v>43</v>
      </c>
      <c r="B97" s="27"/>
      <c r="C97" s="27"/>
      <c r="D97" s="27"/>
      <c r="E97" s="27"/>
      <c r="F97" s="27"/>
      <c r="G97" s="27"/>
      <c r="H97" s="27"/>
      <c r="I97" s="8"/>
    </row>
    <row r="98" spans="1:15" ht="12.75" customHeight="1" x14ac:dyDescent="0.2">
      <c r="A98" s="27"/>
      <c r="B98" s="27"/>
      <c r="C98" s="27"/>
      <c r="D98" s="27"/>
      <c r="E98" s="27"/>
      <c r="F98" s="27"/>
      <c r="G98" s="27"/>
      <c r="H98" s="27"/>
    </row>
    <row r="99" spans="1:15" ht="12.75" customHeight="1" x14ac:dyDescent="0.2">
      <c r="A99" s="27"/>
      <c r="B99" s="27"/>
      <c r="C99" s="27"/>
      <c r="D99" s="27"/>
      <c r="E99" s="27"/>
      <c r="F99" s="27"/>
      <c r="G99" s="27"/>
      <c r="H99" s="27"/>
    </row>
    <row r="100" spans="1:15" ht="12.75" customHeight="1" x14ac:dyDescent="0.2">
      <c r="A100" s="27"/>
      <c r="B100" s="27"/>
      <c r="C100" s="27"/>
      <c r="D100" s="27"/>
      <c r="E100" s="27"/>
      <c r="F100" s="27"/>
      <c r="G100" s="27"/>
      <c r="H100" s="27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27" t="s">
        <v>59</v>
      </c>
      <c r="B105" s="27"/>
      <c r="C105" s="27"/>
      <c r="D105" s="27"/>
      <c r="E105" s="27"/>
      <c r="F105" s="27"/>
      <c r="G105" s="27"/>
      <c r="H105" s="27"/>
    </row>
    <row r="106" spans="1:15" ht="8.1" customHeight="1" x14ac:dyDescent="0.2">
      <c r="A106" s="11"/>
      <c r="B106" s="11"/>
      <c r="C106" s="11"/>
      <c r="D106" s="11"/>
      <c r="E106" s="11"/>
      <c r="F106" s="11"/>
      <c r="G106" s="11"/>
      <c r="H106" s="1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27" t="s">
        <v>71</v>
      </c>
      <c r="B108" s="27"/>
      <c r="C108" s="27"/>
      <c r="D108" s="27"/>
      <c r="E108" s="27"/>
      <c r="F108" s="27"/>
      <c r="G108" s="27"/>
      <c r="H108" s="27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27" t="s">
        <v>44</v>
      </c>
      <c r="B111" s="27"/>
      <c r="C111" s="27"/>
      <c r="D111" s="27"/>
      <c r="E111" s="27"/>
      <c r="F111" s="27"/>
      <c r="G111" s="27"/>
      <c r="H111" s="27"/>
      <c r="I111" s="8"/>
      <c r="O111" s="15"/>
    </row>
    <row r="112" spans="1:15" ht="12.75" customHeight="1" x14ac:dyDescent="0.2">
      <c r="A112" s="27"/>
      <c r="B112" s="27"/>
      <c r="C112" s="27"/>
      <c r="D112" s="27"/>
      <c r="E112" s="27"/>
      <c r="F112" s="27"/>
      <c r="G112" s="27"/>
      <c r="H112" s="27"/>
    </row>
    <row r="113" spans="1:9" ht="12.75" customHeight="1" x14ac:dyDescent="0.2">
      <c r="A113" s="27"/>
      <c r="B113" s="27"/>
      <c r="C113" s="27"/>
      <c r="D113" s="27"/>
      <c r="E113" s="27"/>
      <c r="F113" s="27"/>
      <c r="G113" s="27"/>
      <c r="H113" s="27"/>
    </row>
    <row r="114" spans="1:9" ht="12.75" customHeight="1" x14ac:dyDescent="0.2">
      <c r="A114" s="27"/>
      <c r="B114" s="27"/>
      <c r="C114" s="27"/>
      <c r="D114" s="27"/>
      <c r="E114" s="27"/>
      <c r="F114" s="27"/>
      <c r="G114" s="27"/>
      <c r="H114" s="27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27" t="s">
        <v>50</v>
      </c>
      <c r="B119" s="27"/>
      <c r="C119" s="27"/>
      <c r="D119" s="27"/>
      <c r="E119" s="27"/>
      <c r="F119" s="27"/>
      <c r="G119" s="27"/>
      <c r="H119" s="27"/>
    </row>
    <row r="120" spans="1:9" ht="8.1" customHeight="1" x14ac:dyDescent="0.2">
      <c r="A120" s="11"/>
      <c r="B120" s="11"/>
      <c r="C120" s="11"/>
      <c r="D120" s="11"/>
      <c r="E120" s="11"/>
      <c r="F120" s="11"/>
      <c r="G120" s="11"/>
      <c r="H120" s="1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27" t="s">
        <v>51</v>
      </c>
      <c r="B122" s="27"/>
      <c r="C122" s="27"/>
      <c r="D122" s="27"/>
      <c r="E122" s="27"/>
      <c r="F122" s="27"/>
      <c r="G122" s="27"/>
      <c r="H122" s="27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27" t="s">
        <v>45</v>
      </c>
      <c r="B125" s="27"/>
      <c r="C125" s="27"/>
      <c r="D125" s="27"/>
      <c r="E125" s="27"/>
      <c r="F125" s="27"/>
      <c r="G125" s="27"/>
      <c r="H125" s="27"/>
      <c r="I125" s="8"/>
    </row>
    <row r="126" spans="1:9" ht="12.75" customHeight="1" x14ac:dyDescent="0.2">
      <c r="A126" s="27"/>
      <c r="B126" s="27"/>
      <c r="C126" s="27"/>
      <c r="D126" s="27"/>
      <c r="E126" s="27"/>
      <c r="F126" s="27"/>
      <c r="G126" s="27"/>
      <c r="H126" s="27"/>
    </row>
    <row r="127" spans="1:9" ht="12.75" customHeight="1" x14ac:dyDescent="0.2">
      <c r="A127" s="27"/>
      <c r="B127" s="27"/>
      <c r="C127" s="27"/>
      <c r="D127" s="27"/>
      <c r="E127" s="27"/>
      <c r="F127" s="27"/>
      <c r="G127" s="27"/>
      <c r="H127" s="27"/>
    </row>
    <row r="128" spans="1:9" ht="12.75" customHeight="1" x14ac:dyDescent="0.2">
      <c r="A128" s="27"/>
      <c r="B128" s="27"/>
      <c r="C128" s="27"/>
      <c r="D128" s="27"/>
      <c r="E128" s="27"/>
      <c r="F128" s="27"/>
      <c r="G128" s="27"/>
      <c r="H128" s="27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27" t="s">
        <v>35</v>
      </c>
      <c r="B133" s="27"/>
      <c r="C133" s="27"/>
      <c r="D133" s="27"/>
      <c r="E133" s="27"/>
      <c r="F133" s="27"/>
      <c r="G133" s="27"/>
      <c r="H133" s="27"/>
    </row>
    <row r="134" spans="1:9" ht="8.1" customHeight="1" x14ac:dyDescent="0.2">
      <c r="A134" s="11"/>
      <c r="B134" s="11"/>
      <c r="C134" s="11"/>
      <c r="D134" s="11"/>
      <c r="E134" s="11"/>
      <c r="F134" s="11"/>
      <c r="G134" s="11"/>
      <c r="H134" s="1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27" t="s">
        <v>52</v>
      </c>
      <c r="B136" s="27"/>
      <c r="C136" s="27"/>
      <c r="D136" s="27"/>
      <c r="E136" s="27"/>
      <c r="F136" s="27"/>
      <c r="G136" s="27"/>
      <c r="H136" s="27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27" t="s">
        <v>46</v>
      </c>
      <c r="B139" s="27"/>
      <c r="C139" s="27"/>
      <c r="D139" s="27"/>
      <c r="E139" s="27"/>
      <c r="F139" s="27"/>
      <c r="G139" s="27"/>
      <c r="H139" s="27"/>
      <c r="I139" s="8"/>
    </row>
    <row r="140" spans="1:9" ht="12.75" customHeight="1" x14ac:dyDescent="0.2">
      <c r="A140" s="27"/>
      <c r="B140" s="27"/>
      <c r="C140" s="27"/>
      <c r="D140" s="27"/>
      <c r="E140" s="27"/>
      <c r="F140" s="27"/>
      <c r="G140" s="27"/>
      <c r="H140" s="27"/>
    </row>
    <row r="141" spans="1:9" ht="12.75" customHeight="1" x14ac:dyDescent="0.2">
      <c r="A141" s="27"/>
      <c r="B141" s="27"/>
      <c r="C141" s="27"/>
      <c r="D141" s="27"/>
      <c r="E141" s="27"/>
      <c r="F141" s="27"/>
      <c r="G141" s="27"/>
      <c r="H141" s="27"/>
    </row>
    <row r="142" spans="1:9" ht="12.75" customHeight="1" x14ac:dyDescent="0.2">
      <c r="A142" s="27"/>
      <c r="B142" s="27"/>
      <c r="C142" s="27"/>
      <c r="D142" s="27"/>
      <c r="E142" s="27"/>
      <c r="F142" s="27"/>
      <c r="G142" s="27"/>
      <c r="H142" s="27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61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28" t="s">
        <v>17</v>
      </c>
      <c r="B156" s="9" t="s">
        <v>23</v>
      </c>
      <c r="C156" s="9" t="s">
        <v>24</v>
      </c>
    </row>
    <row r="157" spans="1:5" x14ac:dyDescent="0.2">
      <c r="A157" s="28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Triangle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34" priority="67">
      <formula>$D$9="Seismic Hazard"</formula>
    </cfRule>
    <cfRule type="expression" dxfId="33" priority="68">
      <formula>$D$9="Hydrologic Hazard"</formula>
    </cfRule>
  </conditionalFormatting>
  <conditionalFormatting sqref="A32:H45">
    <cfRule type="expression" dxfId="32" priority="16" stopIfTrue="1">
      <formula>$D$11&lt;2</formula>
    </cfRule>
  </conditionalFormatting>
  <conditionalFormatting sqref="A110:H114 A138:H142 A40:H44 A54:H58 A68:H72 A82:H86 A96:H100 A124:H128 A26:H30">
    <cfRule type="expression" dxfId="31" priority="2" stopIfTrue="1">
      <formula>$D$14="No"</formula>
    </cfRule>
  </conditionalFormatting>
  <conditionalFormatting sqref="A46:H59">
    <cfRule type="expression" dxfId="30" priority="14" stopIfTrue="1">
      <formula>$D$11&lt;3</formula>
    </cfRule>
  </conditionalFormatting>
  <conditionalFormatting sqref="A60:H73">
    <cfRule type="expression" dxfId="29" priority="12" stopIfTrue="1">
      <formula>$D$11&lt;4</formula>
    </cfRule>
  </conditionalFormatting>
  <conditionalFormatting sqref="A74:H87">
    <cfRule type="expression" dxfId="28" priority="9" stopIfTrue="1">
      <formula>$D$11&lt;5</formula>
    </cfRule>
  </conditionalFormatting>
  <conditionalFormatting sqref="A88:H101">
    <cfRule type="expression" dxfId="27" priority="7" stopIfTrue="1">
      <formula>$D$11&lt;6</formula>
    </cfRule>
  </conditionalFormatting>
  <conditionalFormatting sqref="A102:H115">
    <cfRule type="expression" dxfId="26" priority="8" stopIfTrue="1">
      <formula>$D$11&lt;7</formula>
    </cfRule>
  </conditionalFormatting>
  <conditionalFormatting sqref="A116:H129">
    <cfRule type="expression" dxfId="25" priority="3" stopIfTrue="1">
      <formula>$D$11&lt;8</formula>
    </cfRule>
  </conditionalFormatting>
  <conditionalFormatting sqref="A130:H143">
    <cfRule type="expression" dxfId="24" priority="1" stopIfTrue="1">
      <formula>$D$11&lt;9</formula>
    </cfRule>
  </conditionalFormatting>
  <conditionalFormatting sqref="A20:H21 A34:H35 A48:H49 A62:H63 A76:H77 A90:H91 A104:H105 A118:H119 A132:H133">
    <cfRule type="expression" dxfId="23" priority="22">
      <formula>$D$13="No"</formula>
    </cfRule>
  </conditionalFormatting>
  <conditionalFormatting sqref="A27:H30">
    <cfRule type="expression" dxfId="22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45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32" t="s">
        <v>8</v>
      </c>
      <c r="B1" s="32"/>
      <c r="C1" s="32"/>
      <c r="D1" s="32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34" t="s">
        <v>9</v>
      </c>
      <c r="AG1" s="34"/>
      <c r="AH1" s="34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34" t="s">
        <v>10</v>
      </c>
      <c r="BE1" s="34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</row>
    <row r="2" spans="1:80" ht="15" customHeight="1" x14ac:dyDescent="0.2">
      <c r="A2" s="32" t="s">
        <v>11</v>
      </c>
      <c r="B2" s="32"/>
      <c r="C2" s="32"/>
      <c r="D2" s="32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4" t="s">
        <v>9</v>
      </c>
      <c r="AG2" s="34"/>
      <c r="AH2" s="34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4" t="s">
        <v>10</v>
      </c>
      <c r="BE2" s="34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</row>
    <row r="3" spans="1:80" ht="15" customHeight="1" x14ac:dyDescent="0.2">
      <c r="A3" s="33" t="s">
        <v>12</v>
      </c>
      <c r="B3" s="33"/>
      <c r="C3" s="33"/>
      <c r="D3" s="33"/>
      <c r="E3" s="33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38" t="s">
        <v>25</v>
      </c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</row>
    <row r="6" spans="1:80" ht="15" customHeight="1" x14ac:dyDescent="0.2">
      <c r="A6" s="4"/>
      <c r="B6" s="4"/>
      <c r="C6" s="4"/>
      <c r="D6" s="4"/>
      <c r="E6" s="4"/>
      <c r="F6" s="4"/>
      <c r="G6" s="4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  <c r="BZ6" s="40"/>
      <c r="CA6" s="40"/>
    </row>
    <row r="7" spans="1:80" ht="15" customHeight="1" x14ac:dyDescent="0.2">
      <c r="A7" s="4"/>
      <c r="B7" s="4"/>
      <c r="C7" s="4"/>
      <c r="D7" s="4"/>
      <c r="E7" s="4"/>
      <c r="F7" s="4"/>
      <c r="G7" s="4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19"/>
      <c r="AK7" s="19"/>
      <c r="AL7" s="19"/>
      <c r="AM7" s="19"/>
      <c r="AN7" s="19"/>
      <c r="AO7" s="19"/>
      <c r="AP7" s="19"/>
      <c r="AQ7" s="4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19"/>
      <c r="AK8" s="19"/>
      <c r="AL8" s="19"/>
      <c r="AM8" s="19"/>
      <c r="AN8" s="19"/>
      <c r="AO8" s="19"/>
      <c r="AP8" s="19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0"/>
    </row>
    <row r="9" spans="1:80" ht="15" customHeight="1" x14ac:dyDescent="0.2">
      <c r="A9" s="4"/>
      <c r="B9" s="4"/>
      <c r="C9" s="4"/>
      <c r="D9" s="4"/>
      <c r="E9" s="4"/>
      <c r="F9" s="4"/>
      <c r="G9" s="4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19"/>
      <c r="AK9" s="19"/>
      <c r="AL9" s="19"/>
      <c r="AM9" s="19"/>
      <c r="AN9" s="19"/>
      <c r="AO9" s="19"/>
      <c r="AP9" s="19"/>
      <c r="AQ9" s="4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2"/>
      <c r="BU9" s="42"/>
      <c r="BV9" s="42"/>
      <c r="BW9" s="42"/>
      <c r="BX9" s="42"/>
      <c r="BY9" s="42"/>
      <c r="BZ9" s="42"/>
      <c r="CA9" s="40"/>
      <c r="CB9" s="8" t="s">
        <v>54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19"/>
      <c r="AK10" s="19"/>
      <c r="AL10" s="19"/>
      <c r="AM10" s="19"/>
      <c r="AN10" s="19"/>
      <c r="AO10" s="19"/>
      <c r="AP10" s="19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2"/>
      <c r="BU10" s="42"/>
      <c r="BV10" s="42"/>
      <c r="BW10" s="42"/>
      <c r="BX10" s="42"/>
      <c r="BY10" s="42"/>
      <c r="BZ10" s="42"/>
      <c r="CA10" s="4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19"/>
      <c r="AK11" s="19"/>
      <c r="AL11" s="19"/>
      <c r="AM11" s="19"/>
      <c r="AN11" s="19"/>
      <c r="AO11" s="19"/>
      <c r="AP11" s="19"/>
      <c r="AQ11" s="4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19"/>
      <c r="BF11" s="19"/>
      <c r="BG11" s="19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0"/>
      <c r="CA11" s="40"/>
      <c r="CB11" s="8" t="s">
        <v>53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2"/>
      <c r="BN12" s="42"/>
      <c r="BO12" s="42"/>
      <c r="BP12" s="42"/>
      <c r="BQ12" s="42"/>
      <c r="BR12" s="42"/>
      <c r="BS12" s="42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3"/>
      <c r="M13" s="43"/>
      <c r="N13" s="43"/>
      <c r="O13" s="43"/>
      <c r="P13" s="4"/>
      <c r="Q13" s="4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"/>
      <c r="AT13" s="4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2"/>
      <c r="BR13" s="42"/>
      <c r="BS13" s="42"/>
      <c r="BT13" s="44"/>
      <c r="BU13" s="45"/>
      <c r="BV13" s="45"/>
      <c r="BW13" s="45"/>
      <c r="BX13" s="45"/>
      <c r="BY13" s="45"/>
      <c r="BZ13" s="45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1"/>
      <c r="BR14" s="41"/>
      <c r="BS14" s="4"/>
      <c r="BT14" s="46"/>
      <c r="BU14" s="14"/>
      <c r="BV14" s="14"/>
      <c r="BW14" s="14"/>
      <c r="BX14" s="14"/>
      <c r="BY14" s="14"/>
      <c r="BZ14" s="14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"/>
      <c r="BR15" s="4"/>
      <c r="BS15" s="4"/>
      <c r="BT15" s="46"/>
      <c r="BU15" s="14"/>
      <c r="BV15" s="14"/>
      <c r="BW15" s="14"/>
      <c r="BX15" s="14"/>
      <c r="BY15" s="14"/>
      <c r="BZ15" s="14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0"/>
      <c r="K16" s="10"/>
      <c r="L16" s="10"/>
      <c r="M16" s="10"/>
      <c r="N16" s="10"/>
      <c r="O16" s="10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10"/>
      <c r="AR16" s="10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5"/>
      <c r="BR16" s="45"/>
      <c r="BS16" s="45"/>
      <c r="BT16" s="46"/>
      <c r="BU16" s="14"/>
      <c r="BV16" s="14"/>
      <c r="BW16" s="14"/>
      <c r="BX16" s="14"/>
      <c r="BY16" s="14"/>
      <c r="BZ16" s="14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0"/>
      <c r="K17" s="10"/>
      <c r="L17" s="10"/>
      <c r="M17" s="10"/>
      <c r="N17" s="10"/>
      <c r="O17" s="10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10"/>
      <c r="AR17" s="10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14"/>
      <c r="BR17" s="14"/>
      <c r="BS17" s="14"/>
      <c r="BT17" s="46"/>
      <c r="BU17" s="14"/>
      <c r="BV17" s="14"/>
      <c r="BW17" s="14"/>
      <c r="BX17" s="14"/>
      <c r="BY17" s="14"/>
      <c r="BZ17" s="14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0"/>
      <c r="K18" s="10"/>
      <c r="L18" s="10"/>
      <c r="M18" s="10"/>
      <c r="N18" s="10"/>
      <c r="O18" s="10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10"/>
      <c r="AR18" s="10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14"/>
      <c r="BR18" s="14"/>
      <c r="BS18" s="14"/>
      <c r="BT18" s="47"/>
      <c r="BU18" s="48"/>
      <c r="BV18" s="48"/>
      <c r="BW18" s="48"/>
      <c r="BX18" s="48"/>
      <c r="BY18" s="48"/>
      <c r="BZ18" s="48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0"/>
      <c r="K19" s="4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14"/>
      <c r="BR19" s="14"/>
      <c r="BS19" s="14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0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14"/>
      <c r="BR20" s="14"/>
      <c r="BS20" s="14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0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6"/>
      <c r="BO21" s="43"/>
      <c r="BP21" s="43"/>
      <c r="BQ21" s="48"/>
      <c r="BR21" s="48"/>
      <c r="BS21" s="48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"/>
      <c r="AJ22" s="14"/>
      <c r="AK22" s="44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6"/>
      <c r="BO22" s="43"/>
      <c r="BP22" s="43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6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6"/>
      <c r="AL24" s="14"/>
      <c r="AM24" s="14"/>
      <c r="AN24" s="14"/>
      <c r="AO24" s="14"/>
      <c r="AP24" s="14"/>
      <c r="AQ24" s="43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"/>
      <c r="BH24" s="4"/>
      <c r="BI24" s="4"/>
      <c r="BJ24" s="4"/>
      <c r="BK24" s="4"/>
      <c r="BL24" s="4"/>
      <c r="BM24" s="4"/>
      <c r="BN24" s="46"/>
      <c r="BO24" s="4"/>
      <c r="BP24" s="4"/>
      <c r="BQ24" s="4"/>
      <c r="BR24" s="10"/>
      <c r="BS24" s="10"/>
      <c r="BT24" s="10"/>
      <c r="BU24" s="10"/>
      <c r="BV24" s="10"/>
      <c r="BW24" s="10"/>
      <c r="BX24" s="10"/>
      <c r="BY24" s="10"/>
      <c r="BZ24" s="10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"/>
      <c r="AJ25" s="4"/>
      <c r="AK25" s="46"/>
      <c r="AL25" s="14"/>
      <c r="AM25" s="14"/>
      <c r="AN25" s="14"/>
      <c r="AO25" s="14"/>
      <c r="AP25" s="14"/>
      <c r="AQ25" s="43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4"/>
      <c r="BH25" s="45"/>
      <c r="BI25" s="45"/>
      <c r="BJ25" s="45"/>
      <c r="BK25" s="45"/>
      <c r="BL25" s="45"/>
      <c r="BM25" s="45"/>
      <c r="BN25" s="46"/>
      <c r="BO25" s="4"/>
      <c r="BP25" s="4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"/>
      <c r="AJ26" s="4"/>
      <c r="AK26" s="46"/>
      <c r="AL26" s="4"/>
      <c r="AM26" s="4"/>
      <c r="AN26" s="4"/>
      <c r="AO26" s="4"/>
      <c r="AP26" s="4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"/>
      <c r="BF26" s="4"/>
      <c r="BG26" s="46"/>
      <c r="BH26" s="14"/>
      <c r="BI26" s="14"/>
      <c r="BJ26" s="14"/>
      <c r="BK26" s="14"/>
      <c r="BL26" s="14"/>
      <c r="BM26" s="14"/>
      <c r="BN26" s="46"/>
      <c r="BO26" s="4"/>
      <c r="BP26" s="4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14"/>
      <c r="AE27" s="14"/>
      <c r="AF27" s="14"/>
      <c r="AG27" s="14"/>
      <c r="AH27" s="14"/>
      <c r="AI27" s="14"/>
      <c r="AJ27" s="14"/>
      <c r="AK27" s="46"/>
      <c r="AL27" s="4"/>
      <c r="AM27" s="4"/>
      <c r="AN27" s="4"/>
      <c r="AO27" s="4"/>
      <c r="AP27" s="4"/>
      <c r="AQ27" s="43"/>
      <c r="AR27" s="43"/>
      <c r="AS27" s="14"/>
      <c r="AT27" s="14"/>
      <c r="AU27" s="14"/>
      <c r="AV27" s="14"/>
      <c r="AW27" s="14"/>
      <c r="AX27" s="14"/>
      <c r="AY27" s="14"/>
      <c r="AZ27" s="4"/>
      <c r="BA27" s="4"/>
      <c r="BB27" s="4"/>
      <c r="BC27" s="4"/>
      <c r="BD27" s="4"/>
      <c r="BE27" s="4"/>
      <c r="BF27" s="4"/>
      <c r="BG27" s="46"/>
      <c r="BH27" s="14"/>
      <c r="BI27" s="14"/>
      <c r="BJ27" s="14"/>
      <c r="BK27" s="14"/>
      <c r="BL27" s="14"/>
      <c r="BM27" s="14"/>
      <c r="BN27" s="47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4"/>
      <c r="AE28" s="45"/>
      <c r="AF28" s="45"/>
      <c r="AG28" s="45"/>
      <c r="AH28" s="45"/>
      <c r="AI28" s="45"/>
      <c r="AJ28" s="45"/>
      <c r="AK28" s="46"/>
      <c r="AL28" s="14"/>
      <c r="AM28" s="14"/>
      <c r="AN28" s="14"/>
      <c r="AO28" s="14"/>
      <c r="AP28" s="14"/>
      <c r="AQ28" s="43"/>
      <c r="AR28" s="43"/>
      <c r="AS28" s="14"/>
      <c r="AT28" s="14"/>
      <c r="AU28" s="14"/>
      <c r="AV28" s="14"/>
      <c r="AW28" s="14"/>
      <c r="AX28" s="14"/>
      <c r="AY28" s="14"/>
      <c r="AZ28" s="44"/>
      <c r="BA28" s="45"/>
      <c r="BB28" s="45"/>
      <c r="BC28" s="45"/>
      <c r="BD28" s="45"/>
      <c r="BE28" s="45"/>
      <c r="BF28" s="45"/>
      <c r="BG28" s="46"/>
      <c r="BH28" s="14"/>
      <c r="BI28" s="14"/>
      <c r="BJ28" s="14"/>
      <c r="BK28" s="14"/>
      <c r="BL28" s="14"/>
      <c r="BM28" s="14"/>
      <c r="BN28" s="4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6"/>
      <c r="AE29" s="14"/>
      <c r="AF29" s="14"/>
      <c r="AG29" s="14"/>
      <c r="AH29" s="14"/>
      <c r="AI29" s="14"/>
      <c r="AJ29" s="14"/>
      <c r="AK29" s="46"/>
      <c r="AL29" s="14"/>
      <c r="AM29" s="14"/>
      <c r="AN29" s="14"/>
      <c r="AO29" s="14"/>
      <c r="AP29" s="14"/>
      <c r="AQ29" s="43"/>
      <c r="AR29" s="43"/>
      <c r="AS29" s="43"/>
      <c r="AT29" s="43"/>
      <c r="AU29" s="43"/>
      <c r="AV29" s="43"/>
      <c r="AW29" s="4"/>
      <c r="AX29" s="4"/>
      <c r="AY29" s="4"/>
      <c r="AZ29" s="46"/>
      <c r="BA29" s="14"/>
      <c r="BB29" s="14"/>
      <c r="BC29" s="14"/>
      <c r="BD29" s="14"/>
      <c r="BE29" s="14"/>
      <c r="BF29" s="14"/>
      <c r="BG29" s="46"/>
      <c r="BH29" s="14"/>
      <c r="BI29" s="14"/>
      <c r="BJ29" s="14"/>
      <c r="BK29" s="14"/>
      <c r="BL29" s="14"/>
      <c r="BM29" s="14"/>
      <c r="BN29" s="4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14"/>
      <c r="X30" s="14"/>
      <c r="Y30" s="14"/>
      <c r="Z30" s="14"/>
      <c r="AA30" s="14"/>
      <c r="AB30" s="14"/>
      <c r="AC30" s="14"/>
      <c r="AD30" s="46"/>
      <c r="AE30" s="4"/>
      <c r="AF30" s="4"/>
      <c r="AG30" s="4"/>
      <c r="AH30" s="4"/>
      <c r="AI30" s="4"/>
      <c r="AJ30" s="4"/>
      <c r="AK30" s="46"/>
      <c r="AL30" s="14"/>
      <c r="AM30" s="14"/>
      <c r="AN30" s="14"/>
      <c r="AO30" s="14"/>
      <c r="AP30" s="14"/>
      <c r="AQ30" s="43"/>
      <c r="AR30" s="14"/>
      <c r="AS30" s="4"/>
      <c r="AT30" s="4"/>
      <c r="AU30" s="4"/>
      <c r="AV30" s="4"/>
      <c r="AW30" s="4"/>
      <c r="AX30" s="4"/>
      <c r="AY30" s="4"/>
      <c r="AZ30" s="46"/>
      <c r="BA30" s="14"/>
      <c r="BB30" s="14"/>
      <c r="BC30" s="14"/>
      <c r="BD30" s="14"/>
      <c r="BE30" s="14"/>
      <c r="BF30" s="14"/>
      <c r="BG30" s="47"/>
      <c r="BH30" s="48"/>
      <c r="BI30" s="48"/>
      <c r="BJ30" s="48"/>
      <c r="BK30" s="48"/>
      <c r="BL30" s="48"/>
      <c r="BM30" s="48"/>
      <c r="BN30" s="4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"/>
      <c r="X31" s="4"/>
      <c r="Y31" s="4"/>
      <c r="Z31" s="4"/>
      <c r="AA31" s="4"/>
      <c r="AB31" s="4"/>
      <c r="AC31" s="4"/>
      <c r="AD31" s="46"/>
      <c r="AE31" s="14"/>
      <c r="AF31" s="14"/>
      <c r="AG31" s="14"/>
      <c r="AH31" s="14"/>
      <c r="AI31" s="14"/>
      <c r="AJ31" s="14"/>
      <c r="AK31" s="46"/>
      <c r="AL31" s="14"/>
      <c r="AM31" s="14"/>
      <c r="AN31" s="14"/>
      <c r="AO31" s="14"/>
      <c r="AP31" s="14"/>
      <c r="AQ31" s="4"/>
      <c r="AR31" s="14"/>
      <c r="AS31" s="44"/>
      <c r="AT31" s="45"/>
      <c r="AU31" s="45"/>
      <c r="AV31" s="45"/>
      <c r="AW31" s="45"/>
      <c r="AX31" s="45"/>
      <c r="AY31" s="45"/>
      <c r="AZ31" s="46"/>
      <c r="BA31" s="14"/>
      <c r="BB31" s="14"/>
      <c r="BC31" s="14"/>
      <c r="BD31" s="14"/>
      <c r="BE31" s="14"/>
      <c r="BF31" s="14"/>
      <c r="BG31" s="4"/>
      <c r="BH31" s="4"/>
      <c r="BI31" s="4"/>
      <c r="BJ31" s="4"/>
      <c r="BK31" s="4"/>
      <c r="BL31" s="4"/>
      <c r="BM31" s="4"/>
      <c r="BN31" s="4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4"/>
      <c r="X32" s="45"/>
      <c r="Y32" s="45"/>
      <c r="Z32" s="45"/>
      <c r="AA32" s="45"/>
      <c r="AB32" s="45"/>
      <c r="AC32" s="45"/>
      <c r="AD32" s="46"/>
      <c r="AE32" s="14"/>
      <c r="AF32" s="14"/>
      <c r="AG32" s="14"/>
      <c r="AH32" s="14"/>
      <c r="AI32" s="14"/>
      <c r="AJ32" s="14"/>
      <c r="AK32" s="46"/>
      <c r="AL32" s="14"/>
      <c r="AM32" s="14"/>
      <c r="AN32" s="14"/>
      <c r="AO32" s="14"/>
      <c r="AP32" s="14"/>
      <c r="AQ32" s="14"/>
      <c r="AR32" s="4"/>
      <c r="AS32" s="46"/>
      <c r="AT32" s="14"/>
      <c r="AU32" s="14"/>
      <c r="AV32" s="14"/>
      <c r="AW32" s="14"/>
      <c r="AX32" s="14"/>
      <c r="AY32" s="14"/>
      <c r="AZ32" s="46"/>
      <c r="BA32" s="14"/>
      <c r="BB32" s="14"/>
      <c r="BC32" s="14"/>
      <c r="BD32" s="14"/>
      <c r="BE32" s="14"/>
      <c r="BF32" s="14"/>
      <c r="BG32" s="4"/>
      <c r="BH32" s="4"/>
      <c r="BI32" s="4"/>
      <c r="BJ32" s="4"/>
      <c r="BK32" s="4"/>
      <c r="BL32" s="4"/>
      <c r="BM32" s="4"/>
      <c r="BN32" s="4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14"/>
      <c r="Q33" s="14"/>
      <c r="R33" s="14"/>
      <c r="S33" s="14"/>
      <c r="T33" s="14"/>
      <c r="U33" s="14"/>
      <c r="V33" s="14"/>
      <c r="W33" s="46"/>
      <c r="X33" s="4"/>
      <c r="Y33" s="4"/>
      <c r="Z33" s="4"/>
      <c r="AA33" s="4"/>
      <c r="AB33" s="4"/>
      <c r="AC33" s="14"/>
      <c r="AD33" s="46"/>
      <c r="AE33" s="14"/>
      <c r="AF33" s="14"/>
      <c r="AG33" s="14"/>
      <c r="AH33" s="14"/>
      <c r="AI33" s="14"/>
      <c r="AJ33" s="14"/>
      <c r="AK33" s="47"/>
      <c r="AL33" s="48"/>
      <c r="AM33" s="48"/>
      <c r="AN33" s="48"/>
      <c r="AO33" s="48"/>
      <c r="AP33" s="48"/>
      <c r="AQ33" s="48"/>
      <c r="AR33" s="49"/>
      <c r="AS33" s="46"/>
      <c r="AT33" s="14"/>
      <c r="AU33" s="14"/>
      <c r="AV33" s="14"/>
      <c r="AW33" s="14"/>
      <c r="AX33" s="14"/>
      <c r="AY33" s="14"/>
      <c r="AZ33" s="47"/>
      <c r="BA33" s="48"/>
      <c r="BB33" s="48"/>
      <c r="BC33" s="48"/>
      <c r="BD33" s="48"/>
      <c r="BE33" s="48"/>
      <c r="BF33" s="48"/>
      <c r="BG33" s="4"/>
      <c r="BH33" s="10"/>
      <c r="BI33" s="10"/>
      <c r="BJ33" s="10"/>
      <c r="BK33" s="10"/>
      <c r="BL33" s="10"/>
      <c r="BM33" s="10"/>
      <c r="BN33" s="10"/>
      <c r="BO33" s="4"/>
      <c r="BP33" s="4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14"/>
      <c r="Q34" s="14"/>
      <c r="R34" s="14"/>
      <c r="S34" s="14"/>
      <c r="T34" s="14"/>
      <c r="U34" s="14"/>
      <c r="V34" s="14"/>
      <c r="W34" s="46"/>
      <c r="X34" s="14"/>
      <c r="Y34" s="14"/>
      <c r="Z34" s="14"/>
      <c r="AA34" s="14"/>
      <c r="AB34" s="14"/>
      <c r="AC34" s="14"/>
      <c r="AD34" s="46"/>
      <c r="AE34" s="14"/>
      <c r="AF34" s="14"/>
      <c r="AG34" s="14"/>
      <c r="AH34" s="14"/>
      <c r="AI34" s="14"/>
      <c r="AJ34" s="14"/>
      <c r="AK34" s="4"/>
      <c r="AL34" s="4"/>
      <c r="AM34" s="4"/>
      <c r="AN34" s="4"/>
      <c r="AO34" s="4"/>
      <c r="AP34" s="4"/>
      <c r="AQ34" s="4"/>
      <c r="AR34" s="45"/>
      <c r="AS34" s="46"/>
      <c r="AT34" s="14"/>
      <c r="AU34" s="14"/>
      <c r="AV34" s="14"/>
      <c r="AW34" s="14"/>
      <c r="AX34" s="14"/>
      <c r="AY34" s="14"/>
      <c r="AZ34" s="4"/>
      <c r="BA34" s="4"/>
      <c r="BB34" s="4"/>
      <c r="BC34" s="4"/>
      <c r="BD34" s="4"/>
      <c r="BE34" s="4"/>
      <c r="BF34" s="4"/>
      <c r="BG34" s="4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6"/>
      <c r="X35" s="14"/>
      <c r="Y35" s="14"/>
      <c r="Z35" s="14"/>
      <c r="AA35" s="14"/>
      <c r="AB35" s="14"/>
      <c r="AC35" s="14"/>
      <c r="AD35" s="47"/>
      <c r="AE35" s="48"/>
      <c r="AF35" s="48"/>
      <c r="AG35" s="48"/>
      <c r="AH35" s="48"/>
      <c r="AI35" s="48"/>
      <c r="AJ35" s="48"/>
      <c r="AK35" s="4"/>
      <c r="AL35" s="4"/>
      <c r="AM35" s="4"/>
      <c r="AN35" s="10"/>
      <c r="AO35" s="10"/>
      <c r="AP35" s="10"/>
      <c r="AQ35" s="10"/>
      <c r="AR35" s="14"/>
      <c r="AS35" s="46"/>
      <c r="AT35" s="14"/>
      <c r="AU35" s="14"/>
      <c r="AV35" s="14"/>
      <c r="AW35" s="14"/>
      <c r="AX35" s="14"/>
      <c r="AY35" s="14"/>
      <c r="AZ35" s="4"/>
      <c r="BA35" s="4"/>
      <c r="BB35" s="4"/>
      <c r="BC35" s="4"/>
      <c r="BD35" s="4"/>
      <c r="BE35" s="4"/>
      <c r="BF35" s="4"/>
      <c r="BG35" s="4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4"/>
    </row>
    <row r="36" spans="1:79" ht="15" customHeight="1" x14ac:dyDescent="0.2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6"/>
      <c r="X36" s="14"/>
      <c r="Y36" s="14"/>
      <c r="Z36" s="14"/>
      <c r="AA36" s="14"/>
      <c r="AB36" s="14"/>
      <c r="AC36" s="14"/>
      <c r="AD36" s="4"/>
      <c r="AE36" s="4"/>
      <c r="AF36" s="4"/>
      <c r="AG36" s="4"/>
      <c r="AH36" s="4"/>
      <c r="AI36" s="4"/>
      <c r="AJ36" s="4"/>
      <c r="AK36" s="4"/>
      <c r="AL36" s="4"/>
      <c r="AM36" s="10"/>
      <c r="AN36" s="10"/>
      <c r="AO36" s="4"/>
      <c r="AP36" s="10"/>
      <c r="AQ36" s="4"/>
      <c r="AR36" s="14"/>
      <c r="AS36" s="47"/>
      <c r="AT36" s="48"/>
      <c r="AU36" s="48"/>
      <c r="AV36" s="48"/>
      <c r="AW36" s="48"/>
      <c r="AX36" s="48"/>
      <c r="AY36" s="48"/>
      <c r="AZ36" s="4"/>
      <c r="BA36" s="4"/>
      <c r="BB36" s="4"/>
      <c r="BC36" s="4"/>
      <c r="BD36" s="4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4"/>
    </row>
    <row r="37" spans="1:79" ht="15" customHeight="1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4"/>
      <c r="Q37" s="45"/>
      <c r="R37" s="45"/>
      <c r="S37" s="45"/>
      <c r="T37" s="45"/>
      <c r="U37" s="45"/>
      <c r="V37" s="45"/>
      <c r="W37" s="46"/>
      <c r="X37" s="14"/>
      <c r="Y37" s="14"/>
      <c r="Z37" s="14"/>
      <c r="AA37" s="14"/>
      <c r="AB37" s="1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10"/>
      <c r="AN37" s="10"/>
      <c r="AO37" s="10"/>
      <c r="AP37" s="10"/>
      <c r="AQ37" s="10"/>
      <c r="AR37" s="10"/>
      <c r="AS37" s="10"/>
      <c r="AT37" s="10"/>
      <c r="AU37" s="4"/>
      <c r="AV37" s="4"/>
      <c r="AW37" s="4"/>
      <c r="AX37" s="4"/>
      <c r="AY37" s="4"/>
      <c r="AZ37" s="4"/>
      <c r="BA37" s="4"/>
      <c r="BB37" s="4"/>
      <c r="BC37" s="4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6"/>
      <c r="Q38" s="14"/>
      <c r="R38" s="14"/>
      <c r="S38" s="14"/>
      <c r="T38" s="14"/>
      <c r="U38" s="14"/>
      <c r="V38" s="14"/>
      <c r="W38" s="46"/>
      <c r="X38" s="14"/>
      <c r="Y38" s="14"/>
      <c r="Z38" s="14"/>
      <c r="AA38" s="14"/>
      <c r="AB38" s="14"/>
      <c r="AC38" s="14"/>
      <c r="AD38" s="4"/>
      <c r="AE38" s="4"/>
      <c r="AF38" s="4"/>
      <c r="AG38" s="4"/>
      <c r="AH38" s="4"/>
      <c r="AI38" s="4"/>
      <c r="AJ38" s="4"/>
      <c r="AK38" s="4"/>
      <c r="AL38" s="4" t="s">
        <v>72</v>
      </c>
      <c r="AM38" s="10"/>
      <c r="AN38" s="10"/>
      <c r="AO38" s="10"/>
      <c r="AP38" s="10"/>
      <c r="AQ38" s="4"/>
      <c r="AR38" s="4"/>
      <c r="AS38" s="4"/>
      <c r="AT38" s="4"/>
      <c r="AU38" s="4"/>
      <c r="AV38" s="4"/>
      <c r="AW38" s="4"/>
      <c r="AX38" s="10"/>
      <c r="AY38" s="10"/>
      <c r="AZ38" s="10"/>
      <c r="BA38" s="10"/>
      <c r="BB38" s="4"/>
      <c r="BC38" s="4"/>
      <c r="BD38" s="4"/>
      <c r="BE38" s="10"/>
      <c r="BF38" s="10"/>
      <c r="BG38" s="10"/>
      <c r="BH38" s="10"/>
      <c r="BI38" s="4"/>
      <c r="BJ38" s="4"/>
      <c r="BK38" s="4"/>
      <c r="BL38" s="10"/>
      <c r="BM38" s="10"/>
      <c r="BN38" s="10"/>
      <c r="BO38" s="10"/>
      <c r="BP38" s="4"/>
      <c r="BQ38" s="4"/>
      <c r="BR38" s="4"/>
      <c r="BS38" s="10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6"/>
      <c r="Q39" s="14"/>
      <c r="R39" s="14"/>
      <c r="S39" s="14"/>
      <c r="T39" s="14"/>
      <c r="U39" s="14"/>
      <c r="V39" s="14"/>
      <c r="W39" s="46"/>
      <c r="X39" s="4"/>
      <c r="Y39" s="10"/>
      <c r="Z39" s="10"/>
      <c r="AA39" s="10"/>
      <c r="AB39" s="14"/>
      <c r="AC39" s="14"/>
      <c r="AD39" s="44"/>
      <c r="AE39" s="45"/>
      <c r="AF39" s="45"/>
      <c r="AG39" s="45"/>
      <c r="AH39" s="45"/>
      <c r="AI39" s="45"/>
      <c r="AJ39" s="45"/>
      <c r="AK39" s="4"/>
      <c r="AL39" s="4"/>
      <c r="AM39" s="10"/>
      <c r="AN39" s="10"/>
      <c r="AO39" s="10"/>
      <c r="AP39" s="10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50" t="str">
        <f>IF('Event Tree Input'!D9="Seismic Hazard","Seismic Hazard","")</f>
        <v>Seismic Hazard</v>
      </c>
      <c r="C40" s="50"/>
      <c r="D40" s="50"/>
      <c r="E40" s="50"/>
      <c r="F40" s="50"/>
      <c r="G40" s="50"/>
      <c r="H40" s="50"/>
      <c r="I40" s="50" t="str">
        <f>IF('Event Tree Input'!D9="Hydrologic Hazard","Hydrologic Hazard",IF('Event Tree Input'!D9="Seismic Hazard","Coincident Stage",IF('Event Tree Input'!D9="Other",IF(ISBLANK('Event Tree Input'!G9),"",'Event Tree Input'!G9))))</f>
        <v>Coincident Stage</v>
      </c>
      <c r="J40" s="50"/>
      <c r="K40" s="50"/>
      <c r="L40" s="50"/>
      <c r="M40" s="50"/>
      <c r="N40" s="50"/>
      <c r="O40" s="50"/>
      <c r="P40" s="46"/>
      <c r="Q40" s="14"/>
      <c r="R40" s="14"/>
      <c r="S40" s="14"/>
      <c r="T40" s="14"/>
      <c r="U40" s="14"/>
      <c r="V40" s="14"/>
      <c r="W40" s="46"/>
      <c r="X40" s="4"/>
      <c r="Y40" s="10"/>
      <c r="Z40" s="10"/>
      <c r="AA40" s="10"/>
      <c r="AB40" s="4"/>
      <c r="AC40" s="4"/>
      <c r="AD40" s="46"/>
      <c r="AE40" s="14"/>
      <c r="AF40" s="14"/>
      <c r="AG40" s="14"/>
      <c r="AH40" s="14"/>
      <c r="AI40" s="14"/>
      <c r="AJ40" s="14"/>
      <c r="AK40" s="4"/>
      <c r="AL40" s="10"/>
      <c r="AM40" s="10"/>
      <c r="AN40" s="10"/>
      <c r="AO40" s="10"/>
      <c r="AP40" s="10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46"/>
      <c r="Q41" s="14"/>
      <c r="R41" s="14"/>
      <c r="S41" s="14"/>
      <c r="T41" s="14"/>
      <c r="U41" s="14"/>
      <c r="V41" s="14"/>
      <c r="W41" s="47"/>
      <c r="X41" s="48"/>
      <c r="Y41" s="48"/>
      <c r="Z41" s="48"/>
      <c r="AA41" s="48"/>
      <c r="AB41" s="48"/>
      <c r="AC41" s="4"/>
      <c r="AD41" s="46"/>
      <c r="AE41" s="14"/>
      <c r="AF41" s="14"/>
      <c r="AG41" s="14"/>
      <c r="AH41" s="14"/>
      <c r="AI41" s="14"/>
      <c r="AJ41" s="14"/>
      <c r="AK41" s="4"/>
      <c r="AL41" s="10"/>
      <c r="AM41" s="10"/>
      <c r="AN41" s="10"/>
      <c r="AO41" s="10"/>
      <c r="AP41" s="10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6"/>
      <c r="Q42" s="14"/>
      <c r="R42" s="14"/>
      <c r="S42" s="14"/>
      <c r="T42" s="14"/>
      <c r="U42" s="14"/>
      <c r="V42" s="14"/>
      <c r="W42" s="4"/>
      <c r="X42" s="4"/>
      <c r="Y42" s="4"/>
      <c r="Z42" s="4"/>
      <c r="AA42" s="10"/>
      <c r="AB42" s="10"/>
      <c r="AC42" s="45"/>
      <c r="AD42" s="46"/>
      <c r="AE42" s="14"/>
      <c r="AF42" s="14"/>
      <c r="AG42" s="14"/>
      <c r="AH42" s="14"/>
      <c r="AI42" s="14"/>
      <c r="AJ42" s="14"/>
      <c r="AK42" s="4"/>
      <c r="AL42" s="10"/>
      <c r="AM42" s="10"/>
      <c r="AN42" s="10"/>
      <c r="AO42" s="10"/>
      <c r="AP42" s="10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9"/>
      <c r="J43" s="49"/>
      <c r="K43" s="49"/>
      <c r="L43" s="49"/>
      <c r="M43" s="49"/>
      <c r="N43" s="49"/>
      <c r="O43" s="49"/>
      <c r="P43" s="46"/>
      <c r="Q43" s="4"/>
      <c r="R43" s="4"/>
      <c r="S43" s="4"/>
      <c r="T43" s="4"/>
      <c r="U43" s="4"/>
      <c r="V43" s="4"/>
      <c r="W43" s="4"/>
      <c r="X43" s="4"/>
      <c r="Y43" s="10"/>
      <c r="Z43" s="10"/>
      <c r="AA43" s="10"/>
      <c r="AB43" s="10"/>
      <c r="AC43" s="14"/>
      <c r="AD43" s="46"/>
      <c r="AE43" s="4"/>
      <c r="AF43" s="4"/>
      <c r="AG43" s="4"/>
      <c r="AH43" s="4"/>
      <c r="AI43" s="4"/>
      <c r="AJ43" s="4"/>
      <c r="AK43" s="4"/>
      <c r="AL43" s="10"/>
      <c r="AM43" s="10"/>
      <c r="AN43" s="10"/>
      <c r="AO43" s="10"/>
      <c r="AP43" s="10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6"/>
      <c r="Q44" s="4"/>
      <c r="R44" s="4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4"/>
      <c r="AD44" s="47"/>
      <c r="AE44" s="48"/>
      <c r="AF44" s="48"/>
      <c r="AG44" s="48"/>
      <c r="AH44" s="48"/>
      <c r="AI44" s="48"/>
      <c r="AJ44" s="48"/>
      <c r="AK44" s="4"/>
      <c r="AL44" s="10"/>
      <c r="AM44" s="10"/>
      <c r="AN44" s="10"/>
      <c r="AO44" s="10"/>
      <c r="AP44" s="10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6"/>
      <c r="Q45" s="4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4"/>
      <c r="AD45" s="4"/>
      <c r="AE45" s="4"/>
      <c r="AF45" s="4"/>
      <c r="AG45" s="4"/>
      <c r="AH45" s="4"/>
      <c r="AI45" s="4"/>
      <c r="AJ45" s="4"/>
      <c r="AK45" s="4"/>
      <c r="AL45" s="10"/>
      <c r="AM45" s="10"/>
      <c r="AN45" s="10"/>
      <c r="AO45" s="10"/>
      <c r="AP45" s="10"/>
      <c r="AQ45" s="10"/>
      <c r="AR45" s="10"/>
      <c r="AS45" s="10"/>
      <c r="AT45" s="10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6"/>
      <c r="Q46" s="4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4"/>
      <c r="AD46" s="4"/>
      <c r="AE46" s="4"/>
      <c r="AF46" s="4"/>
      <c r="AG46" s="4"/>
      <c r="AH46" s="4"/>
      <c r="AI46" s="4"/>
      <c r="AJ46" s="4"/>
      <c r="AK46" s="4"/>
      <c r="AL46" s="10" t="s">
        <v>72</v>
      </c>
      <c r="AM46" s="10"/>
      <c r="AN46" s="10"/>
      <c r="AO46" s="10"/>
      <c r="AP46" s="10"/>
      <c r="AQ46" s="4"/>
      <c r="AR46" s="4"/>
      <c r="AS46" s="4"/>
      <c r="AT46" s="4"/>
      <c r="AU46" s="4"/>
      <c r="AV46" s="4"/>
      <c r="AW46" s="4"/>
      <c r="AX46" s="10"/>
      <c r="AY46" s="10"/>
      <c r="AZ46" s="10"/>
      <c r="BA46" s="10"/>
      <c r="BB46" s="4"/>
      <c r="BC46" s="4"/>
      <c r="BD46" s="4"/>
      <c r="BE46" s="10"/>
      <c r="BF46" s="10"/>
      <c r="BG46" s="10"/>
      <c r="BH46" s="10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6"/>
      <c r="Q47" s="4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4"/>
      <c r="AD47" s="44"/>
      <c r="AE47" s="45"/>
      <c r="AF47" s="45"/>
      <c r="AG47" s="45"/>
      <c r="AH47" s="45"/>
      <c r="AI47" s="45"/>
      <c r="AJ47" s="45"/>
      <c r="AK47" s="4"/>
      <c r="AL47" s="10"/>
      <c r="AM47" s="10"/>
      <c r="AN47" s="10"/>
      <c r="AO47" s="10"/>
      <c r="AP47" s="10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6"/>
      <c r="Q48" s="4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4"/>
      <c r="AD48" s="46"/>
      <c r="AE48" s="14"/>
      <c r="AF48" s="14"/>
      <c r="AG48" s="14"/>
      <c r="AH48" s="14"/>
      <c r="AI48" s="14"/>
      <c r="AJ48" s="14"/>
      <c r="AK48" s="4"/>
      <c r="AL48" s="10"/>
      <c r="AM48" s="10"/>
      <c r="AN48" s="10"/>
      <c r="AO48" s="10"/>
      <c r="AP48" s="10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7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"/>
      <c r="AD49" s="46"/>
      <c r="AE49" s="14"/>
      <c r="AF49" s="14"/>
      <c r="AG49" s="14"/>
      <c r="AH49" s="14"/>
      <c r="AI49" s="14"/>
      <c r="AJ49" s="14"/>
      <c r="AK49" s="4"/>
      <c r="AL49" s="10"/>
      <c r="AM49" s="10"/>
      <c r="AN49" s="10"/>
      <c r="AO49" s="10"/>
      <c r="AP49" s="10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51"/>
      <c r="W50" s="4"/>
      <c r="X50" s="10"/>
      <c r="Y50" s="10"/>
      <c r="Z50" s="10"/>
      <c r="AA50" s="10"/>
      <c r="AB50" s="10"/>
      <c r="AC50" s="45"/>
      <c r="AD50" s="46"/>
      <c r="AE50" s="14"/>
      <c r="AF50" s="14"/>
      <c r="AG50" s="14"/>
      <c r="AH50" s="14"/>
      <c r="AI50" s="14"/>
      <c r="AJ50" s="14"/>
      <c r="AK50" s="4"/>
      <c r="AL50" s="10"/>
      <c r="AM50" s="10"/>
      <c r="AN50" s="10"/>
      <c r="AO50" s="10"/>
      <c r="AP50" s="10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0"/>
      <c r="AA51" s="10"/>
      <c r="AB51" s="10"/>
      <c r="AC51" s="14"/>
      <c r="AD51" s="46"/>
      <c r="AE51" s="14"/>
      <c r="AF51" s="14"/>
      <c r="AG51" s="14"/>
      <c r="AH51" s="14"/>
      <c r="AI51" s="14"/>
      <c r="AJ51" s="14"/>
      <c r="AK51" s="4"/>
      <c r="AL51" s="10"/>
      <c r="AM51" s="10"/>
      <c r="AN51" s="10"/>
      <c r="AO51" s="10"/>
      <c r="AP51" s="10"/>
      <c r="AQ51" s="10"/>
      <c r="AR51" s="10"/>
      <c r="AS51" s="10"/>
      <c r="AT51" s="10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0"/>
      <c r="AA52" s="10"/>
      <c r="AB52" s="10"/>
      <c r="AC52" s="14"/>
      <c r="AD52" s="47"/>
      <c r="AE52" s="48"/>
      <c r="AF52" s="48"/>
      <c r="AG52" s="48"/>
      <c r="AH52" s="48"/>
      <c r="AI52" s="48"/>
      <c r="AJ52" s="48"/>
      <c r="AK52" s="4"/>
      <c r="AL52" s="10"/>
      <c r="AM52" s="10"/>
      <c r="AN52" s="10"/>
      <c r="AO52" s="10"/>
      <c r="AP52" s="10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ht="15" customHeight="1" x14ac:dyDescent="0.2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4"/>
      <c r="AD53" s="4"/>
      <c r="AE53" s="4"/>
      <c r="AF53" s="4"/>
      <c r="AG53" s="4"/>
      <c r="AH53" s="4"/>
      <c r="AI53" s="4"/>
      <c r="AJ53" s="4"/>
      <c r="AK53" s="4"/>
      <c r="AL53" s="10"/>
      <c r="AM53" s="10"/>
      <c r="AN53" s="10"/>
      <c r="AO53" s="10"/>
      <c r="AP53" s="10"/>
      <c r="AQ53" s="4"/>
      <c r="AR53" s="4"/>
      <c r="AS53" s="4"/>
      <c r="AT53" s="4"/>
      <c r="AU53" s="4"/>
      <c r="AV53" s="4"/>
      <c r="AW53" s="4"/>
      <c r="AX53" s="10"/>
      <c r="AY53" s="10"/>
      <c r="AZ53" s="10"/>
      <c r="BA53" s="10"/>
      <c r="BB53" s="4"/>
      <c r="BC53" s="4"/>
      <c r="BD53" s="4"/>
      <c r="BE53" s="10"/>
      <c r="BF53" s="10"/>
      <c r="BG53" s="10"/>
      <c r="BH53" s="10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</row>
    <row r="54" spans="1:79" ht="15" customHeight="1" x14ac:dyDescent="0.2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4"/>
      <c r="AR54" s="4"/>
      <c r="AS54" s="4"/>
      <c r="AT54" s="4"/>
      <c r="AU54" s="4"/>
      <c r="AV54" s="4"/>
      <c r="AW54" s="4"/>
      <c r="AX54" s="10"/>
      <c r="AY54" s="10"/>
      <c r="AZ54" s="10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</row>
    <row r="55" spans="1:79" ht="15" customHeight="1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4"/>
      <c r="AR55" s="4"/>
      <c r="AS55" s="4"/>
      <c r="AT55" s="4"/>
      <c r="AU55" s="4"/>
      <c r="AV55" s="4"/>
      <c r="AW55" s="4"/>
      <c r="AX55" s="10"/>
      <c r="AY55" s="10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</row>
    <row r="56" spans="1:79" ht="15" customHeight="1" x14ac:dyDescent="0.2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4"/>
      <c r="AR56" s="4"/>
      <c r="AS56" s="4"/>
      <c r="AT56" s="4"/>
      <c r="AU56" s="4"/>
      <c r="AV56" s="4"/>
      <c r="AW56" s="4"/>
      <c r="AX56" s="10"/>
      <c r="AY56" s="10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</row>
    <row r="57" spans="1:79" ht="15" customHeight="1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4"/>
      <c r="AR57" s="4"/>
      <c r="AS57" s="4"/>
      <c r="AT57" s="4"/>
      <c r="AU57" s="4"/>
      <c r="AV57" s="4"/>
      <c r="AW57" s="4"/>
      <c r="AX57" s="10"/>
      <c r="AY57" s="10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</row>
    <row r="58" spans="1:79" ht="15" customHeight="1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4"/>
      <c r="AR58" s="4"/>
      <c r="AS58" s="4"/>
      <c r="AT58" s="4"/>
      <c r="AU58" s="4"/>
      <c r="AV58" s="4"/>
      <c r="AW58" s="4"/>
      <c r="AX58" s="10"/>
      <c r="AY58" s="10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</row>
    <row r="59" spans="1:79" ht="15" customHeight="1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</row>
    <row r="60" spans="1:79" ht="15" customHeight="1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</row>
    <row r="61" spans="1:79" s="8" customFormat="1" ht="15" customHeight="1" x14ac:dyDescent="0.2">
      <c r="A61" s="39" t="s">
        <v>19</v>
      </c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</row>
    <row r="63" spans="1:79" ht="15" customHeight="1" x14ac:dyDescent="0.2">
      <c r="A63" s="37" t="s">
        <v>55</v>
      </c>
      <c r="B63" s="37"/>
      <c r="C63" s="37"/>
      <c r="D63" s="37"/>
      <c r="E63" s="37"/>
      <c r="F63" s="37" t="str">
        <f>IF('Event Tree Input'!D9="Seismic Hazard","Yes","No")</f>
        <v>Yes</v>
      </c>
      <c r="G63" s="37"/>
      <c r="I63" s="28" t="s">
        <v>17</v>
      </c>
      <c r="J63" s="28"/>
      <c r="K63" s="37" t="s">
        <v>23</v>
      </c>
      <c r="L63" s="37"/>
      <c r="M63" s="37"/>
      <c r="N63" s="37" t="s">
        <v>24</v>
      </c>
      <c r="O63" s="37"/>
      <c r="P63" s="37"/>
    </row>
    <row r="64" spans="1:79" ht="15" customHeight="1" x14ac:dyDescent="0.2">
      <c r="I64" s="28"/>
      <c r="J64" s="28"/>
      <c r="K64" s="37" t="s">
        <v>22</v>
      </c>
      <c r="L64" s="37"/>
      <c r="M64" s="37"/>
      <c r="N64" s="37" t="s">
        <v>22</v>
      </c>
      <c r="O64" s="37"/>
      <c r="P64" s="37"/>
      <c r="S64" s="37" t="s">
        <v>17</v>
      </c>
      <c r="T64" s="37"/>
      <c r="U64" s="37" t="s">
        <v>27</v>
      </c>
      <c r="V64" s="37"/>
      <c r="W64" s="37"/>
      <c r="X64" s="37" t="s">
        <v>29</v>
      </c>
      <c r="Y64" s="37"/>
      <c r="Z64" s="37"/>
    </row>
    <row r="65" spans="2:26" ht="15" customHeight="1" x14ac:dyDescent="0.2">
      <c r="I65" s="37">
        <v>1</v>
      </c>
      <c r="J65" s="37"/>
      <c r="K65" s="37" t="str">
        <f>'Event Tree Input'!B158</f>
        <v>Circle</v>
      </c>
      <c r="L65" s="37"/>
      <c r="M65" s="37"/>
      <c r="N65" s="37" t="str">
        <f>'Event Tree Input'!C158</f>
        <v>Triangle</v>
      </c>
      <c r="O65" s="37"/>
      <c r="P65" s="37"/>
      <c r="S65" s="37">
        <v>1</v>
      </c>
      <c r="T65" s="37"/>
      <c r="U65" s="37" t="str">
        <f>IF('Event Tree Input'!$D$14="No","No",IF(AND('Event Tree Input'!$D$14="Yes",'Event Tree Input'!$D$11&gt;=S65),"Yes","No"))</f>
        <v>No</v>
      </c>
      <c r="V65" s="37"/>
      <c r="W65" s="37"/>
      <c r="X65" s="37" t="str">
        <f>'Event Tree Input'!$D$13</f>
        <v>Yes</v>
      </c>
      <c r="Y65" s="37"/>
      <c r="Z65" s="37"/>
    </row>
    <row r="66" spans="2:26" ht="15" customHeight="1" x14ac:dyDescent="0.2">
      <c r="I66" s="37">
        <v>2</v>
      </c>
      <c r="J66" s="37"/>
      <c r="K66" s="37" t="str">
        <f>'Event Tree Input'!B159</f>
        <v>Circle</v>
      </c>
      <c r="L66" s="37"/>
      <c r="M66" s="37"/>
      <c r="N66" s="37" t="str">
        <f>'Event Tree Input'!C159</f>
        <v>Triangle</v>
      </c>
      <c r="O66" s="37"/>
      <c r="P66" s="37"/>
      <c r="S66" s="37">
        <v>2</v>
      </c>
      <c r="T66" s="37"/>
      <c r="U66" s="37" t="str">
        <f>IF('Event Tree Input'!$D$14="No","No",IF(AND('Event Tree Input'!$D$14="Yes",'Event Tree Input'!$D$11&gt;=S66),"Yes","No"))</f>
        <v>No</v>
      </c>
      <c r="V66" s="37"/>
      <c r="W66" s="37"/>
      <c r="X66" s="37" t="str">
        <f>'Event Tree Input'!$D$13</f>
        <v>Yes</v>
      </c>
      <c r="Y66" s="37"/>
      <c r="Z66" s="37"/>
    </row>
    <row r="67" spans="2:26" ht="15" customHeight="1" x14ac:dyDescent="0.2">
      <c r="I67" s="37">
        <v>3</v>
      </c>
      <c r="J67" s="37"/>
      <c r="K67" s="37" t="str">
        <f>'Event Tree Input'!B160</f>
        <v>Circle</v>
      </c>
      <c r="L67" s="37"/>
      <c r="M67" s="37"/>
      <c r="N67" s="37" t="str">
        <f>'Event Tree Input'!C160</f>
        <v>Triangle</v>
      </c>
      <c r="O67" s="37"/>
      <c r="P67" s="37"/>
      <c r="S67" s="37">
        <v>3</v>
      </c>
      <c r="T67" s="37"/>
      <c r="U67" s="37" t="str">
        <f>IF('Event Tree Input'!$D$14="No","No",IF(AND('Event Tree Input'!$D$14="Yes",'Event Tree Input'!$D$11&gt;=S67),"Yes","No"))</f>
        <v>No</v>
      </c>
      <c r="V67" s="37"/>
      <c r="W67" s="37"/>
      <c r="X67" s="37" t="str">
        <f>'Event Tree Input'!$D$13</f>
        <v>Yes</v>
      </c>
      <c r="Y67" s="37"/>
      <c r="Z67" s="37"/>
    </row>
    <row r="68" spans="2:26" ht="15" customHeight="1" x14ac:dyDescent="0.2">
      <c r="I68" s="37">
        <v>4</v>
      </c>
      <c r="J68" s="37"/>
      <c r="K68" s="37" t="str">
        <f>'Event Tree Input'!B161</f>
        <v>Circle</v>
      </c>
      <c r="L68" s="37"/>
      <c r="M68" s="37"/>
      <c r="N68" s="37" t="str">
        <f>'Event Tree Input'!C161</f>
        <v>Triangle</v>
      </c>
      <c r="O68" s="37"/>
      <c r="P68" s="37"/>
      <c r="S68" s="37">
        <v>4</v>
      </c>
      <c r="T68" s="37"/>
      <c r="U68" s="37" t="str">
        <f>IF('Event Tree Input'!$D$14="No","No",IF(AND('Event Tree Input'!$D$14="Yes",'Event Tree Input'!$D$11&gt;=S68),"Yes","No"))</f>
        <v>No</v>
      </c>
      <c r="V68" s="37"/>
      <c r="W68" s="37"/>
      <c r="X68" s="37" t="str">
        <f>'Event Tree Input'!$D$13</f>
        <v>Yes</v>
      </c>
      <c r="Y68" s="37"/>
      <c r="Z68" s="37"/>
    </row>
    <row r="69" spans="2:26" ht="15" customHeight="1" x14ac:dyDescent="0.2">
      <c r="I69" s="37">
        <v>5</v>
      </c>
      <c r="J69" s="37"/>
      <c r="K69" s="37" t="str">
        <f>'Event Tree Input'!B162</f>
        <v>Circle</v>
      </c>
      <c r="L69" s="37"/>
      <c r="M69" s="37"/>
      <c r="N69" s="37" t="str">
        <f>'Event Tree Input'!C162</f>
        <v>Triangle</v>
      </c>
      <c r="O69" s="37"/>
      <c r="P69" s="37"/>
      <c r="S69" s="37">
        <v>5</v>
      </c>
      <c r="T69" s="37"/>
      <c r="U69" s="37" t="str">
        <f>IF('Event Tree Input'!$D$14="No","No",IF(AND('Event Tree Input'!$D$14="Yes",'Event Tree Input'!$D$11&gt;=S69),"Yes","No"))</f>
        <v>No</v>
      </c>
      <c r="V69" s="37"/>
      <c r="W69" s="37"/>
      <c r="X69" s="37" t="str">
        <f>'Event Tree Input'!$D$13</f>
        <v>Yes</v>
      </c>
      <c r="Y69" s="37"/>
      <c r="Z69" s="37"/>
    </row>
    <row r="70" spans="2:26" ht="15" customHeight="1" x14ac:dyDescent="0.2">
      <c r="I70" s="37">
        <v>6</v>
      </c>
      <c r="J70" s="37"/>
      <c r="K70" s="37" t="str">
        <f>'Event Tree Input'!B163</f>
        <v>Circle</v>
      </c>
      <c r="L70" s="37"/>
      <c r="M70" s="37"/>
      <c r="N70" s="37" t="str">
        <f>'Event Tree Input'!C163</f>
        <v>Triangle</v>
      </c>
      <c r="O70" s="37"/>
      <c r="P70" s="37"/>
      <c r="S70" s="37">
        <v>6</v>
      </c>
      <c r="T70" s="37"/>
      <c r="U70" s="37" t="str">
        <f>IF('Event Tree Input'!$D$14="No","No",IF(AND('Event Tree Input'!$D$14="Yes",'Event Tree Input'!$D$11&gt;=S70),"Yes","No"))</f>
        <v>No</v>
      </c>
      <c r="V70" s="37"/>
      <c r="W70" s="37"/>
      <c r="X70" s="37" t="str">
        <f>'Event Tree Input'!$D$13</f>
        <v>Yes</v>
      </c>
      <c r="Y70" s="37"/>
      <c r="Z70" s="37"/>
    </row>
    <row r="71" spans="2:26" ht="15" customHeight="1" x14ac:dyDescent="0.2">
      <c r="I71" s="37">
        <v>7</v>
      </c>
      <c r="J71" s="37"/>
      <c r="K71" s="37" t="str">
        <f>'Event Tree Input'!B164</f>
        <v>Triangle</v>
      </c>
      <c r="L71" s="37"/>
      <c r="M71" s="37"/>
      <c r="N71" s="37" t="str">
        <f>'Event Tree Input'!C164</f>
        <v>Triangle</v>
      </c>
      <c r="O71" s="37"/>
      <c r="P71" s="37"/>
      <c r="S71" s="37">
        <v>7</v>
      </c>
      <c r="T71" s="37"/>
      <c r="U71" s="37" t="str">
        <f>IF('Event Tree Input'!$D$14="No","No",IF(AND('Event Tree Input'!$D$14="Yes",'Event Tree Input'!$D$11&gt;=S71),"Yes","No"))</f>
        <v>No</v>
      </c>
      <c r="V71" s="37"/>
      <c r="W71" s="37"/>
      <c r="X71" s="37" t="str">
        <f>'Event Tree Input'!$D$13</f>
        <v>Yes</v>
      </c>
      <c r="Y71" s="37"/>
      <c r="Z71" s="37"/>
    </row>
    <row r="72" spans="2:26" ht="15" customHeight="1" x14ac:dyDescent="0.2">
      <c r="I72" s="37">
        <v>8</v>
      </c>
      <c r="J72" s="37"/>
      <c r="K72" s="37" t="str">
        <f>'Event Tree Input'!B165</f>
        <v/>
      </c>
      <c r="L72" s="37"/>
      <c r="M72" s="37"/>
      <c r="N72" s="37" t="str">
        <f>'Event Tree Input'!C165</f>
        <v/>
      </c>
      <c r="O72" s="37"/>
      <c r="P72" s="37"/>
      <c r="S72" s="37">
        <v>8</v>
      </c>
      <c r="T72" s="37"/>
      <c r="U72" s="37" t="str">
        <f>IF('Event Tree Input'!$D$14="No","No",IF(AND('Event Tree Input'!$D$14="Yes",'Event Tree Input'!$D$11&gt;=S72),"Yes","No"))</f>
        <v>No</v>
      </c>
      <c r="V72" s="37"/>
      <c r="W72" s="37"/>
      <c r="X72" s="37" t="str">
        <f>'Event Tree Input'!$D$13</f>
        <v>Yes</v>
      </c>
      <c r="Y72" s="37"/>
      <c r="Z72" s="37"/>
    </row>
    <row r="73" spans="2:26" ht="15" customHeight="1" x14ac:dyDescent="0.2">
      <c r="I73" s="37">
        <v>9</v>
      </c>
      <c r="J73" s="37"/>
      <c r="K73" s="37" t="str">
        <f>'Event Tree Input'!B166</f>
        <v/>
      </c>
      <c r="L73" s="37"/>
      <c r="M73" s="37"/>
      <c r="N73" s="37" t="str">
        <f>'Event Tree Input'!C166</f>
        <v/>
      </c>
      <c r="O73" s="37"/>
      <c r="P73" s="37"/>
      <c r="S73" s="37">
        <v>9</v>
      </c>
      <c r="T73" s="37"/>
      <c r="U73" s="37" t="str">
        <f>IF('Event Tree Input'!$D$14="No","No",IF(AND('Event Tree Input'!$D$14="Yes",'Event Tree Input'!$D$11&gt;=S73),"Yes","No"))</f>
        <v>No</v>
      </c>
      <c r="V73" s="37"/>
      <c r="W73" s="37"/>
      <c r="X73" s="37" t="str">
        <f>'Event Tree Input'!$D$13</f>
        <v>Yes</v>
      </c>
      <c r="Y73" s="37"/>
      <c r="Z73" s="37"/>
    </row>
    <row r="75" spans="2:26" ht="15" customHeight="1" x14ac:dyDescent="0.2">
      <c r="B75" s="3" t="s">
        <v>38</v>
      </c>
      <c r="M75" s="13"/>
      <c r="N75" s="13"/>
      <c r="O75" s="13"/>
    </row>
    <row r="76" spans="2:26" ht="15" customHeight="1" x14ac:dyDescent="0.2">
      <c r="B76" s="36" t="str">
        <f>'Event Tree Input'!A27</f>
        <v>Node 1 Callout</v>
      </c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16"/>
    </row>
    <row r="77" spans="2:26" ht="15" customHeight="1" x14ac:dyDescent="0.2">
      <c r="B77" s="36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16"/>
    </row>
    <row r="78" spans="2:26" ht="15" customHeight="1" x14ac:dyDescent="0.2">
      <c r="B78" s="36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16"/>
      <c r="X78" s="17"/>
      <c r="Y78" s="16"/>
    </row>
    <row r="79" spans="2:26" ht="15" customHeight="1" x14ac:dyDescent="0.2">
      <c r="B79" s="36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16"/>
      <c r="X79" s="17"/>
      <c r="Y79" s="16"/>
    </row>
    <row r="80" spans="2:26" ht="15" customHeight="1" x14ac:dyDescent="0.2">
      <c r="B80" s="36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16"/>
      <c r="X80" s="17"/>
      <c r="Y80" s="16"/>
    </row>
    <row r="81" spans="2:25" ht="15" customHeight="1" x14ac:dyDescent="0.2">
      <c r="B81" s="36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16"/>
      <c r="X81" s="17"/>
      <c r="Y81" s="16"/>
    </row>
    <row r="82" spans="2:25" ht="15" customHeight="1" x14ac:dyDescent="0.2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7"/>
      <c r="Y82" s="16"/>
    </row>
    <row r="83" spans="2:25" ht="15" customHeight="1" x14ac:dyDescent="0.2">
      <c r="B83" s="3" t="s">
        <v>39</v>
      </c>
      <c r="M83" s="13"/>
      <c r="N83" s="13"/>
      <c r="O83" s="13"/>
      <c r="W83" s="16"/>
      <c r="X83" s="16"/>
      <c r="Y83" s="16"/>
    </row>
    <row r="84" spans="2:25" ht="15" customHeight="1" x14ac:dyDescent="0.2">
      <c r="B84" s="36" t="str">
        <f>'Event Tree Input'!A41</f>
        <v>Node 2 Callout</v>
      </c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</row>
    <row r="85" spans="2:25" ht="15" customHeight="1" x14ac:dyDescent="0.2">
      <c r="B85" s="36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17"/>
      <c r="X85" s="17"/>
    </row>
    <row r="86" spans="2:25" ht="15" customHeight="1" x14ac:dyDescent="0.2">
      <c r="B86" s="36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17"/>
      <c r="X86" s="17"/>
    </row>
    <row r="87" spans="2:25" ht="15" customHeight="1" x14ac:dyDescent="0.2">
      <c r="B87" s="36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17"/>
      <c r="X87" s="17"/>
    </row>
    <row r="88" spans="2:25" ht="15" customHeight="1" x14ac:dyDescent="0.2">
      <c r="B88" s="36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17"/>
      <c r="X88" s="17"/>
    </row>
    <row r="89" spans="2:25" ht="15" customHeight="1" x14ac:dyDescent="0.2">
      <c r="B89" s="36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17"/>
      <c r="X89" s="17"/>
    </row>
    <row r="91" spans="2:25" ht="15" customHeight="1" x14ac:dyDescent="0.2">
      <c r="B91" s="3" t="s">
        <v>40</v>
      </c>
      <c r="M91" s="13"/>
      <c r="N91" s="13"/>
      <c r="O91" s="13"/>
    </row>
    <row r="92" spans="2:25" ht="15" customHeight="1" x14ac:dyDescent="0.2">
      <c r="B92" s="36" t="str">
        <f>'Event Tree Input'!A55</f>
        <v>Node 3 Callout</v>
      </c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</row>
    <row r="93" spans="2:25" ht="15" customHeight="1" x14ac:dyDescent="0.2"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</row>
    <row r="94" spans="2:25" ht="15" customHeight="1" x14ac:dyDescent="0.2"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</row>
    <row r="95" spans="2:25" ht="15" customHeight="1" x14ac:dyDescent="0.2"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</row>
    <row r="96" spans="2:25" ht="15" customHeight="1" x14ac:dyDescent="0.2"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</row>
    <row r="97" spans="2:22" ht="15" customHeight="1" x14ac:dyDescent="0.2"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</row>
    <row r="99" spans="2:22" ht="15" customHeight="1" x14ac:dyDescent="0.2">
      <c r="B99" s="3" t="s">
        <v>41</v>
      </c>
      <c r="M99" s="13"/>
      <c r="N99" s="13"/>
      <c r="O99" s="13"/>
    </row>
    <row r="100" spans="2:22" ht="15" customHeight="1" x14ac:dyDescent="0.2">
      <c r="B100" s="36" t="str">
        <f>'Event Tree Input'!A69</f>
        <v>Node 4 Callout</v>
      </c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</row>
    <row r="101" spans="2:22" ht="15" customHeight="1" x14ac:dyDescent="0.2"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</row>
    <row r="102" spans="2:22" ht="15" customHeight="1" x14ac:dyDescent="0.2"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</row>
    <row r="103" spans="2:22" ht="15" customHeight="1" x14ac:dyDescent="0.2"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</row>
    <row r="104" spans="2:22" ht="15" customHeight="1" x14ac:dyDescent="0.2"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</row>
    <row r="105" spans="2:22" ht="15" customHeight="1" x14ac:dyDescent="0.2"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</row>
    <row r="107" spans="2:22" ht="15" customHeight="1" x14ac:dyDescent="0.2">
      <c r="B107" s="3" t="s">
        <v>42</v>
      </c>
      <c r="M107" s="13"/>
      <c r="N107" s="13"/>
      <c r="O107" s="13"/>
    </row>
    <row r="108" spans="2:22" ht="15" customHeight="1" x14ac:dyDescent="0.2">
      <c r="B108" s="36" t="str">
        <f>'Event Tree Input'!A83</f>
        <v>Node 5 Callout</v>
      </c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</row>
    <row r="109" spans="2:22" ht="15" customHeight="1" x14ac:dyDescent="0.2">
      <c r="B109" s="36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</row>
    <row r="110" spans="2:22" ht="15" customHeight="1" x14ac:dyDescent="0.2"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</row>
    <row r="111" spans="2:22" ht="15" customHeight="1" x14ac:dyDescent="0.2">
      <c r="B111" s="36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</row>
    <row r="112" spans="2:22" ht="15" customHeight="1" x14ac:dyDescent="0.2"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</row>
    <row r="113" spans="2:22" ht="15" customHeight="1" x14ac:dyDescent="0.2"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</row>
    <row r="115" spans="2:22" ht="15" customHeight="1" x14ac:dyDescent="0.2">
      <c r="B115" s="3" t="s">
        <v>43</v>
      </c>
      <c r="M115" s="13"/>
      <c r="N115" s="13"/>
      <c r="O115" s="13"/>
    </row>
    <row r="116" spans="2:22" ht="15" customHeight="1" x14ac:dyDescent="0.2">
      <c r="B116" s="36" t="str">
        <f>'Event Tree Input'!A97</f>
        <v>Node 6 Callout</v>
      </c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</row>
    <row r="117" spans="2:22" ht="15" customHeight="1" x14ac:dyDescent="0.2"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</row>
    <row r="118" spans="2:22" ht="15" customHeight="1" x14ac:dyDescent="0.2">
      <c r="B118" s="36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</row>
    <row r="119" spans="2:22" ht="15" customHeight="1" x14ac:dyDescent="0.2">
      <c r="B119" s="36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</row>
    <row r="120" spans="2:22" ht="15" customHeight="1" x14ac:dyDescent="0.2"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</row>
    <row r="121" spans="2:22" ht="15" customHeight="1" x14ac:dyDescent="0.2"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</row>
    <row r="123" spans="2:22" ht="15" customHeight="1" x14ac:dyDescent="0.2">
      <c r="B123" s="3" t="s">
        <v>44</v>
      </c>
      <c r="M123" s="13"/>
      <c r="N123" s="13"/>
      <c r="O123" s="13"/>
    </row>
    <row r="124" spans="2:22" ht="15" customHeight="1" x14ac:dyDescent="0.2">
      <c r="B124" s="36" t="str">
        <f>'Event Tree Input'!A111</f>
        <v>Node 7 Callout</v>
      </c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</row>
    <row r="125" spans="2:22" ht="15" customHeight="1" x14ac:dyDescent="0.2">
      <c r="B125" s="36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</row>
    <row r="126" spans="2:22" ht="15" customHeight="1" x14ac:dyDescent="0.2">
      <c r="B126" s="36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</row>
    <row r="127" spans="2:22" ht="15" customHeight="1" x14ac:dyDescent="0.2"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</row>
    <row r="128" spans="2:22" ht="15" customHeight="1" x14ac:dyDescent="0.2">
      <c r="B128" s="36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</row>
    <row r="129" spans="2:22" ht="15" customHeight="1" x14ac:dyDescent="0.2">
      <c r="B129" s="36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</row>
    <row r="131" spans="2:22" ht="15" customHeight="1" x14ac:dyDescent="0.2">
      <c r="B131" s="3" t="s">
        <v>45</v>
      </c>
      <c r="M131" s="13"/>
      <c r="N131" s="13"/>
      <c r="O131" s="13"/>
    </row>
    <row r="132" spans="2:22" ht="15" customHeight="1" x14ac:dyDescent="0.2">
      <c r="B132" s="36" t="str">
        <f>'Event Tree Input'!A125</f>
        <v>Node 8 Callout</v>
      </c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</row>
    <row r="133" spans="2:22" ht="15" customHeight="1" x14ac:dyDescent="0.2"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</row>
    <row r="134" spans="2:22" ht="15" customHeight="1" x14ac:dyDescent="0.2"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</row>
    <row r="135" spans="2:22" ht="15" customHeight="1" x14ac:dyDescent="0.2"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</row>
    <row r="136" spans="2:22" ht="15" customHeight="1" x14ac:dyDescent="0.2"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</row>
    <row r="137" spans="2:22" ht="15" customHeight="1" x14ac:dyDescent="0.2"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</row>
    <row r="139" spans="2:22" ht="15" customHeight="1" x14ac:dyDescent="0.2">
      <c r="B139" s="3" t="s">
        <v>46</v>
      </c>
      <c r="M139" s="13"/>
      <c r="N139" s="13"/>
      <c r="O139" s="13"/>
    </row>
    <row r="140" spans="2:22" ht="15" customHeight="1" x14ac:dyDescent="0.2">
      <c r="B140" s="36" t="str">
        <f>'Event Tree Input'!A139</f>
        <v>Node 9 Callout</v>
      </c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</row>
    <row r="141" spans="2:22" ht="15" customHeight="1" x14ac:dyDescent="0.2">
      <c r="B141" s="36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</row>
    <row r="142" spans="2:22" ht="15" customHeight="1" x14ac:dyDescent="0.2">
      <c r="B142" s="36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</row>
    <row r="143" spans="2:22" ht="15" customHeight="1" x14ac:dyDescent="0.2">
      <c r="B143" s="36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</row>
    <row r="144" spans="2:22" ht="15" customHeight="1" x14ac:dyDescent="0.2">
      <c r="B144" s="36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</row>
    <row r="145" spans="2:22" ht="15" customHeight="1" x14ac:dyDescent="0.2">
      <c r="B145" s="36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</row>
  </sheetData>
  <mergeCells count="91">
    <mergeCell ref="B76:V81"/>
    <mergeCell ref="A5:CA5"/>
    <mergeCell ref="A61:CA61"/>
    <mergeCell ref="F63:G63"/>
    <mergeCell ref="A63:E63"/>
    <mergeCell ref="I68:J68"/>
    <mergeCell ref="X66:Z66"/>
    <mergeCell ref="X67:Z67"/>
    <mergeCell ref="X68:Z68"/>
    <mergeCell ref="N63:P63"/>
    <mergeCell ref="K64:M64"/>
    <mergeCell ref="N64:P64"/>
    <mergeCell ref="N65:P65"/>
    <mergeCell ref="X69:Z69"/>
    <mergeCell ref="X64:Z64"/>
    <mergeCell ref="X65:Z65"/>
    <mergeCell ref="U64:W64"/>
    <mergeCell ref="U65:W65"/>
    <mergeCell ref="I71:J71"/>
    <mergeCell ref="I72:J72"/>
    <mergeCell ref="S67:T67"/>
    <mergeCell ref="S68:T68"/>
    <mergeCell ref="S69:T69"/>
    <mergeCell ref="S70:T70"/>
    <mergeCell ref="U72:W72"/>
    <mergeCell ref="U67:W67"/>
    <mergeCell ref="U68:W68"/>
    <mergeCell ref="U69:W69"/>
    <mergeCell ref="S71:T71"/>
    <mergeCell ref="S72:T72"/>
    <mergeCell ref="U66:W66"/>
    <mergeCell ref="S66:T66"/>
    <mergeCell ref="I73:J73"/>
    <mergeCell ref="K73:M73"/>
    <mergeCell ref="K70:M70"/>
    <mergeCell ref="K71:M71"/>
    <mergeCell ref="K72:M72"/>
    <mergeCell ref="I70:J70"/>
    <mergeCell ref="S65:T65"/>
    <mergeCell ref="I40:O41"/>
    <mergeCell ref="K66:M66"/>
    <mergeCell ref="I63:J64"/>
    <mergeCell ref="N66:P66"/>
    <mergeCell ref="S64:T64"/>
    <mergeCell ref="N67:P67"/>
    <mergeCell ref="N68:P68"/>
    <mergeCell ref="N69:P69"/>
    <mergeCell ref="I69:J69"/>
    <mergeCell ref="K63:M63"/>
    <mergeCell ref="K67:M67"/>
    <mergeCell ref="K68:M68"/>
    <mergeCell ref="K69:M69"/>
    <mergeCell ref="I65:J65"/>
    <mergeCell ref="I66:J66"/>
    <mergeCell ref="I67:J67"/>
    <mergeCell ref="K65:M65"/>
    <mergeCell ref="X70:Z70"/>
    <mergeCell ref="U70:W70"/>
    <mergeCell ref="X71:Z71"/>
    <mergeCell ref="X72:Z72"/>
    <mergeCell ref="X73:Z73"/>
    <mergeCell ref="U71:W71"/>
    <mergeCell ref="S73:T73"/>
    <mergeCell ref="U73:W73"/>
    <mergeCell ref="N73:P73"/>
    <mergeCell ref="N70:P70"/>
    <mergeCell ref="N71:P71"/>
    <mergeCell ref="N72:P72"/>
    <mergeCell ref="B124:V129"/>
    <mergeCell ref="B132:V137"/>
    <mergeCell ref="B140:V145"/>
    <mergeCell ref="B84:V89"/>
    <mergeCell ref="B92:V97"/>
    <mergeCell ref="B100:V105"/>
    <mergeCell ref="B108:V113"/>
    <mergeCell ref="B116:V121"/>
    <mergeCell ref="B40:H41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2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21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BQ15:BS15 BQ22:BS22 BN24:BN28</xm:sqref>
        </x14:conditionalFormatting>
        <x14:conditionalFormatting xmlns:xm="http://schemas.microsoft.com/office/excel/2006/main">
          <x14:cfRule type="expression" priority="20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BG24:BM24 BG31:BM31 BG25:BH25 BG26:BG30</xm:sqref>
        </x14:conditionalFormatting>
        <x14:conditionalFormatting xmlns:xm="http://schemas.microsoft.com/office/excel/2006/main">
          <x14:cfRule type="expression" priority="19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AZ27:BF27 AZ34:BF34 AZ28:BA28 AZ29:AZ33</xm:sqref>
        </x14:conditionalFormatting>
        <x14:conditionalFormatting xmlns:xm="http://schemas.microsoft.com/office/excel/2006/main">
          <x14:cfRule type="expression" priority="18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AS30:AY30 AX37:AY37 AS31:AT31 AS32:AS36</xm:sqref>
        </x14:conditionalFormatting>
        <x14:conditionalFormatting xmlns:xm="http://schemas.microsoft.com/office/excel/2006/main">
          <x14:cfRule type="expression" priority="17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AK28:AL28 AK29 AL27:AP27 AR33 AL34:AQ34 AK31:AK32</xm:sqref>
        </x14:conditionalFormatting>
        <x14:conditionalFormatting xmlns:xm="http://schemas.microsoft.com/office/excel/2006/main">
          <x14:cfRule type="expression" priority="16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AE30:AJ30 AD36:AJ36 AD31:AE31 AD32:AD35 AD40:AD44</xm:sqref>
        </x14:conditionalFormatting>
        <x14:conditionalFormatting xmlns:xm="http://schemas.microsoft.com/office/excel/2006/main">
          <x14:cfRule type="expression" priority="15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AB40 W34:X34 W35:W38 W33:AB33</xm:sqref>
        </x14:conditionalFormatting>
        <x14:conditionalFormatting xmlns:xm="http://schemas.microsoft.com/office/excel/2006/main">
          <x14:cfRule type="expression" priority="14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B43:H43</xm:sqref>
        </x14:conditionalFormatting>
        <x14:conditionalFormatting xmlns:xm="http://schemas.microsoft.com/office/excel/2006/main">
          <x14:cfRule type="expression" priority="13" id="{E9F103C2-1DF0-42C9-979E-8C91B9B7D9D4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AK38:AK42</xm:sqref>
        </x14:conditionalFormatting>
        <x14:conditionalFormatting xmlns:xm="http://schemas.microsoft.com/office/excel/2006/main">
          <x14:cfRule type="expression" priority="12" id="{415D7332-FFD4-4599-8A0B-F989516A224C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AD38:AJ38 AD45:AJ45 AD39:AE39</xm:sqref>
        </x14:conditionalFormatting>
        <x14:conditionalFormatting xmlns:xm="http://schemas.microsoft.com/office/excel/2006/main">
          <x14:cfRule type="expression" priority="11" id="{7F31AD2B-3186-42EC-B62B-9251686D630E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AC41</xm:sqref>
        </x14:conditionalFormatting>
        <x14:conditionalFormatting xmlns:xm="http://schemas.microsoft.com/office/excel/2006/main">
          <x14:cfRule type="expression" priority="10" id="{FC7553C9-C2EE-493B-9269-3060375CDA4E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AK46:AK50</xm:sqref>
        </x14:conditionalFormatting>
        <x14:conditionalFormatting xmlns:xm="http://schemas.microsoft.com/office/excel/2006/main">
          <x14:cfRule type="expression" priority="9" id="{CFB950A8-5B6A-4E0B-AF65-6F52728E9C35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AD46:AJ46 AD53:AJ53 AD47:AE47 AD48:AD52</xm:sqref>
        </x14:conditionalFormatting>
        <x14:conditionalFormatting xmlns:xm="http://schemas.microsoft.com/office/excel/2006/main">
          <x14:cfRule type="expression" priority="8" id="{7B8B3DBC-73D2-4BCF-B29E-E685BAF19D3B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AC49</xm:sqref>
        </x14:conditionalFormatting>
        <x14:conditionalFormatting xmlns:xm="http://schemas.microsoft.com/office/excel/2006/main">
          <x14:cfRule type="expression" priority="7" id="{691AADA6-5C70-4295-B23C-F35B64A98061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BN21:BN22</xm:sqref>
        </x14:conditionalFormatting>
        <x14:conditionalFormatting xmlns:xm="http://schemas.microsoft.com/office/excel/2006/main">
          <x14:cfRule type="expression" priority="6" id="{78AF1875-34C1-45A6-A4D2-296E8F0FFBF9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BG22:BH22 BB22:BC22 AX22:AY22 AR22:AT22 AN22:AO22 AI21:BM21 AI22:AJ22</xm:sqref>
        </x14:conditionalFormatting>
        <x14:conditionalFormatting xmlns:xm="http://schemas.microsoft.com/office/excel/2006/main">
          <x14:cfRule type="expression" priority="5" id="{44554953-4B6A-4D80-A7F8-9CDE5F69F420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AK22</xm:sqref>
        </x14:conditionalFormatting>
        <x14:conditionalFormatting xmlns:xm="http://schemas.microsoft.com/office/excel/2006/main">
          <x14:cfRule type="expression" priority="4" id="{A733862F-13E7-4EC9-8329-D53414CE3016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AD28:AE28 AD29:AD30</xm:sqref>
        </x14:conditionalFormatting>
        <x14:conditionalFormatting xmlns:xm="http://schemas.microsoft.com/office/excel/2006/main">
          <x14:cfRule type="expression" priority="3" id="{885BFB1B-A921-4202-8A3F-C9D55B0447A6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AK30</xm:sqref>
        </x14:conditionalFormatting>
        <x14:conditionalFormatting xmlns:xm="http://schemas.microsoft.com/office/excel/2006/main">
          <x14:cfRule type="expression" priority="2" id="{98FDA888-E206-4386-9A61-57B65DFB31F7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W31:AC31 W32:X32</xm:sqref>
        </x14:conditionalFormatting>
        <x14:conditionalFormatting xmlns:xm="http://schemas.microsoft.com/office/excel/2006/main">
          <x14:cfRule type="expression" priority="1" id="{C9050FD2-5DE9-48E7-A5DD-EB48C410905A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AK33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67DCD1D-AA67-469F-8EA7-B565839E6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5BA7654-90FF-4868-9652-C5122D1AAF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4B55D7E-F8B7-40EC-B80F-42B62F8DF960}">
  <ds:schemaRefs>
    <ds:schemaRef ds:uri="f254aa9d-3c64-433e-b325-d6b94ca3f691"/>
    <ds:schemaRef ds:uri="http://www.w3.org/XML/1998/namespace"/>
    <ds:schemaRef ds:uri="http://purl.org/dc/elements/1.1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a8f80ecd-cddb-46c8-b263-c25672b580c6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2025-09-04T00:28:44Z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/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MediaServiceImageTags">
    <vt:lpwstr/>
  </property>
</Properties>
</file>