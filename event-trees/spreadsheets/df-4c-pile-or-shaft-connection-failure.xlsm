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576EB3D6-4514-4353-BC33-7B97DEFAFE63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<sst xmlns="http://schemas.openxmlformats.org/spreadsheetml/2006/main" count="130" uniqueCount="63">
  <si>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</si>
  <si>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</si>
  <si>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</si>
  <si>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</si>
  <si>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</si>
  <si>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</si>
  <si>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</si>
  <si>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</si>
  <si>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</si>
  <si>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</si>
  <si>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</si>
  <si>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</si>
  <si>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</si>
  <si>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</si>
  <si>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</si>
  <si>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</si>
  <si>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</si>
  <si>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</si>
  <si>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</si>
  <si>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</si>
  <si>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</si>
  <si>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</si>
  <si>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</si>
  <si>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</si>
  <si>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</si>
  <si>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</si>
  <si>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</si>
  <si>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</si>
  <si>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</si>
  <si>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</si>
  <si>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</si>
  <si>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</si>
  <si>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</si>
  <si>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</si>
  <si>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</si>
  <si>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</si>
  <si>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</si>
  <si>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</si>
  <si>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</si>
  <si>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</si>
  <si>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</si>
  <si>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</si>
  <si>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</si>
  <si>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</si>
  <si>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</si>
  <si>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</si>
  <si>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</si>
  <si>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</si>
  <si>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</si>
  <si>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</si>
  <si>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</si>
  <si>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</si>
  <si>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</si>
  <si>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</si>
  <si>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</si>
  <si>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</si>
  <si>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</si>
  <si>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The driving lateral force causes tension, moment, and/or shear to increase in the pile connection resulting in a failure of the connector or a concrete pull-out failure?</t>
  </si>
  <si>
    <t>A driving lateral force is applies to a wall that derives stability by pile tension connectors and the concrete in which they are embedded?</t>
  </si>
  <si>
    <t>The internal tention, moment, or shear force increases and a critical connector section yields?</t>
  </si>
  <si>
    <t>As the pile connections yield, excessive displacement of the wall occurs?</t>
  </si>
  <si>
    <t>As the wall continues to displace the pile connection fractures?</t>
  </si>
  <si>
    <t>Pile connection failure causes excessive monolith movement or instability leading to complete wall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</si>
</sst>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0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wrapText="1"/>
    </xf>
    <xf numFmtId="0" fontId="2" fillId="2" borderId="1" xfId="2" applyFont="1" applyFill="1" applyBorder="1" applyAlignment="1">
      <alignment horizontal="left"/>
    </xf>
    <xf numFmtId="0" fontId="4" fillId="2" borderId="5" xfId="0" applyFont="1" applyFill="1" applyBorder="1" applyAlignment="1">
      <alignment wrapText="1"/>
    </xf>
    <xf numFmtId="0" fontId="4" fillId="2" borderId="2" xfId="0" applyFont="1" applyFill="1" applyBorder="1" applyAlignment="1">
      <alignment wrapText="1"/>
    </xf>
    <xf numFmtId="0" fontId="4" fillId="2" borderId="3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35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25</xdr:row>
      <xdr:rowOff>142874</xdr:rowOff>
    </xdr:from>
    <xdr:to>
      <xdr:col>28</xdr:col>
      <xdr:colOff>161925</xdr:colOff>
      <xdr:row>28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19</xdr:row>
      <xdr:rowOff>142874</xdr:rowOff>
    </xdr:from>
    <xdr:to>
      <xdr:col>35</xdr:col>
      <xdr:colOff>171450</xdr:colOff>
      <xdr:row>22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11</xdr:row>
      <xdr:rowOff>152399</xdr:rowOff>
    </xdr:from>
    <xdr:to>
      <xdr:col>43</xdr:col>
      <xdr:colOff>0</xdr:colOff>
      <xdr:row>15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13</xdr:row>
      <xdr:rowOff>142874</xdr:rowOff>
    </xdr:from>
    <xdr:to>
      <xdr:col>49</xdr:col>
      <xdr:colOff>161925</xdr:colOff>
      <xdr:row>16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10</xdr:row>
      <xdr:rowOff>142874</xdr:rowOff>
    </xdr:from>
    <xdr:to>
      <xdr:col>56</xdr:col>
      <xdr:colOff>161925</xdr:colOff>
      <xdr:row>13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18</xdr:row>
      <xdr:rowOff>142874</xdr:rowOff>
    </xdr:from>
    <xdr:to>
      <xdr:col>63</xdr:col>
      <xdr:colOff>161925</xdr:colOff>
      <xdr:row>21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15</xdr:row>
      <xdr:rowOff>95250</xdr:rowOff>
    </xdr:from>
    <xdr:to>
      <xdr:col>56</xdr:col>
      <xdr:colOff>166688</xdr:colOff>
      <xdr:row>17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20</xdr:row>
      <xdr:rowOff>142876</xdr:rowOff>
    </xdr:from>
    <xdr:to>
      <xdr:col>61</xdr:col>
      <xdr:colOff>142875</xdr:colOff>
      <xdr:row>22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20</xdr:row>
      <xdr:rowOff>142876</xdr:rowOff>
    </xdr:from>
    <xdr:to>
      <xdr:col>41</xdr:col>
      <xdr:colOff>83344</xdr:colOff>
      <xdr:row>22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32</xdr:row>
      <xdr:rowOff>23812</xdr:rowOff>
    </xdr:from>
    <xdr:to>
      <xdr:col>46</xdr:col>
      <xdr:colOff>142875</xdr:colOff>
      <xdr:row>33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32</xdr:row>
      <xdr:rowOff>61765</xdr:rowOff>
    </xdr:from>
    <xdr:to>
      <xdr:col>22</xdr:col>
      <xdr:colOff>138518</xdr:colOff>
      <xdr:row>33</xdr:row>
      <xdr:rowOff>145587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4264745" y="6157765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44</xdr:row>
      <xdr:rowOff>54695</xdr:rowOff>
    </xdr:from>
    <xdr:to>
      <xdr:col>22</xdr:col>
      <xdr:colOff>96889</xdr:colOff>
      <xdr:row>45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26</xdr:row>
      <xdr:rowOff>52240</xdr:rowOff>
    </xdr:from>
    <xdr:to>
      <xdr:col>29</xdr:col>
      <xdr:colOff>138518</xdr:colOff>
      <xdr:row>27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23</xdr:row>
      <xdr:rowOff>52240</xdr:rowOff>
    </xdr:from>
    <xdr:to>
      <xdr:col>36</xdr:col>
      <xdr:colOff>138518</xdr:colOff>
      <xdr:row>24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20</xdr:row>
      <xdr:rowOff>52240</xdr:rowOff>
    </xdr:from>
    <xdr:to>
      <xdr:col>43</xdr:col>
      <xdr:colOff>138518</xdr:colOff>
      <xdr:row>21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17</xdr:row>
      <xdr:rowOff>52240</xdr:rowOff>
    </xdr:from>
    <xdr:to>
      <xdr:col>50</xdr:col>
      <xdr:colOff>138518</xdr:colOff>
      <xdr:row>18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14</xdr:row>
      <xdr:rowOff>52240</xdr:rowOff>
    </xdr:from>
    <xdr:to>
      <xdr:col>57</xdr:col>
      <xdr:colOff>138518</xdr:colOff>
      <xdr:row>15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11</xdr:row>
      <xdr:rowOff>52240</xdr:rowOff>
    </xdr:from>
    <xdr:to>
      <xdr:col>64</xdr:col>
      <xdr:colOff>138518</xdr:colOff>
      <xdr:row>12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29</xdr:row>
      <xdr:rowOff>64220</xdr:rowOff>
    </xdr:from>
    <xdr:to>
      <xdr:col>36</xdr:col>
      <xdr:colOff>96889</xdr:colOff>
      <xdr:row>30</xdr:row>
      <xdr:rowOff>139273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7054655" y="4658640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26</xdr:row>
      <xdr:rowOff>54695</xdr:rowOff>
    </xdr:from>
    <xdr:to>
      <xdr:col>43</xdr:col>
      <xdr:colOff>96889</xdr:colOff>
      <xdr:row>27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23</xdr:row>
      <xdr:rowOff>54695</xdr:rowOff>
    </xdr:from>
    <xdr:to>
      <xdr:col>50</xdr:col>
      <xdr:colOff>87364</xdr:colOff>
      <xdr:row>24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20</xdr:row>
      <xdr:rowOff>54695</xdr:rowOff>
    </xdr:from>
    <xdr:to>
      <xdr:col>57</xdr:col>
      <xdr:colOff>87364</xdr:colOff>
      <xdr:row>21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17</xdr:row>
      <xdr:rowOff>54695</xdr:rowOff>
    </xdr:from>
    <xdr:to>
      <xdr:col>64</xdr:col>
      <xdr:colOff>87364</xdr:colOff>
      <xdr:row>18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26</xdr:row>
      <xdr:rowOff>55169</xdr:rowOff>
    </xdr:from>
    <xdr:to>
      <xdr:col>22</xdr:col>
      <xdr:colOff>97956</xdr:colOff>
      <xdr:row>27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26</xdr:row>
      <xdr:rowOff>55150</xdr:rowOff>
    </xdr:from>
    <xdr:to>
      <xdr:col>29</xdr:col>
      <xdr:colOff>97957</xdr:colOff>
      <xdr:row>27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23</xdr:row>
      <xdr:rowOff>55140</xdr:rowOff>
    </xdr:from>
    <xdr:to>
      <xdr:col>36</xdr:col>
      <xdr:colOff>97958</xdr:colOff>
      <xdr:row>24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20</xdr:row>
      <xdr:rowOff>55130</xdr:rowOff>
    </xdr:from>
    <xdr:to>
      <xdr:col>43</xdr:col>
      <xdr:colOff>97959</xdr:colOff>
      <xdr:row>21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17</xdr:row>
      <xdr:rowOff>55117</xdr:rowOff>
    </xdr:from>
    <xdr:to>
      <xdr:col>50</xdr:col>
      <xdr:colOff>88435</xdr:colOff>
      <xdr:row>18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14</xdr:row>
      <xdr:rowOff>55101</xdr:rowOff>
    </xdr:from>
    <xdr:to>
      <xdr:col>57</xdr:col>
      <xdr:colOff>88436</xdr:colOff>
      <xdr:row>15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11</xdr:row>
      <xdr:rowOff>55085</xdr:rowOff>
    </xdr:from>
    <xdr:to>
      <xdr:col>64</xdr:col>
      <xdr:colOff>88437</xdr:colOff>
      <xdr:row>12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33</xdr:row>
      <xdr:rowOff>47625</xdr:rowOff>
    </xdr:from>
    <xdr:to>
      <xdr:col>21</xdr:col>
      <xdr:colOff>105548</xdr:colOff>
      <xdr:row>44</xdr:row>
      <xdr:rowOff>142874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334125"/>
          <a:ext cx="1128069" cy="2190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driving lateral force is applies to a wall that derives stability by pile tension connectors and the concrete in which they are embedded?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27</xdr:row>
      <xdr:rowOff>47625</xdr:rowOff>
    </xdr:from>
    <xdr:to>
      <xdr:col>28</xdr:col>
      <xdr:colOff>103155</xdr:colOff>
      <xdr:row>38</xdr:row>
      <xdr:rowOff>133350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5191125"/>
          <a:ext cx="1124712" cy="2181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driving lateral force causes tension, moment, and/or shear to increase in the pile connection resulting in a failure of the connector or a concrete pull-out failure?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24</xdr:row>
      <xdr:rowOff>38100</xdr:rowOff>
    </xdr:from>
    <xdr:to>
      <xdr:col>35</xdr:col>
      <xdr:colOff>100775</xdr:colOff>
      <xdr:row>29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internal tention, moment, or shear force increases and a critical connector section yields?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21</xdr:row>
      <xdr:rowOff>38100</xdr:rowOff>
    </xdr:from>
    <xdr:to>
      <xdr:col>42</xdr:col>
      <xdr:colOff>100774</xdr:colOff>
      <xdr:row>26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pile connections yield, excessive displacement of the wall occurs?</a:t>
          </a:fld>
          <a:endParaRPr lang="en-US" sz="1100"/>
        </a:p>
      </xdr:txBody>
    </xdr:sp>
    <xdr:clientData/>
  </xdr:twoCellAnchor>
  <xdr:twoCellAnchor>
    <xdr:from>
      <xdr:col>43</xdr:col>
      <xdr:colOff>178593</xdr:colOff>
      <xdr:row>18</xdr:row>
      <xdr:rowOff>38100</xdr:rowOff>
    </xdr:from>
    <xdr:to>
      <xdr:col>49</xdr:col>
      <xdr:colOff>200024</xdr:colOff>
      <xdr:row>23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8" y="4610100"/>
          <a:ext cx="122158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wall continues to displace the pile connection fractures?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15</xdr:row>
      <xdr:rowOff>38100</xdr:rowOff>
    </xdr:from>
    <xdr:to>
      <xdr:col>56</xdr:col>
      <xdr:colOff>100774</xdr:colOff>
      <xdr:row>20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12</xdr:row>
      <xdr:rowOff>38100</xdr:rowOff>
    </xdr:from>
    <xdr:to>
      <xdr:col>63</xdr:col>
      <xdr:colOff>103156</xdr:colOff>
      <xdr:row>17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Pile connection failure causes excessive monolith movement or instability leading to complete wall breach?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180975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20491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5</xdr:row>
      <xdr:rowOff>107157</xdr:rowOff>
    </xdr:from>
    <xdr:to>
      <xdr:col>46</xdr:col>
      <xdr:colOff>95251</xdr:colOff>
      <xdr:row>8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11</xdr:row>
      <xdr:rowOff>77390</xdr:rowOff>
    </xdr:from>
    <xdr:to>
      <xdr:col>32</xdr:col>
      <xdr:colOff>104775</xdr:colOff>
      <xdr:row>14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26</xdr:row>
      <xdr:rowOff>11906</xdr:rowOff>
    </xdr:from>
    <xdr:to>
      <xdr:col>40</xdr:col>
      <xdr:colOff>95251</xdr:colOff>
      <xdr:row>31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15</xdr:row>
      <xdr:rowOff>30161</xdr:rowOff>
    </xdr:from>
    <xdr:to>
      <xdr:col>55</xdr:col>
      <xdr:colOff>142873</xdr:colOff>
      <xdr:row>21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16</xdr:row>
      <xdr:rowOff>59531</xdr:rowOff>
    </xdr:from>
    <xdr:to>
      <xdr:col>60</xdr:col>
      <xdr:colOff>95251</xdr:colOff>
      <xdr:row>18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66675</xdr:colOff>
      <xdr:row>25</xdr:row>
      <xdr:rowOff>142875</xdr:rowOff>
    </xdr:from>
    <xdr:ext cx="1260858" cy="239809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5928F8EB-B148-2F6F-E558-F7E95B161D6D}"/>
            </a:ext>
          </a:extLst>
        </xdr:cNvPr>
        <xdr:cNvSpPr txBox="1"/>
      </xdr:nvSpPr>
      <xdr:spPr>
        <a:xfrm>
          <a:off x="4467225" y="4905375"/>
          <a:ext cx="1260858" cy="2398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Connection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Failure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22</xdr:col>
      <xdr:colOff>161925</xdr:colOff>
      <xdr:row>39</xdr:row>
      <xdr:rowOff>9525</xdr:rowOff>
    </xdr:from>
    <xdr:ext cx="1075423" cy="239809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AD2ACA14-F327-4E30-BA7A-094F5AF6815A}"/>
            </a:ext>
          </a:extLst>
        </xdr:cNvPr>
        <xdr:cNvSpPr txBox="1"/>
      </xdr:nvSpPr>
      <xdr:spPr>
        <a:xfrm>
          <a:off x="4562475" y="7439025"/>
          <a:ext cx="1075423" cy="2398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Pull-Out Failure</a:t>
          </a:r>
        </a:p>
      </xdr:txBody>
    </xdr:sp>
    <xdr:clientData/>
  </xdr:oneCellAnchor>
  <xdr:twoCellAnchor>
    <xdr:from>
      <xdr:col>29</xdr:col>
      <xdr:colOff>38100</xdr:colOff>
      <xdr:row>31</xdr:row>
      <xdr:rowOff>142874</xdr:rowOff>
    </xdr:from>
    <xdr:to>
      <xdr:col>35</xdr:col>
      <xdr:colOff>171450</xdr:colOff>
      <xdr:row>34</xdr:row>
      <xdr:rowOff>66293</xdr:rowOff>
    </xdr:to>
    <xdr:sp macro="" textlink="'Event Tree Input'!A49">
      <xdr:nvSpPr>
        <xdr:cNvPr id="34" name="N3Title" hidden="1">
          <a:extLst>
            <a:ext uri="{FF2B5EF4-FFF2-40B4-BE49-F238E27FC236}">
              <a16:creationId xmlns:a16="http://schemas.microsoft.com/office/drawing/2014/main" id="{B55B4B48-90C3-4455-AC9E-1F192DFBA0A9}"/>
            </a:ext>
          </a:extLst>
        </xdr:cNvPr>
        <xdr:cNvSpPr txBox="1"/>
      </xdr:nvSpPr>
      <xdr:spPr>
        <a:xfrm>
          <a:off x="5838825" y="28098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28</xdr:row>
      <xdr:rowOff>152399</xdr:rowOff>
    </xdr:from>
    <xdr:to>
      <xdr:col>43</xdr:col>
      <xdr:colOff>0</xdr:colOff>
      <xdr:row>32</xdr:row>
      <xdr:rowOff>1</xdr:rowOff>
    </xdr:to>
    <xdr:sp macro="" textlink="'Event Tree Input'!A63">
      <xdr:nvSpPr>
        <xdr:cNvPr id="35" name="N4Title" hidden="1">
          <a:extLst>
            <a:ext uri="{FF2B5EF4-FFF2-40B4-BE49-F238E27FC236}">
              <a16:creationId xmlns:a16="http://schemas.microsoft.com/office/drawing/2014/main" id="{63C7F00A-2270-4B92-AFCB-D5E20B3CE987}"/>
            </a:ext>
          </a:extLst>
        </xdr:cNvPr>
        <xdr:cNvSpPr txBox="1"/>
      </xdr:nvSpPr>
      <xdr:spPr>
        <a:xfrm>
          <a:off x="7210424" y="22478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25</xdr:row>
      <xdr:rowOff>142874</xdr:rowOff>
    </xdr:from>
    <xdr:to>
      <xdr:col>49</xdr:col>
      <xdr:colOff>161925</xdr:colOff>
      <xdr:row>28</xdr:row>
      <xdr:rowOff>66674</xdr:rowOff>
    </xdr:to>
    <xdr:sp macro="" textlink="'Event Tree Input'!A77">
      <xdr:nvSpPr>
        <xdr:cNvPr id="36" name="N5Title" hidden="1">
          <a:extLst>
            <a:ext uri="{FF2B5EF4-FFF2-40B4-BE49-F238E27FC236}">
              <a16:creationId xmlns:a16="http://schemas.microsoft.com/office/drawing/2014/main" id="{09CEB453-9F3A-4BB2-A6D8-E31C377636EE}"/>
            </a:ext>
          </a:extLst>
        </xdr:cNvPr>
        <xdr:cNvSpPr txBox="1"/>
      </xdr:nvSpPr>
      <xdr:spPr>
        <a:xfrm>
          <a:off x="8629650" y="16668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22</xdr:row>
      <xdr:rowOff>142874</xdr:rowOff>
    </xdr:from>
    <xdr:to>
      <xdr:col>56</xdr:col>
      <xdr:colOff>161925</xdr:colOff>
      <xdr:row>25</xdr:row>
      <xdr:rowOff>66674</xdr:rowOff>
    </xdr:to>
    <xdr:sp macro="" textlink="'Event Tree Input'!A91">
      <xdr:nvSpPr>
        <xdr:cNvPr id="37" name="N6Title" hidden="1">
          <a:extLst>
            <a:ext uri="{FF2B5EF4-FFF2-40B4-BE49-F238E27FC236}">
              <a16:creationId xmlns:a16="http://schemas.microsoft.com/office/drawing/2014/main" id="{2B920A99-FAD4-432E-9B2D-8086FD310CDD}"/>
            </a:ext>
          </a:extLst>
        </xdr:cNvPr>
        <xdr:cNvSpPr txBox="1"/>
      </xdr:nvSpPr>
      <xdr:spPr>
        <a:xfrm>
          <a:off x="10029825" y="10953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30</xdr:row>
      <xdr:rowOff>142874</xdr:rowOff>
    </xdr:from>
    <xdr:to>
      <xdr:col>63</xdr:col>
      <xdr:colOff>161925</xdr:colOff>
      <xdr:row>33</xdr:row>
      <xdr:rowOff>66674</xdr:rowOff>
    </xdr:to>
    <xdr:sp macro="" textlink="'Event Tree Input'!A105">
      <xdr:nvSpPr>
        <xdr:cNvPr id="38" name="N7Title" hidden="1">
          <a:extLst>
            <a:ext uri="{FF2B5EF4-FFF2-40B4-BE49-F238E27FC236}">
              <a16:creationId xmlns:a16="http://schemas.microsoft.com/office/drawing/2014/main" id="{B5DB160B-44F9-4937-BA33-AF1124406E8F}"/>
            </a:ext>
          </a:extLst>
        </xdr:cNvPr>
        <xdr:cNvSpPr txBox="1"/>
      </xdr:nvSpPr>
      <xdr:spPr>
        <a:xfrm>
          <a:off x="11430000" y="2619374"/>
          <a:ext cx="1333500" cy="4953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22</xdr:row>
      <xdr:rowOff>166688</xdr:rowOff>
    </xdr:from>
    <xdr:to>
      <xdr:col>66</xdr:col>
      <xdr:colOff>133348</xdr:colOff>
      <xdr:row>24</xdr:row>
      <xdr:rowOff>35720</xdr:rowOff>
    </xdr:to>
    <xdr:sp macro="" textlink="">
      <xdr:nvSpPr>
        <xdr:cNvPr id="39" name="N9Callout" hidden="1">
          <a:extLst>
            <a:ext uri="{FF2B5EF4-FFF2-40B4-BE49-F238E27FC236}">
              <a16:creationId xmlns:a16="http://schemas.microsoft.com/office/drawing/2014/main" id="{43972A18-4AED-4581-9490-E423C25E579D}"/>
            </a:ext>
          </a:extLst>
        </xdr:cNvPr>
        <xdr:cNvSpPr txBox="1"/>
      </xdr:nvSpPr>
      <xdr:spPr>
        <a:xfrm>
          <a:off x="12084843" y="1119188"/>
          <a:ext cx="1250155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50</xdr:col>
      <xdr:colOff>59531</xdr:colOff>
      <xdr:row>27</xdr:row>
      <xdr:rowOff>95250</xdr:rowOff>
    </xdr:from>
    <xdr:to>
      <xdr:col>56</xdr:col>
      <xdr:colOff>166688</xdr:colOff>
      <xdr:row>29</xdr:row>
      <xdr:rowOff>23812</xdr:rowOff>
    </xdr:to>
    <xdr:sp macro="" textlink="">
      <xdr:nvSpPr>
        <xdr:cNvPr id="40" name="N7Callout" hidden="1">
          <a:extLst>
            <a:ext uri="{FF2B5EF4-FFF2-40B4-BE49-F238E27FC236}">
              <a16:creationId xmlns:a16="http://schemas.microsoft.com/office/drawing/2014/main" id="{855FC696-40D9-4D55-9A1D-1689E0080D8C}"/>
            </a:ext>
          </a:extLst>
        </xdr:cNvPr>
        <xdr:cNvSpPr txBox="1"/>
      </xdr:nvSpPr>
      <xdr:spPr>
        <a:xfrm>
          <a:off x="10060781" y="2000250"/>
          <a:ext cx="1307307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37</xdr:row>
      <xdr:rowOff>142876</xdr:rowOff>
    </xdr:from>
    <xdr:to>
      <xdr:col>61</xdr:col>
      <xdr:colOff>142875</xdr:colOff>
      <xdr:row>39</xdr:row>
      <xdr:rowOff>47626</xdr:rowOff>
    </xdr:to>
    <xdr:sp macro="" textlink="">
      <xdr:nvSpPr>
        <xdr:cNvPr id="42" name="N6Callout" hidden="1">
          <a:extLst>
            <a:ext uri="{FF2B5EF4-FFF2-40B4-BE49-F238E27FC236}">
              <a16:creationId xmlns:a16="http://schemas.microsoft.com/office/drawing/2014/main" id="{3BB884DA-888D-412C-AE5C-A8014FB1F6FD}"/>
            </a:ext>
          </a:extLst>
        </xdr:cNvPr>
        <xdr:cNvSpPr txBox="1"/>
      </xdr:nvSpPr>
      <xdr:spPr>
        <a:xfrm>
          <a:off x="11144249" y="3952876"/>
          <a:ext cx="1200151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32</xdr:row>
      <xdr:rowOff>142876</xdr:rowOff>
    </xdr:from>
    <xdr:to>
      <xdr:col>41</xdr:col>
      <xdr:colOff>83344</xdr:colOff>
      <xdr:row>34</xdr:row>
      <xdr:rowOff>71438</xdr:rowOff>
    </xdr:to>
    <xdr:sp macro="" textlink="">
      <xdr:nvSpPr>
        <xdr:cNvPr id="44" name="N5Callout" hidden="1">
          <a:extLst>
            <a:ext uri="{FF2B5EF4-FFF2-40B4-BE49-F238E27FC236}">
              <a16:creationId xmlns:a16="http://schemas.microsoft.com/office/drawing/2014/main" id="{015563E4-33A7-4087-BA99-772E1810A347}"/>
            </a:ext>
          </a:extLst>
        </xdr:cNvPr>
        <xdr:cNvSpPr txBox="1"/>
      </xdr:nvSpPr>
      <xdr:spPr>
        <a:xfrm>
          <a:off x="7024687" y="3000376"/>
          <a:ext cx="1259682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28</xdr:col>
      <xdr:colOff>64220</xdr:colOff>
      <xdr:row>38</xdr:row>
      <xdr:rowOff>52240</xdr:rowOff>
    </xdr:from>
    <xdr:to>
      <xdr:col>29</xdr:col>
      <xdr:colOff>138518</xdr:colOff>
      <xdr:row>39</xdr:row>
      <xdr:rowOff>136062</xdr:rowOff>
    </xdr:to>
    <xdr:sp macro="" textlink="">
      <xdr:nvSpPr>
        <xdr:cNvPr id="45" name="N3Num">
          <a:extLst>
            <a:ext uri="{FF2B5EF4-FFF2-40B4-BE49-F238E27FC236}">
              <a16:creationId xmlns:a16="http://schemas.microsoft.com/office/drawing/2014/main" id="{C508E566-64EA-4309-8104-9792DF0FAC2C}"/>
            </a:ext>
          </a:extLst>
        </xdr:cNvPr>
        <xdr:cNvSpPr>
          <a:spLocks noChangeAspect="1"/>
        </xdr:cNvSpPr>
      </xdr:nvSpPr>
      <xdr:spPr>
        <a:xfrm>
          <a:off x="5664920" y="4052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35</xdr:col>
      <xdr:colOff>64220</xdr:colOff>
      <xdr:row>35</xdr:row>
      <xdr:rowOff>52240</xdr:rowOff>
    </xdr:from>
    <xdr:to>
      <xdr:col>36</xdr:col>
      <xdr:colOff>138518</xdr:colOff>
      <xdr:row>36</xdr:row>
      <xdr:rowOff>136062</xdr:rowOff>
    </xdr:to>
    <xdr:sp macro="" textlink="">
      <xdr:nvSpPr>
        <xdr:cNvPr id="46" name="N4Num">
          <a:extLst>
            <a:ext uri="{FF2B5EF4-FFF2-40B4-BE49-F238E27FC236}">
              <a16:creationId xmlns:a16="http://schemas.microsoft.com/office/drawing/2014/main" id="{C53FFFE2-0A49-475F-B2B4-06DF32394D64}"/>
            </a:ext>
          </a:extLst>
        </xdr:cNvPr>
        <xdr:cNvSpPr>
          <a:spLocks noChangeAspect="1"/>
        </xdr:cNvSpPr>
      </xdr:nvSpPr>
      <xdr:spPr>
        <a:xfrm>
          <a:off x="7065095" y="3481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32</xdr:row>
      <xdr:rowOff>52240</xdr:rowOff>
    </xdr:from>
    <xdr:to>
      <xdr:col>43</xdr:col>
      <xdr:colOff>138518</xdr:colOff>
      <xdr:row>33</xdr:row>
      <xdr:rowOff>136062</xdr:rowOff>
    </xdr:to>
    <xdr:sp macro="" textlink="">
      <xdr:nvSpPr>
        <xdr:cNvPr id="47" name="N5Num">
          <a:extLst>
            <a:ext uri="{FF2B5EF4-FFF2-40B4-BE49-F238E27FC236}">
              <a16:creationId xmlns:a16="http://schemas.microsoft.com/office/drawing/2014/main" id="{AF5BFA0D-3D2B-4731-964B-BA55BAF5BEA9}"/>
            </a:ext>
          </a:extLst>
        </xdr:cNvPr>
        <xdr:cNvSpPr>
          <a:spLocks noChangeAspect="1"/>
        </xdr:cNvSpPr>
      </xdr:nvSpPr>
      <xdr:spPr>
        <a:xfrm>
          <a:off x="8465270" y="2909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29</xdr:row>
      <xdr:rowOff>52240</xdr:rowOff>
    </xdr:from>
    <xdr:to>
      <xdr:col>50</xdr:col>
      <xdr:colOff>138518</xdr:colOff>
      <xdr:row>30</xdr:row>
      <xdr:rowOff>136062</xdr:rowOff>
    </xdr:to>
    <xdr:sp macro="" textlink="">
      <xdr:nvSpPr>
        <xdr:cNvPr id="48" name="N6Num">
          <a:extLst>
            <a:ext uri="{FF2B5EF4-FFF2-40B4-BE49-F238E27FC236}">
              <a16:creationId xmlns:a16="http://schemas.microsoft.com/office/drawing/2014/main" id="{3AFA10EC-0347-4AD5-8395-17B4522AC47D}"/>
            </a:ext>
          </a:extLst>
        </xdr:cNvPr>
        <xdr:cNvSpPr>
          <a:spLocks noChangeAspect="1"/>
        </xdr:cNvSpPr>
      </xdr:nvSpPr>
      <xdr:spPr>
        <a:xfrm>
          <a:off x="9865445" y="2338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26</xdr:row>
      <xdr:rowOff>52240</xdr:rowOff>
    </xdr:from>
    <xdr:to>
      <xdr:col>57</xdr:col>
      <xdr:colOff>138518</xdr:colOff>
      <xdr:row>27</xdr:row>
      <xdr:rowOff>136062</xdr:rowOff>
    </xdr:to>
    <xdr:sp macro="" textlink="">
      <xdr:nvSpPr>
        <xdr:cNvPr id="49" name="N7Num">
          <a:extLst>
            <a:ext uri="{FF2B5EF4-FFF2-40B4-BE49-F238E27FC236}">
              <a16:creationId xmlns:a16="http://schemas.microsoft.com/office/drawing/2014/main" id="{D6C7A98B-C639-4542-82EE-51321773D12C}"/>
            </a:ext>
          </a:extLst>
        </xdr:cNvPr>
        <xdr:cNvSpPr>
          <a:spLocks noChangeAspect="1"/>
        </xdr:cNvSpPr>
      </xdr:nvSpPr>
      <xdr:spPr>
        <a:xfrm>
          <a:off x="11265620" y="1766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23</xdr:row>
      <xdr:rowOff>52240</xdr:rowOff>
    </xdr:from>
    <xdr:to>
      <xdr:col>64</xdr:col>
      <xdr:colOff>138518</xdr:colOff>
      <xdr:row>24</xdr:row>
      <xdr:rowOff>136062</xdr:rowOff>
    </xdr:to>
    <xdr:sp macro="" textlink="">
      <xdr:nvSpPr>
        <xdr:cNvPr id="50" name="N8Num" hidden="1">
          <a:extLst>
            <a:ext uri="{FF2B5EF4-FFF2-40B4-BE49-F238E27FC236}">
              <a16:creationId xmlns:a16="http://schemas.microsoft.com/office/drawing/2014/main" id="{6DC0A3B3-0421-4B21-AC14-EFDFA692B749}"/>
            </a:ext>
          </a:extLst>
        </xdr:cNvPr>
        <xdr:cNvSpPr>
          <a:spLocks noChangeAspect="1"/>
        </xdr:cNvSpPr>
      </xdr:nvSpPr>
      <xdr:spPr>
        <a:xfrm>
          <a:off x="12665795" y="119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35</xdr:col>
      <xdr:colOff>76200</xdr:colOff>
      <xdr:row>41</xdr:row>
      <xdr:rowOff>54695</xdr:rowOff>
    </xdr:from>
    <xdr:to>
      <xdr:col>36</xdr:col>
      <xdr:colOff>96889</xdr:colOff>
      <xdr:row>42</xdr:row>
      <xdr:rowOff>129748</xdr:rowOff>
    </xdr:to>
    <xdr:sp macro="" textlink="">
      <xdr:nvSpPr>
        <xdr:cNvPr id="51" name="N3B2Tri">
          <a:extLst>
            <a:ext uri="{FF2B5EF4-FFF2-40B4-BE49-F238E27FC236}">
              <a16:creationId xmlns:a16="http://schemas.microsoft.com/office/drawing/2014/main" id="{803381A2-A0C0-41E9-ACF3-E46BE4AA10A6}"/>
            </a:ext>
          </a:extLst>
        </xdr:cNvPr>
        <xdr:cNvSpPr/>
      </xdr:nvSpPr>
      <xdr:spPr>
        <a:xfrm rot="16200000">
          <a:off x="7054655" y="4649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38</xdr:row>
      <xdr:rowOff>54695</xdr:rowOff>
    </xdr:from>
    <xdr:to>
      <xdr:col>43</xdr:col>
      <xdr:colOff>96889</xdr:colOff>
      <xdr:row>39</xdr:row>
      <xdr:rowOff>129748</xdr:rowOff>
    </xdr:to>
    <xdr:sp macro="" textlink="">
      <xdr:nvSpPr>
        <xdr:cNvPr id="52" name="N4B2Tri">
          <a:extLst>
            <a:ext uri="{FF2B5EF4-FFF2-40B4-BE49-F238E27FC236}">
              <a16:creationId xmlns:a16="http://schemas.microsoft.com/office/drawing/2014/main" id="{3303B0F4-6293-4892-91CC-202CE49BA9D2}"/>
            </a:ext>
          </a:extLst>
        </xdr:cNvPr>
        <xdr:cNvSpPr/>
      </xdr:nvSpPr>
      <xdr:spPr>
        <a:xfrm rot="16200000">
          <a:off x="8454830" y="407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35</xdr:row>
      <xdr:rowOff>54695</xdr:rowOff>
    </xdr:from>
    <xdr:to>
      <xdr:col>50</xdr:col>
      <xdr:colOff>87364</xdr:colOff>
      <xdr:row>36</xdr:row>
      <xdr:rowOff>129748</xdr:rowOff>
    </xdr:to>
    <xdr:sp macro="" textlink="">
      <xdr:nvSpPr>
        <xdr:cNvPr id="53" name="N5B2Tri">
          <a:extLst>
            <a:ext uri="{FF2B5EF4-FFF2-40B4-BE49-F238E27FC236}">
              <a16:creationId xmlns:a16="http://schemas.microsoft.com/office/drawing/2014/main" id="{48AAADEB-77AF-4D05-B186-FDE4B3EA9482}"/>
            </a:ext>
          </a:extLst>
        </xdr:cNvPr>
        <xdr:cNvSpPr/>
      </xdr:nvSpPr>
      <xdr:spPr>
        <a:xfrm rot="16200000">
          <a:off x="9845480" y="3506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32</xdr:row>
      <xdr:rowOff>54695</xdr:rowOff>
    </xdr:from>
    <xdr:to>
      <xdr:col>57</xdr:col>
      <xdr:colOff>87364</xdr:colOff>
      <xdr:row>33</xdr:row>
      <xdr:rowOff>129748</xdr:rowOff>
    </xdr:to>
    <xdr:sp macro="" textlink="">
      <xdr:nvSpPr>
        <xdr:cNvPr id="54" name="N6B2Tri">
          <a:extLst>
            <a:ext uri="{FF2B5EF4-FFF2-40B4-BE49-F238E27FC236}">
              <a16:creationId xmlns:a16="http://schemas.microsoft.com/office/drawing/2014/main" id="{CABE8DF0-12D6-4BF0-8363-E103D2FC16CB}"/>
            </a:ext>
          </a:extLst>
        </xdr:cNvPr>
        <xdr:cNvSpPr/>
      </xdr:nvSpPr>
      <xdr:spPr>
        <a:xfrm rot="16200000">
          <a:off x="11245655" y="2934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29</xdr:row>
      <xdr:rowOff>54695</xdr:rowOff>
    </xdr:from>
    <xdr:to>
      <xdr:col>64</xdr:col>
      <xdr:colOff>87364</xdr:colOff>
      <xdr:row>30</xdr:row>
      <xdr:rowOff>129748</xdr:rowOff>
    </xdr:to>
    <xdr:sp macro="" textlink="">
      <xdr:nvSpPr>
        <xdr:cNvPr id="55" name="N7B2Tri">
          <a:extLst>
            <a:ext uri="{FF2B5EF4-FFF2-40B4-BE49-F238E27FC236}">
              <a16:creationId xmlns:a16="http://schemas.microsoft.com/office/drawing/2014/main" id="{C0574714-97D3-470C-8059-FD24686DCF06}"/>
            </a:ext>
          </a:extLst>
        </xdr:cNvPr>
        <xdr:cNvSpPr/>
      </xdr:nvSpPr>
      <xdr:spPr>
        <a:xfrm rot="16200000">
          <a:off x="12645830" y="2363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38</xdr:row>
      <xdr:rowOff>55150</xdr:rowOff>
    </xdr:from>
    <xdr:to>
      <xdr:col>29</xdr:col>
      <xdr:colOff>97957</xdr:colOff>
      <xdr:row>39</xdr:row>
      <xdr:rowOff>130204</xdr:rowOff>
    </xdr:to>
    <xdr:sp macro="" textlink="">
      <xdr:nvSpPr>
        <xdr:cNvPr id="56" name="N2B1Tri" hidden="1">
          <a:extLst>
            <a:ext uri="{FF2B5EF4-FFF2-40B4-BE49-F238E27FC236}">
              <a16:creationId xmlns:a16="http://schemas.microsoft.com/office/drawing/2014/main" id="{B27E2E31-5087-466B-A69B-0E7E8F229DD6}"/>
            </a:ext>
          </a:extLst>
        </xdr:cNvPr>
        <xdr:cNvSpPr/>
      </xdr:nvSpPr>
      <xdr:spPr>
        <a:xfrm rot="16200000">
          <a:off x="5655548" y="40780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35</xdr:row>
      <xdr:rowOff>55140</xdr:rowOff>
    </xdr:from>
    <xdr:to>
      <xdr:col>36</xdr:col>
      <xdr:colOff>97958</xdr:colOff>
      <xdr:row>36</xdr:row>
      <xdr:rowOff>130194</xdr:rowOff>
    </xdr:to>
    <xdr:sp macro="" textlink="">
      <xdr:nvSpPr>
        <xdr:cNvPr id="57" name="N3B1Tri" hidden="1">
          <a:extLst>
            <a:ext uri="{FF2B5EF4-FFF2-40B4-BE49-F238E27FC236}">
              <a16:creationId xmlns:a16="http://schemas.microsoft.com/office/drawing/2014/main" id="{73FAE22F-FD06-474D-967C-1ABBB679BB35}"/>
            </a:ext>
          </a:extLst>
        </xdr:cNvPr>
        <xdr:cNvSpPr/>
      </xdr:nvSpPr>
      <xdr:spPr>
        <a:xfrm rot="16200000">
          <a:off x="7055724" y="3506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32</xdr:row>
      <xdr:rowOff>55130</xdr:rowOff>
    </xdr:from>
    <xdr:to>
      <xdr:col>43</xdr:col>
      <xdr:colOff>97959</xdr:colOff>
      <xdr:row>33</xdr:row>
      <xdr:rowOff>130184</xdr:rowOff>
    </xdr:to>
    <xdr:sp macro="" textlink="">
      <xdr:nvSpPr>
        <xdr:cNvPr id="68" name="N4B1Tri" hidden="1">
          <a:extLst>
            <a:ext uri="{FF2B5EF4-FFF2-40B4-BE49-F238E27FC236}">
              <a16:creationId xmlns:a16="http://schemas.microsoft.com/office/drawing/2014/main" id="{B1BFE378-21E1-49E0-9250-739EF0CE5C89}"/>
            </a:ext>
          </a:extLst>
        </xdr:cNvPr>
        <xdr:cNvSpPr/>
      </xdr:nvSpPr>
      <xdr:spPr>
        <a:xfrm rot="16200000">
          <a:off x="8455900" y="29350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29</xdr:row>
      <xdr:rowOff>55117</xdr:rowOff>
    </xdr:from>
    <xdr:to>
      <xdr:col>50</xdr:col>
      <xdr:colOff>88435</xdr:colOff>
      <xdr:row>30</xdr:row>
      <xdr:rowOff>130171</xdr:rowOff>
    </xdr:to>
    <xdr:sp macro="" textlink="">
      <xdr:nvSpPr>
        <xdr:cNvPr id="69" name="N5B1Tri" hidden="1">
          <a:extLst>
            <a:ext uri="{FF2B5EF4-FFF2-40B4-BE49-F238E27FC236}">
              <a16:creationId xmlns:a16="http://schemas.microsoft.com/office/drawing/2014/main" id="{97C9A4B2-CECF-4B2E-A6AD-AF98F4599C40}"/>
            </a:ext>
          </a:extLst>
        </xdr:cNvPr>
        <xdr:cNvSpPr/>
      </xdr:nvSpPr>
      <xdr:spPr>
        <a:xfrm rot="16200000">
          <a:off x="9846551" y="23635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26</xdr:row>
      <xdr:rowOff>55101</xdr:rowOff>
    </xdr:from>
    <xdr:to>
      <xdr:col>57</xdr:col>
      <xdr:colOff>88436</xdr:colOff>
      <xdr:row>27</xdr:row>
      <xdr:rowOff>130155</xdr:rowOff>
    </xdr:to>
    <xdr:sp macro="" textlink="">
      <xdr:nvSpPr>
        <xdr:cNvPr id="70" name="N6B1Tri" hidden="1">
          <a:extLst>
            <a:ext uri="{FF2B5EF4-FFF2-40B4-BE49-F238E27FC236}">
              <a16:creationId xmlns:a16="http://schemas.microsoft.com/office/drawing/2014/main" id="{1C16B744-70A5-49A2-B03F-8980ADD881A7}"/>
            </a:ext>
          </a:extLst>
        </xdr:cNvPr>
        <xdr:cNvSpPr/>
      </xdr:nvSpPr>
      <xdr:spPr>
        <a:xfrm rot="16200000">
          <a:off x="11246727" y="1792021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23</xdr:row>
      <xdr:rowOff>55085</xdr:rowOff>
    </xdr:from>
    <xdr:to>
      <xdr:col>64</xdr:col>
      <xdr:colOff>88437</xdr:colOff>
      <xdr:row>24</xdr:row>
      <xdr:rowOff>130139</xdr:rowOff>
    </xdr:to>
    <xdr:sp macro="" textlink="">
      <xdr:nvSpPr>
        <xdr:cNvPr id="71" name="N7B1Tri">
          <a:extLst>
            <a:ext uri="{FF2B5EF4-FFF2-40B4-BE49-F238E27FC236}">
              <a16:creationId xmlns:a16="http://schemas.microsoft.com/office/drawing/2014/main" id="{E5866495-0603-47D2-9E62-2B9713314307}"/>
            </a:ext>
          </a:extLst>
        </xdr:cNvPr>
        <xdr:cNvSpPr/>
      </xdr:nvSpPr>
      <xdr:spPr>
        <a:xfrm rot="16200000">
          <a:off x="12646903" y="1220505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176212</xdr:colOff>
      <xdr:row>27</xdr:row>
      <xdr:rowOff>38100</xdr:rowOff>
    </xdr:from>
    <xdr:to>
      <xdr:col>56</xdr:col>
      <xdr:colOff>100774</xdr:colOff>
      <xdr:row>32</xdr:row>
      <xdr:rowOff>152400</xdr:rowOff>
    </xdr:to>
    <xdr:sp macro="" textlink="'Event Tree Input'!A94">
      <xdr:nvSpPr>
        <xdr:cNvPr id="75" name="N6Descr">
          <a:extLst>
            <a:ext uri="{FF2B5EF4-FFF2-40B4-BE49-F238E27FC236}">
              <a16:creationId xmlns:a16="http://schemas.microsoft.com/office/drawing/2014/main" id="{1D13ADC0-047E-426C-8680-6E07B90B29EA}"/>
            </a:ext>
          </a:extLst>
        </xdr:cNvPr>
        <xdr:cNvSpPr txBox="1"/>
      </xdr:nvSpPr>
      <xdr:spPr>
        <a:xfrm>
          <a:off x="10177462" y="194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24</xdr:row>
      <xdr:rowOff>38100</xdr:rowOff>
    </xdr:from>
    <xdr:to>
      <xdr:col>63</xdr:col>
      <xdr:colOff>103156</xdr:colOff>
      <xdr:row>29</xdr:row>
      <xdr:rowOff>152400</xdr:rowOff>
    </xdr:to>
    <xdr:sp macro="" textlink="'Event Tree Input'!A108">
      <xdr:nvSpPr>
        <xdr:cNvPr id="76" name="N7Descr">
          <a:extLst>
            <a:ext uri="{FF2B5EF4-FFF2-40B4-BE49-F238E27FC236}">
              <a16:creationId xmlns:a16="http://schemas.microsoft.com/office/drawing/2014/main" id="{99BFE0E7-F076-48B9-8DBB-DFADAA3E0006}"/>
            </a:ext>
          </a:extLst>
        </xdr:cNvPr>
        <xdr:cNvSpPr txBox="1"/>
      </xdr:nvSpPr>
      <xdr:spPr>
        <a:xfrm>
          <a:off x="11580019" y="137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Pile connection failure causes excessive monolith movement or instability leading to complete wall breach?</a:t>
          </a:fld>
          <a:endParaRPr lang="en-US" sz="1100"/>
        </a:p>
      </xdr:txBody>
    </xdr:sp>
    <xdr:clientData/>
  </xdr:twoCellAnchor>
  <xdr:twoCellAnchor>
    <xdr:from>
      <xdr:col>41</xdr:col>
      <xdr:colOff>83345</xdr:colOff>
      <xdr:row>22</xdr:row>
      <xdr:rowOff>107157</xdr:rowOff>
    </xdr:from>
    <xdr:to>
      <xdr:col>46</xdr:col>
      <xdr:colOff>95251</xdr:colOff>
      <xdr:row>25</xdr:row>
      <xdr:rowOff>142874</xdr:rowOff>
    </xdr:to>
    <xdr:cxnSp macro="">
      <xdr:nvCxnSpPr>
        <xdr:cNvPr id="94" name="N5Arrow" hidden="1">
          <a:extLst>
            <a:ext uri="{FF2B5EF4-FFF2-40B4-BE49-F238E27FC236}">
              <a16:creationId xmlns:a16="http://schemas.microsoft.com/office/drawing/2014/main" id="{7D4CA0A0-DECD-44EF-B806-60ADF4A1BE68}"/>
            </a:ext>
          </a:extLst>
        </xdr:cNvPr>
        <xdr:cNvCxnSpPr>
          <a:stCxn id="36" idx="0"/>
          <a:endCxn id="44" idx="3"/>
        </xdr:cNvCxnSpPr>
      </xdr:nvCxnSpPr>
      <xdr:spPr>
        <a:xfrm rot="16200000" flipV="1">
          <a:off x="8486777" y="857250"/>
          <a:ext cx="607217" cy="101203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28</xdr:row>
      <xdr:rowOff>77390</xdr:rowOff>
    </xdr:from>
    <xdr:to>
      <xdr:col>32</xdr:col>
      <xdr:colOff>104775</xdr:colOff>
      <xdr:row>31</xdr:row>
      <xdr:rowOff>142874</xdr:rowOff>
    </xdr:to>
    <xdr:cxnSp macro="">
      <xdr:nvCxnSpPr>
        <xdr:cNvPr id="95" name="N3Arrow" hidden="1">
          <a:extLst>
            <a:ext uri="{FF2B5EF4-FFF2-40B4-BE49-F238E27FC236}">
              <a16:creationId xmlns:a16="http://schemas.microsoft.com/office/drawing/2014/main" id="{46A46946-BE9F-4590-801E-D1D3D798F127}"/>
            </a:ext>
          </a:extLst>
        </xdr:cNvPr>
        <xdr:cNvCxnSpPr>
          <a:stCxn id="34" idx="0"/>
        </xdr:cNvCxnSpPr>
      </xdr:nvCxnSpPr>
      <xdr:spPr>
        <a:xfrm rot="16200000" flipV="1">
          <a:off x="5834658" y="2138957"/>
          <a:ext cx="636984" cy="704850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38</xdr:row>
      <xdr:rowOff>11906</xdr:rowOff>
    </xdr:from>
    <xdr:to>
      <xdr:col>40</xdr:col>
      <xdr:colOff>95251</xdr:colOff>
      <xdr:row>43</xdr:row>
      <xdr:rowOff>160734</xdr:rowOff>
    </xdr:to>
    <xdr:cxnSp macro="">
      <xdr:nvCxnSpPr>
        <xdr:cNvPr id="96" name="N4Arrow" hidden="1">
          <a:extLst>
            <a:ext uri="{FF2B5EF4-FFF2-40B4-BE49-F238E27FC236}">
              <a16:creationId xmlns:a16="http://schemas.microsoft.com/office/drawing/2014/main" id="{9C2B83B4-CB55-4C7D-8F82-F4ECDB357E55}"/>
            </a:ext>
          </a:extLst>
        </xdr:cNvPr>
        <xdr:cNvCxnSpPr/>
      </xdr:nvCxnSpPr>
      <xdr:spPr>
        <a:xfrm rot="16200000" flipH="1">
          <a:off x="7339608" y="4357090"/>
          <a:ext cx="1101328" cy="41195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32</xdr:row>
      <xdr:rowOff>30161</xdr:rowOff>
    </xdr:from>
    <xdr:to>
      <xdr:col>55</xdr:col>
      <xdr:colOff>142873</xdr:colOff>
      <xdr:row>38</xdr:row>
      <xdr:rowOff>95251</xdr:rowOff>
    </xdr:to>
    <xdr:cxnSp macro="">
      <xdr:nvCxnSpPr>
        <xdr:cNvPr id="97" name="N6Arrow" hidden="1">
          <a:extLst>
            <a:ext uri="{FF2B5EF4-FFF2-40B4-BE49-F238E27FC236}">
              <a16:creationId xmlns:a16="http://schemas.microsoft.com/office/drawing/2014/main" id="{37117012-D06B-414B-A92D-FEE3FD2B72B0}"/>
            </a:ext>
          </a:extLst>
        </xdr:cNvPr>
        <xdr:cNvCxnSpPr>
          <a:endCxn id="42" idx="1"/>
        </xdr:cNvCxnSpPr>
      </xdr:nvCxnSpPr>
      <xdr:spPr>
        <a:xfrm rot="16200000" flipH="1">
          <a:off x="10255249" y="3206751"/>
          <a:ext cx="1208090" cy="56990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28</xdr:row>
      <xdr:rowOff>59531</xdr:rowOff>
    </xdr:from>
    <xdr:to>
      <xdr:col>60</xdr:col>
      <xdr:colOff>95251</xdr:colOff>
      <xdr:row>30</xdr:row>
      <xdr:rowOff>142874</xdr:rowOff>
    </xdr:to>
    <xdr:cxnSp macro="">
      <xdr:nvCxnSpPr>
        <xdr:cNvPr id="98" name="N7Arrow" hidden="1">
          <a:extLst>
            <a:ext uri="{FF2B5EF4-FFF2-40B4-BE49-F238E27FC236}">
              <a16:creationId xmlns:a16="http://schemas.microsoft.com/office/drawing/2014/main" id="{BF8E776D-A1A3-408A-AF44-3416CA6B7B15}"/>
            </a:ext>
          </a:extLst>
        </xdr:cNvPr>
        <xdr:cNvCxnSpPr>
          <a:stCxn id="38" idx="0"/>
          <a:endCxn id="40" idx="3"/>
        </xdr:cNvCxnSpPr>
      </xdr:nvCxnSpPr>
      <xdr:spPr>
        <a:xfrm rot="16200000" flipV="1">
          <a:off x="11500248" y="2022872"/>
          <a:ext cx="464343" cy="72866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29</xdr:col>
      <xdr:colOff>171449</xdr:colOff>
      <xdr:row>36</xdr:row>
      <xdr:rowOff>47626</xdr:rowOff>
    </xdr:from>
    <xdr:ext cx="1133475" cy="1069848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85BC7C99-4C33-48BF-9DAF-B9D7F146B341}"/>
            </a:ext>
          </a:extLst>
        </xdr:cNvPr>
        <xdr:cNvSpPr txBox="1"/>
      </xdr:nvSpPr>
      <xdr:spPr>
        <a:xfrm>
          <a:off x="5972174" y="6905626"/>
          <a:ext cx="1133475" cy="10698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36576" tIns="0" rIns="0" bIns="0" rtlCol="0" anchor="ctr" anchorCtr="0">
          <a:noAutofit/>
        </a:bodyPr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The internal tension, moment, or shear force increases and a critical section in the concrete pile cap cracks?</a:t>
          </a:r>
        </a:p>
      </xdr:txBody>
    </xdr:sp>
    <xdr:clientData/>
  </xdr:oneCellAnchor>
  <xdr:oneCellAnchor>
    <xdr:from>
      <xdr:col>36</xdr:col>
      <xdr:colOff>171449</xdr:colOff>
      <xdr:row>33</xdr:row>
      <xdr:rowOff>47626</xdr:rowOff>
    </xdr:from>
    <xdr:ext cx="1133475" cy="1069848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A12C019C-70E2-43E0-BC9D-1E69E02D41C5}"/>
            </a:ext>
          </a:extLst>
        </xdr:cNvPr>
        <xdr:cNvSpPr txBox="1"/>
      </xdr:nvSpPr>
      <xdr:spPr>
        <a:xfrm>
          <a:off x="7372349" y="6334126"/>
          <a:ext cx="1133475" cy="10698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36576" tIns="0" rIns="0" bIns="0" rtlCol="0" anchor="ctr" anchorCtr="0">
          <a:noAutofit/>
        </a:bodyPr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The reinforcement across the crack yields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causing excessive displacement?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43</xdr:col>
      <xdr:colOff>180974</xdr:colOff>
      <xdr:row>30</xdr:row>
      <xdr:rowOff>47626</xdr:rowOff>
    </xdr:from>
    <xdr:ext cx="1133475" cy="1069848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BA05DDB1-3544-43B3-9B69-55675BA60EEE}"/>
            </a:ext>
          </a:extLst>
        </xdr:cNvPr>
        <xdr:cNvSpPr txBox="1"/>
      </xdr:nvSpPr>
      <xdr:spPr>
        <a:xfrm>
          <a:off x="8782049" y="5762626"/>
          <a:ext cx="1133475" cy="10698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36576" tIns="0" rIns="0" bIns="0" rtlCol="0" anchor="ctr" anchorCtr="0">
          <a:noAutofit/>
        </a:bodyPr>
        <a:lstStyle/>
        <a:p>
          <a:pPr algn="l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As displacement continues, the reinforcement fractures and leads to failure of the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pile connection by pull-out?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7"/>
      <c r="C1" s="47"/>
      <c r="D1" s="47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7"/>
      <c r="C2" s="47"/>
      <c r="D2" s="47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8"/>
      <c r="D3" s="48"/>
      <c r="E3" s="48"/>
      <c r="F3" s="48"/>
      <c r="G3" s="48"/>
      <c r="H3" s="48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31"/>
      <c r="B6" s="30"/>
      <c r="C6" s="30"/>
      <c r="D6" s="30"/>
      <c r="E6" s="30"/>
      <c r="F6" s="30"/>
      <c r="G6" s="30"/>
      <c r="H6" s="30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9" t="s">
        <v>56</v>
      </c>
      <c r="E9" s="49"/>
      <c r="F9" s="23" t="s">
        <v>28</v>
      </c>
      <c r="G9" s="49"/>
      <c r="H9" s="49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55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6"/>
      <c r="B21" s="46"/>
      <c r="C21" s="46"/>
      <c r="D21" s="46"/>
      <c r="E21" s="46"/>
      <c r="F21" s="46"/>
      <c r="G21" s="46"/>
      <c r="H21" s="46"/>
    </row>
    <row r="22" spans="1:9" ht="8.1" customHeight="1" x14ac:dyDescent="0.2">
      <c r="A22" s="20"/>
      <c r="B22" s="20"/>
      <c r="C22" s="20"/>
      <c r="D22" s="20"/>
      <c r="E22" s="20"/>
      <c r="F22" s="20"/>
      <c r="G22" s="20"/>
      <c r="H22" s="2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6" t="s">
        <v>58</v>
      </c>
      <c r="B24" s="46"/>
      <c r="C24" s="46"/>
      <c r="D24" s="46"/>
      <c r="E24" s="46"/>
      <c r="F24" s="46"/>
      <c r="G24" s="46"/>
      <c r="H24" s="46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6" t="s">
        <v>38</v>
      </c>
      <c r="B27" s="46"/>
      <c r="C27" s="46"/>
      <c r="D27" s="46"/>
      <c r="E27" s="46"/>
      <c r="F27" s="46"/>
      <c r="G27" s="46"/>
      <c r="H27" s="46"/>
      <c r="I27" s="8"/>
    </row>
    <row r="28" spans="1:9" ht="12.75" customHeight="1" x14ac:dyDescent="0.2">
      <c r="A28" s="46"/>
      <c r="B28" s="46"/>
      <c r="C28" s="46"/>
      <c r="D28" s="46"/>
      <c r="E28" s="46"/>
      <c r="F28" s="46"/>
      <c r="G28" s="46"/>
      <c r="H28" s="46"/>
    </row>
    <row r="29" spans="1:9" ht="12.75" customHeight="1" x14ac:dyDescent="0.2">
      <c r="A29" s="46"/>
      <c r="B29" s="46"/>
      <c r="C29" s="46"/>
      <c r="D29" s="46"/>
      <c r="E29" s="46"/>
      <c r="F29" s="46"/>
      <c r="G29" s="46"/>
      <c r="H29" s="46"/>
    </row>
    <row r="30" spans="1:9" ht="12.75" customHeight="1" x14ac:dyDescent="0.2">
      <c r="A30" s="46"/>
      <c r="B30" s="46"/>
      <c r="C30" s="46"/>
      <c r="D30" s="46"/>
      <c r="E30" s="46"/>
      <c r="F30" s="46"/>
      <c r="G30" s="46"/>
      <c r="H30" s="46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6"/>
      <c r="B35" s="46"/>
      <c r="C35" s="46"/>
      <c r="D35" s="46"/>
      <c r="E35" s="46"/>
      <c r="F35" s="46"/>
      <c r="G35" s="46"/>
      <c r="H35" s="46"/>
    </row>
    <row r="36" spans="1:9" ht="8.1" customHeight="1" x14ac:dyDescent="0.2">
      <c r="A36" s="20"/>
      <c r="B36" s="20"/>
      <c r="C36" s="20"/>
      <c r="D36" s="20"/>
      <c r="E36" s="20"/>
      <c r="F36" s="20"/>
      <c r="G36" s="20"/>
      <c r="H36" s="2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6" t="s">
        <v>57</v>
      </c>
      <c r="B38" s="46"/>
      <c r="C38" s="46"/>
      <c r="D38" s="46"/>
      <c r="E38" s="46"/>
      <c r="F38" s="46"/>
      <c r="G38" s="46"/>
      <c r="H38" s="46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6" t="s">
        <v>39</v>
      </c>
      <c r="B41" s="46"/>
      <c r="C41" s="46"/>
      <c r="D41" s="46"/>
      <c r="E41" s="46"/>
      <c r="F41" s="46"/>
      <c r="G41" s="46"/>
      <c r="H41" s="46"/>
      <c r="I41" s="8"/>
    </row>
    <row r="42" spans="1:9" ht="12.75" customHeight="1" x14ac:dyDescent="0.2">
      <c r="A42" s="46"/>
      <c r="B42" s="46"/>
      <c r="C42" s="46"/>
      <c r="D42" s="46"/>
      <c r="E42" s="46"/>
      <c r="F42" s="46"/>
      <c r="G42" s="46"/>
      <c r="H42" s="46"/>
    </row>
    <row r="43" spans="1:9" ht="12.75" customHeight="1" x14ac:dyDescent="0.2">
      <c r="A43" s="46"/>
      <c r="B43" s="46"/>
      <c r="C43" s="46"/>
      <c r="D43" s="46"/>
      <c r="E43" s="46"/>
      <c r="F43" s="46"/>
      <c r="G43" s="46"/>
      <c r="H43" s="46"/>
    </row>
    <row r="44" spans="1:9" ht="12.75" customHeight="1" x14ac:dyDescent="0.2">
      <c r="A44" s="46"/>
      <c r="B44" s="46"/>
      <c r="C44" s="46"/>
      <c r="D44" s="46"/>
      <c r="E44" s="46"/>
      <c r="F44" s="46"/>
      <c r="G44" s="46"/>
      <c r="H44" s="46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6"/>
      <c r="B49" s="46"/>
      <c r="C49" s="46"/>
      <c r="D49" s="46"/>
      <c r="E49" s="46"/>
      <c r="F49" s="46"/>
      <c r="G49" s="46"/>
      <c r="H49" s="46"/>
    </row>
    <row r="50" spans="1:9" ht="8.1" customHeight="1" x14ac:dyDescent="0.2">
      <c r="A50" s="20"/>
      <c r="B50" s="20"/>
      <c r="C50" s="20"/>
      <c r="D50" s="20"/>
      <c r="E50" s="20"/>
      <c r="F50" s="20"/>
      <c r="G50" s="20"/>
      <c r="H50" s="2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6" t="s">
        <v>59</v>
      </c>
      <c r="B52" s="46"/>
      <c r="C52" s="46"/>
      <c r="D52" s="46"/>
      <c r="E52" s="46"/>
      <c r="F52" s="46"/>
      <c r="G52" s="46"/>
      <c r="H52" s="46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6" t="s">
        <v>40</v>
      </c>
      <c r="B55" s="46"/>
      <c r="C55" s="46"/>
      <c r="D55" s="46"/>
      <c r="E55" s="46"/>
      <c r="F55" s="46"/>
      <c r="G55" s="46"/>
      <c r="H55" s="46"/>
      <c r="I55" s="8"/>
    </row>
    <row r="56" spans="1:9" ht="12.75" customHeight="1" x14ac:dyDescent="0.2">
      <c r="A56" s="46"/>
      <c r="B56" s="46"/>
      <c r="C56" s="46"/>
      <c r="D56" s="46"/>
      <c r="E56" s="46"/>
      <c r="F56" s="46"/>
      <c r="G56" s="46"/>
      <c r="H56" s="46"/>
    </row>
    <row r="57" spans="1:9" ht="12.75" customHeight="1" x14ac:dyDescent="0.2">
      <c r="A57" s="46"/>
      <c r="B57" s="46"/>
      <c r="C57" s="46"/>
      <c r="D57" s="46"/>
      <c r="E57" s="46"/>
      <c r="F57" s="46"/>
      <c r="G57" s="46"/>
      <c r="H57" s="46"/>
    </row>
    <row r="58" spans="1:9" ht="12.75" customHeight="1" x14ac:dyDescent="0.2">
      <c r="A58" s="46"/>
      <c r="B58" s="46"/>
      <c r="C58" s="46"/>
      <c r="D58" s="46"/>
      <c r="E58" s="46"/>
      <c r="F58" s="46"/>
      <c r="G58" s="46"/>
      <c r="H58" s="46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6"/>
      <c r="B63" s="46"/>
      <c r="C63" s="46"/>
      <c r="D63" s="46"/>
      <c r="E63" s="46"/>
      <c r="F63" s="46"/>
      <c r="G63" s="46"/>
      <c r="H63" s="46"/>
    </row>
    <row r="64" spans="1:9" ht="8.1" customHeight="1" x14ac:dyDescent="0.2">
      <c r="A64" s="20"/>
      <c r="B64" s="20"/>
      <c r="C64" s="20"/>
      <c r="D64" s="20"/>
      <c r="E64" s="20"/>
      <c r="F64" s="20"/>
      <c r="G64" s="20"/>
      <c r="H64" s="2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6" t="s">
        <v>60</v>
      </c>
      <c r="B66" s="46"/>
      <c r="C66" s="46"/>
      <c r="D66" s="46"/>
      <c r="E66" s="46"/>
      <c r="F66" s="46"/>
      <c r="G66" s="46"/>
      <c r="H66" s="46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6" t="s">
        <v>41</v>
      </c>
      <c r="B69" s="46"/>
      <c r="C69" s="46"/>
      <c r="D69" s="46"/>
      <c r="E69" s="46"/>
      <c r="F69" s="46"/>
      <c r="G69" s="46"/>
      <c r="H69" s="46"/>
      <c r="I69" s="8"/>
    </row>
    <row r="70" spans="1:9" ht="12.75" customHeight="1" x14ac:dyDescent="0.2">
      <c r="A70" s="46"/>
      <c r="B70" s="46"/>
      <c r="C70" s="46"/>
      <c r="D70" s="46"/>
      <c r="E70" s="46"/>
      <c r="F70" s="46"/>
      <c r="G70" s="46"/>
      <c r="H70" s="46"/>
    </row>
    <row r="71" spans="1:9" ht="12.75" customHeight="1" x14ac:dyDescent="0.2">
      <c r="A71" s="46"/>
      <c r="B71" s="46"/>
      <c r="C71" s="46"/>
      <c r="D71" s="46"/>
      <c r="E71" s="46"/>
      <c r="F71" s="46"/>
      <c r="G71" s="46"/>
      <c r="H71" s="46"/>
    </row>
    <row r="72" spans="1:9" ht="12.75" customHeight="1" x14ac:dyDescent="0.2">
      <c r="A72" s="46"/>
      <c r="B72" s="46"/>
      <c r="C72" s="46"/>
      <c r="D72" s="46"/>
      <c r="E72" s="46"/>
      <c r="F72" s="46"/>
      <c r="G72" s="46"/>
      <c r="H72" s="46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6"/>
      <c r="B77" s="46"/>
      <c r="C77" s="46"/>
      <c r="D77" s="46"/>
      <c r="E77" s="46"/>
      <c r="F77" s="46"/>
      <c r="G77" s="46"/>
      <c r="H77" s="46"/>
    </row>
    <row r="78" spans="1:9" ht="8.1" customHeight="1" x14ac:dyDescent="0.2">
      <c r="A78" s="20"/>
      <c r="B78" s="20"/>
      <c r="C78" s="20"/>
      <c r="D78" s="20"/>
      <c r="E78" s="20"/>
      <c r="F78" s="20"/>
      <c r="G78" s="20"/>
      <c r="H78" s="2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6" t="s">
        <v>61</v>
      </c>
      <c r="B80" s="46"/>
      <c r="C80" s="46"/>
      <c r="D80" s="46"/>
      <c r="E80" s="46"/>
      <c r="F80" s="46"/>
      <c r="G80" s="46"/>
      <c r="H80" s="46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6" t="s">
        <v>42</v>
      </c>
      <c r="B83" s="46"/>
      <c r="C83" s="46"/>
      <c r="D83" s="46"/>
      <c r="E83" s="46"/>
      <c r="F83" s="46"/>
      <c r="G83" s="46"/>
      <c r="H83" s="46"/>
      <c r="I83" s="8"/>
    </row>
    <row r="84" spans="1:9" ht="12.75" customHeight="1" x14ac:dyDescent="0.2">
      <c r="A84" s="46"/>
      <c r="B84" s="46"/>
      <c r="C84" s="46"/>
      <c r="D84" s="46"/>
      <c r="E84" s="46"/>
      <c r="F84" s="46"/>
      <c r="G84" s="46"/>
      <c r="H84" s="46"/>
    </row>
    <row r="85" spans="1:9" ht="12.75" customHeight="1" x14ac:dyDescent="0.2">
      <c r="A85" s="46"/>
      <c r="B85" s="46"/>
      <c r="C85" s="46"/>
      <c r="D85" s="46"/>
      <c r="E85" s="46"/>
      <c r="F85" s="46"/>
      <c r="G85" s="46"/>
      <c r="H85" s="46"/>
    </row>
    <row r="86" spans="1:9" ht="12.75" customHeight="1" x14ac:dyDescent="0.2">
      <c r="A86" s="46"/>
      <c r="B86" s="46"/>
      <c r="C86" s="46"/>
      <c r="D86" s="46"/>
      <c r="E86" s="46"/>
      <c r="F86" s="46"/>
      <c r="G86" s="46"/>
      <c r="H86" s="46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6"/>
      <c r="B91" s="46"/>
      <c r="C91" s="46"/>
      <c r="D91" s="46"/>
      <c r="E91" s="46"/>
      <c r="F91" s="46"/>
      <c r="G91" s="46"/>
      <c r="H91" s="46"/>
    </row>
    <row r="92" spans="1:9" ht="8.1" customHeight="1" x14ac:dyDescent="0.2">
      <c r="A92" s="20"/>
      <c r="B92" s="20"/>
      <c r="C92" s="20"/>
      <c r="D92" s="20"/>
      <c r="E92" s="20"/>
      <c r="F92" s="20"/>
      <c r="G92" s="20"/>
      <c r="H92" s="2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6" t="s">
        <v>54</v>
      </c>
      <c r="B94" s="46"/>
      <c r="C94" s="46"/>
      <c r="D94" s="46"/>
      <c r="E94" s="46"/>
      <c r="F94" s="46"/>
      <c r="G94" s="46"/>
      <c r="H94" s="46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6" t="s">
        <v>43</v>
      </c>
      <c r="B97" s="46"/>
      <c r="C97" s="46"/>
      <c r="D97" s="46"/>
      <c r="E97" s="46"/>
      <c r="F97" s="46"/>
      <c r="G97" s="46"/>
      <c r="H97" s="46"/>
      <c r="I97" s="8"/>
    </row>
    <row r="98" spans="1:15" ht="12.75" customHeight="1" x14ac:dyDescent="0.2">
      <c r="A98" s="46"/>
      <c r="B98" s="46"/>
      <c r="C98" s="46"/>
      <c r="D98" s="46"/>
      <c r="E98" s="46"/>
      <c r="F98" s="46"/>
      <c r="G98" s="46"/>
      <c r="H98" s="46"/>
    </row>
    <row r="99" spans="1:15" ht="12.75" customHeight="1" x14ac:dyDescent="0.2">
      <c r="A99" s="46"/>
      <c r="B99" s="46"/>
      <c r="C99" s="46"/>
      <c r="D99" s="46"/>
      <c r="E99" s="46"/>
      <c r="F99" s="46"/>
      <c r="G99" s="46"/>
      <c r="H99" s="46"/>
    </row>
    <row r="100" spans="1:15" ht="12.75" customHeight="1" x14ac:dyDescent="0.2">
      <c r="A100" s="46"/>
      <c r="B100" s="46"/>
      <c r="C100" s="46"/>
      <c r="D100" s="46"/>
      <c r="E100" s="46"/>
      <c r="F100" s="46"/>
      <c r="G100" s="46"/>
      <c r="H100" s="46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6"/>
      <c r="B105" s="46"/>
      <c r="C105" s="46"/>
      <c r="D105" s="46"/>
      <c r="E105" s="46"/>
      <c r="F105" s="46"/>
      <c r="G105" s="46"/>
      <c r="H105" s="46"/>
    </row>
    <row r="106" spans="1:15" ht="8.1" customHeight="1" x14ac:dyDescent="0.2">
      <c r="A106" s="20"/>
      <c r="B106" s="20"/>
      <c r="C106" s="20"/>
      <c r="D106" s="20"/>
      <c r="E106" s="20"/>
      <c r="F106" s="20"/>
      <c r="G106" s="20"/>
      <c r="H106" s="2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6" t="s">
        <v>62</v>
      </c>
      <c r="B108" s="46"/>
      <c r="C108" s="46"/>
      <c r="D108" s="46"/>
      <c r="E108" s="46"/>
      <c r="F108" s="46"/>
      <c r="G108" s="46"/>
      <c r="H108" s="46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6" t="s">
        <v>44</v>
      </c>
      <c r="B111" s="46"/>
      <c r="C111" s="46"/>
      <c r="D111" s="46"/>
      <c r="E111" s="46"/>
      <c r="F111" s="46"/>
      <c r="G111" s="46"/>
      <c r="H111" s="46"/>
      <c r="I111" s="8"/>
      <c r="O111" s="27"/>
    </row>
    <row r="112" spans="1:15" ht="12.75" customHeight="1" x14ac:dyDescent="0.2">
      <c r="A112" s="46"/>
      <c r="B112" s="46"/>
      <c r="C112" s="46"/>
      <c r="D112" s="46"/>
      <c r="E112" s="46"/>
      <c r="F112" s="46"/>
      <c r="G112" s="46"/>
      <c r="H112" s="46"/>
    </row>
    <row r="113" spans="1:9" ht="12.75" customHeight="1" x14ac:dyDescent="0.2">
      <c r="A113" s="46"/>
      <c r="B113" s="46"/>
      <c r="C113" s="46"/>
      <c r="D113" s="46"/>
      <c r="E113" s="46"/>
      <c r="F113" s="46"/>
      <c r="G113" s="46"/>
      <c r="H113" s="46"/>
    </row>
    <row r="114" spans="1:9" ht="12.75" customHeight="1" x14ac:dyDescent="0.2">
      <c r="A114" s="46"/>
      <c r="B114" s="46"/>
      <c r="C114" s="46"/>
      <c r="D114" s="46"/>
      <c r="E114" s="46"/>
      <c r="F114" s="46"/>
      <c r="G114" s="46"/>
      <c r="H114" s="46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6" t="s">
        <v>50</v>
      </c>
      <c r="B119" s="46"/>
      <c r="C119" s="46"/>
      <c r="D119" s="46"/>
      <c r="E119" s="46"/>
      <c r="F119" s="46"/>
      <c r="G119" s="46"/>
      <c r="H119" s="46"/>
    </row>
    <row r="120" spans="1:9" ht="8.1" customHeight="1" x14ac:dyDescent="0.2">
      <c r="A120" s="20"/>
      <c r="B120" s="20"/>
      <c r="C120" s="20"/>
      <c r="D120" s="20"/>
      <c r="E120" s="20"/>
      <c r="F120" s="20"/>
      <c r="G120" s="20"/>
      <c r="H120" s="2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6"/>
      <c r="B122" s="46"/>
      <c r="C122" s="46"/>
      <c r="D122" s="46"/>
      <c r="E122" s="46"/>
      <c r="F122" s="46"/>
      <c r="G122" s="46"/>
      <c r="H122" s="46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6" t="s">
        <v>45</v>
      </c>
      <c r="B125" s="46"/>
      <c r="C125" s="46"/>
      <c r="D125" s="46"/>
      <c r="E125" s="46"/>
      <c r="F125" s="46"/>
      <c r="G125" s="46"/>
      <c r="H125" s="46"/>
      <c r="I125" s="8"/>
    </row>
    <row r="126" spans="1:9" ht="12.75" customHeight="1" x14ac:dyDescent="0.2">
      <c r="A126" s="46"/>
      <c r="B126" s="46"/>
      <c r="C126" s="46"/>
      <c r="D126" s="46"/>
      <c r="E126" s="46"/>
      <c r="F126" s="46"/>
      <c r="G126" s="46"/>
      <c r="H126" s="46"/>
    </row>
    <row r="127" spans="1:9" ht="12.75" customHeight="1" x14ac:dyDescent="0.2">
      <c r="A127" s="46"/>
      <c r="B127" s="46"/>
      <c r="C127" s="46"/>
      <c r="D127" s="46"/>
      <c r="E127" s="46"/>
      <c r="F127" s="46"/>
      <c r="G127" s="46"/>
      <c r="H127" s="46"/>
    </row>
    <row r="128" spans="1:9" ht="12.75" customHeight="1" x14ac:dyDescent="0.2">
      <c r="A128" s="46"/>
      <c r="B128" s="46"/>
      <c r="C128" s="46"/>
      <c r="D128" s="46"/>
      <c r="E128" s="46"/>
      <c r="F128" s="46"/>
      <c r="G128" s="46"/>
      <c r="H128" s="46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6" t="s">
        <v>35</v>
      </c>
      <c r="B133" s="46"/>
      <c r="C133" s="46"/>
      <c r="D133" s="46"/>
      <c r="E133" s="46"/>
      <c r="F133" s="46"/>
      <c r="G133" s="46"/>
      <c r="H133" s="46"/>
    </row>
    <row r="134" spans="1:9" ht="8.1" customHeight="1" x14ac:dyDescent="0.2">
      <c r="A134" s="20"/>
      <c r="B134" s="20"/>
      <c r="C134" s="20"/>
      <c r="D134" s="20"/>
      <c r="E134" s="20"/>
      <c r="F134" s="20"/>
      <c r="G134" s="20"/>
      <c r="H134" s="2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6"/>
      <c r="B136" s="46"/>
      <c r="C136" s="46"/>
      <c r="D136" s="46"/>
      <c r="E136" s="46"/>
      <c r="F136" s="46"/>
      <c r="G136" s="46"/>
      <c r="H136" s="46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6" t="s">
        <v>46</v>
      </c>
      <c r="B139" s="46"/>
      <c r="C139" s="46"/>
      <c r="D139" s="46"/>
      <c r="E139" s="46"/>
      <c r="F139" s="46"/>
      <c r="G139" s="46"/>
      <c r="H139" s="46"/>
      <c r="I139" s="8"/>
    </row>
    <row r="140" spans="1:9" ht="12.75" customHeight="1" x14ac:dyDescent="0.2">
      <c r="A140" s="46"/>
      <c r="B140" s="46"/>
      <c r="C140" s="46"/>
      <c r="D140" s="46"/>
      <c r="E140" s="46"/>
      <c r="F140" s="46"/>
      <c r="G140" s="46"/>
      <c r="H140" s="46"/>
    </row>
    <row r="141" spans="1:9" ht="12.75" customHeight="1" x14ac:dyDescent="0.2">
      <c r="A141" s="46"/>
      <c r="B141" s="46"/>
      <c r="C141" s="46"/>
      <c r="D141" s="46"/>
      <c r="E141" s="46"/>
      <c r="F141" s="46"/>
      <c r="G141" s="46"/>
      <c r="H141" s="46"/>
    </row>
    <row r="142" spans="1:9" ht="12.75" customHeight="1" x14ac:dyDescent="0.2">
      <c r="A142" s="46"/>
      <c r="B142" s="46"/>
      <c r="C142" s="46"/>
      <c r="D142" s="46"/>
      <c r="E142" s="46"/>
      <c r="F142" s="46"/>
      <c r="G142" s="46"/>
      <c r="H142" s="46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56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50" t="s">
        <v>17</v>
      </c>
      <c r="B156" s="9" t="s">
        <v>23</v>
      </c>
      <c r="C156" s="9" t="s">
        <v>24</v>
      </c>
    </row>
    <row r="157" spans="1:5" x14ac:dyDescent="0.2">
      <c r="A157" s="5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34" priority="74">
      <formula>$D$9="Seismic Hazard"</formula>
    </cfRule>
    <cfRule type="expression" dxfId="33" priority="75">
      <formula>$D$9="Hydrologic Hazard"</formula>
    </cfRule>
  </conditionalFormatting>
  <conditionalFormatting sqref="A32:H37 A39:H45">
    <cfRule type="expression" dxfId="32" priority="23" stopIfTrue="1">
      <formula>$D$11&lt;2</formula>
    </cfRule>
  </conditionalFormatting>
  <conditionalFormatting sqref="A110:H114 A138:H142 A40:H44 A54:H58 A68:H72 A82:H86 A96:H100 A124:H128 A26:H30">
    <cfRule type="expression" dxfId="31" priority="9" stopIfTrue="1">
      <formula>$D$14="No"</formula>
    </cfRule>
  </conditionalFormatting>
  <conditionalFormatting sqref="A46:H51 A53:H59">
    <cfRule type="expression" dxfId="30" priority="21" stopIfTrue="1">
      <formula>$D$11&lt;3</formula>
    </cfRule>
  </conditionalFormatting>
  <conditionalFormatting sqref="A60:H65 A67:H73">
    <cfRule type="expression" dxfId="29" priority="19" stopIfTrue="1">
      <formula>$D$11&lt;4</formula>
    </cfRule>
  </conditionalFormatting>
  <conditionalFormatting sqref="A74:H79 A81:H87">
    <cfRule type="expression" dxfId="28" priority="16" stopIfTrue="1">
      <formula>$D$11&lt;5</formula>
    </cfRule>
  </conditionalFormatting>
  <conditionalFormatting sqref="A88:H93 A95:H101">
    <cfRule type="expression" dxfId="27" priority="14" stopIfTrue="1">
      <formula>$D$11&lt;6</formula>
    </cfRule>
  </conditionalFormatting>
  <conditionalFormatting sqref="A102:H107 A109:H115">
    <cfRule type="expression" dxfId="26" priority="15" stopIfTrue="1">
      <formula>$D$11&lt;7</formula>
    </cfRule>
  </conditionalFormatting>
  <conditionalFormatting sqref="A116:H121 A123:H129">
    <cfRule type="expression" dxfId="25" priority="10" stopIfTrue="1">
      <formula>$D$11&lt;8</formula>
    </cfRule>
  </conditionalFormatting>
  <conditionalFormatting sqref="A130:H143">
    <cfRule type="expression" dxfId="24" priority="8" stopIfTrue="1">
      <formula>$D$11&lt;9</formula>
    </cfRule>
  </conditionalFormatting>
  <conditionalFormatting sqref="A20:H21 A34:H35 A48:H49 A62:H63 A76:H77 A90:H91 A104:H105 A118:H119 A132:H133">
    <cfRule type="expression" dxfId="23" priority="29">
      <formula>$D$13="No"</formula>
    </cfRule>
  </conditionalFormatting>
  <conditionalFormatting sqref="A27:H30">
    <cfRule type="expression" dxfId="22" priority="25" stopIfTrue="1">
      <formula>$D$11&lt;2</formula>
    </cfRule>
  </conditionalFormatting>
  <conditionalFormatting sqref="A38:H38">
    <cfRule type="expression" dxfId="21" priority="7" stopIfTrue="1">
      <formula>$D$11&lt;2</formula>
    </cfRule>
  </conditionalFormatting>
  <conditionalFormatting sqref="A52:H52">
    <cfRule type="expression" dxfId="20" priority="6" stopIfTrue="1">
      <formula>$D$11&lt;3</formula>
    </cfRule>
  </conditionalFormatting>
  <conditionalFormatting sqref="A66:H66">
    <cfRule type="expression" dxfId="19" priority="5" stopIfTrue="1">
      <formula>$D$11&lt;4</formula>
    </cfRule>
  </conditionalFormatting>
  <conditionalFormatting sqref="A80:H80">
    <cfRule type="expression" dxfId="18" priority="4" stopIfTrue="1">
      <formula>$D$11&lt;5</formula>
    </cfRule>
  </conditionalFormatting>
  <conditionalFormatting sqref="A94:H94">
    <cfRule type="expression" dxfId="17" priority="3" stopIfTrue="1">
      <formula>$D$11&lt;6</formula>
    </cfRule>
  </conditionalFormatting>
  <conditionalFormatting sqref="A108:H108">
    <cfRule type="expression" dxfId="16" priority="2" stopIfTrue="1">
      <formula>$D$11&lt;7</formula>
    </cfRule>
  </conditionalFormatting>
  <conditionalFormatting sqref="A122:H122">
    <cfRule type="expression" dxfId="15" priority="1" stopIfTrue="1">
      <formula>$D$11&lt;8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6" t="s">
        <v>8</v>
      </c>
      <c r="B1" s="56"/>
      <c r="C1" s="56"/>
      <c r="D1" s="5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58" t="s">
        <v>9</v>
      </c>
      <c r="AG1" s="58"/>
      <c r="AH1" s="58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58" t="s">
        <v>10</v>
      </c>
      <c r="BE1" s="58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</row>
    <row r="2" spans="1:80" ht="15" customHeight="1" x14ac:dyDescent="0.2">
      <c r="A2" s="56" t="s">
        <v>11</v>
      </c>
      <c r="B2" s="56"/>
      <c r="C2" s="56"/>
      <c r="D2" s="56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8" t="s">
        <v>9</v>
      </c>
      <c r="AG2" s="58"/>
      <c r="AH2" s="58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8" t="s">
        <v>10</v>
      </c>
      <c r="BE2" s="58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</row>
    <row r="3" spans="1:80" ht="15" customHeight="1" x14ac:dyDescent="0.2">
      <c r="A3" s="57" t="s">
        <v>12</v>
      </c>
      <c r="B3" s="57"/>
      <c r="C3" s="57"/>
      <c r="D3" s="57"/>
      <c r="E3" s="57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1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1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11"/>
      <c r="BO9" s="11"/>
      <c r="BP9" s="11"/>
      <c r="BQ9" s="11"/>
      <c r="BR9" s="11"/>
      <c r="BS9" s="11"/>
      <c r="BT9" s="22"/>
      <c r="BU9" s="22"/>
      <c r="BV9" s="22"/>
      <c r="BW9" s="22"/>
      <c r="BX9" s="22"/>
      <c r="BY9" s="22"/>
      <c r="BZ9" s="22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1"/>
      <c r="BO10" s="11"/>
      <c r="BP10" s="11"/>
      <c r="BQ10" s="11"/>
      <c r="BR10" s="11"/>
      <c r="BS10" s="11"/>
      <c r="BT10" s="22"/>
      <c r="BU10" s="22"/>
      <c r="BV10" s="22"/>
      <c r="BW10" s="22"/>
      <c r="BX10" s="22"/>
      <c r="BY10" s="22"/>
      <c r="BZ10" s="22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4"/>
      <c r="BG12" s="4"/>
      <c r="BH12" s="4"/>
      <c r="BI12" s="4"/>
      <c r="BJ12" s="4"/>
      <c r="BK12" s="4"/>
      <c r="BL12" s="4"/>
      <c r="BM12" s="14"/>
      <c r="BN12" s="22"/>
      <c r="BO12" s="22"/>
      <c r="BP12" s="22"/>
      <c r="BQ12" s="22"/>
      <c r="BR12" s="22"/>
      <c r="BS12" s="22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21"/>
      <c r="AL13" s="21"/>
      <c r="AM13" s="21"/>
      <c r="AN13" s="21"/>
      <c r="AO13" s="21"/>
      <c r="AP13" s="21"/>
      <c r="AQ13" s="2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3"/>
      <c r="BG13" s="25"/>
      <c r="BH13" s="25"/>
      <c r="BI13" s="25"/>
      <c r="BJ13" s="25"/>
      <c r="BK13" s="25"/>
      <c r="BL13" s="25"/>
      <c r="BM13" s="14"/>
      <c r="BN13" s="22"/>
      <c r="BO13" s="22"/>
      <c r="BP13" s="22"/>
      <c r="BQ13" s="22"/>
      <c r="BR13" s="22"/>
      <c r="BS13" s="22"/>
      <c r="BT13" s="13"/>
      <c r="BU13" s="25"/>
      <c r="BV13" s="25"/>
      <c r="BW13" s="25"/>
      <c r="BX13" s="25"/>
      <c r="BY13" s="25"/>
      <c r="BZ13" s="25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4"/>
      <c r="AJ14" s="4"/>
      <c r="AK14" s="21"/>
      <c r="AL14" s="21"/>
      <c r="AM14" s="21"/>
      <c r="AN14" s="21"/>
      <c r="AO14" s="21"/>
      <c r="AP14" s="21"/>
      <c r="AQ14" s="21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4"/>
      <c r="BE14" s="4"/>
      <c r="BF14" s="14"/>
      <c r="BG14" s="21"/>
      <c r="BH14" s="21"/>
      <c r="BI14" s="21"/>
      <c r="BJ14" s="21"/>
      <c r="BK14" s="21"/>
      <c r="BL14" s="21"/>
      <c r="BM14" s="14"/>
      <c r="BN14" s="11"/>
      <c r="BO14" s="11"/>
      <c r="BP14" s="11"/>
      <c r="BQ14" s="11"/>
      <c r="BR14" s="11"/>
      <c r="BS14" s="4"/>
      <c r="BT14" s="14"/>
      <c r="BU14" s="21"/>
      <c r="BV14" s="21"/>
      <c r="BW14" s="21"/>
      <c r="BX14" s="21"/>
      <c r="BY14" s="21"/>
      <c r="BZ14" s="21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4"/>
      <c r="AJ15" s="4"/>
      <c r="AK15" s="4"/>
      <c r="AL15" s="4"/>
      <c r="AM15" s="4"/>
      <c r="AN15" s="4"/>
      <c r="AO15" s="4"/>
      <c r="AP15" s="4"/>
      <c r="AQ15" s="4"/>
      <c r="AR15" s="21"/>
      <c r="AS15" s="21"/>
      <c r="AT15" s="21"/>
      <c r="AU15" s="21"/>
      <c r="AV15" s="21"/>
      <c r="AW15" s="21"/>
      <c r="AX15" s="21"/>
      <c r="AY15" s="4"/>
      <c r="AZ15" s="4"/>
      <c r="BA15" s="4"/>
      <c r="BB15" s="4"/>
      <c r="BC15" s="4"/>
      <c r="BD15" s="4"/>
      <c r="BE15" s="4"/>
      <c r="BF15" s="14"/>
      <c r="BG15" s="21"/>
      <c r="BH15" s="21"/>
      <c r="BI15" s="21"/>
      <c r="BJ15" s="21"/>
      <c r="BK15" s="21"/>
      <c r="BL15" s="21"/>
      <c r="BM15" s="16"/>
      <c r="BN15" s="4"/>
      <c r="BO15" s="4"/>
      <c r="BP15" s="4"/>
      <c r="BQ15" s="4"/>
      <c r="BR15" s="4"/>
      <c r="BS15" s="4"/>
      <c r="BT15" s="14"/>
      <c r="BU15" s="21"/>
      <c r="BV15" s="21"/>
      <c r="BW15" s="21"/>
      <c r="BX15" s="21"/>
      <c r="BY15" s="21"/>
      <c r="BZ15" s="21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21"/>
      <c r="AS16" s="21"/>
      <c r="AT16" s="21"/>
      <c r="AU16" s="21"/>
      <c r="AV16" s="21"/>
      <c r="AW16" s="21"/>
      <c r="AX16" s="21"/>
      <c r="AY16" s="13"/>
      <c r="AZ16" s="25"/>
      <c r="BA16" s="25"/>
      <c r="BB16" s="25"/>
      <c r="BC16" s="25"/>
      <c r="BD16" s="25"/>
      <c r="BE16" s="25"/>
      <c r="BF16" s="14"/>
      <c r="BG16" s="21"/>
      <c r="BH16" s="21"/>
      <c r="BI16" s="21"/>
      <c r="BJ16" s="21"/>
      <c r="BK16" s="21"/>
      <c r="BL16" s="21"/>
      <c r="BM16" s="4"/>
      <c r="BN16" s="25"/>
      <c r="BO16" s="25"/>
      <c r="BP16" s="25"/>
      <c r="BQ16" s="25"/>
      <c r="BR16" s="25"/>
      <c r="BS16" s="25"/>
      <c r="BT16" s="14"/>
      <c r="BU16" s="21"/>
      <c r="BV16" s="21"/>
      <c r="BW16" s="21"/>
      <c r="BX16" s="21"/>
      <c r="BY16" s="21"/>
      <c r="BZ16" s="21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12"/>
      <c r="AS17" s="12"/>
      <c r="AT17" s="12"/>
      <c r="AU17" s="12"/>
      <c r="AV17" s="4"/>
      <c r="AW17" s="4"/>
      <c r="AX17" s="4"/>
      <c r="AY17" s="14"/>
      <c r="AZ17" s="21"/>
      <c r="BA17" s="21"/>
      <c r="BB17" s="21"/>
      <c r="BC17" s="21"/>
      <c r="BD17" s="21"/>
      <c r="BE17" s="21"/>
      <c r="BF17" s="14"/>
      <c r="BG17" s="21"/>
      <c r="BH17" s="21"/>
      <c r="BI17" s="21"/>
      <c r="BJ17" s="21"/>
      <c r="BK17" s="21"/>
      <c r="BL17" s="21"/>
      <c r="BM17" s="4"/>
      <c r="BN17" s="21"/>
      <c r="BO17" s="21"/>
      <c r="BP17" s="21"/>
      <c r="BQ17" s="21"/>
      <c r="BR17" s="21"/>
      <c r="BS17" s="21"/>
      <c r="BT17" s="14"/>
      <c r="BU17" s="21"/>
      <c r="BV17" s="21"/>
      <c r="BW17" s="21"/>
      <c r="BX17" s="21"/>
      <c r="BY17" s="21"/>
      <c r="BZ17" s="21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14"/>
      <c r="AZ18" s="21"/>
      <c r="BA18" s="21"/>
      <c r="BB18" s="21"/>
      <c r="BC18" s="21"/>
      <c r="BD18" s="21"/>
      <c r="BE18" s="21"/>
      <c r="BF18" s="16"/>
      <c r="BG18" s="26"/>
      <c r="BH18" s="26"/>
      <c r="BI18" s="26"/>
      <c r="BJ18" s="26"/>
      <c r="BK18" s="26"/>
      <c r="BL18" s="26"/>
      <c r="BM18" s="4"/>
      <c r="BN18" s="21"/>
      <c r="BO18" s="21"/>
      <c r="BP18" s="21"/>
      <c r="BQ18" s="21"/>
      <c r="BR18" s="21"/>
      <c r="BS18" s="21"/>
      <c r="BT18" s="16"/>
      <c r="BU18" s="26"/>
      <c r="BV18" s="26"/>
      <c r="BW18" s="26"/>
      <c r="BX18" s="26"/>
      <c r="BY18" s="26"/>
      <c r="BZ18" s="26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13"/>
      <c r="AS19" s="25"/>
      <c r="AT19" s="25"/>
      <c r="AU19" s="25"/>
      <c r="AV19" s="25"/>
      <c r="AW19" s="25"/>
      <c r="AX19" s="25"/>
      <c r="AY19" s="14"/>
      <c r="AZ19" s="21"/>
      <c r="BA19" s="21"/>
      <c r="BB19" s="21"/>
      <c r="BC19" s="21"/>
      <c r="BD19" s="21"/>
      <c r="BE19" s="21"/>
      <c r="BF19" s="4"/>
      <c r="BG19" s="4"/>
      <c r="BH19" s="4"/>
      <c r="BI19" s="4"/>
      <c r="BJ19" s="4"/>
      <c r="BK19" s="4"/>
      <c r="BL19" s="4"/>
      <c r="BM19" s="4"/>
      <c r="BN19" s="21"/>
      <c r="BO19" s="21"/>
      <c r="BP19" s="21"/>
      <c r="BQ19" s="21"/>
      <c r="BR19" s="21"/>
      <c r="BS19" s="21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14"/>
      <c r="AS20" s="21"/>
      <c r="AT20" s="21"/>
      <c r="AU20" s="21"/>
      <c r="AV20" s="21"/>
      <c r="AW20" s="21"/>
      <c r="AX20" s="21"/>
      <c r="AY20" s="14"/>
      <c r="AZ20" s="21"/>
      <c r="BA20" s="21"/>
      <c r="BB20" s="21"/>
      <c r="BC20" s="21"/>
      <c r="BD20" s="21"/>
      <c r="BE20" s="21"/>
      <c r="BF20" s="4"/>
      <c r="BG20" s="4"/>
      <c r="BH20" s="4"/>
      <c r="BI20" s="4"/>
      <c r="BJ20" s="4"/>
      <c r="BK20" s="4"/>
      <c r="BL20" s="4"/>
      <c r="BM20" s="4"/>
      <c r="BN20" s="21"/>
      <c r="BO20" s="21"/>
      <c r="BP20" s="21"/>
      <c r="BQ20" s="21"/>
      <c r="BR20" s="21"/>
      <c r="BS20" s="21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21"/>
      <c r="AE21" s="21"/>
      <c r="AF21" s="21"/>
      <c r="AG21" s="21"/>
      <c r="AH21" s="21"/>
      <c r="AI21" s="21"/>
      <c r="AJ21" s="21"/>
      <c r="AK21" s="17"/>
      <c r="AL21" s="17"/>
      <c r="AM21" s="17"/>
      <c r="AN21" s="17"/>
      <c r="AO21" s="17"/>
      <c r="AP21" s="17"/>
      <c r="AQ21" s="17"/>
      <c r="AR21" s="14"/>
      <c r="AS21" s="21"/>
      <c r="AT21" s="21"/>
      <c r="AU21" s="21"/>
      <c r="AV21" s="21"/>
      <c r="AW21" s="21"/>
      <c r="AX21" s="21"/>
      <c r="AY21" s="16"/>
      <c r="AZ21" s="26"/>
      <c r="BA21" s="26"/>
      <c r="BB21" s="26"/>
      <c r="BC21" s="26"/>
      <c r="BD21" s="26"/>
      <c r="BE21" s="26"/>
      <c r="BF21" s="4"/>
      <c r="BG21" s="15"/>
      <c r="BH21" s="15"/>
      <c r="BI21" s="15"/>
      <c r="BJ21" s="15"/>
      <c r="BK21" s="15"/>
      <c r="BL21" s="15"/>
      <c r="BM21" s="15"/>
      <c r="BN21" s="26"/>
      <c r="BO21" s="26"/>
      <c r="BP21" s="26"/>
      <c r="BQ21" s="26"/>
      <c r="BR21" s="26"/>
      <c r="BS21" s="26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21"/>
      <c r="AE22" s="21"/>
      <c r="AF22" s="21"/>
      <c r="AG22" s="21"/>
      <c r="AH22" s="21"/>
      <c r="AI22" s="21"/>
      <c r="AJ22" s="21"/>
      <c r="AK22" s="13"/>
      <c r="AL22" s="25"/>
      <c r="AM22" s="25"/>
      <c r="AN22" s="25"/>
      <c r="AO22" s="25"/>
      <c r="AP22" s="25"/>
      <c r="AQ22" s="25"/>
      <c r="AR22" s="14"/>
      <c r="AS22" s="21"/>
      <c r="AT22" s="21"/>
      <c r="AU22" s="21"/>
      <c r="AV22" s="21"/>
      <c r="AW22" s="21"/>
      <c r="AX22" s="21"/>
      <c r="AY22" s="4"/>
      <c r="AZ22" s="4"/>
      <c r="BA22" s="4"/>
      <c r="BB22" s="4"/>
      <c r="BC22" s="4"/>
      <c r="BD22" s="4"/>
      <c r="BE22" s="4"/>
      <c r="BF22" s="4"/>
      <c r="BG22" s="15"/>
      <c r="BH22" s="15"/>
      <c r="BI22" s="15"/>
      <c r="BJ22" s="15"/>
      <c r="BK22" s="15"/>
      <c r="BL22" s="15"/>
      <c r="BM22" s="15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4"/>
      <c r="AJ23" s="4"/>
      <c r="AK23" s="14"/>
      <c r="AL23" s="21"/>
      <c r="AM23" s="21"/>
      <c r="AN23" s="21"/>
      <c r="AO23" s="21"/>
      <c r="AP23" s="21"/>
      <c r="AQ23" s="21"/>
      <c r="AR23" s="14"/>
      <c r="AS23" s="21"/>
      <c r="AT23" s="21"/>
      <c r="AU23" s="21"/>
      <c r="AV23" s="21"/>
      <c r="AW23" s="21"/>
      <c r="AX23" s="21"/>
      <c r="AY23" s="4"/>
      <c r="AZ23" s="4"/>
      <c r="BA23" s="4"/>
      <c r="BB23" s="4"/>
      <c r="BC23" s="4"/>
      <c r="BD23" s="4"/>
      <c r="BE23" s="4"/>
      <c r="BF23" s="4"/>
      <c r="BG23" s="15"/>
      <c r="BH23" s="15"/>
      <c r="BI23" s="15"/>
      <c r="BJ23" s="15"/>
      <c r="BK23" s="15"/>
      <c r="BL23" s="15"/>
      <c r="BM23" s="15"/>
      <c r="BN23" s="10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4"/>
      <c r="AE24" s="4"/>
      <c r="AF24" s="4"/>
      <c r="AG24" s="4"/>
      <c r="AH24" s="4"/>
      <c r="AI24" s="4"/>
      <c r="AJ24" s="4"/>
      <c r="AK24" s="14"/>
      <c r="AL24" s="21"/>
      <c r="AM24" s="21"/>
      <c r="AN24" s="21"/>
      <c r="AO24" s="21"/>
      <c r="AP24" s="21"/>
      <c r="AQ24" s="21"/>
      <c r="AR24" s="16"/>
      <c r="AS24" s="26"/>
      <c r="AT24" s="26"/>
      <c r="AU24" s="26"/>
      <c r="AV24" s="26"/>
      <c r="AW24" s="26"/>
      <c r="AX24" s="26"/>
      <c r="AY24" s="4"/>
      <c r="AZ24" s="4"/>
      <c r="BA24" s="4"/>
      <c r="BB24" s="4"/>
      <c r="BC24" s="4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1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3"/>
      <c r="AE25" s="25"/>
      <c r="AF25" s="25"/>
      <c r="AG25" s="25"/>
      <c r="AH25" s="25"/>
      <c r="AI25" s="25"/>
      <c r="AJ25" s="25"/>
      <c r="AK25" s="14"/>
      <c r="AL25" s="21"/>
      <c r="AM25" s="21"/>
      <c r="AN25" s="21"/>
      <c r="AO25" s="21"/>
      <c r="AP25" s="21"/>
      <c r="AQ25" s="21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15"/>
      <c r="BD25" s="15"/>
      <c r="BE25" s="15"/>
      <c r="BF25" s="44"/>
      <c r="BG25" s="45"/>
      <c r="BH25" s="45"/>
      <c r="BI25" s="45"/>
      <c r="BJ25" s="45"/>
      <c r="BK25" s="45"/>
      <c r="BL25" s="45"/>
      <c r="BM25" s="15"/>
      <c r="BN25" s="11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4"/>
      <c r="AE26" s="21"/>
      <c r="AF26" s="21"/>
      <c r="AG26" s="21"/>
      <c r="AH26" s="21"/>
      <c r="AI26" s="21"/>
      <c r="AJ26" s="21"/>
      <c r="AK26" s="14"/>
      <c r="AL26" s="21"/>
      <c r="AM26" s="21"/>
      <c r="AN26" s="21"/>
      <c r="AO26" s="21"/>
      <c r="AP26" s="21"/>
      <c r="AQ26" s="21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4"/>
      <c r="BE26" s="4"/>
      <c r="BF26" s="14"/>
      <c r="BG26" s="21"/>
      <c r="BH26" s="21"/>
      <c r="BI26" s="21"/>
      <c r="BJ26" s="21"/>
      <c r="BK26" s="21"/>
      <c r="BL26" s="21"/>
      <c r="BM26" s="14"/>
      <c r="BN26" s="11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4"/>
      <c r="X27" s="4"/>
      <c r="Y27" s="4"/>
      <c r="Z27" s="4"/>
      <c r="AA27" s="4"/>
      <c r="AB27" s="4"/>
      <c r="AC27" s="4"/>
      <c r="AD27" s="14"/>
      <c r="AE27" s="21"/>
      <c r="AF27" s="21"/>
      <c r="AG27" s="21"/>
      <c r="AH27" s="21"/>
      <c r="AI27" s="21"/>
      <c r="AJ27" s="21"/>
      <c r="AK27" s="16"/>
      <c r="AL27" s="26"/>
      <c r="AM27" s="26"/>
      <c r="AN27" s="26"/>
      <c r="AO27" s="26"/>
      <c r="AP27" s="26"/>
      <c r="AQ27" s="26"/>
      <c r="AR27" s="21"/>
      <c r="AS27" s="21"/>
      <c r="AT27" s="21"/>
      <c r="AU27" s="21"/>
      <c r="AV27" s="21"/>
      <c r="AW27" s="21"/>
      <c r="AX27" s="21"/>
      <c r="AY27" s="4"/>
      <c r="AZ27" s="4"/>
      <c r="BA27" s="4"/>
      <c r="BB27" s="4"/>
      <c r="BC27" s="4"/>
      <c r="BD27" s="4"/>
      <c r="BE27" s="4"/>
      <c r="BF27" s="14"/>
      <c r="BG27" s="21"/>
      <c r="BH27" s="21"/>
      <c r="BI27" s="21"/>
      <c r="BJ27" s="21"/>
      <c r="BK27" s="21"/>
      <c r="BL27" s="21"/>
      <c r="BM27" s="16"/>
      <c r="BN27" s="11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3"/>
      <c r="X28" s="25"/>
      <c r="Y28" s="25"/>
      <c r="Z28" s="25"/>
      <c r="AA28" s="25"/>
      <c r="AB28" s="25"/>
      <c r="AC28" s="25"/>
      <c r="AD28" s="41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21"/>
      <c r="AS28" s="21"/>
      <c r="AT28" s="21"/>
      <c r="AU28" s="21"/>
      <c r="AV28" s="21"/>
      <c r="AW28" s="21"/>
      <c r="AX28" s="21"/>
      <c r="AY28" s="13"/>
      <c r="AZ28" s="25"/>
      <c r="BA28" s="25"/>
      <c r="BB28" s="25"/>
      <c r="BC28" s="25"/>
      <c r="BD28" s="25"/>
      <c r="BE28" s="25"/>
      <c r="BF28" s="14"/>
      <c r="BG28" s="21"/>
      <c r="BH28" s="21"/>
      <c r="BI28" s="21"/>
      <c r="BJ28" s="21"/>
      <c r="BK28" s="21"/>
      <c r="BL28" s="21"/>
      <c r="BM28" s="4"/>
      <c r="BN28" s="11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40"/>
      <c r="X29" s="12"/>
      <c r="Y29" s="12"/>
      <c r="Z29" s="12"/>
      <c r="AA29" s="12"/>
      <c r="AB29" s="12"/>
      <c r="AC29" s="12"/>
      <c r="AD29" s="40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1"/>
      <c r="AR29" s="12"/>
      <c r="AS29" s="12"/>
      <c r="AT29" s="12"/>
      <c r="AU29" s="12"/>
      <c r="AV29" s="4"/>
      <c r="AW29" s="4"/>
      <c r="AX29" s="4"/>
      <c r="AY29" s="14"/>
      <c r="AZ29" s="21"/>
      <c r="BA29" s="21"/>
      <c r="BB29" s="21"/>
      <c r="BC29" s="21"/>
      <c r="BD29" s="21"/>
      <c r="BE29" s="21"/>
      <c r="BF29" s="14"/>
      <c r="BG29" s="21"/>
      <c r="BH29" s="21"/>
      <c r="BI29" s="21"/>
      <c r="BJ29" s="21"/>
      <c r="BK29" s="21"/>
      <c r="BL29" s="21"/>
      <c r="BM29" s="4"/>
      <c r="BN29" s="22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4"/>
      <c r="X30" s="4"/>
      <c r="Y30" s="4"/>
      <c r="Z30" s="4"/>
      <c r="AA30" s="4"/>
      <c r="AB30" s="4"/>
      <c r="AC30" s="4"/>
      <c r="AD30" s="42"/>
      <c r="AE30" s="43"/>
      <c r="AF30" s="43"/>
      <c r="AG30" s="43"/>
      <c r="AH30" s="43"/>
      <c r="AI30" s="43"/>
      <c r="AJ30" s="43"/>
      <c r="AK30" s="12"/>
      <c r="AL30" s="12"/>
      <c r="AM30" s="12"/>
      <c r="AN30" s="12"/>
      <c r="AO30" s="12"/>
      <c r="AP30" s="12"/>
      <c r="AQ30" s="11"/>
      <c r="AR30" s="4"/>
      <c r="AS30" s="4"/>
      <c r="AT30" s="4"/>
      <c r="AU30" s="4"/>
      <c r="AV30" s="4"/>
      <c r="AW30" s="4"/>
      <c r="AX30" s="4"/>
      <c r="AY30" s="14"/>
      <c r="AZ30" s="21"/>
      <c r="BA30" s="21"/>
      <c r="BB30" s="21"/>
      <c r="BC30" s="21"/>
      <c r="BD30" s="21"/>
      <c r="BE30" s="21"/>
      <c r="BF30" s="16"/>
      <c r="BG30" s="26"/>
      <c r="BH30" s="26"/>
      <c r="BI30" s="26"/>
      <c r="BJ30" s="26"/>
      <c r="BK30" s="26"/>
      <c r="BL30" s="26"/>
      <c r="BM30" s="4"/>
      <c r="BN30" s="22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4"/>
      <c r="X31" s="4"/>
      <c r="Y31" s="4"/>
      <c r="Z31" s="4"/>
      <c r="AA31" s="4"/>
      <c r="AB31" s="4"/>
      <c r="AC31" s="4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3"/>
      <c r="AS31" s="25"/>
      <c r="AT31" s="25"/>
      <c r="AU31" s="25"/>
      <c r="AV31" s="25"/>
      <c r="AW31" s="25"/>
      <c r="AX31" s="25"/>
      <c r="AY31" s="14"/>
      <c r="AZ31" s="21"/>
      <c r="BA31" s="21"/>
      <c r="BB31" s="21"/>
      <c r="BC31" s="21"/>
      <c r="BD31" s="21"/>
      <c r="BE31" s="21"/>
      <c r="BF31" s="4"/>
      <c r="BG31" s="4"/>
      <c r="BH31" s="4"/>
      <c r="BI31" s="4"/>
      <c r="BJ31" s="4"/>
      <c r="BK31" s="4"/>
      <c r="BL31" s="4"/>
      <c r="BM31" s="4"/>
      <c r="BN31" s="11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4"/>
      <c r="X32" s="21"/>
      <c r="Y32" s="21"/>
      <c r="Z32" s="21"/>
      <c r="AA32" s="21"/>
      <c r="AB32" s="21"/>
      <c r="AC32" s="21"/>
      <c r="AD32" s="12"/>
      <c r="AE32" s="12"/>
      <c r="AF32" s="12"/>
      <c r="AG32" s="12"/>
      <c r="AH32" s="12"/>
      <c r="AI32" s="4"/>
      <c r="AJ32" s="4"/>
      <c r="AK32" s="4"/>
      <c r="AL32" s="4"/>
      <c r="AM32" s="4"/>
      <c r="AN32" s="4"/>
      <c r="AO32" s="4"/>
      <c r="AP32" s="4"/>
      <c r="AQ32" s="4"/>
      <c r="AR32" s="14"/>
      <c r="AS32" s="21"/>
      <c r="AT32" s="21"/>
      <c r="AU32" s="21"/>
      <c r="AV32" s="21"/>
      <c r="AW32" s="21"/>
      <c r="AX32" s="21"/>
      <c r="AY32" s="14"/>
      <c r="AZ32" s="21"/>
      <c r="BA32" s="21"/>
      <c r="BB32" s="21"/>
      <c r="BC32" s="21"/>
      <c r="BD32" s="21"/>
      <c r="BE32" s="21"/>
      <c r="BF32" s="4"/>
      <c r="BG32" s="4"/>
      <c r="BH32" s="4"/>
      <c r="BI32" s="4"/>
      <c r="BJ32" s="4"/>
      <c r="BK32" s="4"/>
      <c r="BL32" s="4"/>
      <c r="BM32" s="4"/>
      <c r="BN32" s="4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14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17"/>
      <c r="AL33" s="17"/>
      <c r="AM33" s="17"/>
      <c r="AN33" s="17"/>
      <c r="AO33" s="17"/>
      <c r="AP33" s="17"/>
      <c r="AQ33" s="17"/>
      <c r="AR33" s="14"/>
      <c r="AS33" s="21"/>
      <c r="AT33" s="21"/>
      <c r="AU33" s="21"/>
      <c r="AV33" s="21"/>
      <c r="AW33" s="21"/>
      <c r="AX33" s="21"/>
      <c r="AY33" s="16"/>
      <c r="AZ33" s="26"/>
      <c r="BA33" s="26"/>
      <c r="BB33" s="26"/>
      <c r="BC33" s="26"/>
      <c r="BD33" s="26"/>
      <c r="BE33" s="26"/>
      <c r="BF33" s="4"/>
      <c r="BG33" s="15"/>
      <c r="BH33" s="15"/>
      <c r="BI33" s="15"/>
      <c r="BJ33" s="15"/>
      <c r="BK33" s="15"/>
      <c r="BL33" s="15"/>
      <c r="BM33" s="15"/>
      <c r="BN33" s="2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13"/>
      <c r="Q34" s="25"/>
      <c r="R34" s="25"/>
      <c r="S34" s="25"/>
      <c r="T34" s="25"/>
      <c r="U34" s="25"/>
      <c r="V34" s="25"/>
      <c r="W34" s="14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13"/>
      <c r="AL34" s="25"/>
      <c r="AM34" s="25"/>
      <c r="AN34" s="25"/>
      <c r="AO34" s="25"/>
      <c r="AP34" s="25"/>
      <c r="AQ34" s="25"/>
      <c r="AR34" s="14"/>
      <c r="AS34" s="21"/>
      <c r="AT34" s="21"/>
      <c r="AU34" s="21"/>
      <c r="AV34" s="21"/>
      <c r="AW34" s="21"/>
      <c r="AX34" s="21"/>
      <c r="AY34" s="4"/>
      <c r="AZ34" s="4"/>
      <c r="BA34" s="4"/>
      <c r="BB34" s="4"/>
      <c r="BC34" s="4"/>
      <c r="BD34" s="4"/>
      <c r="BE34" s="4"/>
      <c r="BF34" s="4"/>
      <c r="BG34" s="15"/>
      <c r="BH34" s="15"/>
      <c r="BI34" s="15"/>
      <c r="BJ34" s="15"/>
      <c r="BK34" s="15"/>
      <c r="BL34" s="15"/>
      <c r="BM34" s="15"/>
      <c r="BN34" s="21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14"/>
      <c r="Q35" s="4"/>
      <c r="R35" s="4"/>
      <c r="S35" s="4"/>
      <c r="T35" s="4"/>
      <c r="U35" s="4"/>
      <c r="V35" s="4"/>
      <c r="W35" s="14"/>
      <c r="X35" s="21"/>
      <c r="Y35" s="21"/>
      <c r="Z35" s="21"/>
      <c r="AA35" s="21"/>
      <c r="AB35" s="21"/>
      <c r="AC35" s="21"/>
      <c r="AD35" s="12"/>
      <c r="AE35" s="12"/>
      <c r="AF35" s="12"/>
      <c r="AG35" s="12"/>
      <c r="AH35" s="12"/>
      <c r="AI35" s="4"/>
      <c r="AJ35" s="4"/>
      <c r="AK35" s="14"/>
      <c r="AL35" s="21"/>
      <c r="AM35" s="21"/>
      <c r="AN35" s="21"/>
      <c r="AO35" s="21"/>
      <c r="AP35" s="21"/>
      <c r="AQ35" s="21"/>
      <c r="AR35" s="14"/>
      <c r="AS35" s="21"/>
      <c r="AT35" s="21"/>
      <c r="AU35" s="21"/>
      <c r="AV35" s="21"/>
      <c r="AW35" s="21"/>
      <c r="AX35" s="21"/>
      <c r="AY35" s="4"/>
      <c r="AZ35" s="4"/>
      <c r="BA35" s="4"/>
      <c r="BB35" s="4"/>
      <c r="BC35" s="4"/>
      <c r="BD35" s="4"/>
      <c r="BE35" s="4"/>
      <c r="BF35" s="4"/>
      <c r="BG35" s="15"/>
      <c r="BH35" s="15"/>
      <c r="BI35" s="15"/>
      <c r="BJ35" s="15"/>
      <c r="BK35" s="15"/>
      <c r="BL35" s="15"/>
      <c r="BM35" s="15"/>
      <c r="BN35" s="21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5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5"/>
      <c r="K36" s="55"/>
      <c r="L36" s="55"/>
      <c r="M36" s="55"/>
      <c r="N36" s="55"/>
      <c r="O36" s="55"/>
      <c r="P36" s="14"/>
      <c r="Q36" s="4"/>
      <c r="R36" s="4"/>
      <c r="S36" s="4"/>
      <c r="T36" s="4"/>
      <c r="U36" s="4"/>
      <c r="V36" s="4"/>
      <c r="W36" s="1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14"/>
      <c r="AL36" s="21"/>
      <c r="AM36" s="21"/>
      <c r="AN36" s="21"/>
      <c r="AO36" s="21"/>
      <c r="AP36" s="21"/>
      <c r="AQ36" s="21"/>
      <c r="AR36" s="16"/>
      <c r="AS36" s="26"/>
      <c r="AT36" s="26"/>
      <c r="AU36" s="26"/>
      <c r="AV36" s="26"/>
      <c r="AW36" s="26"/>
      <c r="AX36" s="26"/>
      <c r="AY36" s="4"/>
      <c r="AZ36" s="4"/>
      <c r="BA36" s="4"/>
      <c r="BB36" s="4"/>
      <c r="BC36" s="4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21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5"/>
      <c r="J37" s="55"/>
      <c r="K37" s="55"/>
      <c r="L37" s="55"/>
      <c r="M37" s="55"/>
      <c r="N37" s="55"/>
      <c r="O37" s="55"/>
      <c r="P37" s="14"/>
      <c r="Q37" s="4"/>
      <c r="R37" s="4"/>
      <c r="S37" s="4"/>
      <c r="T37" s="4"/>
      <c r="U37" s="4"/>
      <c r="V37" s="4"/>
      <c r="W37" s="14"/>
      <c r="X37" s="4"/>
      <c r="Y37" s="4"/>
      <c r="Z37" s="4"/>
      <c r="AA37" s="4"/>
      <c r="AB37" s="4"/>
      <c r="AC37" s="4"/>
      <c r="AD37" s="13"/>
      <c r="AE37" s="25"/>
      <c r="AF37" s="25"/>
      <c r="AG37" s="25"/>
      <c r="AH37" s="25"/>
      <c r="AI37" s="25"/>
      <c r="AJ37" s="25"/>
      <c r="AK37" s="14"/>
      <c r="AL37" s="21"/>
      <c r="AM37" s="21"/>
      <c r="AN37" s="21"/>
      <c r="AO37" s="21"/>
      <c r="AP37" s="21"/>
      <c r="AQ37" s="21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21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1"/>
      <c r="R38" s="21"/>
      <c r="S38" s="21"/>
      <c r="T38" s="21"/>
      <c r="U38" s="21"/>
      <c r="V38" s="21"/>
      <c r="W38" s="14"/>
      <c r="X38" s="4"/>
      <c r="Y38" s="4"/>
      <c r="Z38" s="4"/>
      <c r="AA38" s="4"/>
      <c r="AB38" s="4"/>
      <c r="AC38" s="4"/>
      <c r="AD38" s="14"/>
      <c r="AE38" s="21"/>
      <c r="AF38" s="21"/>
      <c r="AG38" s="21"/>
      <c r="AH38" s="21"/>
      <c r="AI38" s="21"/>
      <c r="AJ38" s="21"/>
      <c r="AK38" s="14"/>
      <c r="AL38" s="21"/>
      <c r="AM38" s="21"/>
      <c r="AN38" s="21"/>
      <c r="AO38" s="21"/>
      <c r="AP38" s="21"/>
      <c r="AQ38" s="21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26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1"/>
      <c r="R39" s="21"/>
      <c r="S39" s="21"/>
      <c r="T39" s="21"/>
      <c r="U39" s="21"/>
      <c r="V39" s="21"/>
      <c r="W39" s="16"/>
      <c r="X39" s="26"/>
      <c r="Y39" s="26"/>
      <c r="Z39" s="26"/>
      <c r="AA39" s="26"/>
      <c r="AB39" s="26"/>
      <c r="AC39" s="26"/>
      <c r="AD39" s="14"/>
      <c r="AE39" s="21"/>
      <c r="AF39" s="21"/>
      <c r="AG39" s="21"/>
      <c r="AH39" s="21"/>
      <c r="AI39" s="21"/>
      <c r="AJ39" s="21"/>
      <c r="AK39" s="16"/>
      <c r="AL39" s="26"/>
      <c r="AM39" s="26"/>
      <c r="AN39" s="26"/>
      <c r="AO39" s="26"/>
      <c r="AP39" s="26"/>
      <c r="AQ39" s="26"/>
      <c r="AR39" s="4"/>
      <c r="AS39" s="4"/>
      <c r="AT39" s="4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1"/>
      <c r="R40" s="21"/>
      <c r="S40" s="21"/>
      <c r="T40" s="21"/>
      <c r="U40" s="21"/>
      <c r="V40" s="21"/>
      <c r="W40" s="4"/>
      <c r="X40" s="4"/>
      <c r="Y40" s="4"/>
      <c r="Z40" s="4"/>
      <c r="AA40" s="4"/>
      <c r="AB40" s="4"/>
      <c r="AC40" s="4"/>
      <c r="AD40" s="14"/>
      <c r="AE40" s="21"/>
      <c r="AF40" s="21"/>
      <c r="AG40" s="21"/>
      <c r="AH40" s="21"/>
      <c r="AI40" s="21"/>
      <c r="AJ40" s="21"/>
      <c r="AK40" s="4"/>
      <c r="AL40" s="4"/>
      <c r="AM40" s="4"/>
      <c r="AN40" s="4"/>
      <c r="AO40" s="4"/>
      <c r="AP40" s="4"/>
      <c r="AQ40" s="4"/>
      <c r="AR40" s="4"/>
      <c r="AS40" s="4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1"/>
      <c r="R41" s="21"/>
      <c r="S41" s="21"/>
      <c r="T41" s="21"/>
      <c r="U41" s="21"/>
      <c r="V41" s="21"/>
      <c r="W41" s="4"/>
      <c r="X41" s="4"/>
      <c r="Y41" s="4"/>
      <c r="Z41" s="4"/>
      <c r="AA41" s="4"/>
      <c r="AB41" s="4"/>
      <c r="AC41" s="4"/>
      <c r="AD41" s="14"/>
      <c r="AE41" s="21"/>
      <c r="AF41" s="21"/>
      <c r="AG41" s="21"/>
      <c r="AH41" s="21"/>
      <c r="AI41" s="21"/>
      <c r="AJ41" s="21"/>
      <c r="AK41" s="4"/>
      <c r="AL41" s="4"/>
      <c r="AM41" s="4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4"/>
      <c r="Q42" s="4"/>
      <c r="R42" s="4"/>
      <c r="S42" s="4"/>
      <c r="T42" s="4"/>
      <c r="U42" s="4"/>
      <c r="V42" s="4"/>
      <c r="W42" s="4"/>
      <c r="X42" s="4"/>
      <c r="Y42" s="4"/>
      <c r="Z42" s="4"/>
      <c r="AA42" s="15"/>
      <c r="AB42" s="15"/>
      <c r="AC42" s="15"/>
      <c r="AD42" s="16"/>
      <c r="AE42" s="26"/>
      <c r="AF42" s="26"/>
      <c r="AG42" s="26"/>
      <c r="AH42" s="26"/>
      <c r="AI42" s="26"/>
      <c r="AJ42" s="26"/>
      <c r="AK42" s="4"/>
      <c r="AL42" s="4"/>
      <c r="AM42" s="15"/>
      <c r="AN42" s="15"/>
      <c r="AO42" s="4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14"/>
      <c r="Q43" s="4"/>
      <c r="R43" s="4"/>
      <c r="S43" s="4"/>
      <c r="T43" s="4"/>
      <c r="U43" s="4"/>
      <c r="V43" s="4"/>
      <c r="W43" s="4"/>
      <c r="X43" s="4"/>
      <c r="Y43" s="15"/>
      <c r="Z43" s="15"/>
      <c r="AA43" s="15"/>
      <c r="AB43" s="15"/>
      <c r="AC43" s="15"/>
      <c r="AD43" s="4"/>
      <c r="AE43" s="4"/>
      <c r="AF43" s="4"/>
      <c r="AG43" s="4"/>
      <c r="AH43" s="4"/>
      <c r="AI43" s="4"/>
      <c r="AJ43" s="4"/>
      <c r="AK43" s="4"/>
      <c r="AL43" s="4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1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16"/>
      <c r="Q45" s="26"/>
      <c r="R45" s="26"/>
      <c r="S45" s="26"/>
      <c r="T45" s="26"/>
      <c r="U45" s="26"/>
      <c r="V45" s="26"/>
      <c r="W45" s="4"/>
      <c r="X45" s="15"/>
      <c r="Y45" s="15"/>
      <c r="Z45" s="15"/>
      <c r="AA45" s="15"/>
      <c r="AB45" s="15"/>
      <c r="AC45" s="15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18"/>
      <c r="W46" s="4"/>
      <c r="X46" s="15"/>
      <c r="Y46" s="15"/>
      <c r="Z46" s="15"/>
      <c r="AA46" s="15"/>
      <c r="AB46" s="15"/>
      <c r="AC46" s="15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9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4" t="s">
        <v>53</v>
      </c>
      <c r="B55" s="54"/>
      <c r="C55" s="54"/>
      <c r="D55" s="54"/>
      <c r="E55" s="54"/>
      <c r="F55" s="54" t="str">
        <f>IF('Event Tree Input'!D9="Seismic Hazard","Yes","No")</f>
        <v>No</v>
      </c>
      <c r="G55" s="54"/>
      <c r="I55" s="50" t="s">
        <v>17</v>
      </c>
      <c r="J55" s="50"/>
      <c r="K55" s="54" t="s">
        <v>23</v>
      </c>
      <c r="L55" s="54"/>
      <c r="M55" s="54"/>
      <c r="N55" s="54" t="s">
        <v>24</v>
      </c>
      <c r="O55" s="54"/>
      <c r="P55" s="54"/>
    </row>
    <row r="56" spans="1:79" ht="15" customHeight="1" x14ac:dyDescent="0.2">
      <c r="I56" s="50"/>
      <c r="J56" s="50"/>
      <c r="K56" s="54" t="s">
        <v>22</v>
      </c>
      <c r="L56" s="54"/>
      <c r="M56" s="54"/>
      <c r="N56" s="54" t="s">
        <v>22</v>
      </c>
      <c r="O56" s="54"/>
      <c r="P56" s="54"/>
      <c r="S56" s="54" t="s">
        <v>17</v>
      </c>
      <c r="T56" s="54"/>
      <c r="U56" s="54" t="s">
        <v>27</v>
      </c>
      <c r="V56" s="54"/>
      <c r="W56" s="54"/>
      <c r="X56" s="54" t="s">
        <v>29</v>
      </c>
      <c r="Y56" s="54"/>
      <c r="Z56" s="54"/>
    </row>
    <row r="57" spans="1:79" ht="15" customHeight="1" x14ac:dyDescent="0.2">
      <c r="I57" s="54">
        <v>1</v>
      </c>
      <c r="J57" s="54"/>
      <c r="K57" s="54" t="str">
        <f>'Event Tree Input'!B158</f>
        <v>Circle</v>
      </c>
      <c r="L57" s="54"/>
      <c r="M57" s="54"/>
      <c r="N57" s="54" t="str">
        <f>'Event Tree Input'!C158</f>
        <v>Triangle</v>
      </c>
      <c r="O57" s="54"/>
      <c r="P57" s="54"/>
      <c r="S57" s="54">
        <v>1</v>
      </c>
      <c r="T57" s="54"/>
      <c r="U57" s="54" t="str">
        <f>IF('Event Tree Input'!$D$14="No","No",IF(AND('Event Tree Input'!$D$14="Yes",'Event Tree Input'!$D$11&gt;=S57),"Yes","No"))</f>
        <v>No</v>
      </c>
      <c r="V57" s="54"/>
      <c r="W57" s="54"/>
      <c r="X57" s="54" t="str">
        <f>'Event Tree Input'!$D$13</f>
        <v>No</v>
      </c>
      <c r="Y57" s="54"/>
      <c r="Z57" s="54"/>
    </row>
    <row r="58" spans="1:79" ht="15" customHeight="1" x14ac:dyDescent="0.2">
      <c r="I58" s="54">
        <v>2</v>
      </c>
      <c r="J58" s="54"/>
      <c r="K58" s="54" t="str">
        <f>'Event Tree Input'!B159</f>
        <v>Circle</v>
      </c>
      <c r="L58" s="54"/>
      <c r="M58" s="54"/>
      <c r="N58" s="54" t="str">
        <f>'Event Tree Input'!C159</f>
        <v>Triangle</v>
      </c>
      <c r="O58" s="54"/>
      <c r="P58" s="54"/>
      <c r="S58" s="54">
        <v>2</v>
      </c>
      <c r="T58" s="54"/>
      <c r="U58" s="54" t="str">
        <f>IF('Event Tree Input'!$D$14="No","No",IF(AND('Event Tree Input'!$D$14="Yes",'Event Tree Input'!$D$11&gt;=S58),"Yes","No"))</f>
        <v>No</v>
      </c>
      <c r="V58" s="54"/>
      <c r="W58" s="54"/>
      <c r="X58" s="54" t="str">
        <f>'Event Tree Input'!$D$13</f>
        <v>No</v>
      </c>
      <c r="Y58" s="54"/>
      <c r="Z58" s="54"/>
    </row>
    <row r="59" spans="1:79" ht="15" customHeight="1" x14ac:dyDescent="0.2">
      <c r="I59" s="54">
        <v>3</v>
      </c>
      <c r="J59" s="54"/>
      <c r="K59" s="54" t="str">
        <f>'Event Tree Input'!B160</f>
        <v>Circle</v>
      </c>
      <c r="L59" s="54"/>
      <c r="M59" s="54"/>
      <c r="N59" s="54" t="str">
        <f>'Event Tree Input'!C160</f>
        <v>Triangle</v>
      </c>
      <c r="O59" s="54"/>
      <c r="P59" s="54"/>
      <c r="S59" s="54">
        <v>3</v>
      </c>
      <c r="T59" s="54"/>
      <c r="U59" s="54" t="str">
        <f>IF('Event Tree Input'!$D$14="No","No",IF(AND('Event Tree Input'!$D$14="Yes",'Event Tree Input'!$D$11&gt;=S59),"Yes","No"))</f>
        <v>No</v>
      </c>
      <c r="V59" s="54"/>
      <c r="W59" s="54"/>
      <c r="X59" s="54" t="str">
        <f>'Event Tree Input'!$D$13</f>
        <v>No</v>
      </c>
      <c r="Y59" s="54"/>
      <c r="Z59" s="54"/>
    </row>
    <row r="60" spans="1:79" ht="15" customHeight="1" x14ac:dyDescent="0.2">
      <c r="I60" s="54">
        <v>4</v>
      </c>
      <c r="J60" s="54"/>
      <c r="K60" s="54" t="str">
        <f>'Event Tree Input'!B161</f>
        <v>Circle</v>
      </c>
      <c r="L60" s="54"/>
      <c r="M60" s="54"/>
      <c r="N60" s="54" t="str">
        <f>'Event Tree Input'!C161</f>
        <v>Triangle</v>
      </c>
      <c r="O60" s="54"/>
      <c r="P60" s="54"/>
      <c r="S60" s="54">
        <v>4</v>
      </c>
      <c r="T60" s="54"/>
      <c r="U60" s="54" t="str">
        <f>IF('Event Tree Input'!$D$14="No","No",IF(AND('Event Tree Input'!$D$14="Yes",'Event Tree Input'!$D$11&gt;=S60),"Yes","No"))</f>
        <v>No</v>
      </c>
      <c r="V60" s="54"/>
      <c r="W60" s="54"/>
      <c r="X60" s="54" t="str">
        <f>'Event Tree Input'!$D$13</f>
        <v>No</v>
      </c>
      <c r="Y60" s="54"/>
      <c r="Z60" s="54"/>
    </row>
    <row r="61" spans="1:79" ht="15" customHeight="1" x14ac:dyDescent="0.2">
      <c r="I61" s="54">
        <v>5</v>
      </c>
      <c r="J61" s="54"/>
      <c r="K61" s="54" t="str">
        <f>'Event Tree Input'!B162</f>
        <v>Circle</v>
      </c>
      <c r="L61" s="54"/>
      <c r="M61" s="54"/>
      <c r="N61" s="54" t="str">
        <f>'Event Tree Input'!C162</f>
        <v>Triangle</v>
      </c>
      <c r="O61" s="54"/>
      <c r="P61" s="54"/>
      <c r="S61" s="54">
        <v>5</v>
      </c>
      <c r="T61" s="54"/>
      <c r="U61" s="54" t="str">
        <f>IF('Event Tree Input'!$D$14="No","No",IF(AND('Event Tree Input'!$D$14="Yes",'Event Tree Input'!$D$11&gt;=S61),"Yes","No"))</f>
        <v>No</v>
      </c>
      <c r="V61" s="54"/>
      <c r="W61" s="54"/>
      <c r="X61" s="54" t="str">
        <f>'Event Tree Input'!$D$13</f>
        <v>No</v>
      </c>
      <c r="Y61" s="54"/>
      <c r="Z61" s="54"/>
    </row>
    <row r="62" spans="1:79" ht="15" customHeight="1" x14ac:dyDescent="0.2">
      <c r="I62" s="54">
        <v>6</v>
      </c>
      <c r="J62" s="54"/>
      <c r="K62" s="54" t="str">
        <f>'Event Tree Input'!B163</f>
        <v>Circle</v>
      </c>
      <c r="L62" s="54"/>
      <c r="M62" s="54"/>
      <c r="N62" s="54" t="str">
        <f>'Event Tree Input'!C163</f>
        <v>Triangle</v>
      </c>
      <c r="O62" s="54"/>
      <c r="P62" s="54"/>
      <c r="S62" s="54">
        <v>6</v>
      </c>
      <c r="T62" s="54"/>
      <c r="U62" s="54" t="str">
        <f>IF('Event Tree Input'!$D$14="No","No",IF(AND('Event Tree Input'!$D$14="Yes",'Event Tree Input'!$D$11&gt;=S62),"Yes","No"))</f>
        <v>No</v>
      </c>
      <c r="V62" s="54"/>
      <c r="W62" s="54"/>
      <c r="X62" s="54" t="str">
        <f>'Event Tree Input'!$D$13</f>
        <v>No</v>
      </c>
      <c r="Y62" s="54"/>
      <c r="Z62" s="54"/>
    </row>
    <row r="63" spans="1:79" ht="15" customHeight="1" x14ac:dyDescent="0.2">
      <c r="I63" s="54">
        <v>7</v>
      </c>
      <c r="J63" s="54"/>
      <c r="K63" s="54" t="str">
        <f>'Event Tree Input'!B164</f>
        <v>Triangle</v>
      </c>
      <c r="L63" s="54"/>
      <c r="M63" s="54"/>
      <c r="N63" s="54" t="str">
        <f>'Event Tree Input'!C164</f>
        <v>Triangle</v>
      </c>
      <c r="O63" s="54"/>
      <c r="P63" s="54"/>
      <c r="S63" s="54">
        <v>7</v>
      </c>
      <c r="T63" s="54"/>
      <c r="U63" s="54" t="str">
        <f>IF('Event Tree Input'!$D$14="No","No",IF(AND('Event Tree Input'!$D$14="Yes",'Event Tree Input'!$D$11&gt;=S63),"Yes","No"))</f>
        <v>No</v>
      </c>
      <c r="V63" s="54"/>
      <c r="W63" s="54"/>
      <c r="X63" s="54" t="str">
        <f>'Event Tree Input'!$D$13</f>
        <v>No</v>
      </c>
      <c r="Y63" s="54"/>
      <c r="Z63" s="54"/>
    </row>
    <row r="64" spans="1:79" ht="15" customHeight="1" x14ac:dyDescent="0.2">
      <c r="I64" s="54">
        <v>8</v>
      </c>
      <c r="J64" s="54"/>
      <c r="K64" s="54" t="str">
        <f>'Event Tree Input'!B165</f>
        <v/>
      </c>
      <c r="L64" s="54"/>
      <c r="M64" s="54"/>
      <c r="N64" s="54" t="str">
        <f>'Event Tree Input'!C165</f>
        <v/>
      </c>
      <c r="O64" s="54"/>
      <c r="P64" s="54"/>
      <c r="S64" s="54">
        <v>8</v>
      </c>
      <c r="T64" s="54"/>
      <c r="U64" s="54" t="str">
        <f>IF('Event Tree Input'!$D$14="No","No",IF(AND('Event Tree Input'!$D$14="Yes",'Event Tree Input'!$D$11&gt;=S64),"Yes","No"))</f>
        <v>No</v>
      </c>
      <c r="V64" s="54"/>
      <c r="W64" s="54"/>
      <c r="X64" s="54" t="str">
        <f>'Event Tree Input'!$D$13</f>
        <v>No</v>
      </c>
      <c r="Y64" s="54"/>
      <c r="Z64" s="54"/>
    </row>
    <row r="65" spans="2:26" ht="15" customHeight="1" x14ac:dyDescent="0.2">
      <c r="I65" s="54">
        <v>9</v>
      </c>
      <c r="J65" s="54"/>
      <c r="K65" s="54" t="str">
        <f>'Event Tree Input'!B166</f>
        <v/>
      </c>
      <c r="L65" s="54"/>
      <c r="M65" s="54"/>
      <c r="N65" s="54" t="str">
        <f>'Event Tree Input'!C166</f>
        <v/>
      </c>
      <c r="O65" s="54"/>
      <c r="P65" s="54"/>
      <c r="S65" s="54">
        <v>9</v>
      </c>
      <c r="T65" s="54"/>
      <c r="U65" s="54" t="str">
        <f>IF('Event Tree Input'!$D$14="No","No",IF(AND('Event Tree Input'!$D$14="Yes",'Event Tree Input'!$D$11&gt;=S65),"Yes","No"))</f>
        <v>No</v>
      </c>
      <c r="V65" s="54"/>
      <c r="W65" s="54"/>
      <c r="X65" s="54" t="str">
        <f>'Event Tree Input'!$D$13</f>
        <v>No</v>
      </c>
      <c r="Y65" s="54"/>
      <c r="Z65" s="54"/>
    </row>
    <row r="67" spans="2:26" ht="15" customHeight="1" x14ac:dyDescent="0.2">
      <c r="B67" s="3" t="s">
        <v>38</v>
      </c>
      <c r="M67" s="24"/>
      <c r="N67" s="24"/>
      <c r="O67" s="24"/>
    </row>
    <row r="68" spans="2:26" ht="15" customHeight="1" x14ac:dyDescent="0.2">
      <c r="B68" s="51" t="str">
        <f>'Event Tree Input'!A27</f>
        <v>Node 1 Callout</v>
      </c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28"/>
    </row>
    <row r="69" spans="2:26" ht="15" customHeight="1" x14ac:dyDescent="0.2"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28"/>
    </row>
    <row r="70" spans="2:26" ht="15" customHeight="1" x14ac:dyDescent="0.2"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28"/>
      <c r="X70" s="29"/>
      <c r="Y70" s="28"/>
    </row>
    <row r="71" spans="2:26" ht="15" customHeight="1" x14ac:dyDescent="0.2"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28"/>
      <c r="X71" s="29"/>
      <c r="Y71" s="28"/>
    </row>
    <row r="72" spans="2:26" ht="15" customHeight="1" x14ac:dyDescent="0.2"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28"/>
      <c r="X72" s="29"/>
      <c r="Y72" s="28"/>
    </row>
    <row r="73" spans="2:26" ht="15" customHeight="1" x14ac:dyDescent="0.2"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28"/>
      <c r="X73" s="29"/>
      <c r="Y73" s="28"/>
    </row>
    <row r="74" spans="2:26" ht="15" customHeight="1" x14ac:dyDescent="0.2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9"/>
      <c r="Y74" s="28"/>
    </row>
    <row r="75" spans="2:26" ht="15" customHeight="1" x14ac:dyDescent="0.2">
      <c r="B75" s="3" t="s">
        <v>39</v>
      </c>
      <c r="M75" s="24"/>
      <c r="N75" s="24"/>
      <c r="O75" s="24"/>
      <c r="W75" s="28"/>
      <c r="X75" s="28"/>
      <c r="Y75" s="28"/>
    </row>
    <row r="76" spans="2:26" ht="15" customHeight="1" x14ac:dyDescent="0.2">
      <c r="B76" s="51" t="str">
        <f>'Event Tree Input'!A41</f>
        <v>Node 2 Callout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</row>
    <row r="77" spans="2:26" ht="15" customHeight="1" x14ac:dyDescent="0.2"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29"/>
      <c r="X77" s="29"/>
    </row>
    <row r="78" spans="2:26" ht="15" customHeight="1" x14ac:dyDescent="0.2"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29"/>
      <c r="X78" s="29"/>
    </row>
    <row r="79" spans="2:26" ht="15" customHeight="1" x14ac:dyDescent="0.2"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29"/>
      <c r="X79" s="29"/>
    </row>
    <row r="80" spans="2:26" ht="15" customHeight="1" x14ac:dyDescent="0.2"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29"/>
      <c r="X80" s="29"/>
    </row>
    <row r="81" spans="2:24" ht="15" customHeight="1" x14ac:dyDescent="0.2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29"/>
      <c r="X81" s="29"/>
    </row>
    <row r="83" spans="2:24" ht="15" customHeight="1" x14ac:dyDescent="0.2">
      <c r="B83" s="3" t="s">
        <v>40</v>
      </c>
      <c r="M83" s="24"/>
      <c r="N83" s="24"/>
      <c r="O83" s="24"/>
    </row>
    <row r="84" spans="2:24" ht="15" customHeight="1" x14ac:dyDescent="0.2">
      <c r="B84" s="51" t="str">
        <f>'Event Tree Input'!A55</f>
        <v>Node 3 Callout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</row>
    <row r="85" spans="2:24" ht="15" customHeight="1" x14ac:dyDescent="0.2"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</row>
    <row r="86" spans="2:24" ht="15" customHeight="1" x14ac:dyDescent="0.2"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</row>
    <row r="87" spans="2:24" ht="15" customHeight="1" x14ac:dyDescent="0.2"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</row>
    <row r="88" spans="2:24" ht="15" customHeight="1" x14ac:dyDescent="0.2"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</row>
    <row r="89" spans="2:24" ht="15" customHeight="1" x14ac:dyDescent="0.2"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</row>
    <row r="91" spans="2:24" ht="15" customHeight="1" x14ac:dyDescent="0.2">
      <c r="B91" s="3" t="s">
        <v>41</v>
      </c>
      <c r="M91" s="24"/>
      <c r="N91" s="24"/>
      <c r="O91" s="24"/>
    </row>
    <row r="92" spans="2:24" ht="15" customHeight="1" x14ac:dyDescent="0.2">
      <c r="B92" s="51" t="str">
        <f>'Event Tree Input'!A69</f>
        <v>Node 4 Callout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</row>
    <row r="93" spans="2:24" ht="15" customHeight="1" x14ac:dyDescent="0.2"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</row>
    <row r="94" spans="2:24" ht="15" customHeight="1" x14ac:dyDescent="0.2"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</row>
    <row r="95" spans="2:24" ht="15" customHeight="1" x14ac:dyDescent="0.2"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</row>
    <row r="96" spans="2:24" ht="15" customHeight="1" x14ac:dyDescent="0.2"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</row>
    <row r="97" spans="2:22" ht="15" customHeight="1" x14ac:dyDescent="0.2"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</row>
    <row r="99" spans="2:22" ht="15" customHeight="1" x14ac:dyDescent="0.2">
      <c r="B99" s="3" t="s">
        <v>42</v>
      </c>
      <c r="M99" s="24"/>
      <c r="N99" s="24"/>
      <c r="O99" s="24"/>
    </row>
    <row r="100" spans="2:22" ht="15" customHeight="1" x14ac:dyDescent="0.2">
      <c r="B100" s="51" t="str">
        <f>'Event Tree Input'!A83</f>
        <v>Node 5 Callout</v>
      </c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</row>
    <row r="101" spans="2:22" ht="15" customHeight="1" x14ac:dyDescent="0.2"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</row>
    <row r="102" spans="2:22" ht="15" customHeight="1" x14ac:dyDescent="0.2"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</row>
    <row r="103" spans="2:22" ht="15" customHeight="1" x14ac:dyDescent="0.2"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</row>
    <row r="104" spans="2:22" ht="15" customHeight="1" x14ac:dyDescent="0.2"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</row>
    <row r="105" spans="2:22" ht="15" customHeight="1" x14ac:dyDescent="0.2"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</row>
    <row r="107" spans="2:22" ht="15" customHeight="1" x14ac:dyDescent="0.2">
      <c r="B107" s="3" t="s">
        <v>43</v>
      </c>
      <c r="M107" s="24"/>
      <c r="N107" s="24"/>
      <c r="O107" s="24"/>
    </row>
    <row r="108" spans="2:22" ht="15" customHeight="1" x14ac:dyDescent="0.2">
      <c r="B108" s="51" t="str">
        <f>'Event Tree Input'!A97</f>
        <v>Node 6 Callout</v>
      </c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</row>
    <row r="109" spans="2:22" ht="15" customHeight="1" x14ac:dyDescent="0.2"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</row>
    <row r="110" spans="2:22" ht="15" customHeight="1" x14ac:dyDescent="0.2"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</row>
    <row r="111" spans="2:22" ht="15" customHeight="1" x14ac:dyDescent="0.2"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</row>
    <row r="112" spans="2:22" ht="15" customHeight="1" x14ac:dyDescent="0.2"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</row>
    <row r="113" spans="2:22" ht="15" customHeight="1" x14ac:dyDescent="0.2"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</row>
    <row r="115" spans="2:22" ht="15" customHeight="1" x14ac:dyDescent="0.2">
      <c r="B115" s="3" t="s">
        <v>44</v>
      </c>
      <c r="M115" s="24"/>
      <c r="N115" s="24"/>
      <c r="O115" s="24"/>
    </row>
    <row r="116" spans="2:22" ht="15" customHeight="1" x14ac:dyDescent="0.2">
      <c r="B116" s="51" t="str">
        <f>'Event Tree Input'!A111</f>
        <v>Node 7 Callout</v>
      </c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</row>
    <row r="117" spans="2:22" ht="15" customHeight="1" x14ac:dyDescent="0.2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</row>
    <row r="118" spans="2:22" ht="15" customHeight="1" x14ac:dyDescent="0.2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</row>
    <row r="119" spans="2:22" ht="15" customHeight="1" x14ac:dyDescent="0.2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</row>
    <row r="120" spans="2:22" ht="15" customHeight="1" x14ac:dyDescent="0.2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</row>
    <row r="121" spans="2:22" ht="15" customHeight="1" x14ac:dyDescent="0.2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</row>
    <row r="123" spans="2:22" ht="15" customHeight="1" x14ac:dyDescent="0.2">
      <c r="B123" s="3" t="s">
        <v>45</v>
      </c>
      <c r="M123" s="24"/>
      <c r="N123" s="24"/>
      <c r="O123" s="24"/>
    </row>
    <row r="124" spans="2:22" ht="15" customHeight="1" x14ac:dyDescent="0.2">
      <c r="B124" s="51" t="str">
        <f>'Event Tree Input'!A125</f>
        <v>Node 8 Callout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</row>
    <row r="125" spans="2:22" ht="15" customHeight="1" x14ac:dyDescent="0.2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</row>
    <row r="126" spans="2:22" ht="15" customHeight="1" x14ac:dyDescent="0.2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</row>
    <row r="127" spans="2:22" ht="15" customHeight="1" x14ac:dyDescent="0.2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</row>
    <row r="128" spans="2:22" ht="15" customHeight="1" x14ac:dyDescent="0.2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</row>
    <row r="129" spans="2:22" ht="15" customHeight="1" x14ac:dyDescent="0.2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</row>
    <row r="131" spans="2:22" ht="15" customHeight="1" x14ac:dyDescent="0.2">
      <c r="B131" s="3" t="s">
        <v>46</v>
      </c>
      <c r="M131" s="24"/>
      <c r="N131" s="24"/>
      <c r="O131" s="24"/>
    </row>
    <row r="132" spans="2:22" ht="15" customHeight="1" x14ac:dyDescent="0.2">
      <c r="B132" s="51" t="str">
        <f>'Event Tree Input'!A139</f>
        <v>Node 9 Callout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</row>
    <row r="133" spans="2:22" ht="15" customHeight="1" x14ac:dyDescent="0.2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</row>
    <row r="134" spans="2:22" ht="15" customHeight="1" x14ac:dyDescent="0.2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</row>
    <row r="135" spans="2:22" ht="15" customHeight="1" x14ac:dyDescent="0.2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</row>
    <row r="136" spans="2:22" ht="15" customHeight="1" x14ac:dyDescent="0.2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</row>
    <row r="137" spans="2:22" ht="15" customHeight="1" x14ac:dyDescent="0.2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14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BN15:BS15 BN16 BN22:BS22 BM12:BM16</xm:sqref>
        </x14:conditionalFormatting>
        <x14:conditionalFormatting xmlns:xm="http://schemas.microsoft.com/office/excel/2006/main">
          <x14:cfRule type="expression" priority="13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BF12:BL12 BF19:BL19 BF13:BG13 BF14:BF18</xm:sqref>
        </x14:conditionalFormatting>
        <x14:conditionalFormatting xmlns:xm="http://schemas.microsoft.com/office/excel/2006/main">
          <x14:cfRule type="expression" priority="12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AY15:BE15 AY22:BE22 AY16:AZ16 AY17:AY21</xm:sqref>
        </x14:conditionalFormatting>
        <x14:conditionalFormatting xmlns:xm="http://schemas.microsoft.com/office/excel/2006/main">
          <x14:cfRule type="expression" priority="11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AR18:AX18 AR25:AX25 AR19:AS19 AR20:AR24</xm:sqref>
        </x14:conditionalFormatting>
        <x14:conditionalFormatting xmlns:xm="http://schemas.microsoft.com/office/excel/2006/main">
          <x14:cfRule type="expression" priority="10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AK21:AQ21 AK22:AL22 AK23:AK27</xm:sqref>
        </x14:conditionalFormatting>
        <x14:conditionalFormatting xmlns:xm="http://schemas.microsoft.com/office/excel/2006/main">
          <x14:cfRule type="expression" priority="9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AD24:AJ24 AD25:AE25 AD26:AD27</xm:sqref>
        </x14:conditionalFormatting>
        <x14:conditionalFormatting xmlns:xm="http://schemas.microsoft.com/office/excel/2006/main">
          <x14:cfRule type="expression" priority="8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W27:AC27 W40:AC40 W28:X28 W32:W35 W39</xm:sqref>
        </x14:conditionalFormatting>
        <x14:conditionalFormatting xmlns:xm="http://schemas.microsoft.com/office/excel/2006/main">
          <x14:cfRule type="expression" priority="7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6" id="{289E5477-9954-4419-AC5E-6C0788BD1C67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BN32:BN33 BN39 BM26:BM28</xm:sqref>
        </x14:conditionalFormatting>
        <x14:conditionalFormatting xmlns:xm="http://schemas.microsoft.com/office/excel/2006/main">
          <x14:cfRule type="expression" priority="5" id="{2FE0EB72-576D-44E6-8E8D-29CE196A518A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BF31:BL31 BF26:BF30</xm:sqref>
        </x14:conditionalFormatting>
        <x14:conditionalFormatting xmlns:xm="http://schemas.microsoft.com/office/excel/2006/main">
          <x14:cfRule type="expression" priority="4" id="{4DD80E4B-785D-4E76-8BC6-CD6BA0B610E8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AY27:BE27 AY34:BE34 AY28:AZ28 AY29:AY33</xm:sqref>
        </x14:conditionalFormatting>
        <x14:conditionalFormatting xmlns:xm="http://schemas.microsoft.com/office/excel/2006/main">
          <x14:cfRule type="expression" priority="3" id="{3F8DB8EE-6842-447C-B520-069420DEB181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AR30:AX30 AR37:AX37 AR31:AS31 AR32:AR36</xm:sqref>
        </x14:conditionalFormatting>
        <x14:conditionalFormatting xmlns:xm="http://schemas.microsoft.com/office/excel/2006/main">
          <x14:cfRule type="expression" priority="2" id="{21AF609B-7EAD-4D0C-A302-6AACCEEBFB4B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AK33:AQ33 AK40:AQ40 AK34:AL34 AK35:AK39</xm:sqref>
        </x14:conditionalFormatting>
        <x14:conditionalFormatting xmlns:xm="http://schemas.microsoft.com/office/excel/2006/main">
          <x14:cfRule type="expression" priority="1" id="{BDBA03FE-E4A6-4145-A3E0-E5E670471B2C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AD36:AJ36 AD43:AJ43 AD37:AE37 AD38:AD42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07B1C6-07F2-41C8-A5D7-6284CCE01D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3B1481-119E-4D4A-AF63-030CA46D5CE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3082AD-737A-4709-B5CA-0FF13B6342DE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microsoft.com/office/infopath/2007/PartnerControls"/>
    <ds:schemaRef ds:uri="a8f80ecd-cddb-46c8-b263-c25672b580c6"/>
    <ds:schemaRef ds:uri="http://purl.org/dc/dcmitype/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