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85CE0155-2325-42C0-A2CF-22F1254C2E4F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<sst xmlns="http://schemas.openxmlformats.org/spreadsheetml/2006/main" count="140" uniqueCount="74">
  <si>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</si>
  <si>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</si>
  <si>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</si>
  <si>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</si>
  <si>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</si>
  <si>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</si>
  <si>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</si>
  <si>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</si>
  <si>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</si>
  <si>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</si>
  <si>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</si>
  <si>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</si>
  <si>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</si>
  <si>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</si>
  <si>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</si>
  <si>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</si>
  <si>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</si>
  <si>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</si>
  <si>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</si>
  <si>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</si>
  <si>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</si>
  <si>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</si>
  <si>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</si>
  <si>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</si>
  <si>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</si>
  <si>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</si>
  <si>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</si>
  <si>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</si>
  <si>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</si>
  <si>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</si>
  <si>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</si>
  <si>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</si>
  <si>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</si>
  <si>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</si>
  <si>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</si>
  <si>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</si>
  <si>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</si>
  <si>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</si>
  <si>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</si>
  <si>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</si>
  <si>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</si>
  <si>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</si>
  <si>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</si>
  <si>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</si>
  <si>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</si>
  <si>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</si>
  <si>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</si>
  <si>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</si>
  <si>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</si>
  <si>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</si>
  <si>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</si>
  <si>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</si>
  <si>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</si>
  <si>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</si>
  <si>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</si>
  <si>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</si>
  <si>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Progression: Hydraulic Condition</t>
  </si>
  <si>
    <t>Sufficient flow exists to continuously transport eroded particles to exit?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</si>
  <si>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</si>
  <si>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</si>
  <si>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</si>
  <si>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</si>
  <si>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</si>
  <si>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</si>
  <si>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Initiation: Gate Operation</t>
  </si>
  <si>
    <t>Evaluate trunion friction coefficient</t>
  </si>
  <si>
    <t>0.4 - 0.6</t>
  </si>
  <si>
    <t>Progression: Strut Arm Performance</t>
  </si>
  <si>
    <t>Strut arm buckles based on interaction ratio?</t>
  </si>
  <si>
    <r>
      <t xml:space="preserve">IR </t>
    </r>
    <r>
      <rPr>
        <sz val="10"/>
        <color theme="1"/>
        <rFont val="Aptos Narrow"/>
        <family val="2"/>
      </rPr>
      <t>≤</t>
    </r>
    <r>
      <rPr>
        <sz val="10"/>
        <color theme="1"/>
        <rFont val="Arial"/>
        <family val="2"/>
      </rPr>
      <t xml:space="preserve"> 1.0</t>
    </r>
  </si>
  <si>
    <t>Detection of buckling and intervention are unsuccessful?</t>
  </si>
  <si>
    <t>Displacement and collapse of the gate occurs?</t>
  </si>
  <si>
    <t>Full Collapse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</si>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</sst>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5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6048374"/>
          <a:ext cx="1333500" cy="494919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Initiation: Gate Operation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Strut Arm Performance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35</xdr:col>
      <xdr:colOff>190499</xdr:colOff>
      <xdr:row>21</xdr:row>
      <xdr:rowOff>95249</xdr:rowOff>
    </xdr:from>
    <xdr:to>
      <xdr:col>42</xdr:col>
      <xdr:colOff>180975</xdr:colOff>
      <xdr:row>24</xdr:row>
      <xdr:rowOff>133351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191374" y="409574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37</xdr:col>
      <xdr:colOff>3</xdr:colOff>
      <xdr:row>25</xdr:row>
      <xdr:rowOff>138112</xdr:rowOff>
    </xdr:from>
    <xdr:to>
      <xdr:col>42</xdr:col>
      <xdr:colOff>9526</xdr:colOff>
      <xdr:row>27</xdr:row>
      <xdr:rowOff>30956</xdr:rowOff>
    </xdr:to>
    <xdr:sp macro="" textlink="">
      <xdr:nvSpPr>
        <xdr:cNvPr id="81" name="N4Callout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7400928" y="4329112"/>
          <a:ext cx="1009648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Full Collapse</a:t>
          </a:r>
        </a:p>
      </xdr:txBody>
    </xdr:sp>
    <xdr:clientData/>
  </xdr:twoCellAnchor>
  <xdr:twoCellAnchor>
    <xdr:from>
      <xdr:col>16</xdr:col>
      <xdr:colOff>152402</xdr:colOff>
      <xdr:row>34</xdr:row>
      <xdr:rowOff>102394</xdr:rowOff>
    </xdr:from>
    <xdr:to>
      <xdr:col>20</xdr:col>
      <xdr:colOff>47626</xdr:colOff>
      <xdr:row>36</xdr:row>
      <xdr:rowOff>19050</xdr:rowOff>
    </xdr:to>
    <xdr:sp macro="" textlink="">
      <xdr:nvSpPr>
        <xdr:cNvPr id="31" name="N1Callout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3352802" y="6579394"/>
          <a:ext cx="69532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0.4 - 0.6</a:t>
          </a:r>
        </a:p>
      </xdr:txBody>
    </xdr:sp>
    <xdr:clientData/>
  </xdr:twoCellAnchor>
  <xdr:twoCellAnchor>
    <xdr:from>
      <xdr:col>23</xdr:col>
      <xdr:colOff>166689</xdr:colOff>
      <xdr:row>37</xdr:row>
      <xdr:rowOff>135731</xdr:rowOff>
    </xdr:from>
    <xdr:to>
      <xdr:col>27</xdr:col>
      <xdr:colOff>0</xdr:colOff>
      <xdr:row>39</xdr:row>
      <xdr:rowOff>16669</xdr:rowOff>
    </xdr:to>
    <xdr:sp macro="" textlink="">
      <xdr:nvSpPr>
        <xdr:cNvPr id="78" name="N2Callout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4767264" y="7184231"/>
          <a:ext cx="633411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IR ≤ 1.0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34</xdr:row>
      <xdr:rowOff>54695</xdr:rowOff>
    </xdr:from>
    <xdr:to>
      <xdr:col>43</xdr:col>
      <xdr:colOff>96889</xdr:colOff>
      <xdr:row>35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 hidden="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Evaluate trunion friction coefficient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Strut arm buckles based on interaction ratio?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of buckling and intervention are unsuccessful?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Displacement and collapse of the gate occurs?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 hidden="1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continuously transport eroded particles to exit?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180977</xdr:colOff>
      <xdr:row>40</xdr:row>
      <xdr:rowOff>111919</xdr:rowOff>
    </xdr:from>
    <xdr:to>
      <xdr:col>20</xdr:col>
      <xdr:colOff>76201</xdr:colOff>
      <xdr:row>42</xdr:row>
      <xdr:rowOff>28575</xdr:rowOff>
    </xdr:to>
    <xdr:sp macro="" textlink="">
      <xdr:nvSpPr>
        <xdr:cNvPr id="32" name="N1Callout">
          <a:extLst>
            <a:ext uri="{FF2B5EF4-FFF2-40B4-BE49-F238E27FC236}">
              <a16:creationId xmlns:a16="http://schemas.microsoft.com/office/drawing/2014/main" id="{FA4605C4-AD4E-41F2-97E2-ADEFFAA189FB}"/>
            </a:ext>
          </a:extLst>
        </xdr:cNvPr>
        <xdr:cNvSpPr txBox="1"/>
      </xdr:nvSpPr>
      <xdr:spPr>
        <a:xfrm>
          <a:off x="3381377" y="7731919"/>
          <a:ext cx="69532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0.2</a:t>
          </a:r>
          <a:r>
            <a:rPr lang="en-US" sz="1000" baseline="0">
              <a:latin typeface="Arial" panose="020B0604020202020204" pitchFamily="34" charset="0"/>
              <a:cs typeface="Arial" panose="020B0604020202020204" pitchFamily="34" charset="0"/>
            </a:rPr>
            <a:t> - 0.4</a:t>
          </a:r>
          <a:endParaRPr 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17</xdr:col>
      <xdr:colOff>76202</xdr:colOff>
      <xdr:row>42</xdr:row>
      <xdr:rowOff>102394</xdr:rowOff>
    </xdr:from>
    <xdr:to>
      <xdr:col>20</xdr:col>
      <xdr:colOff>171451</xdr:colOff>
      <xdr:row>44</xdr:row>
      <xdr:rowOff>19050</xdr:rowOff>
    </xdr:to>
    <xdr:sp macro="" textlink="">
      <xdr:nvSpPr>
        <xdr:cNvPr id="34" name="N1Callout">
          <a:extLst>
            <a:ext uri="{FF2B5EF4-FFF2-40B4-BE49-F238E27FC236}">
              <a16:creationId xmlns:a16="http://schemas.microsoft.com/office/drawing/2014/main" id="{B6296E11-5F74-44F7-A40F-09961E2F517B}"/>
            </a:ext>
          </a:extLst>
        </xdr:cNvPr>
        <xdr:cNvSpPr txBox="1"/>
      </xdr:nvSpPr>
      <xdr:spPr>
        <a:xfrm>
          <a:off x="3476627" y="8103394"/>
          <a:ext cx="69532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&lt; 0.2</a:t>
          </a:r>
        </a:p>
      </xdr:txBody>
    </xdr:sp>
    <xdr:clientData/>
  </xdr:twoCellAnchor>
  <xdr:twoCellAnchor>
    <xdr:from>
      <xdr:col>21</xdr:col>
      <xdr:colOff>75120</xdr:colOff>
      <xdr:row>41</xdr:row>
      <xdr:rowOff>40653</xdr:rowOff>
    </xdr:from>
    <xdr:to>
      <xdr:col>22</xdr:col>
      <xdr:colOff>149418</xdr:colOff>
      <xdr:row>42</xdr:row>
      <xdr:rowOff>124475</xdr:rowOff>
    </xdr:to>
    <xdr:sp macro="" textlink="">
      <xdr:nvSpPr>
        <xdr:cNvPr id="35" name="N2Num">
          <a:extLst>
            <a:ext uri="{FF2B5EF4-FFF2-40B4-BE49-F238E27FC236}">
              <a16:creationId xmlns:a16="http://schemas.microsoft.com/office/drawing/2014/main" id="{A3E9A410-47A1-41E1-8D1F-DE83146E9D3D}"/>
            </a:ext>
          </a:extLst>
        </xdr:cNvPr>
        <xdr:cNvSpPr>
          <a:spLocks noChangeAspect="1"/>
        </xdr:cNvSpPr>
      </xdr:nvSpPr>
      <xdr:spPr>
        <a:xfrm>
          <a:off x="4275645" y="7851153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43</xdr:row>
      <xdr:rowOff>38100</xdr:rowOff>
    </xdr:from>
    <xdr:to>
      <xdr:col>22</xdr:col>
      <xdr:colOff>150498</xdr:colOff>
      <xdr:row>44</xdr:row>
      <xdr:rowOff>121922</xdr:rowOff>
    </xdr:to>
    <xdr:sp macro="" textlink="">
      <xdr:nvSpPr>
        <xdr:cNvPr id="36" name="N2Num">
          <a:extLst>
            <a:ext uri="{FF2B5EF4-FFF2-40B4-BE49-F238E27FC236}">
              <a16:creationId xmlns:a16="http://schemas.microsoft.com/office/drawing/2014/main" id="{D59901B5-816C-4031-B5D0-B07F1B584496}"/>
            </a:ext>
          </a:extLst>
        </xdr:cNvPr>
        <xdr:cNvSpPr>
          <a:spLocks noChangeAspect="1"/>
        </xdr:cNvSpPr>
      </xdr:nvSpPr>
      <xdr:spPr>
        <a:xfrm>
          <a:off x="4276725" y="822960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23</xdr:col>
      <xdr:colOff>138114</xdr:colOff>
      <xdr:row>31</xdr:row>
      <xdr:rowOff>126206</xdr:rowOff>
    </xdr:from>
    <xdr:to>
      <xdr:col>26</xdr:col>
      <xdr:colOff>171450</xdr:colOff>
      <xdr:row>33</xdr:row>
      <xdr:rowOff>7144</xdr:rowOff>
    </xdr:to>
    <xdr:sp macro="" textlink="">
      <xdr:nvSpPr>
        <xdr:cNvPr id="37" name="N2Callout">
          <a:extLst>
            <a:ext uri="{FF2B5EF4-FFF2-40B4-BE49-F238E27FC236}">
              <a16:creationId xmlns:a16="http://schemas.microsoft.com/office/drawing/2014/main" id="{E126A291-060C-4EF9-8560-D02977A4F3B2}"/>
            </a:ext>
          </a:extLst>
        </xdr:cNvPr>
        <xdr:cNvSpPr txBox="1"/>
      </xdr:nvSpPr>
      <xdr:spPr>
        <a:xfrm>
          <a:off x="4738689" y="6031706"/>
          <a:ext cx="633411" cy="2619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IR &gt; 1.0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38" name="N5Num" hidden="1">
          <a:extLst>
            <a:ext uri="{FF2B5EF4-FFF2-40B4-BE49-F238E27FC236}">
              <a16:creationId xmlns:a16="http://schemas.microsoft.com/office/drawing/2014/main" id="{70933562-4788-4B18-9FE7-F22EB750F5E6}"/>
            </a:ext>
          </a:extLst>
        </xdr:cNvPr>
        <xdr:cNvSpPr>
          <a:spLocks noChangeAspect="1"/>
        </xdr:cNvSpPr>
      </xdr:nvSpPr>
      <xdr:spPr>
        <a:xfrm>
          <a:off x="8465270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39" name="N4B1Tri">
          <a:extLst>
            <a:ext uri="{FF2B5EF4-FFF2-40B4-BE49-F238E27FC236}">
              <a16:creationId xmlns:a16="http://schemas.microsoft.com/office/drawing/2014/main" id="{86E8EFA0-CFBF-4FED-8863-DDEC13B93AC0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37</xdr:col>
      <xdr:colOff>95253</xdr:colOff>
      <xdr:row>33</xdr:row>
      <xdr:rowOff>119062</xdr:rowOff>
    </xdr:from>
    <xdr:to>
      <xdr:col>42</xdr:col>
      <xdr:colOff>104776</xdr:colOff>
      <xdr:row>35</xdr:row>
      <xdr:rowOff>11906</xdr:rowOff>
    </xdr:to>
    <xdr:sp macro="" textlink="">
      <xdr:nvSpPr>
        <xdr:cNvPr id="42" name="N4Callout">
          <a:extLst>
            <a:ext uri="{FF2B5EF4-FFF2-40B4-BE49-F238E27FC236}">
              <a16:creationId xmlns:a16="http://schemas.microsoft.com/office/drawing/2014/main" id="{263D4B97-7B93-4BA7-BF17-3698C61A50DB}"/>
            </a:ext>
          </a:extLst>
        </xdr:cNvPr>
        <xdr:cNvSpPr txBox="1"/>
      </xdr:nvSpPr>
      <xdr:spPr>
        <a:xfrm>
          <a:off x="7496178" y="6024562"/>
          <a:ext cx="1009648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 Collapse</a:t>
          </a:r>
        </a:p>
      </xdr:txBody>
    </xdr:sp>
    <xdr:clientData/>
  </xdr:twoCellAnchor>
  <xdr:twoCellAnchor>
    <xdr:from>
      <xdr:col>42</xdr:col>
      <xdr:colOff>64220</xdr:colOff>
      <xdr:row>25</xdr:row>
      <xdr:rowOff>52240</xdr:rowOff>
    </xdr:from>
    <xdr:to>
      <xdr:col>43</xdr:col>
      <xdr:colOff>138518</xdr:colOff>
      <xdr:row>26</xdr:row>
      <xdr:rowOff>136062</xdr:rowOff>
    </xdr:to>
    <xdr:sp macro="" textlink="">
      <xdr:nvSpPr>
        <xdr:cNvPr id="44" name="N6Num" hidden="1">
          <a:extLst>
            <a:ext uri="{FF2B5EF4-FFF2-40B4-BE49-F238E27FC236}">
              <a16:creationId xmlns:a16="http://schemas.microsoft.com/office/drawing/2014/main" id="{15ED72B7-3F76-416B-8203-38E04F8EA84F}"/>
            </a:ext>
          </a:extLst>
        </xdr:cNvPr>
        <xdr:cNvSpPr>
          <a:spLocks noChangeAspect="1"/>
        </xdr:cNvSpPr>
      </xdr:nvSpPr>
      <xdr:spPr>
        <a:xfrm>
          <a:off x="9865445" y="44337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42</xdr:col>
      <xdr:colOff>67746</xdr:colOff>
      <xdr:row>25</xdr:row>
      <xdr:rowOff>55117</xdr:rowOff>
    </xdr:from>
    <xdr:to>
      <xdr:col>43</xdr:col>
      <xdr:colOff>88435</xdr:colOff>
      <xdr:row>26</xdr:row>
      <xdr:rowOff>130171</xdr:rowOff>
    </xdr:to>
    <xdr:sp macro="" textlink="">
      <xdr:nvSpPr>
        <xdr:cNvPr id="45" name="N5B1Tri" hidden="1">
          <a:extLst>
            <a:ext uri="{FF2B5EF4-FFF2-40B4-BE49-F238E27FC236}">
              <a16:creationId xmlns:a16="http://schemas.microsoft.com/office/drawing/2014/main" id="{3F054B32-DB6F-46E5-A157-2E0D34D63AF5}"/>
            </a:ext>
          </a:extLst>
        </xdr:cNvPr>
        <xdr:cNvSpPr/>
      </xdr:nvSpPr>
      <xdr:spPr>
        <a:xfrm rot="16200000">
          <a:off x="9846551" y="44590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64220</xdr:colOff>
      <xdr:row>32</xdr:row>
      <xdr:rowOff>52240</xdr:rowOff>
    </xdr:from>
    <xdr:to>
      <xdr:col>43</xdr:col>
      <xdr:colOff>138518</xdr:colOff>
      <xdr:row>33</xdr:row>
      <xdr:rowOff>136062</xdr:rowOff>
    </xdr:to>
    <xdr:sp macro="" textlink="">
      <xdr:nvSpPr>
        <xdr:cNvPr id="46" name="N5Num" hidden="1">
          <a:extLst>
            <a:ext uri="{FF2B5EF4-FFF2-40B4-BE49-F238E27FC236}">
              <a16:creationId xmlns:a16="http://schemas.microsoft.com/office/drawing/2014/main" id="{009D5A50-131D-4206-800B-E7B8B3D426E3}"/>
            </a:ext>
          </a:extLst>
        </xdr:cNvPr>
        <xdr:cNvSpPr>
          <a:spLocks noChangeAspect="1"/>
        </xdr:cNvSpPr>
      </xdr:nvSpPr>
      <xdr:spPr>
        <a:xfrm>
          <a:off x="8465270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42</xdr:col>
      <xdr:colOff>77270</xdr:colOff>
      <xdr:row>32</xdr:row>
      <xdr:rowOff>55130</xdr:rowOff>
    </xdr:from>
    <xdr:to>
      <xdr:col>43</xdr:col>
      <xdr:colOff>97959</xdr:colOff>
      <xdr:row>33</xdr:row>
      <xdr:rowOff>130184</xdr:rowOff>
    </xdr:to>
    <xdr:sp macro="" textlink="">
      <xdr:nvSpPr>
        <xdr:cNvPr id="47" name="N4B1Tri">
          <a:extLst>
            <a:ext uri="{FF2B5EF4-FFF2-40B4-BE49-F238E27FC236}">
              <a16:creationId xmlns:a16="http://schemas.microsoft.com/office/drawing/2014/main" id="{0234A511-A1DA-4BC4-A85E-11CAE39D26B0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190502</xdr:colOff>
      <xdr:row>31</xdr:row>
      <xdr:rowOff>128587</xdr:rowOff>
    </xdr:from>
    <xdr:to>
      <xdr:col>42</xdr:col>
      <xdr:colOff>152399</xdr:colOff>
      <xdr:row>33</xdr:row>
      <xdr:rowOff>21431</xdr:rowOff>
    </xdr:to>
    <xdr:sp macro="" textlink="">
      <xdr:nvSpPr>
        <xdr:cNvPr id="48" name="N4Callout">
          <a:extLst>
            <a:ext uri="{FF2B5EF4-FFF2-40B4-BE49-F238E27FC236}">
              <a16:creationId xmlns:a16="http://schemas.microsoft.com/office/drawing/2014/main" id="{B90C7CE7-0C0A-4054-93D9-D7513AD88890}"/>
            </a:ext>
          </a:extLst>
        </xdr:cNvPr>
        <xdr:cNvSpPr txBox="1"/>
      </xdr:nvSpPr>
      <xdr:spPr>
        <a:xfrm>
          <a:off x="7391402" y="4891087"/>
          <a:ext cx="1162047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Partial Collapse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63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4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15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64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65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66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67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68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69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58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70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/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60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71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72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56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57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58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59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63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Triangle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/>
      </c>
      <c r="C162" s="9" t="str">
        <f t="shared" si="0"/>
        <v/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4" priority="67">
      <formula>$D$9="Seismic Hazard"</formula>
    </cfRule>
    <cfRule type="expression" dxfId="23" priority="68">
      <formula>$D$9="Hydrologic Hazard"</formula>
    </cfRule>
  </conditionalFormatting>
  <conditionalFormatting sqref="A32:H45">
    <cfRule type="expression" dxfId="22" priority="16" stopIfTrue="1">
      <formula>$D$11&lt;2</formula>
    </cfRule>
  </conditionalFormatting>
  <conditionalFormatting sqref="A110:H114 A138:H142 A40:H44 A54:H58 A68:H72 A82:H86 A96:H100 A124:H128 A26:H30">
    <cfRule type="expression" dxfId="21" priority="2" stopIfTrue="1">
      <formula>$D$14="No"</formula>
    </cfRule>
  </conditionalFormatting>
  <conditionalFormatting sqref="A46:H59">
    <cfRule type="expression" dxfId="20" priority="14" stopIfTrue="1">
      <formula>$D$11&lt;3</formula>
    </cfRule>
  </conditionalFormatting>
  <conditionalFormatting sqref="A60:H73">
    <cfRule type="expression" dxfId="19" priority="12" stopIfTrue="1">
      <formula>$D$11&lt;4</formula>
    </cfRule>
  </conditionalFormatting>
  <conditionalFormatting sqref="A74:H87">
    <cfRule type="expression" dxfId="18" priority="9" stopIfTrue="1">
      <formula>$D$11&lt;5</formula>
    </cfRule>
  </conditionalFormatting>
  <conditionalFormatting sqref="A88:H101">
    <cfRule type="expression" dxfId="17" priority="7" stopIfTrue="1">
      <formula>$D$11&lt;6</formula>
    </cfRule>
  </conditionalFormatting>
  <conditionalFormatting sqref="A102:H115">
    <cfRule type="expression" dxfId="16" priority="8" stopIfTrue="1">
      <formula>$D$11&lt;7</formula>
    </cfRule>
  </conditionalFormatting>
  <conditionalFormatting sqref="A116:H129">
    <cfRule type="expression" dxfId="15" priority="3" stopIfTrue="1">
      <formula>$D$11&lt;8</formula>
    </cfRule>
  </conditionalFormatting>
  <conditionalFormatting sqref="A130:H143">
    <cfRule type="expression" dxfId="14" priority="1" stopIfTrue="1">
      <formula>$D$11&lt;9</formula>
    </cfRule>
  </conditionalFormatting>
  <conditionalFormatting sqref="A20:H21 A34:H35 A48:H49 A62:H63 A76:H77 A90:H91 A104:H105 A118:H119 A132:H133">
    <cfRule type="expression" dxfId="13" priority="22">
      <formula>$D$13="No"</formula>
    </cfRule>
  </conditionalFormatting>
  <conditionalFormatting sqref="A27:H30">
    <cfRule type="expression" dxfId="12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33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4"/>
      <c r="AL33" s="37"/>
      <c r="AM33" s="37"/>
      <c r="AN33" s="37"/>
      <c r="AO33" s="37"/>
      <c r="AP33" s="37"/>
      <c r="AQ33" s="37"/>
      <c r="AR33" s="34"/>
      <c r="AS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K34" s="32"/>
      <c r="AL34" s="33"/>
      <c r="AM34" s="33"/>
      <c r="AN34" s="33"/>
      <c r="AO34" s="33"/>
      <c r="AP34" s="33"/>
      <c r="AQ34" s="33"/>
      <c r="AR34" s="3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K35" s="35"/>
      <c r="AL35" s="36"/>
      <c r="AM35" s="36"/>
      <c r="AN35" s="36"/>
      <c r="AO35" s="36"/>
      <c r="AP35" s="36"/>
      <c r="AQ35" s="36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X42" s="3" t="s">
        <v>73</v>
      </c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P43" s="34"/>
      <c r="Q43" s="25"/>
      <c r="R43" s="25"/>
      <c r="S43" s="25"/>
      <c r="T43" s="25"/>
      <c r="U43" s="25"/>
      <c r="V43" s="25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P44" s="35"/>
      <c r="Q44" s="36"/>
      <c r="R44" s="36"/>
      <c r="S44" s="36"/>
      <c r="T44" s="36"/>
      <c r="U44" s="36"/>
      <c r="V44" s="36"/>
      <c r="X44" s="14" t="s">
        <v>73</v>
      </c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V45" s="38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Yes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Yes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Yes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Triangle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Yes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/>
      </c>
      <c r="L61" s="49"/>
      <c r="M61" s="49"/>
      <c r="N61" s="49" t="str">
        <f>'Event Tree Input'!C162</f>
        <v/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/>
      </c>
      <c r="L62" s="49"/>
      <c r="M62" s="49"/>
      <c r="N62" s="49" t="str">
        <f>'Event Tree Input'!C163</f>
        <v/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/>
      </c>
      <c r="L63" s="49"/>
      <c r="M63" s="49"/>
      <c r="N63" s="49" t="str">
        <f>'Event Tree Input'!C164</f>
        <v/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0.4 - 0.6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IR ≤ 1.0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>
        <f>'Event Tree Input'!A55</f>
        <v>0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Full Collapse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13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12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11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 AY27</xm:sqref>
        </x14:conditionalFormatting>
        <x14:conditionalFormatting xmlns:xm="http://schemas.microsoft.com/office/excel/2006/main">
          <x14:cfRule type="expression" priority="10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AR31:AX31 AS27 AR27:AR30</xm:sqref>
        </x14:conditionalFormatting>
        <x14:conditionalFormatting xmlns:xm="http://schemas.microsoft.com/office/excel/2006/main">
          <x14:cfRule type="expression" priority="9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AK36:AQ36 AK29:AK32 AK35</xm:sqref>
        </x14:conditionalFormatting>
        <x14:conditionalFormatting xmlns:xm="http://schemas.microsoft.com/office/excel/2006/main">
          <x14:cfRule type="expression" priority="8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7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6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  <x14:conditionalFormatting xmlns:xm="http://schemas.microsoft.com/office/excel/2006/main">
          <x14:cfRule type="expression" priority="5" id="{0EF53175-F416-4FAA-8763-E003DE87FD03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AK28:AL28</xm:sqref>
        </x14:conditionalFormatting>
        <x14:conditionalFormatting xmlns:xm="http://schemas.microsoft.com/office/excel/2006/main">
          <x14:cfRule type="expression" priority="2" id="{0DEB2DB9-FA96-4684-984C-4B684AF82D9B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AR33:AR34</xm:sqref>
        </x14:conditionalFormatting>
        <x14:conditionalFormatting xmlns:xm="http://schemas.microsoft.com/office/excel/2006/main">
          <x14:cfRule type="expression" priority="1" id="{5A651B6B-D3B8-4E9E-95FB-43F30B3841D7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AK34:AL34 AK33:AQ33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4E77E7-483A-4233-8B44-5F5F85C077AC}">
  <ds:schemaRefs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f254aa9d-3c64-433e-b325-d6b94ca3f691"/>
    <ds:schemaRef ds:uri="http://schemas.microsoft.com/office/infopath/2007/PartnerControls"/>
    <ds:schemaRef ds:uri="a8f80ecd-cddb-46c8-b263-c25672b580c6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44CAB13-DBDD-48F2-8F20-F7B5D2CE6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988DE5-5046-40DE-A157-6695B6BA8F5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