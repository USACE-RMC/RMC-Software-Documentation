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53F763D-774C-4D6C-B9F4-461701613D48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<sst xmlns="http://schemas.openxmlformats.org/spreadsheetml/2006/main" count="119" uniqueCount="61">
  <si>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</si>
  <si>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</si>
  <si>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</si>
  <si>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</si>
  <si>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</si>
  <si>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</si>
  <si>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</si>
  <si>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</si>
  <si>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</si>
  <si>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</si>
  <si>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</si>
  <si>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</si>
  <si>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</si>
  <si>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</si>
  <si>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</si>
  <si>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</si>
  <si>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</si>
  <si>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</si>
  <si>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</si>
  <si>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</si>
  <si>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</si>
  <si>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</si>
  <si>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</si>
  <si>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</si>
  <si>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</si>
  <si>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</si>
  <si>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</si>
  <si>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</si>
  <si>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</si>
  <si>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</si>
  <si>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</si>
  <si>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</si>
  <si>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</si>
  <si>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</si>
  <si>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</si>
  <si>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</si>
  <si>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</si>
  <si>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</si>
  <si>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</si>
  <si>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</si>
  <si>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</si>
  <si>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</si>
  <si>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</si>
  <si>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</si>
  <si>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</si>
  <si>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</si>
  <si>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</si>
  <si>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</si>
  <si>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</si>
  <si>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</si>
  <si>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</si>
  <si>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</si>
  <si>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</si>
  <si>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</si>
  <si>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</si>
  <si>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Material in the foundation fails to clog the pipe?</t>
  </si>
  <si>
    <t>River or pool falls while water is retained in the soil on the landside of the wall creating a head differential?</t>
  </si>
  <si>
    <t>Seepage through the foundation is sufficient to heave soil at the waterside ground surface?</t>
  </si>
  <si>
    <t>A layer of pipeable exists underneath the wall and the exit at the waterside ground surface is unfiltered?</t>
  </si>
  <si>
    <t>Sufficient flow exists to continue to move foundation soils to the surface?</t>
  </si>
  <si>
    <t>The pipe enlarges, the wall deflects, and the interlocks become separated, leading to wall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</si>
</sst>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River or pool falls while water is retained in the soil on the landside of the wall creating a head differential?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Seepage through the foundation is sufficient to heave soil at the waterside ground surface?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layer of pipeable exists underneath the wall and the exit at the waterside ground surface is unfiltered?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Material in the foundation fails to clog the pipe?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continue to move foundation soils to the surface?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pipe enlarges, the wall deflects, and the interlocks become separated, leading to wall breach?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54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56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/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57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/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58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/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55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/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59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/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52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/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60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/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/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/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/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/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3" priority="69">
      <formula>$D$9="Seismic Hazard"</formula>
    </cfRule>
    <cfRule type="expression" dxfId="22" priority="70">
      <formula>$D$9="Hydrologic Hazard"</formula>
    </cfRule>
  </conditionalFormatting>
  <conditionalFormatting sqref="A32:H45">
    <cfRule type="expression" dxfId="21" priority="18" stopIfTrue="1">
      <formula>$D$11&lt;2</formula>
    </cfRule>
  </conditionalFormatting>
  <conditionalFormatting sqref="A110:H114 A138:H142 A40:H44 A54:H58 A68:H72 A82:H86 A96:H100 A124:H128 A26:H30">
    <cfRule type="expression" dxfId="20" priority="4" stopIfTrue="1">
      <formula>$D$14="No"</formula>
    </cfRule>
  </conditionalFormatting>
  <conditionalFormatting sqref="A46:H51 A53:H59">
    <cfRule type="expression" dxfId="19" priority="16" stopIfTrue="1">
      <formula>$D$11&lt;3</formula>
    </cfRule>
  </conditionalFormatting>
  <conditionalFormatting sqref="A60:H65 A67:H73">
    <cfRule type="expression" dxfId="18" priority="14" stopIfTrue="1">
      <formula>$D$11&lt;4</formula>
    </cfRule>
  </conditionalFormatting>
  <conditionalFormatting sqref="A74:H87">
    <cfRule type="expression" dxfId="17" priority="11" stopIfTrue="1">
      <formula>$D$11&lt;5</formula>
    </cfRule>
  </conditionalFormatting>
  <conditionalFormatting sqref="A88:H101">
    <cfRule type="expression" dxfId="16" priority="9" stopIfTrue="1">
      <formula>$D$11&lt;6</formula>
    </cfRule>
  </conditionalFormatting>
  <conditionalFormatting sqref="A102:H115">
    <cfRule type="expression" dxfId="15" priority="10" stopIfTrue="1">
      <formula>$D$11&lt;7</formula>
    </cfRule>
  </conditionalFormatting>
  <conditionalFormatting sqref="A116:H129">
    <cfRule type="expression" dxfId="14" priority="5" stopIfTrue="1">
      <formula>$D$11&lt;8</formula>
    </cfRule>
  </conditionalFormatting>
  <conditionalFormatting sqref="A130:H143">
    <cfRule type="expression" dxfId="13" priority="3" stopIfTrue="1">
      <formula>$D$11&lt;9</formula>
    </cfRule>
  </conditionalFormatting>
  <conditionalFormatting sqref="A20:H21 A34:H35 A48:H49 A62:H63 A76:H77 A90:H91 A104:H105 A118:H119 A132:H133">
    <cfRule type="expression" dxfId="12" priority="24">
      <formula>$D$13="No"</formula>
    </cfRule>
  </conditionalFormatting>
  <conditionalFormatting sqref="A27:H30">
    <cfRule type="expression" dxfId="11" priority="20" stopIfTrue="1">
      <formula>$D$11&lt;2</formula>
    </cfRule>
  </conditionalFormatting>
  <conditionalFormatting sqref="A52:H52">
    <cfRule type="expression" dxfId="10" priority="2" stopIfTrue="1">
      <formula>$D$11&lt;2</formula>
    </cfRule>
  </conditionalFormatting>
  <conditionalFormatting sqref="A66:H66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Triangle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5"/>
      <c r="N67" s="25"/>
      <c r="O67" s="25"/>
    </row>
    <row r="68" spans="2:26" ht="15" customHeight="1" x14ac:dyDescent="0.2">
      <c r="B68" s="45">
        <f>'Event Tree Input'!A27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38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>
        <f>'Event Tree Input'!A41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39</v>
      </c>
      <c r="M83" s="25"/>
      <c r="N83" s="25"/>
      <c r="O83" s="25"/>
    </row>
    <row r="84" spans="2:24" ht="15" customHeight="1" x14ac:dyDescent="0.2">
      <c r="B84" s="45">
        <f>'Event Tree Input'!A55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40</v>
      </c>
      <c r="M91" s="25"/>
      <c r="N91" s="25"/>
      <c r="O91" s="25"/>
    </row>
    <row r="92" spans="2:24" ht="15" customHeight="1" x14ac:dyDescent="0.2">
      <c r="B92" s="45">
        <f>'Event Tree Input'!A69</f>
        <v>0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41</v>
      </c>
      <c r="M99" s="25"/>
      <c r="N99" s="25"/>
      <c r="O99" s="25"/>
    </row>
    <row r="100" spans="2:22" ht="15" customHeight="1" x14ac:dyDescent="0.2">
      <c r="B100" s="45">
        <f>'Event Tree Input'!A83</f>
        <v>0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42</v>
      </c>
      <c r="M107" s="25"/>
      <c r="N107" s="25"/>
      <c r="O107" s="25"/>
    </row>
    <row r="108" spans="2:22" ht="15" customHeight="1" x14ac:dyDescent="0.2">
      <c r="B108" s="45">
        <f>'Event Tree Input'!A97</f>
        <v>0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43</v>
      </c>
      <c r="M115" s="25"/>
      <c r="N115" s="25"/>
      <c r="O115" s="25"/>
    </row>
    <row r="116" spans="2:22" ht="15" customHeight="1" x14ac:dyDescent="0.2">
      <c r="B116" s="45">
        <f>'Event Tree Input'!A111</f>
        <v>0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44</v>
      </c>
      <c r="M123" s="25"/>
      <c r="N123" s="25"/>
      <c r="O123" s="25"/>
    </row>
    <row r="124" spans="2:22" ht="15" customHeight="1" x14ac:dyDescent="0.2">
      <c r="B124" s="45">
        <f>'Event Tree Input'!A125</f>
        <v>0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45</v>
      </c>
      <c r="M131" s="25"/>
      <c r="N131" s="25"/>
      <c r="O131" s="25"/>
    </row>
    <row r="132" spans="2:22" ht="15" customHeight="1" x14ac:dyDescent="0.2">
      <c r="B132" s="45">
        <f>'Event Tree Input'!A139</f>
        <v>0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58A6BA1-4B4A-4F13-9E7F-94CC2145BD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C7560-D950-4038-A7E1-B6019AD823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FA6BB5-A859-4BB0-955E-B02D84D244E4}">
  <ds:schemaRefs>
    <ds:schemaRef ds:uri="http://schemas.microsoft.com/office/infopath/2007/PartnerControls"/>
    <ds:schemaRef ds:uri="http://purl.org/dc/terms/"/>
    <ds:schemaRef ds:uri="a8f80ecd-cddb-46c8-b263-c25672b580c6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