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7349AE1E-0909-4A27-83E4-02C13E6E06AB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<sst xmlns="http://schemas.openxmlformats.org/spreadsheetml/2006/main" count="139" uniqueCount="72">
  <si>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</si>
  <si>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</si>
  <si>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</si>
  <si>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</si>
  <si>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</si>
  <si>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</si>
  <si>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</si>
  <si>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</si>
  <si>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</si>
  <si>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</si>
  <si>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</si>
  <si>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</si>
  <si>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</si>
  <si>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</si>
  <si>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</si>
  <si>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</si>
  <si>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</si>
  <si>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</si>
  <si>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</si>
  <si>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</si>
  <si>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</si>
  <si>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</si>
  <si>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</si>
  <si>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</si>
  <si>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</si>
  <si>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</si>
  <si>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</si>
  <si>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</si>
  <si>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</si>
  <si>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</si>
  <si>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</si>
  <si>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</si>
  <si>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</si>
  <si>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</si>
  <si>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</si>
  <si>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</si>
  <si>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</si>
  <si>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</si>
  <si>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</si>
  <si>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</si>
  <si>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</si>
  <si>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</si>
  <si>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</si>
  <si>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</si>
  <si>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</si>
  <si>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</si>
  <si>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</si>
  <si>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</si>
  <si>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</si>
  <si>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</si>
  <si>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</si>
  <si>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</si>
  <si>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</si>
  <si>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</si>
  <si>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Continuation</t>
  </si>
  <si>
    <t>An unfiltered seepage exit exists allowing erosion to continue?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</si>
  <si>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</si>
  <si>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</si>
  <si>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</si>
  <si>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</si>
  <si>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</si>
  <si>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</si>
  <si>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Flaw: Transverse Crack</t>
  </si>
  <si>
    <t>Initiation</t>
  </si>
  <si>
    <t>Sufficient hydraulic shear stress exists to initiate concentrated leak erosion in the crack?</t>
  </si>
  <si>
    <t>Progression: Crack Stability</t>
  </si>
  <si>
    <t>Continuous stable roof forms over the crack or stable sidewalls are maintained along the crack and do not swell shut?</t>
  </si>
  <si>
    <t>Progression: Flow Limitation</t>
  </si>
  <si>
    <t>Upstream zones fail to limit flows into the crack?</t>
  </si>
  <si>
    <t>Progression: Crack-Filling</t>
  </si>
  <si>
    <t>Upstream zones fail to self-heal the crack?</t>
  </si>
  <si>
    <t>A transverse crack exists along the embedded structure due to low stress zone or poor compaction?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</si>
</sst>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Flaw: Transverse Crack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Crack Stability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Flow Limitation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Crack-Filling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transverse crack exists along the embedded structure due to low stress zone or poor compaction?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Sufficient hydraulic shear stress exists to initiate concentrated leak erosion in the crack?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An unfiltered seepage exit exists allowing erosion to continue?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Continuous stable roof forms over the crack or stable sidewalls are maintained along the crack and do not swell shut?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Upstream zones fail to limit flows into the crack?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Upstream zones fail to self-heal the crack?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1"/>
      <c r="C1" s="41"/>
      <c r="D1" s="41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1"/>
      <c r="C2" s="41"/>
      <c r="D2" s="41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61</v>
      </c>
      <c r="E9" s="43"/>
      <c r="F9" s="11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8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60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62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71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38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63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64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54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55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40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65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66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41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67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68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69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70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56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57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58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59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50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61</v>
      </c>
      <c r="C146" s="3">
        <v>1</v>
      </c>
      <c r="E146" s="3" t="s">
        <v>0</v>
      </c>
    </row>
    <row r="147" spans="1:5" x14ac:dyDescent="0.2">
      <c r="A147" s="3" t="s">
        <v>53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0" t="s">
        <v>17</v>
      </c>
      <c r="B156" s="9" t="s">
        <v>23</v>
      </c>
      <c r="C156" s="9" t="s">
        <v>24</v>
      </c>
    </row>
    <row r="157" spans="1:5" x14ac:dyDescent="0.2">
      <c r="A157" s="40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Circle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>Triangle</v>
      </c>
      <c r="C165" s="9" t="str">
        <f t="shared" si="0"/>
        <v>Triangle</v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4" t="s">
        <v>8</v>
      </c>
      <c r="B1" s="44"/>
      <c r="C1" s="44"/>
      <c r="D1" s="44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6" t="s">
        <v>9</v>
      </c>
      <c r="AG1" s="46"/>
      <c r="AH1" s="46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6" t="s">
        <v>10</v>
      </c>
      <c r="BE1" s="46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44" t="s">
        <v>11</v>
      </c>
      <c r="B2" s="44"/>
      <c r="C2" s="44"/>
      <c r="D2" s="44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6" t="s">
        <v>9</v>
      </c>
      <c r="AG2" s="46"/>
      <c r="AH2" s="46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6" t="s">
        <v>10</v>
      </c>
      <c r="BE2" s="46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</row>
    <row r="3" spans="1:80" ht="15" customHeight="1" x14ac:dyDescent="0.2">
      <c r="A3" s="45" t="s">
        <v>12</v>
      </c>
      <c r="B3" s="45"/>
      <c r="C3" s="45"/>
      <c r="D3" s="45"/>
      <c r="E3" s="45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0" t="s">
        <v>25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52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51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0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0"/>
      <c r="K36" s="40"/>
      <c r="L36" s="40"/>
      <c r="M36" s="40"/>
      <c r="N36" s="40"/>
      <c r="O36" s="40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0"/>
      <c r="J37" s="40"/>
      <c r="K37" s="40"/>
      <c r="L37" s="40"/>
      <c r="M37" s="40"/>
      <c r="N37" s="40"/>
      <c r="O37" s="40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51" t="s">
        <v>19</v>
      </c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</row>
    <row r="55" spans="1:79" ht="15" customHeight="1" x14ac:dyDescent="0.2">
      <c r="A55" s="49" t="s">
        <v>53</v>
      </c>
      <c r="B55" s="49"/>
      <c r="C55" s="49"/>
      <c r="D55" s="49"/>
      <c r="E55" s="49"/>
      <c r="F55" s="49" t="str">
        <f>IF('Event Tree Input'!D9="Seismic Hazard","Yes","No")</f>
        <v>No</v>
      </c>
      <c r="G55" s="49"/>
      <c r="I55" s="40" t="s">
        <v>17</v>
      </c>
      <c r="J55" s="40"/>
      <c r="K55" s="49" t="s">
        <v>23</v>
      </c>
      <c r="L55" s="49"/>
      <c r="M55" s="49"/>
      <c r="N55" s="49" t="s">
        <v>24</v>
      </c>
      <c r="O55" s="49"/>
      <c r="P55" s="49"/>
    </row>
    <row r="56" spans="1:79" ht="15" customHeight="1" x14ac:dyDescent="0.2">
      <c r="I56" s="40"/>
      <c r="J56" s="40"/>
      <c r="K56" s="49" t="s">
        <v>22</v>
      </c>
      <c r="L56" s="49"/>
      <c r="M56" s="49"/>
      <c r="N56" s="49" t="s">
        <v>22</v>
      </c>
      <c r="O56" s="49"/>
      <c r="P56" s="49"/>
      <c r="S56" s="49" t="s">
        <v>17</v>
      </c>
      <c r="T56" s="49"/>
      <c r="U56" s="49" t="s">
        <v>27</v>
      </c>
      <c r="V56" s="49"/>
      <c r="W56" s="49"/>
      <c r="X56" s="49" t="s">
        <v>29</v>
      </c>
      <c r="Y56" s="49"/>
      <c r="Z56" s="49"/>
    </row>
    <row r="57" spans="1:79" ht="15" customHeight="1" x14ac:dyDescent="0.2">
      <c r="I57" s="49">
        <v>1</v>
      </c>
      <c r="J57" s="49"/>
      <c r="K57" s="49" t="str">
        <f>'Event Tree Input'!B158</f>
        <v>Circle</v>
      </c>
      <c r="L57" s="49"/>
      <c r="M57" s="49"/>
      <c r="N57" s="49" t="str">
        <f>'Event Tree Input'!C158</f>
        <v>Triangle</v>
      </c>
      <c r="O57" s="49"/>
      <c r="P57" s="49"/>
      <c r="S57" s="49">
        <v>1</v>
      </c>
      <c r="T57" s="49"/>
      <c r="U57" s="49" t="str">
        <f>IF('Event Tree Input'!$D$14="No","No",IF(AND('Event Tree Input'!$D$14="Yes",'Event Tree Input'!$D$11&gt;=S57),"Yes","No"))</f>
        <v>No</v>
      </c>
      <c r="V57" s="49"/>
      <c r="W57" s="49"/>
      <c r="X57" s="49" t="str">
        <f>'Event Tree Input'!$D$13</f>
        <v>Yes</v>
      </c>
      <c r="Y57" s="49"/>
      <c r="Z57" s="49"/>
    </row>
    <row r="58" spans="1:79" ht="15" customHeight="1" x14ac:dyDescent="0.2">
      <c r="I58" s="49">
        <v>2</v>
      </c>
      <c r="J58" s="49"/>
      <c r="K58" s="49" t="str">
        <f>'Event Tree Input'!B159</f>
        <v>Circle</v>
      </c>
      <c r="L58" s="49"/>
      <c r="M58" s="49"/>
      <c r="N58" s="49" t="str">
        <f>'Event Tree Input'!C159</f>
        <v>Triangle</v>
      </c>
      <c r="O58" s="49"/>
      <c r="P58" s="49"/>
      <c r="S58" s="49">
        <v>2</v>
      </c>
      <c r="T58" s="49"/>
      <c r="U58" s="49" t="str">
        <f>IF('Event Tree Input'!$D$14="No","No",IF(AND('Event Tree Input'!$D$14="Yes",'Event Tree Input'!$D$11&gt;=S58),"Yes","No"))</f>
        <v>No</v>
      </c>
      <c r="V58" s="49"/>
      <c r="W58" s="49"/>
      <c r="X58" s="49" t="str">
        <f>'Event Tree Input'!$D$13</f>
        <v>Yes</v>
      </c>
      <c r="Y58" s="49"/>
      <c r="Z58" s="49"/>
    </row>
    <row r="59" spans="1:79" ht="15" customHeight="1" x14ac:dyDescent="0.2">
      <c r="I59" s="49">
        <v>3</v>
      </c>
      <c r="J59" s="49"/>
      <c r="K59" s="49" t="str">
        <f>'Event Tree Input'!B160</f>
        <v>Circle</v>
      </c>
      <c r="L59" s="49"/>
      <c r="M59" s="49"/>
      <c r="N59" s="49" t="str">
        <f>'Event Tree Input'!C160</f>
        <v>Triangle</v>
      </c>
      <c r="O59" s="49"/>
      <c r="P59" s="49"/>
      <c r="S59" s="49">
        <v>3</v>
      </c>
      <c r="T59" s="49"/>
      <c r="U59" s="49" t="str">
        <f>IF('Event Tree Input'!$D$14="No","No",IF(AND('Event Tree Input'!$D$14="Yes",'Event Tree Input'!$D$11&gt;=S59),"Yes","No"))</f>
        <v>No</v>
      </c>
      <c r="V59" s="49"/>
      <c r="W59" s="49"/>
      <c r="X59" s="49" t="str">
        <f>'Event Tree Input'!$D$13</f>
        <v>Yes</v>
      </c>
      <c r="Y59" s="49"/>
      <c r="Z59" s="49"/>
    </row>
    <row r="60" spans="1:79" ht="15" customHeight="1" x14ac:dyDescent="0.2">
      <c r="I60" s="49">
        <v>4</v>
      </c>
      <c r="J60" s="49"/>
      <c r="K60" s="49" t="str">
        <f>'Event Tree Input'!B161</f>
        <v>Circle</v>
      </c>
      <c r="L60" s="49"/>
      <c r="M60" s="49"/>
      <c r="N60" s="49" t="str">
        <f>'Event Tree Input'!C161</f>
        <v>Triangle</v>
      </c>
      <c r="O60" s="49"/>
      <c r="P60" s="49"/>
      <c r="S60" s="49">
        <v>4</v>
      </c>
      <c r="T60" s="49"/>
      <c r="U60" s="49" t="str">
        <f>IF('Event Tree Input'!$D$14="No","No",IF(AND('Event Tree Input'!$D$14="Yes",'Event Tree Input'!$D$11&gt;=S60),"Yes","No"))</f>
        <v>No</v>
      </c>
      <c r="V60" s="49"/>
      <c r="W60" s="49"/>
      <c r="X60" s="49" t="str">
        <f>'Event Tree Input'!$D$13</f>
        <v>Yes</v>
      </c>
      <c r="Y60" s="49"/>
      <c r="Z60" s="49"/>
    </row>
    <row r="61" spans="1:79" ht="15" customHeight="1" x14ac:dyDescent="0.2">
      <c r="I61" s="49">
        <v>5</v>
      </c>
      <c r="J61" s="49"/>
      <c r="K61" s="49" t="str">
        <f>'Event Tree Input'!B162</f>
        <v>Circle</v>
      </c>
      <c r="L61" s="49"/>
      <c r="M61" s="49"/>
      <c r="N61" s="49" t="str">
        <f>'Event Tree Input'!C162</f>
        <v>Triangle</v>
      </c>
      <c r="O61" s="49"/>
      <c r="P61" s="49"/>
      <c r="S61" s="49">
        <v>5</v>
      </c>
      <c r="T61" s="49"/>
      <c r="U61" s="49" t="str">
        <f>IF('Event Tree Input'!$D$14="No","No",IF(AND('Event Tree Input'!$D$14="Yes",'Event Tree Input'!$D$11&gt;=S61),"Yes","No"))</f>
        <v>No</v>
      </c>
      <c r="V61" s="49"/>
      <c r="W61" s="49"/>
      <c r="X61" s="49" t="str">
        <f>'Event Tree Input'!$D$13</f>
        <v>Yes</v>
      </c>
      <c r="Y61" s="49"/>
      <c r="Z61" s="49"/>
    </row>
    <row r="62" spans="1:79" ht="15" customHeight="1" x14ac:dyDescent="0.2">
      <c r="I62" s="49">
        <v>6</v>
      </c>
      <c r="J62" s="49"/>
      <c r="K62" s="49" t="str">
        <f>'Event Tree Input'!B163</f>
        <v>Circle</v>
      </c>
      <c r="L62" s="49"/>
      <c r="M62" s="49"/>
      <c r="N62" s="49" t="str">
        <f>'Event Tree Input'!C163</f>
        <v>Triangle</v>
      </c>
      <c r="O62" s="49"/>
      <c r="P62" s="49"/>
      <c r="S62" s="49">
        <v>6</v>
      </c>
      <c r="T62" s="49"/>
      <c r="U62" s="49" t="str">
        <f>IF('Event Tree Input'!$D$14="No","No",IF(AND('Event Tree Input'!$D$14="Yes",'Event Tree Input'!$D$11&gt;=S62),"Yes","No"))</f>
        <v>No</v>
      </c>
      <c r="V62" s="49"/>
      <c r="W62" s="49"/>
      <c r="X62" s="49" t="str">
        <f>'Event Tree Input'!$D$13</f>
        <v>Yes</v>
      </c>
      <c r="Y62" s="49"/>
      <c r="Z62" s="49"/>
    </row>
    <row r="63" spans="1:79" ht="15" customHeight="1" x14ac:dyDescent="0.2">
      <c r="I63" s="49">
        <v>7</v>
      </c>
      <c r="J63" s="49"/>
      <c r="K63" s="49" t="str">
        <f>'Event Tree Input'!B164</f>
        <v>Circle</v>
      </c>
      <c r="L63" s="49"/>
      <c r="M63" s="49"/>
      <c r="N63" s="49" t="str">
        <f>'Event Tree Input'!C164</f>
        <v>Triangle</v>
      </c>
      <c r="O63" s="49"/>
      <c r="P63" s="49"/>
      <c r="S63" s="49">
        <v>7</v>
      </c>
      <c r="T63" s="49"/>
      <c r="U63" s="49" t="str">
        <f>IF('Event Tree Input'!$D$14="No","No",IF(AND('Event Tree Input'!$D$14="Yes",'Event Tree Input'!$D$11&gt;=S63),"Yes","No"))</f>
        <v>No</v>
      </c>
      <c r="V63" s="49"/>
      <c r="W63" s="49"/>
      <c r="X63" s="49" t="str">
        <f>'Event Tree Input'!$D$13</f>
        <v>Yes</v>
      </c>
      <c r="Y63" s="49"/>
      <c r="Z63" s="49"/>
    </row>
    <row r="64" spans="1:79" ht="15" customHeight="1" x14ac:dyDescent="0.2">
      <c r="I64" s="49">
        <v>8</v>
      </c>
      <c r="J64" s="49"/>
      <c r="K64" s="49" t="str">
        <f>'Event Tree Input'!B165</f>
        <v>Triangle</v>
      </c>
      <c r="L64" s="49"/>
      <c r="M64" s="49"/>
      <c r="N64" s="49" t="str">
        <f>'Event Tree Input'!C165</f>
        <v>Triangle</v>
      </c>
      <c r="O64" s="49"/>
      <c r="P64" s="49"/>
      <c r="S64" s="49">
        <v>8</v>
      </c>
      <c r="T64" s="49"/>
      <c r="U64" s="49" t="str">
        <f>IF('Event Tree Input'!$D$14="No","No",IF(AND('Event Tree Input'!$D$14="Yes",'Event Tree Input'!$D$11&gt;=S64),"Yes","No"))</f>
        <v>No</v>
      </c>
      <c r="V64" s="49"/>
      <c r="W64" s="49"/>
      <c r="X64" s="49" t="str">
        <f>'Event Tree Input'!$D$13</f>
        <v>Yes</v>
      </c>
      <c r="Y64" s="49"/>
      <c r="Z64" s="49"/>
    </row>
    <row r="65" spans="2:26" ht="15" customHeight="1" x14ac:dyDescent="0.2">
      <c r="I65" s="49">
        <v>9</v>
      </c>
      <c r="J65" s="49"/>
      <c r="K65" s="49" t="str">
        <f>'Event Tree Input'!B166</f>
        <v/>
      </c>
      <c r="L65" s="49"/>
      <c r="M65" s="49"/>
      <c r="N65" s="49" t="str">
        <f>'Event Tree Input'!C166</f>
        <v/>
      </c>
      <c r="O65" s="49"/>
      <c r="P65" s="49"/>
      <c r="S65" s="49">
        <v>9</v>
      </c>
      <c r="T65" s="49"/>
      <c r="U65" s="49" t="str">
        <f>IF('Event Tree Input'!$D$14="No","No",IF(AND('Event Tree Input'!$D$14="Yes",'Event Tree Input'!$D$11&gt;=S65),"Yes","No"))</f>
        <v>No</v>
      </c>
      <c r="V65" s="49"/>
      <c r="W65" s="49"/>
      <c r="X65" s="49" t="str">
        <f>'Event Tree Input'!$D$13</f>
        <v>Yes</v>
      </c>
      <c r="Y65" s="49"/>
      <c r="Z65" s="49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8" t="str">
        <f>'Event Tree Input'!A27</f>
        <v>Node 1 Callout</v>
      </c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14"/>
    </row>
    <row r="69" spans="2:26" ht="15" customHeight="1" x14ac:dyDescent="0.2"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14"/>
    </row>
    <row r="70" spans="2:26" ht="15" customHeight="1" x14ac:dyDescent="0.2"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14"/>
      <c r="X70" s="15"/>
      <c r="Y70" s="14"/>
    </row>
    <row r="71" spans="2:26" ht="15" customHeight="1" x14ac:dyDescent="0.2"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14"/>
      <c r="X71" s="15"/>
      <c r="Y71" s="14"/>
    </row>
    <row r="72" spans="2:26" ht="15" customHeight="1" x14ac:dyDescent="0.2"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14"/>
      <c r="X72" s="15"/>
      <c r="Y72" s="14"/>
    </row>
    <row r="73" spans="2:26" ht="15" customHeight="1" x14ac:dyDescent="0.2"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8" t="str">
        <f>'Event Tree Input'!A41</f>
        <v>Node 2 Callout</v>
      </c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</row>
    <row r="77" spans="2:26" ht="15" customHeight="1" x14ac:dyDescent="0.2"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15"/>
      <c r="X77" s="15"/>
    </row>
    <row r="78" spans="2:26" ht="15" customHeight="1" x14ac:dyDescent="0.2"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15"/>
      <c r="X78" s="15"/>
    </row>
    <row r="79" spans="2:26" ht="15" customHeight="1" x14ac:dyDescent="0.2"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15"/>
      <c r="X79" s="15"/>
    </row>
    <row r="80" spans="2:26" ht="15" customHeight="1" x14ac:dyDescent="0.2"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15"/>
      <c r="X80" s="15"/>
    </row>
    <row r="81" spans="2:24" ht="15" customHeight="1" x14ac:dyDescent="0.2"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8" t="str">
        <f>'Event Tree Input'!A55</f>
        <v>Node 3 Callout</v>
      </c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</row>
    <row r="85" spans="2:24" ht="15" customHeight="1" x14ac:dyDescent="0.2"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</row>
    <row r="86" spans="2:24" ht="15" customHeight="1" x14ac:dyDescent="0.2"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</row>
    <row r="87" spans="2:24" ht="15" customHeight="1" x14ac:dyDescent="0.2"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</row>
    <row r="88" spans="2:24" ht="15" customHeight="1" x14ac:dyDescent="0.2"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</row>
    <row r="89" spans="2:24" ht="15" customHeight="1" x14ac:dyDescent="0.2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8" t="str">
        <f>'Event Tree Input'!A69</f>
        <v>Node 4 Callout</v>
      </c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</row>
    <row r="93" spans="2:24" ht="15" customHeight="1" x14ac:dyDescent="0.2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</row>
    <row r="94" spans="2:24" ht="15" customHeight="1" x14ac:dyDescent="0.2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</row>
    <row r="95" spans="2:24" ht="15" customHeight="1" x14ac:dyDescent="0.2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</row>
    <row r="96" spans="2:24" ht="15" customHeight="1" x14ac:dyDescent="0.2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</row>
    <row r="97" spans="2:22" ht="15" customHeight="1" x14ac:dyDescent="0.2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8" t="str">
        <f>'Event Tree Input'!A83</f>
        <v>Node 5 Callout</v>
      </c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</row>
    <row r="101" spans="2:22" ht="15" customHeight="1" x14ac:dyDescent="0.2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</row>
    <row r="102" spans="2:22" ht="15" customHeight="1" x14ac:dyDescent="0.2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</row>
    <row r="103" spans="2:22" ht="15" customHeight="1" x14ac:dyDescent="0.2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</row>
    <row r="104" spans="2:22" ht="15" customHeight="1" x14ac:dyDescent="0.2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</row>
    <row r="105" spans="2:22" ht="15" customHeight="1" x14ac:dyDescent="0.2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8" t="str">
        <f>'Event Tree Input'!A97</f>
        <v>Node 6 Callout</v>
      </c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</row>
    <row r="109" spans="2:22" ht="15" customHeight="1" x14ac:dyDescent="0.2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</row>
    <row r="110" spans="2:22" ht="15" customHeight="1" x14ac:dyDescent="0.2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</row>
    <row r="111" spans="2:22" ht="15" customHeight="1" x14ac:dyDescent="0.2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</row>
    <row r="112" spans="2:22" ht="15" customHeight="1" x14ac:dyDescent="0.2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</row>
    <row r="113" spans="2:22" ht="15" customHeight="1" x14ac:dyDescent="0.2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8" t="str">
        <f>'Event Tree Input'!A111</f>
        <v>Node 7 Callout</v>
      </c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</row>
    <row r="117" spans="2:22" ht="15" customHeight="1" x14ac:dyDescent="0.2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</row>
    <row r="118" spans="2:22" ht="15" customHeight="1" x14ac:dyDescent="0.2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</row>
    <row r="119" spans="2:22" ht="15" customHeight="1" x14ac:dyDescent="0.2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</row>
    <row r="120" spans="2:22" ht="15" customHeight="1" x14ac:dyDescent="0.2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</row>
    <row r="121" spans="2:22" ht="15" customHeight="1" x14ac:dyDescent="0.2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8" t="str">
        <f>'Event Tree Input'!A125</f>
        <v>Node 8 Callout</v>
      </c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</row>
    <row r="125" spans="2:22" ht="15" customHeight="1" x14ac:dyDescent="0.2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</row>
    <row r="126" spans="2:22" ht="15" customHeight="1" x14ac:dyDescent="0.2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</row>
    <row r="127" spans="2:22" ht="15" customHeight="1" x14ac:dyDescent="0.2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</row>
    <row r="128" spans="2:22" ht="15" customHeight="1" x14ac:dyDescent="0.2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</row>
    <row r="129" spans="2:22" ht="15" customHeight="1" x14ac:dyDescent="0.2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8" t="str">
        <f>'Event Tree Input'!A139</f>
        <v>Node 9 Callout</v>
      </c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</row>
    <row r="133" spans="2:22" ht="15" customHeight="1" x14ac:dyDescent="0.2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</row>
    <row r="134" spans="2:22" ht="15" customHeight="1" x14ac:dyDescent="0.2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</row>
    <row r="135" spans="2:22" ht="15" customHeight="1" x14ac:dyDescent="0.2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</row>
    <row r="136" spans="2:22" ht="15" customHeight="1" x14ac:dyDescent="0.2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</row>
    <row r="137" spans="2:22" ht="15" customHeight="1" x14ac:dyDescent="0.2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39D7B7E-E4D7-4A11-BF84-1FC0D44E03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0DFC754-6286-4AF2-B517-42D698945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0C5B879-B5CA-4E14-B24F-71C2FD6A0C9F}">
  <ds:schemaRefs>
    <ds:schemaRef ds:uri="f254aa9d-3c64-433e-b325-d6b94ca3f691"/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purl.org/dc/terms/"/>
    <ds:schemaRef ds:uri="a8f80ecd-cddb-46c8-b263-c25672b580c6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